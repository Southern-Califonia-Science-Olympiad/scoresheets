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hidden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<sst xmlns="http://schemas.openxmlformats.org/spreadsheetml/2006/main" count="151" uniqueCount="109">
  <si>
    <t xml:space="preserve">Check-In &amp; Flight Log</t>
  </si>
  <si>
    <t xml:space="preserve">Flight Time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</si>
  <si>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</si>
  <si>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</si>
  <si>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</si>
  <si>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</si>
  <si>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school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</si>
  <si>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</si>
  <si>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</si>
  <si>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</si>
  <si>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</si>
  <si>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</si>
  <si>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Glider A</t>
  </si>
  <si>
    <t xml:space="preserve">Glider B</t>
  </si>
  <si>
    <t xml:space="preserve">3. Flight Log (Complete / Partial / Not present)</t>
  </si>
  <si>
    <t xml:space="preserve">4. Met All Comp Params (T/F)</t>
  </si>
  <si>
    <t xml:space="preserve">Flight 1</t>
  </si>
  <si>
    <t xml:space="preserve">Flight 2</t>
  </si>
  <si>
    <t xml:space="preserve">Flight 3</t>
  </si>
  <si>
    <t xml:space="preserve">Flight 4</t>
  </si>
  <si>
    <t xml:space="preserve">Flight 5</t>
  </si>
  <si>
    <t xml:space="preserve">15. Disqualify (T/F)</t>
  </si>
  <si>
    <t xml:space="preserve">Scored Flights</t>
  </si>
  <si>
    <t xml:space="preserve">Log Multiplier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</si>
  <si>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</si>
  <si>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</si>
  <si>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</si>
  <si>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</si>
  <si>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</si>
  <si>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</si>
  <si>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</si>
  <si>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</si>
  <si>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1. Met All Const Params (T/F)</t>
  </si>
  <si>
    <t xml:space="preserve">2. Met All Const Params (T/F)</t>
  </si>
  <si>
    <t xml:space="preserve">5. Glider (A/B)</t>
  </si>
  <si>
    <t xml:space="preserve">6. Median Flight Time (s)</t>
  </si>
  <si>
    <t xml:space="preserve">7. Glider (A/B)</t>
  </si>
  <si>
    <t xml:space="preserve">8. Median Flight Time (s)</t>
  </si>
  <si>
    <t xml:space="preserve">9. Glider (A/B)</t>
  </si>
  <si>
    <t xml:space="preserve">10. Median Flight Time (s)</t>
  </si>
  <si>
    <t xml:space="preserve">11. Glider (A/B)</t>
  </si>
  <si>
    <t xml:space="preserve">12. Median Flight Time (s)</t>
  </si>
  <si>
    <t xml:space="preserve">13. Glider (A/B)</t>
  </si>
  <si>
    <t xml:space="preserve">14. Median Flight Time (s)</t>
  </si>
  <si>
    <t xml:space="preserve">Status</t>
  </si>
  <si>
    <t xml:space="preserve">Flight 1 (s)</t>
  </si>
  <si>
    <t xml:space="preserve">Flight 2 (s)</t>
  </si>
  <si>
    <t xml:space="preserve">Flight 3 (s)</t>
  </si>
  <si>
    <t xml:space="preserve">Flight 4 (s)</t>
  </si>
  <si>
    <t xml:space="preserve">Flight 5 (s)</t>
  </si>
  <si>
    <t xml:space="preserve">Longest Flight #</t>
  </si>
  <si>
    <t xml:space="preserve">2nd Longest Flight #</t>
  </si>
  <si>
    <t xml:space="preserve">3rd Longest Flight #</t>
  </si>
  <si>
    <t xml:space="preserve">Best 3 Total (s)</t>
  </si>
  <si>
    <t xml:space="preserve">Score Rank</t>
  </si>
  <si>
    <t xml:space="preserve">TB1 (Best Non-Scored Flight)</t>
  </si>
  <si>
    <t xml:space="preserve">TB1 Rank</t>
  </si>
  <si>
    <t xml:space="preserve">Rank w/ TB</t>
  </si>
  <si>
    <t xml:space="preserve">Rank Diff</t>
  </si>
  <si>
    <t xml:space="preserve">Name Desc</t>
  </si>
  <si>
    <t xml:space="preserve">Value</t>
  </si>
  <si>
    <t xml:space="preserve">T</t>
  </si>
  <si>
    <t xml:space="preserve">F</t>
  </si>
  <si>
    <t xml:space="preserve">Disqualified</t>
  </si>
  <si>
    <t xml:space="preserve">DQ</t>
  </si>
  <si>
    <t xml:space="preserve">No-Show</t>
  </si>
  <si>
    <t xml:space="preserve">NS</t>
  </si>
  <si>
    <t xml:space="preserve">Participated</t>
  </si>
  <si>
    <t xml:space="preserve">P</t>
  </si>
  <si>
    <t xml:space="preserve">Competed</t>
  </si>
  <si>
    <t xml:space="preserve">C</t>
  </si>
  <si>
    <t xml:space="preserve">Complete Flight Log Multiplier</t>
  </si>
  <si>
    <t xml:space="preserve">Partial Flight Log Multiplier</t>
  </si>
  <si>
    <t xml:space="preserve">No Flight Log Multiplier</t>
  </si>
  <si>
    <t xml:space="preserve">Tier 1 (all parameters met)</t>
  </si>
  <si>
    <t xml:space="preserve">Tier 2 (construction/competition violation)</t>
  </si>
  <si>
    <t xml:space="preserve">Seconds Assessed for a Missing Flight</t>
  </si>
  <si>
    <t xml:space="preserve">Error Status</t>
  </si>
  <si>
    <t xml:space="preserve">ERR</t>
  </si>
  <si>
    <t xml:space="preserve">Flight Log: Complete</t>
  </si>
  <si>
    <t xml:space="preserve">Complete</t>
  </si>
  <si>
    <t xml:space="preserve">Flight Log: Partial</t>
  </si>
  <si>
    <t xml:space="preserve">Partial</t>
  </si>
  <si>
    <t xml:space="preserve">Flight Log: Not Present</t>
  </si>
  <si>
    <t xml:space="preserve">Not present</t>
  </si>
  <si>
    <t xml:space="preserve">A</t>
  </si>
  <si>
    <t xml:space="preserve">B</t>
  </si>
  <si>
    <t xml:space="preserve">Date</t>
  </si>
  <si>
    <t xml:space="preserve">Version #</t>
  </si>
  <si>
    <t xml:space="preserve">Change</t>
  </si>
  <si>
    <t xml:space="preserve">Event</t>
  </si>
  <si>
    <t xml:space="preserve">Elastic Launched Glider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</si>
  <si>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</si>
  <si>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</si>
  <si>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</si>
  <si>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</si>
  <si>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</si>
  <si>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</si>
  <si>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</si>
  <si>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0.1.0</t>
  </si>
  <si>
    <t xml:space="preserve">Division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</si>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</sst>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"/>
    <numFmt numFmtId="167" formatCode="0.00"/>
    <numFmt numFmtId="168" formatCode="#,##0"/>
    <numFmt numFmtId="169" formatCode="&quot;TRUE&quot;;&quot;TRUE&quot;;&quot;FALSE&quot;"/>
    <numFmt numFmtId="170" formatCode="m/d/yyyy"/>
    <numFmt numFmtId="171" formatCode="mm/dd/yy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sz val="13"/>
      <color theme="1"/>
      <name val="Overpass"/>
      <family val="0"/>
      <charset val="1"/>
    </font>
    <font>
      <sz val="11"/>
      <color rgb="FF181A1B"/>
      <name val="Overpass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B7E1CD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B7E1CD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6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0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0000"/>
      </font>
      <fill>
        <patternFill>
          <bgColor rgb="FFFFD966"/>
        </patternFill>
      </fill>
    </dxf>
    <dxf>
      <fill>
        <patternFill>
          <bgColor rgb="FFF4C7C3"/>
        </patternFill>
      </fill>
    </dxf>
    <dxf>
      <font>
        <color rgb="FF000000"/>
      </font>
      <fill>
        <patternFill>
          <bgColor rgb="FFFFB3B3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B7E1CD"/>
      <rgbColor rgb="FFFFB3B3"/>
      <rgbColor rgb="FFCC99FF"/>
      <rgbColor rgb="FFF4C7C3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A507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pane xSplit="0" ySplit="7" topLeftCell="A8" activePane="bottomLeft" state="frozen"/>
      <selection pane="topLeft" activeCell="N1" activeCellId="0" sqref="N1"/>
      <selection pane="bottomLeft" activeCell="K8" activeCellId="0" sqref="K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6" min="5" style="1" width="10.71"/>
    <col collapsed="false" customWidth="true" hidden="false" outlineLevel="0" max="7" min="7" style="1" width="12.38"/>
    <col collapsed="false" customWidth="true" hidden="false" outlineLevel="0" max="8" min="8" style="1" width="8.5"/>
    <col collapsed="false" customWidth="true" hidden="false" outlineLevel="0" max="9" min="9" style="1" width="9.18"/>
    <col collapsed="false" customWidth="true" hidden="false" outlineLevel="0" max="10" min="10" style="1" width="8.38"/>
    <col collapsed="false" customWidth="true" hidden="false" outlineLevel="0" max="11" min="11" style="1" width="9.18"/>
    <col collapsed="false" customWidth="true" hidden="false" outlineLevel="0" max="12" min="12" style="1" width="8.38"/>
    <col collapsed="false" customWidth="true" hidden="false" outlineLevel="0" max="13" min="13" style="1" width="9.18"/>
    <col collapsed="false" customWidth="true" hidden="false" outlineLevel="0" max="14" min="14" style="1" width="8.38"/>
    <col collapsed="false" customWidth="true" hidden="false" outlineLevel="0" max="15" min="15" style="1" width="9.18"/>
    <col collapsed="false" customWidth="true" hidden="false" outlineLevel="0" max="16" min="16" style="1" width="8.38"/>
    <col collapsed="false" customWidth="true" hidden="false" outlineLevel="0" max="17" min="17" style="1" width="9.18"/>
    <col collapsed="false" customWidth="true" hidden="false" outlineLevel="0" max="18" min="18" style="1" width="8.38"/>
    <col collapsed="false" customWidth="true" hidden="false" outlineLevel="0" max="19" min="19" style="1" width="4"/>
    <col collapsed="false" customWidth="true" hidden="true" outlineLevel="0" max="20" min="20" style="1" width="4.63"/>
    <col collapsed="false" customWidth="true" hidden="true" outlineLevel="0" max="35" min="21" style="1" width="7.23"/>
    <col collapsed="false" customWidth="true" hidden="true" outlineLevel="0" max="36" min="36" style="1" width="7.37"/>
    <col collapsed="false" customWidth="true" hidden="true" outlineLevel="0" max="38" min="37" style="1" width="12.38"/>
    <col collapsed="false" customWidth="true" hidden="true" outlineLevel="0" max="39" min="39" style="1" width="11.96"/>
    <col collapsed="false" customWidth="true" hidden="true" outlineLevel="0" max="40" min="40" style="1" width="11.7"/>
    <col collapsed="false" customWidth="true" hidden="true" outlineLevel="0" max="41" min="41" style="1" width="10.99"/>
    <col collapsed="false" customWidth="true" hidden="true" outlineLevel="0" max="42" min="42" style="1" width="11.82"/>
    <col collapsed="false" customWidth="true" hidden="true" outlineLevel="0" max="43" min="43" style="1" width="19.75"/>
    <col collapsed="false" customWidth="true" hidden="true" outlineLevel="0" max="44" min="44" style="1" width="22.4"/>
    <col collapsed="false" customWidth="true" hidden="true" outlineLevel="0" max="45" min="45" style="1" width="21.43"/>
    <col collapsed="false" customWidth="true" hidden="true" outlineLevel="0" max="46" min="46" style="1" width="15.58"/>
    <col collapsed="false" customWidth="true" hidden="true" outlineLevel="0" max="47" min="47" style="1" width="7.65"/>
    <col collapsed="false" customWidth="true" hidden="true" outlineLevel="0" max="48" min="48" style="1" width="12.51"/>
    <col collapsed="false" customWidth="true" hidden="true" outlineLevel="0" max="49" min="49" style="1" width="7.09"/>
    <col collapsed="false" customWidth="true" hidden="true" outlineLevel="0" max="50" min="50" style="1" width="30.74"/>
    <col collapsed="false" customWidth="true" hidden="true" outlineLevel="0" max="52" min="51" style="1" width="4.63"/>
    <col collapsed="false" customWidth="true" hidden="true" outlineLevel="0" max="53" min="53" style="1" width="10.29"/>
    <col collapsed="false" customWidth="true" hidden="true" outlineLevel="0" max="54" min="54" style="1" width="4.63"/>
    <col collapsed="false" customWidth="true" hidden="false" outlineLevel="0" max="56" min="55" style="1" width="8.68"/>
    <col collapsed="false" customWidth="true" hidden="false" outlineLevel="0" max="57" min="57" style="1" width="8.63"/>
    <col collapsed="false" customWidth="true" hidden="false" outlineLevel="0" max="61" min="58" style="1" width="4"/>
    <col collapsed="false" customWidth="true" hidden="false" outlineLevel="0" max="62" min="62" style="1" width="2"/>
    <col collapsed="false" customWidth="true" hidden="true" outlineLevel="0" max="72" min="63" style="1" width="4.63"/>
    <col collapsed="false" customWidth="true" hidden="false" outlineLevel="0" max="73" min="73" style="1" width="6.81"/>
    <col collapsed="false" customWidth="true" hidden="false" outlineLevel="0" max="74" min="74" style="1" width="9.74"/>
    <col collapsed="false" customWidth="true" hidden="false" outlineLevel="0" max="75" min="75" style="1" width="30.75"/>
    <col collapsed="false" customWidth="true" hidden="false" outlineLevel="0" max="76" min="76" style="1" width="15.63"/>
    <col collapsed="false" customWidth="true" hidden="false" outlineLevel="0" max="77" min="77" style="1" width="4.63"/>
    <col collapsed="false" customWidth="true" hidden="false" outlineLevel="0" max="78" min="78" style="1" width="8.63"/>
    <col collapsed="false" customWidth="true" hidden="true" outlineLevel="0" max="79" min="79" style="1" width="6.63"/>
    <col collapsed="false" customWidth="true" hidden="false" outlineLevel="0" max="16384" min="16384" style="0" width="11.5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3"/>
      <c r="H1" s="2"/>
      <c r="I1" s="2"/>
      <c r="J1" s="3"/>
      <c r="K1" s="2"/>
      <c r="L1" s="3"/>
      <c r="M1" s="2"/>
      <c r="N1" s="3"/>
      <c r="O1" s="2"/>
      <c r="P1" s="3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4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customFormat="false" ht="15.75" hidden="false" customHeight="false" outlineLevel="0" collapsed="false">
      <c r="A2" s="5"/>
      <c r="B2" s="6" t="str">
        <f aca="false">'Info.'!B1&amp;" "&amp;'Info.'!B4</f>
        <v>Elastic Launched Glider B</v>
      </c>
      <c r="C2" s="6"/>
      <c r="D2" s="6"/>
      <c r="E2" s="7" t="s">
        <v>0</v>
      </c>
      <c r="F2" s="7"/>
      <c r="G2" s="7"/>
      <c r="H2" s="7" t="s">
        <v>1</v>
      </c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9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3"/>
      <c r="BC2" s="14" t="s">
        <v>2</v>
      </c>
      <c r="BD2" s="14"/>
      <c r="BE2" s="15"/>
      <c r="BF2" s="15"/>
      <c r="BG2" s="15"/>
      <c r="BH2" s="15"/>
      <c r="BI2" s="15"/>
      <c r="BJ2" s="16"/>
      <c r="BK2" s="12"/>
      <c r="BL2" s="12"/>
      <c r="BM2" s="17" t="s">
        <v>3</v>
      </c>
      <c r="BN2" s="18" t="s">
        <v>4</v>
      </c>
      <c r="BO2" s="18" t="s">
        <v>5</v>
      </c>
      <c r="BP2" s="18" t="s">
        <v>6</v>
      </c>
      <c r="BQ2" s="18" t="s">
        <v>7</v>
      </c>
      <c r="BR2" s="18" t="s">
        <v>8</v>
      </c>
      <c r="BS2" s="18" t="s">
        <v>9</v>
      </c>
      <c r="BT2" s="19" t="s">
        <v>10</v>
      </c>
      <c r="BU2" s="20" t="s">
        <v>11</v>
      </c>
      <c r="BV2" s="20"/>
      <c r="BW2" s="20"/>
      <c r="BX2" s="20"/>
      <c r="BY2" s="20"/>
      <c r="BZ2" s="20"/>
      <c r="CA2" s="12"/>
    </row>
    <row r="3" customFormat="false" ht="20.25" hidden="false" customHeight="true" outlineLevel="0" collapsed="false">
      <c r="A3" s="5"/>
      <c r="B3" s="6"/>
      <c r="C3" s="6"/>
      <c r="D3" s="6"/>
      <c r="E3" s="21" t="s">
        <v>12</v>
      </c>
      <c r="F3" s="22" t="s">
        <v>13</v>
      </c>
      <c r="G3" s="23" t="s">
        <v>14</v>
      </c>
      <c r="H3" s="24" t="s">
        <v>15</v>
      </c>
      <c r="I3" s="22" t="s">
        <v>16</v>
      </c>
      <c r="J3" s="22"/>
      <c r="K3" s="21" t="s">
        <v>17</v>
      </c>
      <c r="L3" s="21"/>
      <c r="M3" s="21" t="s">
        <v>18</v>
      </c>
      <c r="N3" s="21"/>
      <c r="O3" s="21" t="s">
        <v>19</v>
      </c>
      <c r="P3" s="21"/>
      <c r="Q3" s="21" t="s">
        <v>20</v>
      </c>
      <c r="R3" s="21"/>
      <c r="S3" s="25" t="s">
        <v>21</v>
      </c>
      <c r="T3" s="9"/>
      <c r="U3" s="24" t="str">
        <f aca="false">E4</f>
        <v>1. Met All Const Params (T/F)</v>
      </c>
      <c r="V3" s="24" t="str">
        <f aca="false">F4</f>
        <v>2. Met All Const Params (T/F)</v>
      </c>
      <c r="W3" s="24" t="str">
        <f aca="false">G3</f>
        <v>3. Flight Log (Complete / Partial / Not present)</v>
      </c>
      <c r="X3" s="24" t="str">
        <f aca="false">H3</f>
        <v>4. Met All Comp Params (T/F)</v>
      </c>
      <c r="Y3" s="24" t="str">
        <f aca="false">I4</f>
        <v>5. Glider (A/B)</v>
      </c>
      <c r="Z3" s="24" t="str">
        <f aca="false">J4</f>
        <v>6. Median Flight Time (s)</v>
      </c>
      <c r="AA3" s="24" t="str">
        <f aca="false">K4</f>
        <v>7. Glider (A/B)</v>
      </c>
      <c r="AB3" s="24" t="str">
        <f aca="false">L4</f>
        <v>8. Median Flight Time (s)</v>
      </c>
      <c r="AC3" s="24" t="str">
        <f aca="false">M4</f>
        <v>9. Glider (A/B)</v>
      </c>
      <c r="AD3" s="26" t="str">
        <f aca="false">N4</f>
        <v>10. Median Flight Time (s)</v>
      </c>
      <c r="AE3" s="26" t="str">
        <f aca="false">O4</f>
        <v>11. Glider (A/B)</v>
      </c>
      <c r="AF3" s="24" t="str">
        <f aca="false">P4</f>
        <v>12. Median Flight Time (s)</v>
      </c>
      <c r="AG3" s="24" t="str">
        <f aca="false">Q4</f>
        <v>13. Glider (A/B)</v>
      </c>
      <c r="AH3" s="24" t="str">
        <f aca="false">R4</f>
        <v>14. Median Flight Time (s)</v>
      </c>
      <c r="AI3" s="24" t="str">
        <f aca="false">S3</f>
        <v>15. Disqualify (T/F)</v>
      </c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3"/>
      <c r="BC3" s="27" t="s">
        <v>22</v>
      </c>
      <c r="BD3" s="28" t="s">
        <v>23</v>
      </c>
      <c r="BE3" s="29" t="s">
        <v>24</v>
      </c>
      <c r="BF3" s="30" t="s">
        <v>25</v>
      </c>
      <c r="BG3" s="31" t="s">
        <v>26</v>
      </c>
      <c r="BH3" s="30" t="s">
        <v>27</v>
      </c>
      <c r="BI3" s="32" t="s">
        <v>28</v>
      </c>
      <c r="BJ3" s="33"/>
      <c r="BK3" s="12"/>
      <c r="BL3" s="12"/>
      <c r="BM3" s="17"/>
      <c r="BN3" s="18"/>
      <c r="BO3" s="18"/>
      <c r="BP3" s="18"/>
      <c r="BQ3" s="18"/>
      <c r="BR3" s="18"/>
      <c r="BS3" s="18"/>
      <c r="BT3" s="19"/>
      <c r="BU3" s="34" t="s">
        <v>27</v>
      </c>
      <c r="BV3" s="35" t="s">
        <v>29</v>
      </c>
      <c r="BW3" s="35" t="s">
        <v>30</v>
      </c>
      <c r="BX3" s="35" t="s">
        <v>31</v>
      </c>
      <c r="BY3" s="35" t="s">
        <v>25</v>
      </c>
      <c r="BZ3" s="36" t="s">
        <v>24</v>
      </c>
      <c r="CA3" s="12"/>
    </row>
    <row r="4" customFormat="false" ht="18.65" hidden="false" customHeight="true" outlineLevel="0" collapsed="false">
      <c r="A4" s="5"/>
      <c r="B4" s="37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37"/>
      <c r="D4" s="37"/>
      <c r="E4" s="25" t="s">
        <v>32</v>
      </c>
      <c r="F4" s="38" t="s">
        <v>33</v>
      </c>
      <c r="G4" s="23"/>
      <c r="H4" s="24"/>
      <c r="I4" s="39" t="s">
        <v>34</v>
      </c>
      <c r="J4" s="23" t="s">
        <v>35</v>
      </c>
      <c r="K4" s="24" t="s">
        <v>36</v>
      </c>
      <c r="L4" s="23" t="s">
        <v>37</v>
      </c>
      <c r="M4" s="24" t="s">
        <v>38</v>
      </c>
      <c r="N4" s="23" t="s">
        <v>39</v>
      </c>
      <c r="O4" s="24" t="s">
        <v>40</v>
      </c>
      <c r="P4" s="23" t="s">
        <v>41</v>
      </c>
      <c r="Q4" s="24" t="s">
        <v>42</v>
      </c>
      <c r="R4" s="23" t="s">
        <v>43</v>
      </c>
      <c r="S4" s="25"/>
      <c r="T4" s="9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3"/>
      <c r="BC4" s="27"/>
      <c r="BD4" s="28"/>
      <c r="BE4" s="29"/>
      <c r="BF4" s="30"/>
      <c r="BG4" s="30"/>
      <c r="BH4" s="30"/>
      <c r="BI4" s="32"/>
      <c r="BJ4" s="33"/>
      <c r="BK4" s="12"/>
      <c r="BL4" s="12"/>
      <c r="BM4" s="17"/>
      <c r="BN4" s="18"/>
      <c r="BO4" s="18"/>
      <c r="BP4" s="18"/>
      <c r="BQ4" s="18"/>
      <c r="BR4" s="18"/>
      <c r="BS4" s="18"/>
      <c r="BT4" s="19"/>
      <c r="BU4" s="34"/>
      <c r="BV4" s="35"/>
      <c r="BW4" s="35"/>
      <c r="BX4" s="35"/>
      <c r="BY4" s="35"/>
      <c r="BZ4" s="36"/>
      <c r="CA4" s="12"/>
    </row>
    <row r="5" customFormat="false" ht="118.5" hidden="true" customHeight="true" outlineLevel="0" collapsed="false">
      <c r="A5" s="5"/>
      <c r="B5" s="40"/>
      <c r="C5" s="40"/>
      <c r="D5" s="40"/>
      <c r="E5" s="25"/>
      <c r="F5" s="38"/>
      <c r="G5" s="23"/>
      <c r="H5" s="24"/>
      <c r="I5" s="39"/>
      <c r="J5" s="23"/>
      <c r="K5" s="24"/>
      <c r="L5" s="23"/>
      <c r="M5" s="24"/>
      <c r="N5" s="23"/>
      <c r="O5" s="24"/>
      <c r="P5" s="23"/>
      <c r="Q5" s="24"/>
      <c r="R5" s="23"/>
      <c r="S5" s="25"/>
      <c r="T5" s="9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3"/>
      <c r="BC5" s="27"/>
      <c r="BD5" s="28"/>
      <c r="BE5" s="29"/>
      <c r="BF5" s="30"/>
      <c r="BG5" s="30"/>
      <c r="BH5" s="30"/>
      <c r="BI5" s="32"/>
      <c r="BJ5" s="33"/>
      <c r="BK5" s="12"/>
      <c r="BL5" s="12"/>
      <c r="BM5" s="17"/>
      <c r="BN5" s="18"/>
      <c r="BO5" s="18"/>
      <c r="BP5" s="18"/>
      <c r="BQ5" s="18"/>
      <c r="BR5" s="18"/>
      <c r="BS5" s="18"/>
      <c r="BT5" s="19"/>
      <c r="BU5" s="34"/>
      <c r="BV5" s="35"/>
      <c r="BW5" s="35"/>
      <c r="BX5" s="35"/>
      <c r="BY5" s="35"/>
      <c r="BZ5" s="36"/>
      <c r="CA5" s="12"/>
    </row>
    <row r="6" customFormat="false" ht="89.25" hidden="false" customHeight="true" outlineLevel="0" collapsed="false">
      <c r="A6" s="5"/>
      <c r="B6" s="41" t="str">
        <f aca="false">"Last Updated: "&amp;TEXT('Info.'!B2, "mm/dd/yyyy")&amp;" (v"&amp;'Info.'!B3&amp;")
Direct all questions to scoresheets@soinc.org."</f>
        <v>Last Updated: 10/01/2026 (v0.1.0)
Direct all questions to scoresheets@soinc.org.</v>
      </c>
      <c r="C6" s="41"/>
      <c r="D6" s="41"/>
      <c r="E6" s="25"/>
      <c r="F6" s="38"/>
      <c r="G6" s="23"/>
      <c r="H6" s="24"/>
      <c r="I6" s="39"/>
      <c r="J6" s="23"/>
      <c r="K6" s="24"/>
      <c r="L6" s="23"/>
      <c r="M6" s="24"/>
      <c r="N6" s="23"/>
      <c r="O6" s="24"/>
      <c r="P6" s="23"/>
      <c r="Q6" s="24"/>
      <c r="R6" s="23"/>
      <c r="S6" s="25"/>
      <c r="T6" s="9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42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12"/>
      <c r="BB6" s="13"/>
      <c r="BC6" s="27"/>
      <c r="BD6" s="28"/>
      <c r="BE6" s="29"/>
      <c r="BF6" s="30"/>
      <c r="BG6" s="30"/>
      <c r="BH6" s="30"/>
      <c r="BI6" s="32"/>
      <c r="BJ6" s="33"/>
      <c r="BK6" s="12"/>
      <c r="BL6" s="12"/>
      <c r="BM6" s="17"/>
      <c r="BN6" s="18"/>
      <c r="BO6" s="18"/>
      <c r="BP6" s="18"/>
      <c r="BQ6" s="18"/>
      <c r="BR6" s="18"/>
      <c r="BS6" s="18"/>
      <c r="BT6" s="19"/>
      <c r="BU6" s="34"/>
      <c r="BV6" s="35"/>
      <c r="BW6" s="35"/>
      <c r="BX6" s="35"/>
      <c r="BY6" s="35"/>
      <c r="BZ6" s="36"/>
      <c r="CA6" s="12"/>
    </row>
    <row r="7" customFormat="false" ht="15.75" hidden="false" customHeight="false" outlineLevel="0" collapsed="false">
      <c r="A7" s="5"/>
      <c r="B7" s="44" t="s">
        <v>29</v>
      </c>
      <c r="C7" s="45" t="s">
        <v>30</v>
      </c>
      <c r="D7" s="46" t="s">
        <v>31</v>
      </c>
      <c r="E7" s="25"/>
      <c r="F7" s="38"/>
      <c r="G7" s="23"/>
      <c r="H7" s="24"/>
      <c r="I7" s="39"/>
      <c r="J7" s="23"/>
      <c r="K7" s="24"/>
      <c r="L7" s="23"/>
      <c r="M7" s="24"/>
      <c r="N7" s="23"/>
      <c r="O7" s="24"/>
      <c r="P7" s="23"/>
      <c r="Q7" s="24"/>
      <c r="R7" s="23"/>
      <c r="S7" s="25"/>
      <c r="T7" s="47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43" t="s">
        <v>44</v>
      </c>
      <c r="AK7" s="43" t="s">
        <v>25</v>
      </c>
      <c r="AL7" s="43" t="s">
        <v>45</v>
      </c>
      <c r="AM7" s="43" t="s">
        <v>46</v>
      </c>
      <c r="AN7" s="43" t="s">
        <v>47</v>
      </c>
      <c r="AO7" s="43" t="s">
        <v>48</v>
      </c>
      <c r="AP7" s="43" t="s">
        <v>49</v>
      </c>
      <c r="AQ7" s="43" t="s">
        <v>50</v>
      </c>
      <c r="AR7" s="43" t="s">
        <v>51</v>
      </c>
      <c r="AS7" s="43" t="s">
        <v>52</v>
      </c>
      <c r="AT7" s="43" t="s">
        <v>53</v>
      </c>
      <c r="AU7" s="43" t="s">
        <v>24</v>
      </c>
      <c r="AV7" s="43" t="s">
        <v>54</v>
      </c>
      <c r="AW7" s="43" t="s">
        <v>27</v>
      </c>
      <c r="AX7" s="43" t="s">
        <v>55</v>
      </c>
      <c r="AY7" s="43" t="s">
        <v>56</v>
      </c>
      <c r="AZ7" s="43" t="s">
        <v>57</v>
      </c>
      <c r="BA7" s="43" t="s">
        <v>58</v>
      </c>
      <c r="BB7" s="48"/>
      <c r="BC7" s="27"/>
      <c r="BD7" s="28"/>
      <c r="BE7" s="29"/>
      <c r="BF7" s="30"/>
      <c r="BG7" s="30"/>
      <c r="BH7" s="30"/>
      <c r="BI7" s="32"/>
      <c r="BJ7" s="33"/>
      <c r="BK7" s="12" t="n">
        <f aca="false">SUM(BK8:BK507)</f>
        <v>0</v>
      </c>
      <c r="BL7" s="12"/>
      <c r="BM7" s="17"/>
      <c r="BN7" s="18"/>
      <c r="BO7" s="18"/>
      <c r="BP7" s="18"/>
      <c r="BQ7" s="18"/>
      <c r="BR7" s="18"/>
      <c r="BS7" s="18"/>
      <c r="BT7" s="19"/>
      <c r="BU7" s="34"/>
      <c r="BV7" s="35"/>
      <c r="BW7" s="35"/>
      <c r="BX7" s="35"/>
      <c r="BY7" s="35"/>
      <c r="BZ7" s="36"/>
      <c r="CA7" s="12"/>
    </row>
    <row r="8" customFormat="false" ht="15.75" hidden="false" customHeight="false" outlineLevel="0" collapsed="false">
      <c r="A8" s="5"/>
      <c r="B8" s="49"/>
      <c r="C8" s="50"/>
      <c r="D8" s="51"/>
      <c r="E8" s="52"/>
      <c r="F8" s="53"/>
      <c r="G8" s="54"/>
      <c r="H8" s="55"/>
      <c r="I8" s="56"/>
      <c r="J8" s="54"/>
      <c r="K8" s="55"/>
      <c r="L8" s="54"/>
      <c r="M8" s="55"/>
      <c r="N8" s="54"/>
      <c r="O8" s="55"/>
      <c r="P8" s="54"/>
      <c r="Q8" s="55"/>
      <c r="R8" s="54"/>
      <c r="S8" s="57"/>
      <c r="T8" s="58"/>
      <c r="U8" s="59" t="str">
        <f aca="false">IF(ISBLANK($C8),"",IF(E8=Constants!$B$2, TRUE(), IF(E8=Constants!$B$3, FALSE(), TRUE())))</f>
        <v/>
      </c>
      <c r="V8" s="59" t="str">
        <f aca="false">IF(ISBLANK($C8),"",IF(F8=Constants!$B$2, TRUE(), IF(F8=Constants!$B$3, FALSE(), TRUE())))</f>
        <v/>
      </c>
      <c r="W8" s="59" t="str">
        <f aca="false">IF(ISBLANK($C8),"",IF(G8=Constants!$B$15,Constants!$B$8,IF(G8=Constants!$B$16,Constants!$B$9,Constants!$B$10)))</f>
        <v/>
      </c>
      <c r="X8" s="59" t="str">
        <f aca="false">IF(ISBLANK($C8),"",IF(H8=Constants!$B$2, TRUE(), IF(H8=Constants!$B$3, FALSE(), TRUE())))</f>
        <v/>
      </c>
      <c r="Y8" s="59" t="str">
        <f aca="false">IF(ISBLANK($C8),"",IF(I8=Constants!$B$19,Constants!$B$19,Constants!$B$18))</f>
        <v/>
      </c>
      <c r="Z8" s="60" t="str">
        <f aca="false">IF(ISBLANK($C8),"",IF(ISNUMBER(J8),IF(J8&gt;=0,J8,""),""))</f>
        <v/>
      </c>
      <c r="AA8" s="59" t="str">
        <f aca="false">IF(ISBLANK($C8),"",IF(K8=Constants!$B$19,Constants!$B$19,Constants!$B$18))</f>
        <v/>
      </c>
      <c r="AB8" s="60" t="str">
        <f aca="false">IF(ISBLANK($C8),"",IF(ISNUMBER(L8),IF(L8&gt;=0,L8,""),""))</f>
        <v/>
      </c>
      <c r="AC8" s="59" t="str">
        <f aca="false">IF(ISBLANK($C8),"",IF(M8=Constants!$B$19,Constants!$B$19,Constants!$B$18))</f>
        <v/>
      </c>
      <c r="AD8" s="60" t="str">
        <f aca="false">IF(ISBLANK($C8),"",IF(ISNUMBER(N8),IF(N8&gt;=0,N8,""),""))</f>
        <v/>
      </c>
      <c r="AE8" s="59" t="str">
        <f aca="false">IF(ISBLANK($C8),"",IF(O8=Constants!$B$19,Constants!$B$19,Constants!$B$18))</f>
        <v/>
      </c>
      <c r="AF8" s="60" t="str">
        <f aca="false">IF(ISBLANK($C8),"",IF(ISNUMBER(P8),IF(P8&gt;=0,P8,""),""))</f>
        <v/>
      </c>
      <c r="AG8" s="59" t="str">
        <f aca="false">IF(ISBLANK($C8),"",IF(Q8=Constants!$B$19,Constants!$B$19,Constants!$B$18))</f>
        <v/>
      </c>
      <c r="AH8" s="60" t="str">
        <f aca="false">IF(ISBLANK($C8),"",IF(ISNUMBER(R8),IF(R8&gt;=0,R8,""),""))</f>
        <v/>
      </c>
      <c r="AI8" s="59" t="str">
        <f aca="false">IF(ISBLANK($C8),"",IF(S8=Constants!$B$2, TRUE(), IF(S8=Constants!$B$3, FALSE(), FALSE())))</f>
        <v/>
      </c>
      <c r="AJ8" s="59" t="str">
        <f aca="false">IF(ISBLANK($C8),"",IF(AI8,Constants!$B$4,IF(COUNTA(E8:R8)=0,Constants!$B$5,IF(COUNTA(J8,L8,N8,P8,R8)=0,Constants!$B$6,Constants!$B$7))))</f>
        <v/>
      </c>
      <c r="AK8" s="59" t="str">
        <f aca="false">IF(ISBLANK($C8),"",IF($AJ8&lt;&gt;Constants!$B$7,$AJ8,IF(OR(NOT(X8),AND(NOT(U8),COUNTIFS(Y8:AG8,Constants!$B$18,Z8:AH8,"&gt;=0")&gt;0),AND(NOT(V8),COUNTIFS(Y8:AG8,Constants!$B$19,Z8:AH8,"&gt;=0")&gt;0)),Constants!$B$12,Constants!$B$11)))</f>
        <v/>
      </c>
      <c r="AL8" s="60" t="str">
        <f aca="false">IF($AJ8=Constants!$B$7,IF(Z8="",Constants!$B$13,Z8),"")</f>
        <v/>
      </c>
      <c r="AM8" s="60" t="str">
        <f aca="false">IF($AJ8=Constants!$B$7,IF(AB8="",Constants!$B$13,AB8),"")</f>
        <v/>
      </c>
      <c r="AN8" s="60" t="str">
        <f aca="false">IF($AJ8=Constants!$B$7,IF(AD8="",Constants!$B$13,AD8),"")</f>
        <v/>
      </c>
      <c r="AO8" s="60" t="str">
        <f aca="false">IF($AJ8=Constants!$B$7,IF(AF8="",Constants!$B$13,AF8),"")</f>
        <v/>
      </c>
      <c r="AP8" s="60" t="str">
        <f aca="false">IF($AJ8=Constants!$B$7,IF(AH8="",Constants!$B$13,AH8),"")</f>
        <v/>
      </c>
      <c r="AQ8" s="59" t="str">
        <f aca="false">IF($AJ8=Constants!$B$7,IF(SUMPRODUCT(--($AL8:$AP8&gt;AL8))+SUMPRODUCT(--($AL8:AL8=AL8))=1,1,IF(SUMPRODUCT(--($AL8:$AP8&gt;AM8))+SUMPRODUCT(--($AL8:AM8=AM8))=1,2,IF(SUMPRODUCT(--($AL8:$AP8&gt;AN8))+SUMPRODUCT(--($AL8:AN8=AN8))=1,3,IF(SUMPRODUCT(--($AL8:$AP8&gt;AO8))+SUMPRODUCT(--($AL8:AO8=AO8))=1,4,5)))),"")</f>
        <v/>
      </c>
      <c r="AR8" s="59" t="str">
        <f aca="false">IF($AJ8=Constants!$B$7,IF(SUMPRODUCT(--($AL8:$AP8&gt;AL8))+SUMPRODUCT(--($AL8:AL8=AL8))=2,1,IF(SUMPRODUCT(--($AL8:$AP8&gt;AM8))+SUMPRODUCT(--($AL8:AM8=AM8))=2,2,IF(SUMPRODUCT(--($AL8:$AP8&gt;AN8))+SUMPRODUCT(--($AL8:AN8=AN8))=2,3,IF(SUMPRODUCT(--($AL8:$AP8&gt;AO8))+SUMPRODUCT(--($AL8:AO8=AO8))=2,4,5)))),"")</f>
        <v/>
      </c>
      <c r="AS8" s="59" t="str">
        <f aca="false">IF($AJ8=Constants!$B$7,IF(SUMPRODUCT(--($AL8:$AP8&gt;AL8))+SUMPRODUCT(--($AL8:AL8=AL8))=3,1,IF(SUMPRODUCT(--($AL8:$AP8&gt;AM8))+SUMPRODUCT(--($AL8:AM8=AM8))=3,2,IF(SUMPRODUCT(--($AL8:$AP8&gt;AN8))+SUMPRODUCT(--($AL8:AN8=AN8))=3,3,IF(SUMPRODUCT(--($AL8:$AP8&gt;AO8))+SUMPRODUCT(--($AL8:AO8=AO8))=3,4,5)))),"")</f>
        <v/>
      </c>
      <c r="AT8" s="59" t="str">
        <f aca="false">IF($AJ8=Constants!$B$7,LARGE(AL8:AP8,1)+LARGE(AL8:AP8,2)+LARGE(AL8:AP8,3),"")</f>
        <v/>
      </c>
      <c r="AU8" s="59" t="str">
        <f aca="false">IF(ISBLANK($C8),"",IF($AJ8&lt;&gt;Constants!$B$7,$AJ8,AT8*W8))</f>
        <v/>
      </c>
      <c r="AV8" s="59" t="str">
        <f aca="false">IF(ISBLANK($C8),"",IF($AJ8=Constants!$B$7,IF(ISNUMBER(AU8),RANK(AU8,$AU$8:$AU$507),Constants!$B$14),$AJ8))</f>
        <v/>
      </c>
      <c r="AW8" s="59" t="str">
        <f aca="false">IF(ISBLANK($C8),"",IF($AJ8=Constants!$B$7,IF(ISNUMBER(AV8),COUNTIFS($AK$8:$AK$507,"&lt;"&amp;$AK8)+COUNTIFS($AK$8:$AK$507,$AK8,$AV$8:$AV$507,"&lt;"&amp;$AV8)+1,Constants!$B$14),$AJ8))</f>
        <v/>
      </c>
      <c r="AX8" s="59" t="str">
        <f aca="false">IF(ISBLANK($C8),"",IF($AJ8=Constants!$B$7,LARGE(AL8:AP8,4)*W8,""))</f>
        <v/>
      </c>
      <c r="AY8" s="59" t="str">
        <f aca="false">IF(ISBLANK($C8),"",IF($AJ8=Constants!$B$7,RANK(AX8,$AX$8:$AX$507),$AJ8))</f>
        <v/>
      </c>
      <c r="AZ8" s="59" t="str">
        <f aca="false">IF(ISBLANK($C8),"",IF($AJ8=Constants!$B$7,IF(ISNUMBER(AV8),COUNTIFS($AK$8:$AK$507,"&lt;"&amp;$AK8)+COUNTIFS($AK$8:$AK$507,$AK8,$AV$8:$AV$507,"&lt;"&amp;$AV8)+COUNTIFS($AK$8:$AK$507,$AK8,$AV$8:$AV$507,$AV8,$AY$8:$AY$507,"&lt;"&amp;$AY8)+1,Constants!$B$14),$AJ8))</f>
        <v/>
      </c>
      <c r="BA8" s="59" t="str">
        <f aca="false">IF(ISBLANK($C8),"",IF($AJ8=Constants!$B$7,IF(ISNUMBER(AW8),AW8-AZ8,Constants!$B$14),$AJ8))</f>
        <v/>
      </c>
      <c r="BB8" s="61"/>
      <c r="BC8" s="62" t="str">
        <f aca="false">IF(ISBLANK($C8),"",IF($AJ8&lt;&gt;Constants!$B$7,$AJ8,SMALL(AQ8:AS8,1)&amp;", "&amp;SMALL(AQ8:AS8,2)&amp;", "&amp;SMALL(AQ8:AS8,3)))</f>
        <v/>
      </c>
      <c r="BD8" s="63" t="str">
        <f aca="false">IF(ISBLANK($C8),"",IF($AJ8&lt;&gt;Constants!$B$7,$AJ8,W8))</f>
        <v/>
      </c>
      <c r="BE8" s="64" t="str">
        <f aca="false">IF(ISBLANK($C8),"",IF($AJ8&lt;&gt;Constants!$B$7,$AJ8,AU8))</f>
        <v/>
      </c>
      <c r="BF8" s="65" t="str">
        <f aca="false">IF(ISBLANK($C8),"",IF($AJ8&lt;&gt;Constants!$B$7,$AJ8,AK8))</f>
        <v/>
      </c>
      <c r="BG8" s="63" t="str">
        <f aca="false">IF(ISBLANK($C8),"",BA8)</f>
        <v/>
      </c>
      <c r="BH8" s="63" t="str">
        <f aca="false">IF(ISBLANK($C8),"",AZ8)</f>
        <v/>
      </c>
      <c r="BI8" s="66" t="str">
        <f aca="false">IF(ISBLANK($C8),"",IF(BH8=Constants!$B$4,COUNTA($C$8:$C$507)+2,IF(BH8=Constants!$B$5,COUNTA($C$8:$C$507)+1,IF(BH8=Constants!$B$6,COUNTA($C$8:$C$507),BH8))))</f>
        <v/>
      </c>
      <c r="BJ8" s="5"/>
      <c r="BK8" s="67" t="n">
        <f aca="false">IF(OR(ISNUMBER(BH8),BH8=Constants!$B$4,BH8=Constants!$B$6,BH8=Constants!$B$5),1,0)</f>
        <v>0</v>
      </c>
      <c r="BL8" s="67" t="n">
        <v>1</v>
      </c>
      <c r="BM8" s="67" t="str">
        <f aca="false">IF(ISBLANK($C8),"",IF(ISNUMBER(BI8),BI8+ROW($B8)/1000,""))</f>
        <v/>
      </c>
      <c r="BN8" s="67" t="str">
        <f aca="false">IF(ISNUMBER(BM8),RANK(BM8,$BM$8:$BM$507,1),"")</f>
        <v/>
      </c>
      <c r="BO8" s="67" t="str">
        <f aca="false">IF(ISBLANK($C8),"",$B8)</f>
        <v/>
      </c>
      <c r="BP8" s="67" t="str">
        <f aca="false">IF(ISBLANK($C8),"",$C8)</f>
        <v/>
      </c>
      <c r="BQ8" s="67" t="str">
        <f aca="false">IF(ISBLANK($C8),"",$D8)</f>
        <v/>
      </c>
      <c r="BR8" s="68" t="str">
        <f aca="false">BF8</f>
        <v/>
      </c>
      <c r="BS8" s="69" t="str">
        <f aca="false">BE8</f>
        <v/>
      </c>
      <c r="BT8" s="67" t="str">
        <f aca="false">IF(ISBLANK($C8),"",BH8)</f>
        <v/>
      </c>
      <c r="BU8" s="70" t="str">
        <f aca="false">IF($BL8&gt;$BK$7,"",VLOOKUP($BL8,$BN$8:$BT$507,7,FALSE()))</f>
        <v/>
      </c>
      <c r="BV8" s="71" t="str">
        <f aca="false">IF($BL8&gt;$BK$7,"",VLOOKUP($BL8,$BN$8:$BT$507,2,FALSE()))</f>
        <v/>
      </c>
      <c r="BW8" s="71" t="str">
        <f aca="false">IF($BL8&gt;$BK$7,"",VLOOKUP($BL8,$BN$8:$BT$507,3,FALSE()))</f>
        <v/>
      </c>
      <c r="BX8" s="71" t="str">
        <f aca="false">IF($BL8&gt;$BK$7,"",VLOOKUP($BL8,$BN$8:$BT$507,4,FALSE()))</f>
        <v/>
      </c>
      <c r="BY8" s="71" t="str">
        <f aca="false">IF($BL8&gt;$BK$7,"",VLOOKUP($BL8,$BN$8:$BT$507,5,FALSE()))</f>
        <v/>
      </c>
      <c r="BZ8" s="72" t="str">
        <f aca="false">IF($BL8&gt;$BK$7,"",VLOOKUP($BL8,$BN$8:$BT$507,6,FALSE()))</f>
        <v/>
      </c>
      <c r="CA8" s="48"/>
    </row>
    <row r="9" customFormat="false" ht="15.75" hidden="false" customHeight="false" outlineLevel="0" collapsed="false">
      <c r="A9" s="5"/>
      <c r="B9" s="73"/>
      <c r="C9" s="50"/>
      <c r="D9" s="51"/>
      <c r="E9" s="52"/>
      <c r="F9" s="53"/>
      <c r="G9" s="54"/>
      <c r="H9" s="55"/>
      <c r="I9" s="56"/>
      <c r="J9" s="54"/>
      <c r="K9" s="55"/>
      <c r="L9" s="54"/>
      <c r="M9" s="55"/>
      <c r="N9" s="54"/>
      <c r="O9" s="55"/>
      <c r="P9" s="54"/>
      <c r="Q9" s="55"/>
      <c r="R9" s="54"/>
      <c r="S9" s="74"/>
      <c r="T9" s="58"/>
      <c r="U9" s="59" t="str">
        <f aca="false">IF(ISBLANK($C9),"",IF(E9=Constants!$B$2, TRUE(), IF(E9=Constants!$B$3, FALSE(), TRUE())))</f>
        <v/>
      </c>
      <c r="V9" s="59" t="str">
        <f aca="false">IF(ISBLANK($C9),"",IF(F9=Constants!$B$2, TRUE(), IF(F9=Constants!$B$3, FALSE(), TRUE())))</f>
        <v/>
      </c>
      <c r="W9" s="59" t="str">
        <f aca="false">IF(ISBLANK($C9),"",IF(G9=Constants!$B$15,Constants!$B$8,IF(G9=Constants!$B$16,Constants!$B$9,Constants!$B$10)))</f>
        <v/>
      </c>
      <c r="X9" s="59" t="str">
        <f aca="false">IF(ISBLANK($C9),"",IF(H9=Constants!$B$2, TRUE(), IF(H9=Constants!$B$3, FALSE(), TRUE())))</f>
        <v/>
      </c>
      <c r="Y9" s="59" t="str">
        <f aca="false">IF(ISBLANK($C9),"",IF(I9=Constants!$B$19,Constants!$B$19,Constants!$B$18))</f>
        <v/>
      </c>
      <c r="Z9" s="59" t="str">
        <f aca="false">IF(ISBLANK($C9),"",IF(ISNUMBER(J9),IF(J9&gt;=0,J9,""),""))</f>
        <v/>
      </c>
      <c r="AA9" s="59" t="str">
        <f aca="false">IF(ISBLANK($C9),"",IF(K9=Constants!$B$19,Constants!$B$19,Constants!$B$18))</f>
        <v/>
      </c>
      <c r="AB9" s="59" t="str">
        <f aca="false">IF(ISBLANK($C9),"",IF(ISNUMBER(L9),IF(L9&gt;=0,L9,""),""))</f>
        <v/>
      </c>
      <c r="AC9" s="59" t="str">
        <f aca="false">IF(ISBLANK($C9),"",IF(M9=Constants!$B$19,Constants!$B$19,Constants!$B$18))</f>
        <v/>
      </c>
      <c r="AD9" s="59" t="str">
        <f aca="false">IF(ISBLANK($C9),"",IF(ISNUMBER(N9),IF(N9&gt;=0,N9,""),""))</f>
        <v/>
      </c>
      <c r="AE9" s="59" t="str">
        <f aca="false">IF(ISBLANK($C9),"",IF(O9=Constants!$B$19,Constants!$B$19,Constants!$B$18))</f>
        <v/>
      </c>
      <c r="AF9" s="59" t="str">
        <f aca="false">IF(ISBLANK($C9),"",IF(ISNUMBER(P9),IF(P9&gt;=0,P9,""),""))</f>
        <v/>
      </c>
      <c r="AG9" s="59" t="str">
        <f aca="false">IF(ISBLANK($C9),"",IF(Q9=Constants!$B$19,Constants!$B$19,Constants!$B$18))</f>
        <v/>
      </c>
      <c r="AH9" s="59" t="str">
        <f aca="false">IF(ISBLANK($C9),"",IF(ISNUMBER(R9),IF(R9&gt;=0,R9,""),""))</f>
        <v/>
      </c>
      <c r="AI9" s="59" t="str">
        <f aca="false">IF(ISBLANK($C9),"",IF(S9=Constants!$B$2, TRUE(), IF(S9=Constants!$B$3, FALSE(), FALSE())))</f>
        <v/>
      </c>
      <c r="AJ9" s="59" t="str">
        <f aca="false">IF(ISBLANK($C9),"",IF(AI9,Constants!$B$4,IF(COUNTA(E9:R9)=0,Constants!$B$5,IF(COUNTA(J9,L9,N9,P9,R9)=0,Constants!$B$6,Constants!$B$7))))</f>
        <v/>
      </c>
      <c r="AK9" s="59" t="str">
        <f aca="false">IF(ISBLANK($C9),"",IF($AJ9&lt;&gt;Constants!$B$7,$AJ9,IF(OR(NOT(X9),AND(NOT(U9),COUNTIFS(Y9:AG9,Constants!$B$18,Z9:AH9,"&gt;=0")&gt;0),AND(NOT(V9),COUNTIFS(Y9:AG9,Constants!$B$19,Z9:AH9,"&gt;=0")&gt;0)),Constants!$B$12,Constants!$B$11)))</f>
        <v/>
      </c>
      <c r="AL9" s="59" t="str">
        <f aca="false">IF($AJ9=Constants!$B$7,IF(Z9="",Constants!$B$13,Z9),"")</f>
        <v/>
      </c>
      <c r="AM9" s="59" t="str">
        <f aca="false">IF($AJ9=Constants!$B$7,IF(AB9="",Constants!$B$13,AB9),"")</f>
        <v/>
      </c>
      <c r="AN9" s="59" t="str">
        <f aca="false">IF($AJ9=Constants!$B$7,IF(AD9="",Constants!$B$13,AD9),"")</f>
        <v/>
      </c>
      <c r="AO9" s="59" t="str">
        <f aca="false">IF($AJ9=Constants!$B$7,IF(AF9="",Constants!$B$13,AF9),"")</f>
        <v/>
      </c>
      <c r="AP9" s="59" t="str">
        <f aca="false">IF($AJ9=Constants!$B$7,IF(AH9="",Constants!$B$13,AH9),"")</f>
        <v/>
      </c>
      <c r="AQ9" s="59" t="str">
        <f aca="false">IF($AJ9=Constants!$B$7,IF(SUMPRODUCT(--($AL9:$AP9&gt;AL9))+SUMPRODUCT(--($AL9:AL9=AL9))=1,1,IF(SUMPRODUCT(--($AL9:$AP9&gt;AM9))+SUMPRODUCT(--($AL9:AM9=AM9))=1,2,IF(SUMPRODUCT(--($AL9:$AP9&gt;AN9))+SUMPRODUCT(--($AL9:AN9=AN9))=1,3,IF(SUMPRODUCT(--($AL9:$AP9&gt;AO9))+SUMPRODUCT(--($AL9:AO9=AO9))=1,4,5)))),"")</f>
        <v/>
      </c>
      <c r="AR9" s="59" t="str">
        <f aca="false">IF($AJ9=Constants!$B$7,IF(SUMPRODUCT(--($AL9:$AP9&gt;AL9))+SUMPRODUCT(--($AL9:AL9=AL9))=2,1,IF(SUMPRODUCT(--($AL9:$AP9&gt;AM9))+SUMPRODUCT(--($AL9:AM9=AM9))=2,2,IF(SUMPRODUCT(--($AL9:$AP9&gt;AN9))+SUMPRODUCT(--($AL9:AN9=AN9))=2,3,IF(SUMPRODUCT(--($AL9:$AP9&gt;AO9))+SUMPRODUCT(--($AL9:AO9=AO9))=2,4,5)))),"")</f>
        <v/>
      </c>
      <c r="AS9" s="59" t="str">
        <f aca="false">IF($AJ9=Constants!$B$7,IF(SUMPRODUCT(--($AL9:$AP9&gt;AL9))+SUMPRODUCT(--($AL9:AL9=AL9))=3,1,IF(SUMPRODUCT(--($AL9:$AP9&gt;AM9))+SUMPRODUCT(--($AL9:AM9=AM9))=3,2,IF(SUMPRODUCT(--($AL9:$AP9&gt;AN9))+SUMPRODUCT(--($AL9:AN9=AN9))=3,3,IF(SUMPRODUCT(--($AL9:$AP9&gt;AO9))+SUMPRODUCT(--($AL9:AO9=AO9))=3,4,5)))),"")</f>
        <v/>
      </c>
      <c r="AT9" s="59" t="str">
        <f aca="false">IF($AJ9=Constants!$B$7,LARGE(AL9:AP9,1)+LARGE(AL9:AP9,2)+LARGE(AL9:AP9,3),"")</f>
        <v/>
      </c>
      <c r="AU9" s="59" t="str">
        <f aca="false">IF(ISBLANK($C9),"",IF($AJ9&lt;&gt;Constants!$B$7,$AJ9,AT9*W9))</f>
        <v/>
      </c>
      <c r="AV9" s="59" t="str">
        <f aca="false">IF(ISBLANK($C9),"",IF($AJ9=Constants!$B$7,IF(ISNUMBER(AU9),RANK(AU9,$AU$8:$AU$507),Constants!$B$14),$AJ9))</f>
        <v/>
      </c>
      <c r="AW9" s="59" t="str">
        <f aca="false">IF(ISBLANK($C9),"",IF($AJ9=Constants!$B$7,IF(ISNUMBER(AV9),COUNTIFS($AK$8:$AK$507,"&lt;"&amp;$AK9)+COUNTIFS($AK$8:$AK$507,$AK9,$AV$8:$AV$507,"&lt;"&amp;$AV9)+1,Constants!$B$14),$AJ9))</f>
        <v/>
      </c>
      <c r="AX9" s="59" t="str">
        <f aca="false">IF(ISBLANK($C9),"",IF($AJ9=Constants!$B$7,LARGE(AL9:AP9,4)*W9,""))</f>
        <v/>
      </c>
      <c r="AY9" s="59" t="str">
        <f aca="false">IF(ISBLANK($C9),"",IF($AJ9=Constants!$B$7,RANK(AX9,$AX$8:$AX$507),$AJ9))</f>
        <v/>
      </c>
      <c r="AZ9" s="59" t="str">
        <f aca="false">IF(ISBLANK($C9),"",IF($AJ9=Constants!$B$7,IF(ISNUMBER(AV9),COUNTIFS($AK$8:$AK$507,"&lt;"&amp;$AK9)+COUNTIFS($AK$8:$AK$507,$AK9,$AV$8:$AV$507,"&lt;"&amp;$AV9)+COUNTIFS($AK$8:$AK$507,$AK9,$AV$8:$AV$507,$AV9,$AY$8:$AY$507,"&lt;"&amp;$AY9)+1,Constants!$B$14),$AJ9))</f>
        <v/>
      </c>
      <c r="BA9" s="59" t="str">
        <f aca="false">IF(ISBLANK($C9),"",IF($AJ9=Constants!$B$7,IF(ISNUMBER(AW9),AW9-AZ9,Constants!$B$14),$AJ9))</f>
        <v/>
      </c>
      <c r="BB9" s="61"/>
      <c r="BC9" s="62" t="str">
        <f aca="false">IF(ISBLANK($C9),"",IF($AJ9&lt;&gt;Constants!$B$7,$AJ9,SMALL(AQ9:AS9,1)&amp;", "&amp;SMALL(AQ9:AS9,2)&amp;", "&amp;SMALL(AQ9:AS9,3)))</f>
        <v/>
      </c>
      <c r="BD9" s="63" t="str">
        <f aca="false">IF(ISBLANK($C9),"",IF($AJ9&lt;&gt;Constants!$B$7,$AJ9,W9))</f>
        <v/>
      </c>
      <c r="BE9" s="64" t="str">
        <f aca="false">IF(ISBLANK($C9),"",IF($AJ9&lt;&gt;Constants!$B$7,$AJ9,AU9))</f>
        <v/>
      </c>
      <c r="BF9" s="65" t="str">
        <f aca="false">IF(ISBLANK($C9),"",IF($AJ9&lt;&gt;Constants!$B$7,$AJ9,AK9))</f>
        <v/>
      </c>
      <c r="BG9" s="63" t="str">
        <f aca="false">IF(ISBLANK($C9),"",BA9)</f>
        <v/>
      </c>
      <c r="BH9" s="63" t="str">
        <f aca="false">IF(ISBLANK($C9),"",AZ9)</f>
        <v/>
      </c>
      <c r="BI9" s="66" t="str">
        <f aca="false">IF(ISBLANK($C9),"",IF(BH9=Constants!$B$4,COUNTA($C$8:$C$507)+2,IF(BH9=Constants!$B$5,COUNTA($C$8:$C$507)+1,IF(BH9=Constants!$B$6,COUNTA($C$8:$C$507),BH9))))</f>
        <v/>
      </c>
      <c r="BJ9" s="5"/>
      <c r="BK9" s="67" t="n">
        <f aca="false">IF(OR(ISNUMBER(BH9),BH9=Constants!$B$4,BH9=Constants!$B$6,BH9=Constants!$B$5),1,0)</f>
        <v>0</v>
      </c>
      <c r="BL9" s="67" t="n">
        <v>2</v>
      </c>
      <c r="BM9" s="67" t="str">
        <f aca="false">IF(ISBLANK($C9),"",IF(ISNUMBER(BI9),BI9+ROW($B9)/1000,""))</f>
        <v/>
      </c>
      <c r="BN9" s="67" t="str">
        <f aca="false">IF(ISNUMBER(BM9),RANK(BM9,$BM$8:$BM$507,1),"")</f>
        <v/>
      </c>
      <c r="BO9" s="67" t="str">
        <f aca="false">IF(ISBLANK($C9),"",$B9)</f>
        <v/>
      </c>
      <c r="BP9" s="67" t="str">
        <f aca="false">IF(ISBLANK($C9),"",$C9)</f>
        <v/>
      </c>
      <c r="BQ9" s="67" t="str">
        <f aca="false">IF(ISBLANK($C9),"",$D9)</f>
        <v/>
      </c>
      <c r="BR9" s="68" t="str">
        <f aca="false">BF9</f>
        <v/>
      </c>
      <c r="BS9" s="69" t="str">
        <f aca="false">BE9</f>
        <v/>
      </c>
      <c r="BT9" s="67" t="str">
        <f aca="false">IF(ISBLANK($C9),"",BH9)</f>
        <v/>
      </c>
      <c r="BU9" s="70" t="str">
        <f aca="false">IF($BL9&gt;$BK$7,"",VLOOKUP($BL9,$BN$8:$BT$507,7,FALSE()))</f>
        <v/>
      </c>
      <c r="BV9" s="71" t="str">
        <f aca="false">IF($BL9&gt;$BK$7,"",VLOOKUP($BL9,$BN$8:$BT$507,2,FALSE()))</f>
        <v/>
      </c>
      <c r="BW9" s="71" t="str">
        <f aca="false">IF($BL9&gt;$BK$7,"",VLOOKUP($BL9,$BN$8:$BT$507,3,FALSE()))</f>
        <v/>
      </c>
      <c r="BX9" s="71" t="str">
        <f aca="false">IF($BL9&gt;$BK$7,"",VLOOKUP($BL9,$BN$8:$BT$507,4,FALSE()))</f>
        <v/>
      </c>
      <c r="BY9" s="71" t="str">
        <f aca="false">IF($BL9&gt;$BK$7,"",VLOOKUP($BL9,$BN$8:$BT$507,5,FALSE()))</f>
        <v/>
      </c>
      <c r="BZ9" s="72" t="str">
        <f aca="false">IF($BL9&gt;$BK$7,"",VLOOKUP($BL9,$BN$8:$BT$507,6,FALSE()))</f>
        <v/>
      </c>
      <c r="CA9" s="48"/>
    </row>
    <row r="10" customFormat="false" ht="15.75" hidden="false" customHeight="false" outlineLevel="0" collapsed="false">
      <c r="A10" s="5"/>
      <c r="B10" s="73"/>
      <c r="C10" s="75"/>
      <c r="D10" s="76"/>
      <c r="E10" s="52"/>
      <c r="F10" s="53"/>
      <c r="G10" s="54"/>
      <c r="H10" s="55"/>
      <c r="I10" s="56"/>
      <c r="J10" s="54"/>
      <c r="K10" s="55"/>
      <c r="L10" s="54"/>
      <c r="M10" s="55"/>
      <c r="N10" s="54"/>
      <c r="O10" s="55"/>
      <c r="P10" s="54"/>
      <c r="Q10" s="55"/>
      <c r="R10" s="54"/>
      <c r="S10" s="57"/>
      <c r="T10" s="58"/>
      <c r="U10" s="59" t="str">
        <f aca="false">IF(ISBLANK($C10),"",IF(E10=Constants!$B$2, TRUE(), IF(E10=Constants!$B$3, FALSE(), TRUE())))</f>
        <v/>
      </c>
      <c r="V10" s="59" t="str">
        <f aca="false">IF(ISBLANK($C10),"",IF(F10=Constants!$B$2, TRUE(), IF(F10=Constants!$B$3, FALSE(), TRUE())))</f>
        <v/>
      </c>
      <c r="W10" s="59" t="str">
        <f aca="false">IF(ISBLANK($C10),"",IF(G10=Constants!$B$15,Constants!$B$8,IF(G10=Constants!$B$16,Constants!$B$9,Constants!$B$10)))</f>
        <v/>
      </c>
      <c r="X10" s="59" t="str">
        <f aca="false">IF(ISBLANK($C10),"",IF(H10=Constants!$B$2, TRUE(), IF(H10=Constants!$B$3, FALSE(), TRUE())))</f>
        <v/>
      </c>
      <c r="Y10" s="59" t="str">
        <f aca="false">IF(ISBLANK($C10),"",IF(I10=Constants!$B$19,Constants!$B$19,Constants!$B$18))</f>
        <v/>
      </c>
      <c r="Z10" s="59" t="str">
        <f aca="false">IF(ISBLANK($C10),"",IF(ISNUMBER(J10),IF(J10&gt;=0,J10,""),""))</f>
        <v/>
      </c>
      <c r="AA10" s="59" t="str">
        <f aca="false">IF(ISBLANK($C10),"",IF(K10=Constants!$B$19,Constants!$B$19,Constants!$B$18))</f>
        <v/>
      </c>
      <c r="AB10" s="59" t="str">
        <f aca="false">IF(ISBLANK($C10),"",IF(ISNUMBER(L10),IF(L10&gt;=0,L10,""),""))</f>
        <v/>
      </c>
      <c r="AC10" s="59" t="str">
        <f aca="false">IF(ISBLANK($C10),"",IF(M10=Constants!$B$19,Constants!$B$19,Constants!$B$18))</f>
        <v/>
      </c>
      <c r="AD10" s="59" t="str">
        <f aca="false">IF(ISBLANK($C10),"",IF(ISNUMBER(N10),IF(N10&gt;=0,N10,""),""))</f>
        <v/>
      </c>
      <c r="AE10" s="59" t="str">
        <f aca="false">IF(ISBLANK($C10),"",IF(O10=Constants!$B$19,Constants!$B$19,Constants!$B$18))</f>
        <v/>
      </c>
      <c r="AF10" s="59" t="str">
        <f aca="false">IF(ISBLANK($C10),"",IF(ISNUMBER(P10),IF(P10&gt;=0,P10,""),""))</f>
        <v/>
      </c>
      <c r="AG10" s="59" t="str">
        <f aca="false">IF(ISBLANK($C10),"",IF(Q10=Constants!$B$19,Constants!$B$19,Constants!$B$18))</f>
        <v/>
      </c>
      <c r="AH10" s="59" t="str">
        <f aca="false">IF(ISBLANK($C10),"",IF(ISNUMBER(R10),IF(R10&gt;=0,R10,""),""))</f>
        <v/>
      </c>
      <c r="AI10" s="59" t="str">
        <f aca="false">IF(ISBLANK($C10),"",IF(S10=Constants!$B$2, TRUE(), IF(S10=Constants!$B$3, FALSE(), FALSE())))</f>
        <v/>
      </c>
      <c r="AJ10" s="59" t="str">
        <f aca="false">IF(ISBLANK($C10),"",IF(AI10,Constants!$B$4,IF(COUNTA(E10:R10)=0,Constants!$B$5,IF(COUNTA(J10,L10,N10,P10,R10)=0,Constants!$B$6,Constants!$B$7))))</f>
        <v/>
      </c>
      <c r="AK10" s="59" t="str">
        <f aca="false">IF(ISBLANK($C10),"",IF($AJ10&lt;&gt;Constants!$B$7,$AJ10,IF(OR(NOT(X10),AND(NOT(U10),COUNTIFS(Y10:AG10,Constants!$B$18,Z10:AH10,"&gt;=0")&gt;0),AND(NOT(V10),COUNTIFS(Y10:AG10,Constants!$B$19,Z10:AH10,"&gt;=0")&gt;0)),Constants!$B$12,Constants!$B$11)))</f>
        <v/>
      </c>
      <c r="AL10" s="59" t="str">
        <f aca="false">IF($AJ10=Constants!$B$7,IF(Z10="",Constants!$B$13,Z10),"")</f>
        <v/>
      </c>
      <c r="AM10" s="59" t="str">
        <f aca="false">IF($AJ10=Constants!$B$7,IF(AB10="",Constants!$B$13,AB10),"")</f>
        <v/>
      </c>
      <c r="AN10" s="59" t="str">
        <f aca="false">IF($AJ10=Constants!$B$7,IF(AD10="",Constants!$B$13,AD10),"")</f>
        <v/>
      </c>
      <c r="AO10" s="59" t="str">
        <f aca="false">IF($AJ10=Constants!$B$7,IF(AF10="",Constants!$B$13,AF10),"")</f>
        <v/>
      </c>
      <c r="AP10" s="59" t="str">
        <f aca="false">IF($AJ10=Constants!$B$7,IF(AH10="",Constants!$B$13,AH10),"")</f>
        <v/>
      </c>
      <c r="AQ10" s="59" t="str">
        <f aca="false">IF($AJ10=Constants!$B$7,IF(SUMPRODUCT(--($AL10:$AP10&gt;AL10))+SUMPRODUCT(--($AL10:AL10=AL10))=1,1,IF(SUMPRODUCT(--($AL10:$AP10&gt;AM10))+SUMPRODUCT(--($AL10:AM10=AM10))=1,2,IF(SUMPRODUCT(--($AL10:$AP10&gt;AN10))+SUMPRODUCT(--($AL10:AN10=AN10))=1,3,IF(SUMPRODUCT(--($AL10:$AP10&gt;AO10))+SUMPRODUCT(--($AL10:AO10=AO10))=1,4,5)))),"")</f>
        <v/>
      </c>
      <c r="AR10" s="59" t="str">
        <f aca="false">IF($AJ10=Constants!$B$7,IF(SUMPRODUCT(--($AL10:$AP10&gt;AL10))+SUMPRODUCT(--($AL10:AL10=AL10))=2,1,IF(SUMPRODUCT(--($AL10:$AP10&gt;AM10))+SUMPRODUCT(--($AL10:AM10=AM10))=2,2,IF(SUMPRODUCT(--($AL10:$AP10&gt;AN10))+SUMPRODUCT(--($AL10:AN10=AN10))=2,3,IF(SUMPRODUCT(--($AL10:$AP10&gt;AO10))+SUMPRODUCT(--($AL10:AO10=AO10))=2,4,5)))),"")</f>
        <v/>
      </c>
      <c r="AS10" s="59" t="str">
        <f aca="false">IF($AJ10=Constants!$B$7,IF(SUMPRODUCT(--($AL10:$AP10&gt;AL10))+SUMPRODUCT(--($AL10:AL10=AL10))=3,1,IF(SUMPRODUCT(--($AL10:$AP10&gt;AM10))+SUMPRODUCT(--($AL10:AM10=AM10))=3,2,IF(SUMPRODUCT(--($AL10:$AP10&gt;AN10))+SUMPRODUCT(--($AL10:AN10=AN10))=3,3,IF(SUMPRODUCT(--($AL10:$AP10&gt;AO10))+SUMPRODUCT(--($AL10:AO10=AO10))=3,4,5)))),"")</f>
        <v/>
      </c>
      <c r="AT10" s="59" t="str">
        <f aca="false">IF($AJ10=Constants!$B$7,LARGE(AL10:AP10,1)+LARGE(AL10:AP10,2)+LARGE(AL10:AP10,3),"")</f>
        <v/>
      </c>
      <c r="AU10" s="59" t="str">
        <f aca="false">IF(ISBLANK($C10),"",IF($AJ10&lt;&gt;Constants!$B$7,$AJ10,AT10*W10))</f>
        <v/>
      </c>
      <c r="AV10" s="59" t="str">
        <f aca="false">IF(ISBLANK($C10),"",IF($AJ10=Constants!$B$7,IF(ISNUMBER(AU10),RANK(AU10,$AU$8:$AU$507),Constants!$B$14),$AJ10))</f>
        <v/>
      </c>
      <c r="AW10" s="59" t="str">
        <f aca="false">IF(ISBLANK($C10),"",IF($AJ10=Constants!$B$7,IF(ISNUMBER(AV10),COUNTIFS($AK$8:$AK$507,"&lt;"&amp;$AK10)+COUNTIFS($AK$8:$AK$507,$AK10,$AV$8:$AV$507,"&lt;"&amp;$AV10)+1,Constants!$B$14),$AJ10))</f>
        <v/>
      </c>
      <c r="AX10" s="59" t="str">
        <f aca="false">IF(ISBLANK($C10),"",IF($AJ10=Constants!$B$7,LARGE(AL10:AP10,4)*W10,""))</f>
        <v/>
      </c>
      <c r="AY10" s="59" t="str">
        <f aca="false">IF(ISBLANK($C10),"",IF($AJ10=Constants!$B$7,RANK(AX10,$AX$8:$AX$507),$AJ10))</f>
        <v/>
      </c>
      <c r="AZ10" s="59" t="str">
        <f aca="false">IF(ISBLANK($C10),"",IF($AJ10=Constants!$B$7,IF(ISNUMBER(AV10),COUNTIFS($AK$8:$AK$507,"&lt;"&amp;$AK10)+COUNTIFS($AK$8:$AK$507,$AK10,$AV$8:$AV$507,"&lt;"&amp;$AV10)+COUNTIFS($AK$8:$AK$507,$AK10,$AV$8:$AV$507,$AV10,$AY$8:$AY$507,"&lt;"&amp;$AY10)+1,Constants!$B$14),$AJ10))</f>
        <v/>
      </c>
      <c r="BA10" s="59" t="str">
        <f aca="false">IF(ISBLANK($C10),"",IF($AJ10=Constants!$B$7,IF(ISNUMBER(AW10),AW10-AZ10,Constants!$B$14),$AJ10))</f>
        <v/>
      </c>
      <c r="BB10" s="61"/>
      <c r="BC10" s="62" t="str">
        <f aca="false">IF(ISBLANK($C10),"",IF($AJ10&lt;&gt;Constants!$B$7,$AJ10,SMALL(AQ10:AS10,1)&amp;", "&amp;SMALL(AQ10:AS10,2)&amp;", "&amp;SMALL(AQ10:AS10,3)))</f>
        <v/>
      </c>
      <c r="BD10" s="63" t="str">
        <f aca="false">IF(ISBLANK($C10),"",IF($AJ10&lt;&gt;Constants!$B$7,$AJ10,W10))</f>
        <v/>
      </c>
      <c r="BE10" s="64" t="str">
        <f aca="false">IF(ISBLANK($C10),"",IF($AJ10&lt;&gt;Constants!$B$7,$AJ10,AU10))</f>
        <v/>
      </c>
      <c r="BF10" s="65" t="str">
        <f aca="false">IF(ISBLANK($C10),"",IF($AJ10&lt;&gt;Constants!$B$7,$AJ10,AK10))</f>
        <v/>
      </c>
      <c r="BG10" s="63" t="str">
        <f aca="false">IF(ISBLANK($C10),"",BA10)</f>
        <v/>
      </c>
      <c r="BH10" s="63" t="str">
        <f aca="false">IF(ISBLANK($C10),"",AZ10)</f>
        <v/>
      </c>
      <c r="BI10" s="66" t="str">
        <f aca="false">IF(ISBLANK($C10),"",IF(BH10=Constants!$B$4,COUNTA($C$8:$C$507)+2,IF(BH10=Constants!$B$5,COUNTA($C$8:$C$507)+1,IF(BH10=Constants!$B$6,COUNTA($C$8:$C$507),BH10))))</f>
        <v/>
      </c>
      <c r="BJ10" s="5"/>
      <c r="BK10" s="67" t="n">
        <f aca="false">IF(OR(ISNUMBER(BH10),BH10=Constants!$B$4,BH10=Constants!$B$6,BH10=Constants!$B$5),1,0)</f>
        <v>0</v>
      </c>
      <c r="BL10" s="67" t="n">
        <v>3</v>
      </c>
      <c r="BM10" s="67" t="str">
        <f aca="false">IF(ISBLANK($C10),"",IF(ISNUMBER(BI10),BI10+ROW($B10)/1000,""))</f>
        <v/>
      </c>
      <c r="BN10" s="67" t="str">
        <f aca="false">IF(ISNUMBER(BM10),RANK(BM10,$BM$8:$BM$507,1),"")</f>
        <v/>
      </c>
      <c r="BO10" s="67" t="str">
        <f aca="false">IF(ISBLANK($C10),"",$B10)</f>
        <v/>
      </c>
      <c r="BP10" s="67" t="str">
        <f aca="false">IF(ISBLANK($C10),"",$C10)</f>
        <v/>
      </c>
      <c r="BQ10" s="67" t="str">
        <f aca="false">IF(ISBLANK($C10),"",$D10)</f>
        <v/>
      </c>
      <c r="BR10" s="68" t="str">
        <f aca="false">BF10</f>
        <v/>
      </c>
      <c r="BS10" s="69" t="str">
        <f aca="false">BE10</f>
        <v/>
      </c>
      <c r="BT10" s="67" t="str">
        <f aca="false">IF(ISBLANK($C10),"",BH10)</f>
        <v/>
      </c>
      <c r="BU10" s="70" t="str">
        <f aca="false">IF($BL10&gt;$BK$7,"",VLOOKUP($BL10,$BN$8:$BT$507,7,FALSE()))</f>
        <v/>
      </c>
      <c r="BV10" s="71" t="str">
        <f aca="false">IF($BL10&gt;$BK$7,"",VLOOKUP($BL10,$BN$8:$BT$507,2,FALSE()))</f>
        <v/>
      </c>
      <c r="BW10" s="71" t="str">
        <f aca="false">IF($BL10&gt;$BK$7,"",VLOOKUP($BL10,$BN$8:$BT$507,3,FALSE()))</f>
        <v/>
      </c>
      <c r="BX10" s="71" t="str">
        <f aca="false">IF($BL10&gt;$BK$7,"",VLOOKUP($BL10,$BN$8:$BT$507,4,FALSE()))</f>
        <v/>
      </c>
      <c r="BY10" s="71" t="str">
        <f aca="false">IF($BL10&gt;$BK$7,"",VLOOKUP($BL10,$BN$8:$BT$507,5,FALSE()))</f>
        <v/>
      </c>
      <c r="BZ10" s="72" t="str">
        <f aca="false">IF($BL10&gt;$BK$7,"",VLOOKUP($BL10,$BN$8:$BT$507,6,FALSE()))</f>
        <v/>
      </c>
      <c r="CA10" s="48"/>
    </row>
    <row r="11" customFormat="false" ht="15.75" hidden="false" customHeight="false" outlineLevel="0" collapsed="false">
      <c r="A11" s="5"/>
      <c r="B11" s="77"/>
      <c r="C11" s="78"/>
      <c r="D11" s="79"/>
      <c r="E11" s="80"/>
      <c r="F11" s="81"/>
      <c r="G11" s="82"/>
      <c r="H11" s="83"/>
      <c r="I11" s="84"/>
      <c r="J11" s="82"/>
      <c r="K11" s="83"/>
      <c r="L11" s="82"/>
      <c r="M11" s="83"/>
      <c r="N11" s="82"/>
      <c r="O11" s="83"/>
      <c r="P11" s="82"/>
      <c r="Q11" s="83"/>
      <c r="R11" s="82"/>
      <c r="S11" s="85"/>
      <c r="T11" s="86"/>
      <c r="U11" s="87" t="str">
        <f aca="false">IF(ISBLANK($C11),"",IF(E11=Constants!$B$2, TRUE(), IF(E11=Constants!$B$3, FALSE(), TRUE())))</f>
        <v/>
      </c>
      <c r="V11" s="87" t="str">
        <f aca="false">IF(ISBLANK($C11),"",IF(F11=Constants!$B$2, TRUE(), IF(F11=Constants!$B$3, FALSE(), TRUE())))</f>
        <v/>
      </c>
      <c r="W11" s="87" t="str">
        <f aca="false">IF(ISBLANK($C11),"",IF(G11=Constants!$B$15,Constants!$B$8,IF(G11=Constants!$B$16,Constants!$B$9,Constants!$B$10)))</f>
        <v/>
      </c>
      <c r="X11" s="87" t="str">
        <f aca="false">IF(ISBLANK($C11),"",IF(H11=Constants!$B$2, TRUE(), IF(H11=Constants!$B$3, FALSE(), TRUE())))</f>
        <v/>
      </c>
      <c r="Y11" s="87" t="str">
        <f aca="false">IF(ISBLANK($C11),"",IF(I11=Constants!$B$19,Constants!$B$19,Constants!$B$18))</f>
        <v/>
      </c>
      <c r="Z11" s="87" t="str">
        <f aca="false">IF(ISBLANK($C11),"",IF(ISNUMBER(J11),IF(J11&gt;=0,J11,""),""))</f>
        <v/>
      </c>
      <c r="AA11" s="87" t="str">
        <f aca="false">IF(ISBLANK($C11),"",IF(K11=Constants!$B$19,Constants!$B$19,Constants!$B$18))</f>
        <v/>
      </c>
      <c r="AB11" s="87" t="str">
        <f aca="false">IF(ISBLANK($C11),"",IF(ISNUMBER(L11),IF(L11&gt;=0,L11,""),""))</f>
        <v/>
      </c>
      <c r="AC11" s="87" t="str">
        <f aca="false">IF(ISBLANK($C11),"",IF(M11=Constants!$B$19,Constants!$B$19,Constants!$B$18))</f>
        <v/>
      </c>
      <c r="AD11" s="87" t="str">
        <f aca="false">IF(ISBLANK($C11),"",IF(ISNUMBER(N11),IF(N11&gt;=0,N11,""),""))</f>
        <v/>
      </c>
      <c r="AE11" s="87" t="str">
        <f aca="false">IF(ISBLANK($C11),"",IF(O11=Constants!$B$19,Constants!$B$19,Constants!$B$18))</f>
        <v/>
      </c>
      <c r="AF11" s="87" t="str">
        <f aca="false">IF(ISBLANK($C11),"",IF(ISNUMBER(P11),IF(P11&gt;=0,P11,""),""))</f>
        <v/>
      </c>
      <c r="AG11" s="87" t="str">
        <f aca="false">IF(ISBLANK($C11),"",IF(Q11=Constants!$B$19,Constants!$B$19,Constants!$B$18))</f>
        <v/>
      </c>
      <c r="AH11" s="87" t="str">
        <f aca="false">IF(ISBLANK($C11),"",IF(ISNUMBER(R11),IF(R11&gt;=0,R11,""),""))</f>
        <v/>
      </c>
      <c r="AI11" s="87" t="str">
        <f aca="false">IF(ISBLANK($C11),"",IF(S11=Constants!$B$2, TRUE(), IF(S11=Constants!$B$3, FALSE(), FALSE())))</f>
        <v/>
      </c>
      <c r="AJ11" s="87" t="str">
        <f aca="false">IF(ISBLANK($C11),"",IF(AI11,Constants!$B$4,IF(COUNTA(E11:R11)=0,Constants!$B$5,IF(COUNTA(J11,L11,N11,P11,R11)=0,Constants!$B$6,Constants!$B$7))))</f>
        <v/>
      </c>
      <c r="AK11" s="87" t="str">
        <f aca="false">IF(ISBLANK($C11),"",IF($AJ11&lt;&gt;Constants!$B$7,$AJ11,IF(OR(NOT(X11),AND(NOT(U11),COUNTIFS(Y11:AG11,Constants!$B$18,Z11:AH11,"&gt;=0")&gt;0),AND(NOT(V11),COUNTIFS(Y11:AG11,Constants!$B$19,Z11:AH11,"&gt;=0")&gt;0)),Constants!$B$12,Constants!$B$11)))</f>
        <v/>
      </c>
      <c r="AL11" s="87" t="str">
        <f aca="false">IF($AJ11=Constants!$B$7,IF(Z11="",Constants!$B$13,Z11),"")</f>
        <v/>
      </c>
      <c r="AM11" s="87" t="str">
        <f aca="false">IF($AJ11=Constants!$B$7,IF(AB11="",Constants!$B$13,AB11),"")</f>
        <v/>
      </c>
      <c r="AN11" s="87" t="str">
        <f aca="false">IF($AJ11=Constants!$B$7,IF(AD11="",Constants!$B$13,AD11),"")</f>
        <v/>
      </c>
      <c r="AO11" s="87" t="str">
        <f aca="false">IF($AJ11=Constants!$B$7,IF(AF11="",Constants!$B$13,AF11),"")</f>
        <v/>
      </c>
      <c r="AP11" s="87" t="str">
        <f aca="false">IF($AJ11=Constants!$B$7,IF(AH11="",Constants!$B$13,AH11),"")</f>
        <v/>
      </c>
      <c r="AQ11" s="87" t="str">
        <f aca="false">IF($AJ11=Constants!$B$7,IF(SUMPRODUCT(--($AL11:$AP11&gt;AL11))+SUMPRODUCT(--($AL11:AL11=AL11))=1,1,IF(SUMPRODUCT(--($AL11:$AP11&gt;AM11))+SUMPRODUCT(--($AL11:AM11=AM11))=1,2,IF(SUMPRODUCT(--($AL11:$AP11&gt;AN11))+SUMPRODUCT(--($AL11:AN11=AN11))=1,3,IF(SUMPRODUCT(--($AL11:$AP11&gt;AO11))+SUMPRODUCT(--($AL11:AO11=AO11))=1,4,5)))),"")</f>
        <v/>
      </c>
      <c r="AR11" s="87" t="str">
        <f aca="false">IF($AJ11=Constants!$B$7,IF(SUMPRODUCT(--($AL11:$AP11&gt;AL11))+SUMPRODUCT(--($AL11:AL11=AL11))=2,1,IF(SUMPRODUCT(--($AL11:$AP11&gt;AM11))+SUMPRODUCT(--($AL11:AM11=AM11))=2,2,IF(SUMPRODUCT(--($AL11:$AP11&gt;AN11))+SUMPRODUCT(--($AL11:AN11=AN11))=2,3,IF(SUMPRODUCT(--($AL11:$AP11&gt;AO11))+SUMPRODUCT(--($AL11:AO11=AO11))=2,4,5)))),"")</f>
        <v/>
      </c>
      <c r="AS11" s="87" t="str">
        <f aca="false">IF($AJ11=Constants!$B$7,IF(SUMPRODUCT(--($AL11:$AP11&gt;AL11))+SUMPRODUCT(--($AL11:AL11=AL11))=3,1,IF(SUMPRODUCT(--($AL11:$AP11&gt;AM11))+SUMPRODUCT(--($AL11:AM11=AM11))=3,2,IF(SUMPRODUCT(--($AL11:$AP11&gt;AN11))+SUMPRODUCT(--($AL11:AN11=AN11))=3,3,IF(SUMPRODUCT(--($AL11:$AP11&gt;AO11))+SUMPRODUCT(--($AL11:AO11=AO11))=3,4,5)))),"")</f>
        <v/>
      </c>
      <c r="AT11" s="87" t="str">
        <f aca="false">IF($AJ11=Constants!$B$7,LARGE(AL11:AP11,1)+LARGE(AL11:AP11,2)+LARGE(AL11:AP11,3),"")</f>
        <v/>
      </c>
      <c r="AU11" s="87" t="str">
        <f aca="false">IF(ISBLANK($C11),"",IF($AJ11&lt;&gt;Constants!$B$7,$AJ11,AT11*W11))</f>
        <v/>
      </c>
      <c r="AV11" s="87" t="str">
        <f aca="false">IF(ISBLANK($C11),"",IF($AJ11=Constants!$B$7,IF(ISNUMBER(AU11),RANK(AU11,$AU$8:$AU$507),Constants!$B$14),$AJ11))</f>
        <v/>
      </c>
      <c r="AW11" s="87" t="str">
        <f aca="false">IF(ISBLANK($C11),"",IF($AJ11=Constants!$B$7,IF(ISNUMBER(AV11),COUNTIFS($AK$8:$AK$507,"&lt;"&amp;$AK11)+COUNTIFS($AK$8:$AK$507,$AK11,$AV$8:$AV$507,"&lt;"&amp;$AV11)+1,Constants!$B$14),$AJ11))</f>
        <v/>
      </c>
      <c r="AX11" s="87" t="str">
        <f aca="false">IF(ISBLANK($C11),"",IF($AJ11=Constants!$B$7,LARGE(AL11:AP11,4)*W11,""))</f>
        <v/>
      </c>
      <c r="AY11" s="87" t="str">
        <f aca="false">IF(ISBLANK($C11),"",IF($AJ11=Constants!$B$7,RANK(AX11,$AX$8:$AX$507),$AJ11))</f>
        <v/>
      </c>
      <c r="AZ11" s="87" t="str">
        <f aca="false">IF(ISBLANK($C11),"",IF($AJ11=Constants!$B$7,IF(ISNUMBER(AV11),COUNTIFS($AK$8:$AK$507,"&lt;"&amp;$AK11)+COUNTIFS($AK$8:$AK$507,$AK11,$AV$8:$AV$507,"&lt;"&amp;$AV11)+COUNTIFS($AK$8:$AK$507,$AK11,$AV$8:$AV$507,$AV11,$AY$8:$AY$507,"&lt;"&amp;$AY11)+1,Constants!$B$14),$AJ11))</f>
        <v/>
      </c>
      <c r="BA11" s="87" t="str">
        <f aca="false">IF(ISBLANK($C11),"",IF($AJ11=Constants!$B$7,IF(ISNUMBER(AW11),AW11-AZ11,Constants!$B$14),$AJ11))</f>
        <v/>
      </c>
      <c r="BB11" s="88"/>
      <c r="BC11" s="89" t="str">
        <f aca="false">IF(ISBLANK($C11),"",IF($AJ11&lt;&gt;Constants!$B$7,$AJ11,SMALL(AQ11:AS11,1)&amp;", "&amp;SMALL(AQ11:AS11,2)&amp;", "&amp;SMALL(AQ11:AS11,3)))</f>
        <v/>
      </c>
      <c r="BD11" s="90" t="str">
        <f aca="false">IF(ISBLANK($C11),"",IF($AJ11&lt;&gt;Constants!$B$7,$AJ11,W11))</f>
        <v/>
      </c>
      <c r="BE11" s="91" t="str">
        <f aca="false">IF(ISBLANK($C11),"",IF($AJ11&lt;&gt;Constants!$B$7,$AJ11,AU11))</f>
        <v/>
      </c>
      <c r="BF11" s="92" t="str">
        <f aca="false">IF(ISBLANK($C11),"",IF($AJ11&lt;&gt;Constants!$B$7,$AJ11,AK11))</f>
        <v/>
      </c>
      <c r="BG11" s="90" t="str">
        <f aca="false">IF(ISBLANK($C11),"",BA11)</f>
        <v/>
      </c>
      <c r="BH11" s="90" t="str">
        <f aca="false">IF(ISBLANK($C11),"",AZ11)</f>
        <v/>
      </c>
      <c r="BI11" s="93" t="str">
        <f aca="false">IF(ISBLANK($C11),"",IF(BH11=Constants!$B$4,COUNTA($C$8:$C$507)+2,IF(BH11=Constants!$B$5,COUNTA($C$8:$C$507)+1,IF(BH11=Constants!$B$6,COUNTA($C$8:$C$507),BH11))))</f>
        <v/>
      </c>
      <c r="BJ11" s="5"/>
      <c r="BK11" s="94" t="n">
        <f aca="false">IF(OR(ISNUMBER(BH11),BH11=Constants!$B$4,BH11=Constants!$B$6,BH11=Constants!$B$5),1,0)</f>
        <v>0</v>
      </c>
      <c r="BL11" s="94" t="n">
        <v>4</v>
      </c>
      <c r="BM11" s="94" t="str">
        <f aca="false">IF(ISBLANK($C11),"",IF(ISNUMBER(BI11),BI11+ROW($B11)/1000,""))</f>
        <v/>
      </c>
      <c r="BN11" s="94" t="str">
        <f aca="false">IF(ISNUMBER(BM11),RANK(BM11,$BM$8:$BM$507,1),"")</f>
        <v/>
      </c>
      <c r="BO11" s="94" t="str">
        <f aca="false">IF(ISBLANK($C11),"",$B11)</f>
        <v/>
      </c>
      <c r="BP11" s="94" t="str">
        <f aca="false">IF(ISBLANK($C11),"",$C11)</f>
        <v/>
      </c>
      <c r="BQ11" s="94" t="str">
        <f aca="false">IF(ISBLANK($C11),"",$D11)</f>
        <v/>
      </c>
      <c r="BR11" s="95" t="str">
        <f aca="false">BF11</f>
        <v/>
      </c>
      <c r="BS11" s="96" t="str">
        <f aca="false">BE11</f>
        <v/>
      </c>
      <c r="BT11" s="94" t="str">
        <f aca="false">IF(ISBLANK($C11),"",BH11)</f>
        <v/>
      </c>
      <c r="BU11" s="97" t="str">
        <f aca="false">IF($BL11&gt;$BK$7,"",VLOOKUP($BL11,$BN$8:$BT$507,7,FALSE()))</f>
        <v/>
      </c>
      <c r="BV11" s="98" t="str">
        <f aca="false">IF($BL11&gt;$BK$7,"",VLOOKUP($BL11,$BN$8:$BT$507,2,FALSE()))</f>
        <v/>
      </c>
      <c r="BW11" s="98" t="str">
        <f aca="false">IF($BL11&gt;$BK$7,"",VLOOKUP($BL11,$BN$8:$BT$507,3,FALSE()))</f>
        <v/>
      </c>
      <c r="BX11" s="98" t="str">
        <f aca="false">IF($BL11&gt;$BK$7,"",VLOOKUP($BL11,$BN$8:$BT$507,4,FALSE()))</f>
        <v/>
      </c>
      <c r="BY11" s="98" t="str">
        <f aca="false">IF($BL11&gt;$BK$7,"",VLOOKUP($BL11,$BN$8:$BT$507,5,FALSE()))</f>
        <v/>
      </c>
      <c r="BZ11" s="99" t="str">
        <f aca="false">IF($BL11&gt;$BK$7,"",VLOOKUP($BL11,$BN$8:$BT$507,6,FALSE()))</f>
        <v/>
      </c>
      <c r="CA11" s="48"/>
    </row>
    <row r="12" customFormat="false" ht="15.75" hidden="false" customHeight="false" outlineLevel="0" collapsed="false">
      <c r="A12" s="5"/>
      <c r="B12" s="77"/>
      <c r="C12" s="78"/>
      <c r="D12" s="100"/>
      <c r="E12" s="80"/>
      <c r="F12" s="81"/>
      <c r="G12" s="82"/>
      <c r="H12" s="83"/>
      <c r="I12" s="84"/>
      <c r="J12" s="82"/>
      <c r="K12" s="83"/>
      <c r="L12" s="82"/>
      <c r="M12" s="83"/>
      <c r="N12" s="82"/>
      <c r="O12" s="83"/>
      <c r="P12" s="82"/>
      <c r="Q12" s="83"/>
      <c r="R12" s="82"/>
      <c r="S12" s="85"/>
      <c r="T12" s="86"/>
      <c r="U12" s="87" t="str">
        <f aca="false">IF(ISBLANK($C12),"",IF(E12=Constants!$B$2, TRUE(), IF(E12=Constants!$B$3, FALSE(), TRUE())))</f>
        <v/>
      </c>
      <c r="V12" s="87" t="str">
        <f aca="false">IF(ISBLANK($C12),"",IF(F12=Constants!$B$2, TRUE(), IF(F12=Constants!$B$3, FALSE(), TRUE())))</f>
        <v/>
      </c>
      <c r="W12" s="87" t="str">
        <f aca="false">IF(ISBLANK($C12),"",IF(G12=Constants!$B$15,Constants!$B$8,IF(G12=Constants!$B$16,Constants!$B$9,Constants!$B$10)))</f>
        <v/>
      </c>
      <c r="X12" s="87" t="str">
        <f aca="false">IF(ISBLANK($C12),"",IF(H12=Constants!$B$2, TRUE(), IF(H12=Constants!$B$3, FALSE(), TRUE())))</f>
        <v/>
      </c>
      <c r="Y12" s="87" t="str">
        <f aca="false">IF(ISBLANK($C12),"",IF(I12=Constants!$B$19,Constants!$B$19,Constants!$B$18))</f>
        <v/>
      </c>
      <c r="Z12" s="87" t="str">
        <f aca="false">IF(ISBLANK($C12),"",IF(ISNUMBER(J12),IF(J12&gt;=0,J12,""),""))</f>
        <v/>
      </c>
      <c r="AA12" s="87" t="str">
        <f aca="false">IF(ISBLANK($C12),"",IF(K12=Constants!$B$19,Constants!$B$19,Constants!$B$18))</f>
        <v/>
      </c>
      <c r="AB12" s="87" t="str">
        <f aca="false">IF(ISBLANK($C12),"",IF(ISNUMBER(L12),IF(L12&gt;=0,L12,""),""))</f>
        <v/>
      </c>
      <c r="AC12" s="87" t="str">
        <f aca="false">IF(ISBLANK($C12),"",IF(M12=Constants!$B$19,Constants!$B$19,Constants!$B$18))</f>
        <v/>
      </c>
      <c r="AD12" s="87" t="str">
        <f aca="false">IF(ISBLANK($C12),"",IF(ISNUMBER(N12),IF(N12&gt;=0,N12,""),""))</f>
        <v/>
      </c>
      <c r="AE12" s="87" t="str">
        <f aca="false">IF(ISBLANK($C12),"",IF(O12=Constants!$B$19,Constants!$B$19,Constants!$B$18))</f>
        <v/>
      </c>
      <c r="AF12" s="87" t="str">
        <f aca="false">IF(ISBLANK($C12),"",IF(ISNUMBER(P12),IF(P12&gt;=0,P12,""),""))</f>
        <v/>
      </c>
      <c r="AG12" s="87" t="str">
        <f aca="false">IF(ISBLANK($C12),"",IF(Q12=Constants!$B$19,Constants!$B$19,Constants!$B$18))</f>
        <v/>
      </c>
      <c r="AH12" s="87" t="str">
        <f aca="false">IF(ISBLANK($C12),"",IF(ISNUMBER(R12),IF(R12&gt;=0,R12,""),""))</f>
        <v/>
      </c>
      <c r="AI12" s="87" t="str">
        <f aca="false">IF(ISBLANK($C12),"",IF(S12=Constants!$B$2, TRUE(), IF(S12=Constants!$B$3, FALSE(), FALSE())))</f>
        <v/>
      </c>
      <c r="AJ12" s="87" t="str">
        <f aca="false">IF(ISBLANK($C12),"",IF(AI12,Constants!$B$4,IF(COUNTA(E12:R12)=0,Constants!$B$5,IF(COUNTA(J12,L12,N12,P12,R12)=0,Constants!$B$6,Constants!$B$7))))</f>
        <v/>
      </c>
      <c r="AK12" s="87" t="str">
        <f aca="false">IF(ISBLANK($C12),"",IF($AJ12&lt;&gt;Constants!$B$7,$AJ12,IF(OR(NOT(X12),AND(NOT(U12),COUNTIFS(Y12:AG12,Constants!$B$18,Z12:AH12,"&gt;=0")&gt;0),AND(NOT(V12),COUNTIFS(Y12:AG12,Constants!$B$19,Z12:AH12,"&gt;=0")&gt;0)),Constants!$B$12,Constants!$B$11)))</f>
        <v/>
      </c>
      <c r="AL12" s="87" t="str">
        <f aca="false">IF($AJ12=Constants!$B$7,IF(Z12="",Constants!$B$13,Z12),"")</f>
        <v/>
      </c>
      <c r="AM12" s="87" t="str">
        <f aca="false">IF($AJ12=Constants!$B$7,IF(AB12="",Constants!$B$13,AB12),"")</f>
        <v/>
      </c>
      <c r="AN12" s="87" t="str">
        <f aca="false">IF($AJ12=Constants!$B$7,IF(AD12="",Constants!$B$13,AD12),"")</f>
        <v/>
      </c>
      <c r="AO12" s="87" t="str">
        <f aca="false">IF($AJ12=Constants!$B$7,IF(AF12="",Constants!$B$13,AF12),"")</f>
        <v/>
      </c>
      <c r="AP12" s="87" t="str">
        <f aca="false">IF($AJ12=Constants!$B$7,IF(AH12="",Constants!$B$13,AH12),"")</f>
        <v/>
      </c>
      <c r="AQ12" s="87" t="str">
        <f aca="false">IF($AJ12=Constants!$B$7,IF(SUMPRODUCT(--($AL12:$AP12&gt;AL12))+SUMPRODUCT(--($AL12:AL12=AL12))=1,1,IF(SUMPRODUCT(--($AL12:$AP12&gt;AM12))+SUMPRODUCT(--($AL12:AM12=AM12))=1,2,IF(SUMPRODUCT(--($AL12:$AP12&gt;AN12))+SUMPRODUCT(--($AL12:AN12=AN12))=1,3,IF(SUMPRODUCT(--($AL12:$AP12&gt;AO12))+SUMPRODUCT(--($AL12:AO12=AO12))=1,4,5)))),"")</f>
        <v/>
      </c>
      <c r="AR12" s="87" t="str">
        <f aca="false">IF($AJ12=Constants!$B$7,IF(SUMPRODUCT(--($AL12:$AP12&gt;AL12))+SUMPRODUCT(--($AL12:AL12=AL12))=2,1,IF(SUMPRODUCT(--($AL12:$AP12&gt;AM12))+SUMPRODUCT(--($AL12:AM12=AM12))=2,2,IF(SUMPRODUCT(--($AL12:$AP12&gt;AN12))+SUMPRODUCT(--($AL12:AN12=AN12))=2,3,IF(SUMPRODUCT(--($AL12:$AP12&gt;AO12))+SUMPRODUCT(--($AL12:AO12=AO12))=2,4,5)))),"")</f>
        <v/>
      </c>
      <c r="AS12" s="87" t="str">
        <f aca="false">IF($AJ12=Constants!$B$7,IF(SUMPRODUCT(--($AL12:$AP12&gt;AL12))+SUMPRODUCT(--($AL12:AL12=AL12))=3,1,IF(SUMPRODUCT(--($AL12:$AP12&gt;AM12))+SUMPRODUCT(--($AL12:AM12=AM12))=3,2,IF(SUMPRODUCT(--($AL12:$AP12&gt;AN12))+SUMPRODUCT(--($AL12:AN12=AN12))=3,3,IF(SUMPRODUCT(--($AL12:$AP12&gt;AO12))+SUMPRODUCT(--($AL12:AO12=AO12))=3,4,5)))),"")</f>
        <v/>
      </c>
      <c r="AT12" s="87" t="str">
        <f aca="false">IF($AJ12=Constants!$B$7,LARGE(AL12:AP12,1)+LARGE(AL12:AP12,2)+LARGE(AL12:AP12,3),"")</f>
        <v/>
      </c>
      <c r="AU12" s="87" t="str">
        <f aca="false">IF(ISBLANK($C12),"",IF($AJ12&lt;&gt;Constants!$B$7,$AJ12,AT12*W12))</f>
        <v/>
      </c>
      <c r="AV12" s="87" t="str">
        <f aca="false">IF(ISBLANK($C12),"",IF($AJ12=Constants!$B$7,IF(ISNUMBER(AU12),RANK(AU12,$AU$8:$AU$507),Constants!$B$14),$AJ12))</f>
        <v/>
      </c>
      <c r="AW12" s="87" t="str">
        <f aca="false">IF(ISBLANK($C12),"",IF($AJ12=Constants!$B$7,IF(ISNUMBER(AV12),COUNTIFS($AK$8:$AK$507,"&lt;"&amp;$AK12)+COUNTIFS($AK$8:$AK$507,$AK12,$AV$8:$AV$507,"&lt;"&amp;$AV12)+1,Constants!$B$14),$AJ12))</f>
        <v/>
      </c>
      <c r="AX12" s="87" t="str">
        <f aca="false">IF(ISBLANK($C12),"",IF($AJ12=Constants!$B$7,LARGE(AL12:AP12,4)*W12,""))</f>
        <v/>
      </c>
      <c r="AY12" s="87" t="str">
        <f aca="false">IF(ISBLANK($C12),"",IF($AJ12=Constants!$B$7,RANK(AX12,$AX$8:$AX$507),$AJ12))</f>
        <v/>
      </c>
      <c r="AZ12" s="87" t="str">
        <f aca="false">IF(ISBLANK($C12),"",IF($AJ12=Constants!$B$7,IF(ISNUMBER(AV12),COUNTIFS($AK$8:$AK$507,"&lt;"&amp;$AK12)+COUNTIFS($AK$8:$AK$507,$AK12,$AV$8:$AV$507,"&lt;"&amp;$AV12)+COUNTIFS($AK$8:$AK$507,$AK12,$AV$8:$AV$507,$AV12,$AY$8:$AY$507,"&lt;"&amp;$AY12)+1,Constants!$B$14),$AJ12))</f>
        <v/>
      </c>
      <c r="BA12" s="87" t="str">
        <f aca="false">IF(ISBLANK($C12),"",IF($AJ12=Constants!$B$7,IF(ISNUMBER(AW12),AW12-AZ12,Constants!$B$14),$AJ12))</f>
        <v/>
      </c>
      <c r="BB12" s="88"/>
      <c r="BC12" s="89" t="str">
        <f aca="false">IF(ISBLANK($C12),"",IF($AJ12&lt;&gt;Constants!$B$7,$AJ12,SMALL(AQ12:AS12,1)&amp;", "&amp;SMALL(AQ12:AS12,2)&amp;", "&amp;SMALL(AQ12:AS12,3)))</f>
        <v/>
      </c>
      <c r="BD12" s="90" t="str">
        <f aca="false">IF(ISBLANK($C12),"",IF($AJ12&lt;&gt;Constants!$B$7,$AJ12,W12))</f>
        <v/>
      </c>
      <c r="BE12" s="91" t="str">
        <f aca="false">IF(ISBLANK($C12),"",IF($AJ12&lt;&gt;Constants!$B$7,$AJ12,AU12))</f>
        <v/>
      </c>
      <c r="BF12" s="92" t="str">
        <f aca="false">IF(ISBLANK($C12),"",IF($AJ12&lt;&gt;Constants!$B$7,$AJ12,AK12))</f>
        <v/>
      </c>
      <c r="BG12" s="90" t="str">
        <f aca="false">IF(ISBLANK($C12),"",BA12)</f>
        <v/>
      </c>
      <c r="BH12" s="90" t="str">
        <f aca="false">IF(ISBLANK($C12),"",AZ12)</f>
        <v/>
      </c>
      <c r="BI12" s="93" t="str">
        <f aca="false">IF(ISBLANK($C12),"",IF(BH12=Constants!$B$4,COUNTA($C$8:$C$507)+2,IF(BH12=Constants!$B$5,COUNTA($C$8:$C$507)+1,IF(BH12=Constants!$B$6,COUNTA($C$8:$C$507),BH12))))</f>
        <v/>
      </c>
      <c r="BJ12" s="5"/>
      <c r="BK12" s="94" t="n">
        <f aca="false">IF(OR(ISNUMBER(BH12),BH12=Constants!$B$4,BH12=Constants!$B$6,BH12=Constants!$B$5),1,0)</f>
        <v>0</v>
      </c>
      <c r="BL12" s="94" t="n">
        <v>5</v>
      </c>
      <c r="BM12" s="94" t="str">
        <f aca="false">IF(ISBLANK($C12),"",IF(ISNUMBER(BI12),BI12+ROW($B12)/1000,""))</f>
        <v/>
      </c>
      <c r="BN12" s="94" t="str">
        <f aca="false">IF(ISNUMBER(BM12),RANK(BM12,$BM$8:$BM$507,1),"")</f>
        <v/>
      </c>
      <c r="BO12" s="94" t="str">
        <f aca="false">IF(ISBLANK($C12),"",$B12)</f>
        <v/>
      </c>
      <c r="BP12" s="94" t="str">
        <f aca="false">IF(ISBLANK($C12),"",$C12)</f>
        <v/>
      </c>
      <c r="BQ12" s="94" t="str">
        <f aca="false">IF(ISBLANK($C12),"",$D12)</f>
        <v/>
      </c>
      <c r="BR12" s="95" t="str">
        <f aca="false">BF12</f>
        <v/>
      </c>
      <c r="BS12" s="96" t="str">
        <f aca="false">BE12</f>
        <v/>
      </c>
      <c r="BT12" s="94" t="str">
        <f aca="false">IF(ISBLANK($C12),"",BH12)</f>
        <v/>
      </c>
      <c r="BU12" s="97" t="str">
        <f aca="false">IF($BL12&gt;$BK$7,"",VLOOKUP($BL12,$BN$8:$BT$507,7,FALSE()))</f>
        <v/>
      </c>
      <c r="BV12" s="98" t="str">
        <f aca="false">IF($BL12&gt;$BK$7,"",VLOOKUP($BL12,$BN$8:$BT$507,2,FALSE()))</f>
        <v/>
      </c>
      <c r="BW12" s="98" t="str">
        <f aca="false">IF($BL12&gt;$BK$7,"",VLOOKUP($BL12,$BN$8:$BT$507,3,FALSE()))</f>
        <v/>
      </c>
      <c r="BX12" s="98" t="str">
        <f aca="false">IF($BL12&gt;$BK$7,"",VLOOKUP($BL12,$BN$8:$BT$507,4,FALSE()))</f>
        <v/>
      </c>
      <c r="BY12" s="98" t="str">
        <f aca="false">IF($BL12&gt;$BK$7,"",VLOOKUP($BL12,$BN$8:$BT$507,5,FALSE()))</f>
        <v/>
      </c>
      <c r="BZ12" s="99" t="str">
        <f aca="false">IF($BL12&gt;$BK$7,"",VLOOKUP($BL12,$BN$8:$BT$507,6,FALSE()))</f>
        <v/>
      </c>
      <c r="CA12" s="48"/>
    </row>
    <row r="13" customFormat="false" ht="15.75" hidden="false" customHeight="false" outlineLevel="0" collapsed="false">
      <c r="A13" s="5"/>
      <c r="B13" s="101"/>
      <c r="C13" s="102"/>
      <c r="D13" s="103"/>
      <c r="E13" s="104"/>
      <c r="F13" s="105"/>
      <c r="G13" s="82"/>
      <c r="H13" s="106"/>
      <c r="I13" s="107"/>
      <c r="J13" s="82"/>
      <c r="K13" s="106"/>
      <c r="L13" s="82"/>
      <c r="M13" s="106"/>
      <c r="N13" s="82"/>
      <c r="O13" s="106"/>
      <c r="P13" s="82"/>
      <c r="Q13" s="106"/>
      <c r="R13" s="82"/>
      <c r="S13" s="108"/>
      <c r="T13" s="86"/>
      <c r="U13" s="87" t="str">
        <f aca="false">IF(ISBLANK($C13),"",IF(E13=Constants!$B$2, TRUE(), IF(E13=Constants!$B$3, FALSE(), TRUE())))</f>
        <v/>
      </c>
      <c r="V13" s="87" t="str">
        <f aca="false">IF(ISBLANK($C13),"",IF(F13=Constants!$B$2, TRUE(), IF(F13=Constants!$B$3, FALSE(), TRUE())))</f>
        <v/>
      </c>
      <c r="W13" s="87" t="str">
        <f aca="false">IF(ISBLANK($C13),"",IF(G13=Constants!$B$15,Constants!$B$8,IF(G13=Constants!$B$16,Constants!$B$9,Constants!$B$10)))</f>
        <v/>
      </c>
      <c r="X13" s="87" t="str">
        <f aca="false">IF(ISBLANK($C13),"",IF(H13=Constants!$B$2, TRUE(), IF(H13=Constants!$B$3, FALSE(), TRUE())))</f>
        <v/>
      </c>
      <c r="Y13" s="87" t="str">
        <f aca="false">IF(ISBLANK($C13),"",IF(I13=Constants!$B$19,Constants!$B$19,Constants!$B$18))</f>
        <v/>
      </c>
      <c r="Z13" s="87" t="str">
        <f aca="false">IF(ISBLANK($C13),"",IF(ISNUMBER(J13),IF(J13&gt;=0,J13,""),""))</f>
        <v/>
      </c>
      <c r="AA13" s="87" t="str">
        <f aca="false">IF(ISBLANK($C13),"",IF(K13=Constants!$B$19,Constants!$B$19,Constants!$B$18))</f>
        <v/>
      </c>
      <c r="AB13" s="87" t="str">
        <f aca="false">IF(ISBLANK($C13),"",IF(ISNUMBER(L13),IF(L13&gt;=0,L13,""),""))</f>
        <v/>
      </c>
      <c r="AC13" s="87" t="str">
        <f aca="false">IF(ISBLANK($C13),"",IF(M13=Constants!$B$19,Constants!$B$19,Constants!$B$18))</f>
        <v/>
      </c>
      <c r="AD13" s="87" t="str">
        <f aca="false">IF(ISBLANK($C13),"",IF(ISNUMBER(N13),IF(N13&gt;=0,N13,""),""))</f>
        <v/>
      </c>
      <c r="AE13" s="87" t="str">
        <f aca="false">IF(ISBLANK($C13),"",IF(O13=Constants!$B$19,Constants!$B$19,Constants!$B$18))</f>
        <v/>
      </c>
      <c r="AF13" s="87" t="str">
        <f aca="false">IF(ISBLANK($C13),"",IF(ISNUMBER(P13),IF(P13&gt;=0,P13,""),""))</f>
        <v/>
      </c>
      <c r="AG13" s="87" t="str">
        <f aca="false">IF(ISBLANK($C13),"",IF(Q13=Constants!$B$19,Constants!$B$19,Constants!$B$18))</f>
        <v/>
      </c>
      <c r="AH13" s="87" t="str">
        <f aca="false">IF(ISBLANK($C13),"",IF(ISNUMBER(R13),IF(R13&gt;=0,R13,""),""))</f>
        <v/>
      </c>
      <c r="AI13" s="87" t="str">
        <f aca="false">IF(ISBLANK($C13),"",IF(S13=Constants!$B$2, TRUE(), IF(S13=Constants!$B$3, FALSE(), FALSE())))</f>
        <v/>
      </c>
      <c r="AJ13" s="87" t="str">
        <f aca="false">IF(ISBLANK($C13),"",IF(AI13,Constants!$B$4,IF(COUNTA(E13:R13)=0,Constants!$B$5,IF(COUNTA(J13,L13,N13,P13,R13)=0,Constants!$B$6,Constants!$B$7))))</f>
        <v/>
      </c>
      <c r="AK13" s="87" t="str">
        <f aca="false">IF(ISBLANK($C13),"",IF($AJ13&lt;&gt;Constants!$B$7,$AJ13,IF(OR(NOT(X13),AND(NOT(U13),COUNTIFS(Y13:AG13,Constants!$B$18,Z13:AH13,"&gt;=0")&gt;0),AND(NOT(V13),COUNTIFS(Y13:AG13,Constants!$B$19,Z13:AH13,"&gt;=0")&gt;0)),Constants!$B$12,Constants!$B$11)))</f>
        <v/>
      </c>
      <c r="AL13" s="87" t="str">
        <f aca="false">IF($AJ13=Constants!$B$7,IF(Z13="",Constants!$B$13,Z13),"")</f>
        <v/>
      </c>
      <c r="AM13" s="87" t="str">
        <f aca="false">IF($AJ13=Constants!$B$7,IF(AB13="",Constants!$B$13,AB13),"")</f>
        <v/>
      </c>
      <c r="AN13" s="87" t="str">
        <f aca="false">IF($AJ13=Constants!$B$7,IF(AD13="",Constants!$B$13,AD13),"")</f>
        <v/>
      </c>
      <c r="AO13" s="87" t="str">
        <f aca="false">IF($AJ13=Constants!$B$7,IF(AF13="",Constants!$B$13,AF13),"")</f>
        <v/>
      </c>
      <c r="AP13" s="87" t="str">
        <f aca="false">IF($AJ13=Constants!$B$7,IF(AH13="",Constants!$B$13,AH13),"")</f>
        <v/>
      </c>
      <c r="AQ13" s="87" t="str">
        <f aca="false">IF($AJ13=Constants!$B$7,IF(SUMPRODUCT(--($AL13:$AP13&gt;AL13))+SUMPRODUCT(--($AL13:AL13=AL13))=1,1,IF(SUMPRODUCT(--($AL13:$AP13&gt;AM13))+SUMPRODUCT(--($AL13:AM13=AM13))=1,2,IF(SUMPRODUCT(--($AL13:$AP13&gt;AN13))+SUMPRODUCT(--($AL13:AN13=AN13))=1,3,IF(SUMPRODUCT(--($AL13:$AP13&gt;AO13))+SUMPRODUCT(--($AL13:AO13=AO13))=1,4,5)))),"")</f>
        <v/>
      </c>
      <c r="AR13" s="87" t="str">
        <f aca="false">IF($AJ13=Constants!$B$7,IF(SUMPRODUCT(--($AL13:$AP13&gt;AL13))+SUMPRODUCT(--($AL13:AL13=AL13))=2,1,IF(SUMPRODUCT(--($AL13:$AP13&gt;AM13))+SUMPRODUCT(--($AL13:AM13=AM13))=2,2,IF(SUMPRODUCT(--($AL13:$AP13&gt;AN13))+SUMPRODUCT(--($AL13:AN13=AN13))=2,3,IF(SUMPRODUCT(--($AL13:$AP13&gt;AO13))+SUMPRODUCT(--($AL13:AO13=AO13))=2,4,5)))),"")</f>
        <v/>
      </c>
      <c r="AS13" s="87" t="str">
        <f aca="false">IF($AJ13=Constants!$B$7,IF(SUMPRODUCT(--($AL13:$AP13&gt;AL13))+SUMPRODUCT(--($AL13:AL13=AL13))=3,1,IF(SUMPRODUCT(--($AL13:$AP13&gt;AM13))+SUMPRODUCT(--($AL13:AM13=AM13))=3,2,IF(SUMPRODUCT(--($AL13:$AP13&gt;AN13))+SUMPRODUCT(--($AL13:AN13=AN13))=3,3,IF(SUMPRODUCT(--($AL13:$AP13&gt;AO13))+SUMPRODUCT(--($AL13:AO13=AO13))=3,4,5)))),"")</f>
        <v/>
      </c>
      <c r="AT13" s="87" t="str">
        <f aca="false">IF($AJ13=Constants!$B$7,LARGE(AL13:AP13,1)+LARGE(AL13:AP13,2)+LARGE(AL13:AP13,3),"")</f>
        <v/>
      </c>
      <c r="AU13" s="87" t="str">
        <f aca="false">IF(ISBLANK($C13),"",IF($AJ13&lt;&gt;Constants!$B$7,$AJ13,AT13*W13))</f>
        <v/>
      </c>
      <c r="AV13" s="87" t="str">
        <f aca="false">IF(ISBLANK($C13),"",IF($AJ13=Constants!$B$7,IF(ISNUMBER(AU13),RANK(AU13,$AU$8:$AU$507),Constants!$B$14),$AJ13))</f>
        <v/>
      </c>
      <c r="AW13" s="87" t="str">
        <f aca="false">IF(ISBLANK($C13),"",IF($AJ13=Constants!$B$7,IF(ISNUMBER(AV13),COUNTIFS($AK$8:$AK$507,"&lt;"&amp;$AK13)+COUNTIFS($AK$8:$AK$507,$AK13,$AV$8:$AV$507,"&lt;"&amp;$AV13)+1,Constants!$B$14),$AJ13))</f>
        <v/>
      </c>
      <c r="AX13" s="87" t="str">
        <f aca="false">IF(ISBLANK($C13),"",IF($AJ13=Constants!$B$7,LARGE(AL13:AP13,4)*W13,""))</f>
        <v/>
      </c>
      <c r="AY13" s="87" t="str">
        <f aca="false">IF(ISBLANK($C13),"",IF($AJ13=Constants!$B$7,RANK(AX13,$AX$8:$AX$507),$AJ13))</f>
        <v/>
      </c>
      <c r="AZ13" s="87" t="str">
        <f aca="false">IF(ISBLANK($C13),"",IF($AJ13=Constants!$B$7,IF(ISNUMBER(AV13),COUNTIFS($AK$8:$AK$507,"&lt;"&amp;$AK13)+COUNTIFS($AK$8:$AK$507,$AK13,$AV$8:$AV$507,"&lt;"&amp;$AV13)+COUNTIFS($AK$8:$AK$507,$AK13,$AV$8:$AV$507,$AV13,$AY$8:$AY$507,"&lt;"&amp;$AY13)+1,Constants!$B$14),$AJ13))</f>
        <v/>
      </c>
      <c r="BA13" s="87" t="str">
        <f aca="false">IF(ISBLANK($C13),"",IF($AJ13=Constants!$B$7,IF(ISNUMBER(AW13),AW13-AZ13,Constants!$B$14),$AJ13))</f>
        <v/>
      </c>
      <c r="BB13" s="88"/>
      <c r="BC13" s="89" t="str">
        <f aca="false">IF(ISBLANK($C13),"",IF($AJ13&lt;&gt;Constants!$B$7,$AJ13,SMALL(AQ13:AS13,1)&amp;", "&amp;SMALL(AQ13:AS13,2)&amp;", "&amp;SMALL(AQ13:AS13,3)))</f>
        <v/>
      </c>
      <c r="BD13" s="90" t="str">
        <f aca="false">IF(ISBLANK($C13),"",IF($AJ13&lt;&gt;Constants!$B$7,$AJ13,W13))</f>
        <v/>
      </c>
      <c r="BE13" s="91" t="str">
        <f aca="false">IF(ISBLANK($C13),"",IF($AJ13&lt;&gt;Constants!$B$7,$AJ13,AU13))</f>
        <v/>
      </c>
      <c r="BF13" s="92" t="str">
        <f aca="false">IF(ISBLANK($C13),"",IF($AJ13&lt;&gt;Constants!$B$7,$AJ13,AK13))</f>
        <v/>
      </c>
      <c r="BG13" s="90" t="str">
        <f aca="false">IF(ISBLANK($C13),"",BA13)</f>
        <v/>
      </c>
      <c r="BH13" s="90" t="str">
        <f aca="false">IF(ISBLANK($C13),"",AZ13)</f>
        <v/>
      </c>
      <c r="BI13" s="93" t="str">
        <f aca="false">IF(ISBLANK($C13),"",IF(BH13=Constants!$B$4,COUNTA($C$8:$C$507)+2,IF(BH13=Constants!$B$5,COUNTA($C$8:$C$507)+1,IF(BH13=Constants!$B$6,COUNTA($C$8:$C$507),BH13))))</f>
        <v/>
      </c>
      <c r="BJ13" s="5"/>
      <c r="BK13" s="94" t="n">
        <f aca="false">IF(OR(ISNUMBER(BH13),BH13=Constants!$B$4,BH13=Constants!$B$6,BH13=Constants!$B$5),1,0)</f>
        <v>0</v>
      </c>
      <c r="BL13" s="94" t="n">
        <v>6</v>
      </c>
      <c r="BM13" s="94" t="str">
        <f aca="false">IF(ISBLANK($C13),"",IF(ISNUMBER(BI13),BI13+ROW($B13)/1000,""))</f>
        <v/>
      </c>
      <c r="BN13" s="94" t="str">
        <f aca="false">IF(ISNUMBER(BM13),RANK(BM13,$BM$8:$BM$507,1),"")</f>
        <v/>
      </c>
      <c r="BO13" s="94" t="str">
        <f aca="false">IF(ISBLANK($C13),"",$B13)</f>
        <v/>
      </c>
      <c r="BP13" s="94" t="str">
        <f aca="false">IF(ISBLANK($C13),"",$C13)</f>
        <v/>
      </c>
      <c r="BQ13" s="94" t="str">
        <f aca="false">IF(ISBLANK($C13),"",$D13)</f>
        <v/>
      </c>
      <c r="BR13" s="95" t="str">
        <f aca="false">BF13</f>
        <v/>
      </c>
      <c r="BS13" s="96" t="str">
        <f aca="false">BE13</f>
        <v/>
      </c>
      <c r="BT13" s="94" t="str">
        <f aca="false">IF(ISBLANK($C13),"",BH13)</f>
        <v/>
      </c>
      <c r="BU13" s="97" t="str">
        <f aca="false">IF($BL13&gt;$BK$7,"",VLOOKUP($BL13,$BN$8:$BT$507,7,FALSE()))</f>
        <v/>
      </c>
      <c r="BV13" s="98" t="str">
        <f aca="false">IF($BL13&gt;$BK$7,"",VLOOKUP($BL13,$BN$8:$BT$507,2,FALSE()))</f>
        <v/>
      </c>
      <c r="BW13" s="98" t="str">
        <f aca="false">IF($BL13&gt;$BK$7,"",VLOOKUP($BL13,$BN$8:$BT$507,3,FALSE()))</f>
        <v/>
      </c>
      <c r="BX13" s="98" t="str">
        <f aca="false">IF($BL13&gt;$BK$7,"",VLOOKUP($BL13,$BN$8:$BT$507,4,FALSE()))</f>
        <v/>
      </c>
      <c r="BY13" s="98" t="str">
        <f aca="false">IF($BL13&gt;$BK$7,"",VLOOKUP($BL13,$BN$8:$BT$507,5,FALSE()))</f>
        <v/>
      </c>
      <c r="BZ13" s="99" t="str">
        <f aca="false">IF($BL13&gt;$BK$7,"",VLOOKUP($BL13,$BN$8:$BT$507,6,FALSE()))</f>
        <v/>
      </c>
      <c r="CA13" s="48"/>
    </row>
    <row r="14" customFormat="false" ht="15.75" hidden="false" customHeight="false" outlineLevel="0" collapsed="false">
      <c r="A14" s="5"/>
      <c r="B14" s="109"/>
      <c r="C14" s="75"/>
      <c r="D14" s="76"/>
      <c r="E14" s="52"/>
      <c r="F14" s="53"/>
      <c r="G14" s="54"/>
      <c r="H14" s="55"/>
      <c r="I14" s="56"/>
      <c r="J14" s="54"/>
      <c r="K14" s="55"/>
      <c r="L14" s="54"/>
      <c r="M14" s="55"/>
      <c r="N14" s="54"/>
      <c r="O14" s="55"/>
      <c r="P14" s="54"/>
      <c r="Q14" s="55"/>
      <c r="R14" s="54"/>
      <c r="S14" s="57"/>
      <c r="T14" s="58"/>
      <c r="U14" s="59" t="str">
        <f aca="false">IF(ISBLANK($C14),"",IF(E14=Constants!$B$2, TRUE(), IF(E14=Constants!$B$3, FALSE(), TRUE())))</f>
        <v/>
      </c>
      <c r="V14" s="59" t="str">
        <f aca="false">IF(ISBLANK($C14),"",IF(F14=Constants!$B$2, TRUE(), IF(F14=Constants!$B$3, FALSE(), TRUE())))</f>
        <v/>
      </c>
      <c r="W14" s="59" t="str">
        <f aca="false">IF(ISBLANK($C14),"",IF(G14=Constants!$B$15,Constants!$B$8,IF(G14=Constants!$B$16,Constants!$B$9,Constants!$B$10)))</f>
        <v/>
      </c>
      <c r="X14" s="59" t="str">
        <f aca="false">IF(ISBLANK($C14),"",IF(H14=Constants!$B$2, TRUE(), IF(H14=Constants!$B$3, FALSE(), TRUE())))</f>
        <v/>
      </c>
      <c r="Y14" s="59" t="str">
        <f aca="false">IF(ISBLANK($C14),"",IF(I14=Constants!$B$19,Constants!$B$19,Constants!$B$18))</f>
        <v/>
      </c>
      <c r="Z14" s="59" t="str">
        <f aca="false">IF(ISBLANK($C14),"",IF(ISNUMBER(J14),IF(J14&gt;=0,J14,""),""))</f>
        <v/>
      </c>
      <c r="AA14" s="59" t="str">
        <f aca="false">IF(ISBLANK($C14),"",IF(K14=Constants!$B$19,Constants!$B$19,Constants!$B$18))</f>
        <v/>
      </c>
      <c r="AB14" s="59" t="str">
        <f aca="false">IF(ISBLANK($C14),"",IF(ISNUMBER(L14),IF(L14&gt;=0,L14,""),""))</f>
        <v/>
      </c>
      <c r="AC14" s="59" t="str">
        <f aca="false">IF(ISBLANK($C14),"",IF(M14=Constants!$B$19,Constants!$B$19,Constants!$B$18))</f>
        <v/>
      </c>
      <c r="AD14" s="59" t="str">
        <f aca="false">IF(ISBLANK($C14),"",IF(ISNUMBER(N14),IF(N14&gt;=0,N14,""),""))</f>
        <v/>
      </c>
      <c r="AE14" s="59" t="str">
        <f aca="false">IF(ISBLANK($C14),"",IF(O14=Constants!$B$19,Constants!$B$19,Constants!$B$18))</f>
        <v/>
      </c>
      <c r="AF14" s="59" t="str">
        <f aca="false">IF(ISBLANK($C14),"",IF(ISNUMBER(P14),IF(P14&gt;=0,P14,""),""))</f>
        <v/>
      </c>
      <c r="AG14" s="59" t="str">
        <f aca="false">IF(ISBLANK($C14),"",IF(Q14=Constants!$B$19,Constants!$B$19,Constants!$B$18))</f>
        <v/>
      </c>
      <c r="AH14" s="59" t="str">
        <f aca="false">IF(ISBLANK($C14),"",IF(ISNUMBER(R14),IF(R14&gt;=0,R14,""),""))</f>
        <v/>
      </c>
      <c r="AI14" s="59" t="str">
        <f aca="false">IF(ISBLANK($C14),"",IF(S14=Constants!$B$2, TRUE(), IF(S14=Constants!$B$3, FALSE(), FALSE())))</f>
        <v/>
      </c>
      <c r="AJ14" s="59" t="str">
        <f aca="false">IF(ISBLANK($C14),"",IF(AI14,Constants!$B$4,IF(COUNTA(E14:R14)=0,Constants!$B$5,IF(COUNTA(J14,L14,N14,P14,R14)=0,Constants!$B$6,Constants!$B$7))))</f>
        <v/>
      </c>
      <c r="AK14" s="59" t="str">
        <f aca="false">IF(ISBLANK($C14),"",IF($AJ14&lt;&gt;Constants!$B$7,$AJ14,IF(OR(NOT(X14),AND(NOT(U14),COUNTIFS(Y14:AG14,Constants!$B$18,Z14:AH14,"&gt;=0")&gt;0),AND(NOT(V14),COUNTIFS(Y14:AG14,Constants!$B$19,Z14:AH14,"&gt;=0")&gt;0)),Constants!$B$12,Constants!$B$11)))</f>
        <v/>
      </c>
      <c r="AL14" s="59" t="str">
        <f aca="false">IF($AJ14=Constants!$B$7,IF(Z14="",Constants!$B$13,Z14),"")</f>
        <v/>
      </c>
      <c r="AM14" s="59" t="str">
        <f aca="false">IF($AJ14=Constants!$B$7,IF(AB14="",Constants!$B$13,AB14),"")</f>
        <v/>
      </c>
      <c r="AN14" s="59" t="str">
        <f aca="false">IF($AJ14=Constants!$B$7,IF(AD14="",Constants!$B$13,AD14),"")</f>
        <v/>
      </c>
      <c r="AO14" s="59" t="str">
        <f aca="false">IF($AJ14=Constants!$B$7,IF(AF14="",Constants!$B$13,AF14),"")</f>
        <v/>
      </c>
      <c r="AP14" s="59" t="str">
        <f aca="false">IF($AJ14=Constants!$B$7,IF(AH14="",Constants!$B$13,AH14),"")</f>
        <v/>
      </c>
      <c r="AQ14" s="59" t="str">
        <f aca="false">IF($AJ14=Constants!$B$7,IF(SUMPRODUCT(--($AL14:$AP14&gt;AL14))+SUMPRODUCT(--($AL14:AL14=AL14))=1,1,IF(SUMPRODUCT(--($AL14:$AP14&gt;AM14))+SUMPRODUCT(--($AL14:AM14=AM14))=1,2,IF(SUMPRODUCT(--($AL14:$AP14&gt;AN14))+SUMPRODUCT(--($AL14:AN14=AN14))=1,3,IF(SUMPRODUCT(--($AL14:$AP14&gt;AO14))+SUMPRODUCT(--($AL14:AO14=AO14))=1,4,5)))),"")</f>
        <v/>
      </c>
      <c r="AR14" s="59" t="str">
        <f aca="false">IF($AJ14=Constants!$B$7,IF(SUMPRODUCT(--($AL14:$AP14&gt;AL14))+SUMPRODUCT(--($AL14:AL14=AL14))=2,1,IF(SUMPRODUCT(--($AL14:$AP14&gt;AM14))+SUMPRODUCT(--($AL14:AM14=AM14))=2,2,IF(SUMPRODUCT(--($AL14:$AP14&gt;AN14))+SUMPRODUCT(--($AL14:AN14=AN14))=2,3,IF(SUMPRODUCT(--($AL14:$AP14&gt;AO14))+SUMPRODUCT(--($AL14:AO14=AO14))=2,4,5)))),"")</f>
        <v/>
      </c>
      <c r="AS14" s="59" t="str">
        <f aca="false">IF($AJ14=Constants!$B$7,IF(SUMPRODUCT(--($AL14:$AP14&gt;AL14))+SUMPRODUCT(--($AL14:AL14=AL14))=3,1,IF(SUMPRODUCT(--($AL14:$AP14&gt;AM14))+SUMPRODUCT(--($AL14:AM14=AM14))=3,2,IF(SUMPRODUCT(--($AL14:$AP14&gt;AN14))+SUMPRODUCT(--($AL14:AN14=AN14))=3,3,IF(SUMPRODUCT(--($AL14:$AP14&gt;AO14))+SUMPRODUCT(--($AL14:AO14=AO14))=3,4,5)))),"")</f>
        <v/>
      </c>
      <c r="AT14" s="59" t="str">
        <f aca="false">IF($AJ14=Constants!$B$7,LARGE(AL14:AP14,1)+LARGE(AL14:AP14,2)+LARGE(AL14:AP14,3),"")</f>
        <v/>
      </c>
      <c r="AU14" s="59" t="str">
        <f aca="false">IF(ISBLANK($C14),"",IF($AJ14&lt;&gt;Constants!$B$7,$AJ14,AT14*W14))</f>
        <v/>
      </c>
      <c r="AV14" s="59" t="str">
        <f aca="false">IF(ISBLANK($C14),"",IF($AJ14=Constants!$B$7,IF(ISNUMBER(AU14),RANK(AU14,$AU$8:$AU$507),Constants!$B$14),$AJ14))</f>
        <v/>
      </c>
      <c r="AW14" s="59" t="str">
        <f aca="false">IF(ISBLANK($C14),"",IF($AJ14=Constants!$B$7,IF(ISNUMBER(AV14),COUNTIFS($AK$8:$AK$507,"&lt;"&amp;$AK14)+COUNTIFS($AK$8:$AK$507,$AK14,$AV$8:$AV$507,"&lt;"&amp;$AV14)+1,Constants!$B$14),$AJ14))</f>
        <v/>
      </c>
      <c r="AX14" s="59" t="str">
        <f aca="false">IF(ISBLANK($C14),"",IF($AJ14=Constants!$B$7,LARGE(AL14:AP14,4)*W14,""))</f>
        <v/>
      </c>
      <c r="AY14" s="59" t="str">
        <f aca="false">IF(ISBLANK($C14),"",IF($AJ14=Constants!$B$7,RANK(AX14,$AX$8:$AX$507),$AJ14))</f>
        <v/>
      </c>
      <c r="AZ14" s="59" t="str">
        <f aca="false">IF(ISBLANK($C14),"",IF($AJ14=Constants!$B$7,IF(ISNUMBER(AV14),COUNTIFS($AK$8:$AK$507,"&lt;"&amp;$AK14)+COUNTIFS($AK$8:$AK$507,$AK14,$AV$8:$AV$507,"&lt;"&amp;$AV14)+COUNTIFS($AK$8:$AK$507,$AK14,$AV$8:$AV$507,$AV14,$AY$8:$AY$507,"&lt;"&amp;$AY14)+1,Constants!$B$14),$AJ14))</f>
        <v/>
      </c>
      <c r="BA14" s="59" t="str">
        <f aca="false">IF(ISBLANK($C14),"",IF($AJ14=Constants!$B$7,IF(ISNUMBER(AW14),AW14-AZ14,Constants!$B$14),$AJ14))</f>
        <v/>
      </c>
      <c r="BB14" s="61"/>
      <c r="BC14" s="62" t="str">
        <f aca="false">IF(ISBLANK($C14),"",IF($AJ14&lt;&gt;Constants!$B$7,$AJ14,SMALL(AQ14:AS14,1)&amp;", "&amp;SMALL(AQ14:AS14,2)&amp;", "&amp;SMALL(AQ14:AS14,3)))</f>
        <v/>
      </c>
      <c r="BD14" s="63" t="str">
        <f aca="false">IF(ISBLANK($C14),"",IF($AJ14&lt;&gt;Constants!$B$7,$AJ14,W14))</f>
        <v/>
      </c>
      <c r="BE14" s="64" t="str">
        <f aca="false">IF(ISBLANK($C14),"",IF($AJ14&lt;&gt;Constants!$B$7,$AJ14,AU14))</f>
        <v/>
      </c>
      <c r="BF14" s="65" t="str">
        <f aca="false">IF(ISBLANK($C14),"",IF($AJ14&lt;&gt;Constants!$B$7,$AJ14,AK14))</f>
        <v/>
      </c>
      <c r="BG14" s="63" t="str">
        <f aca="false">IF(ISBLANK($C14),"",BA14)</f>
        <v/>
      </c>
      <c r="BH14" s="63" t="str">
        <f aca="false">IF(ISBLANK($C14),"",AZ14)</f>
        <v/>
      </c>
      <c r="BI14" s="66" t="str">
        <f aca="false">IF(ISBLANK($C14),"",IF(BH14=Constants!$B$4,COUNTA($C$8:$C$507)+2,IF(BH14=Constants!$B$5,COUNTA($C$8:$C$507)+1,IF(BH14=Constants!$B$6,COUNTA($C$8:$C$507),BH14))))</f>
        <v/>
      </c>
      <c r="BJ14" s="5"/>
      <c r="BK14" s="67" t="n">
        <f aca="false">IF(OR(ISNUMBER(BH14),BH14=Constants!$B$4,BH14=Constants!$B$6,BH14=Constants!$B$5),1,0)</f>
        <v>0</v>
      </c>
      <c r="BL14" s="67" t="n">
        <v>7</v>
      </c>
      <c r="BM14" s="67" t="str">
        <f aca="false">IF(ISBLANK($C14),"",IF(ISNUMBER(BI14),BI14+ROW($B14)/1000,""))</f>
        <v/>
      </c>
      <c r="BN14" s="67" t="str">
        <f aca="false">IF(ISNUMBER(BM14),RANK(BM14,$BM$8:$BM$507,1),"")</f>
        <v/>
      </c>
      <c r="BO14" s="67" t="str">
        <f aca="false">IF(ISBLANK($C14),"",$B14)</f>
        <v/>
      </c>
      <c r="BP14" s="67" t="str">
        <f aca="false">IF(ISBLANK($C14),"",$C14)</f>
        <v/>
      </c>
      <c r="BQ14" s="67" t="str">
        <f aca="false">IF(ISBLANK($C14),"",$D14)</f>
        <v/>
      </c>
      <c r="BR14" s="68" t="str">
        <f aca="false">BF14</f>
        <v/>
      </c>
      <c r="BS14" s="69" t="str">
        <f aca="false">BE14</f>
        <v/>
      </c>
      <c r="BT14" s="67" t="str">
        <f aca="false">IF(ISBLANK($C14),"",BH14)</f>
        <v/>
      </c>
      <c r="BU14" s="70" t="str">
        <f aca="false">IF($BL14&gt;$BK$7,"",VLOOKUP($BL14,$BN$8:$BT$507,7,FALSE()))</f>
        <v/>
      </c>
      <c r="BV14" s="71" t="str">
        <f aca="false">IF($BL14&gt;$BK$7,"",VLOOKUP($BL14,$BN$8:$BT$507,2,FALSE()))</f>
        <v/>
      </c>
      <c r="BW14" s="71" t="str">
        <f aca="false">IF($BL14&gt;$BK$7,"",VLOOKUP($BL14,$BN$8:$BT$507,3,FALSE()))</f>
        <v/>
      </c>
      <c r="BX14" s="71" t="str">
        <f aca="false">IF($BL14&gt;$BK$7,"",VLOOKUP($BL14,$BN$8:$BT$507,4,FALSE()))</f>
        <v/>
      </c>
      <c r="BY14" s="71" t="str">
        <f aca="false">IF($BL14&gt;$BK$7,"",VLOOKUP($BL14,$BN$8:$BT$507,5,FALSE()))</f>
        <v/>
      </c>
      <c r="BZ14" s="72" t="str">
        <f aca="false">IF($BL14&gt;$BK$7,"",VLOOKUP($BL14,$BN$8:$BT$507,6,FALSE()))</f>
        <v/>
      </c>
      <c r="CA14" s="48"/>
    </row>
    <row r="15" customFormat="false" ht="15.75" hidden="false" customHeight="false" outlineLevel="0" collapsed="false">
      <c r="A15" s="5"/>
      <c r="B15" s="109"/>
      <c r="C15" s="75"/>
      <c r="D15" s="51"/>
      <c r="E15" s="110"/>
      <c r="F15" s="111"/>
      <c r="G15" s="54"/>
      <c r="H15" s="112"/>
      <c r="I15" s="113"/>
      <c r="J15" s="54"/>
      <c r="K15" s="112"/>
      <c r="L15" s="54"/>
      <c r="M15" s="112"/>
      <c r="N15" s="54"/>
      <c r="O15" s="112"/>
      <c r="P15" s="54"/>
      <c r="Q15" s="112"/>
      <c r="R15" s="54"/>
      <c r="S15" s="57"/>
      <c r="T15" s="58"/>
      <c r="U15" s="59" t="str">
        <f aca="false">IF(ISBLANK($C15),"",IF(E15=Constants!$B$2, TRUE(), IF(E15=Constants!$B$3, FALSE(), TRUE())))</f>
        <v/>
      </c>
      <c r="V15" s="59" t="str">
        <f aca="false">IF(ISBLANK($C15),"",IF(F15=Constants!$B$2, TRUE(), IF(F15=Constants!$B$3, FALSE(), TRUE())))</f>
        <v/>
      </c>
      <c r="W15" s="59" t="str">
        <f aca="false">IF(ISBLANK($C15),"",IF(G15=Constants!$B$15,Constants!$B$8,IF(G15=Constants!$B$16,Constants!$B$9,Constants!$B$10)))</f>
        <v/>
      </c>
      <c r="X15" s="59" t="str">
        <f aca="false">IF(ISBLANK($C15),"",IF(H15=Constants!$B$2, TRUE(), IF(H15=Constants!$B$3, FALSE(), TRUE())))</f>
        <v/>
      </c>
      <c r="Y15" s="59" t="str">
        <f aca="false">IF(ISBLANK($C15),"",IF(I15=Constants!$B$19,Constants!$B$19,Constants!$B$18))</f>
        <v/>
      </c>
      <c r="Z15" s="59" t="str">
        <f aca="false">IF(ISBLANK($C15),"",IF(ISNUMBER(J15),IF(J15&gt;=0,J15,""),""))</f>
        <v/>
      </c>
      <c r="AA15" s="59" t="str">
        <f aca="false">IF(ISBLANK($C15),"",IF(K15=Constants!$B$19,Constants!$B$19,Constants!$B$18))</f>
        <v/>
      </c>
      <c r="AB15" s="59" t="str">
        <f aca="false">IF(ISBLANK($C15),"",IF(ISNUMBER(L15),IF(L15&gt;=0,L15,""),""))</f>
        <v/>
      </c>
      <c r="AC15" s="59" t="str">
        <f aca="false">IF(ISBLANK($C15),"",IF(M15=Constants!$B$19,Constants!$B$19,Constants!$B$18))</f>
        <v/>
      </c>
      <c r="AD15" s="59" t="str">
        <f aca="false">IF(ISBLANK($C15),"",IF(ISNUMBER(N15),IF(N15&gt;=0,N15,""),""))</f>
        <v/>
      </c>
      <c r="AE15" s="59" t="str">
        <f aca="false">IF(ISBLANK($C15),"",IF(O15=Constants!$B$19,Constants!$B$19,Constants!$B$18))</f>
        <v/>
      </c>
      <c r="AF15" s="59" t="str">
        <f aca="false">IF(ISBLANK($C15),"",IF(ISNUMBER(P15),IF(P15&gt;=0,P15,""),""))</f>
        <v/>
      </c>
      <c r="AG15" s="59" t="str">
        <f aca="false">IF(ISBLANK($C15),"",IF(Q15=Constants!$B$19,Constants!$B$19,Constants!$B$18))</f>
        <v/>
      </c>
      <c r="AH15" s="59" t="str">
        <f aca="false">IF(ISBLANK($C15),"",IF(ISNUMBER(R15),IF(R15&gt;=0,R15,""),""))</f>
        <v/>
      </c>
      <c r="AI15" s="59" t="str">
        <f aca="false">IF(ISBLANK($C15),"",IF(S15=Constants!$B$2, TRUE(), IF(S15=Constants!$B$3, FALSE(), FALSE())))</f>
        <v/>
      </c>
      <c r="AJ15" s="59" t="str">
        <f aca="false">IF(ISBLANK($C15),"",IF(AI15,Constants!$B$4,IF(COUNTA(E15:R15)=0,Constants!$B$5,IF(COUNTA(J15,L15,N15,P15,R15)=0,Constants!$B$6,Constants!$B$7))))</f>
        <v/>
      </c>
      <c r="AK15" s="59" t="str">
        <f aca="false">IF(ISBLANK($C15),"",IF($AJ15&lt;&gt;Constants!$B$7,$AJ15,IF(OR(NOT(X15),AND(NOT(U15),COUNTIFS(Y15:AG15,Constants!$B$18,Z15:AH15,"&gt;=0")&gt;0),AND(NOT(V15),COUNTIFS(Y15:AG15,Constants!$B$19,Z15:AH15,"&gt;=0")&gt;0)),Constants!$B$12,Constants!$B$11)))</f>
        <v/>
      </c>
      <c r="AL15" s="59" t="str">
        <f aca="false">IF($AJ15=Constants!$B$7,IF(Z15="",Constants!$B$13,Z15),"")</f>
        <v/>
      </c>
      <c r="AM15" s="59" t="str">
        <f aca="false">IF($AJ15=Constants!$B$7,IF(AB15="",Constants!$B$13,AB15),"")</f>
        <v/>
      </c>
      <c r="AN15" s="59" t="str">
        <f aca="false">IF($AJ15=Constants!$B$7,IF(AD15="",Constants!$B$13,AD15),"")</f>
        <v/>
      </c>
      <c r="AO15" s="59" t="str">
        <f aca="false">IF($AJ15=Constants!$B$7,IF(AF15="",Constants!$B$13,AF15),"")</f>
        <v/>
      </c>
      <c r="AP15" s="59" t="str">
        <f aca="false">IF($AJ15=Constants!$B$7,IF(AH15="",Constants!$B$13,AH15),"")</f>
        <v/>
      </c>
      <c r="AQ15" s="59" t="str">
        <f aca="false">IF($AJ15=Constants!$B$7,IF(SUMPRODUCT(--($AL15:$AP15&gt;AL15))+SUMPRODUCT(--($AL15:AL15=AL15))=1,1,IF(SUMPRODUCT(--($AL15:$AP15&gt;AM15))+SUMPRODUCT(--($AL15:AM15=AM15))=1,2,IF(SUMPRODUCT(--($AL15:$AP15&gt;AN15))+SUMPRODUCT(--($AL15:AN15=AN15))=1,3,IF(SUMPRODUCT(--($AL15:$AP15&gt;AO15))+SUMPRODUCT(--($AL15:AO15=AO15))=1,4,5)))),"")</f>
        <v/>
      </c>
      <c r="AR15" s="59" t="str">
        <f aca="false">IF($AJ15=Constants!$B$7,IF(SUMPRODUCT(--($AL15:$AP15&gt;AL15))+SUMPRODUCT(--($AL15:AL15=AL15))=2,1,IF(SUMPRODUCT(--($AL15:$AP15&gt;AM15))+SUMPRODUCT(--($AL15:AM15=AM15))=2,2,IF(SUMPRODUCT(--($AL15:$AP15&gt;AN15))+SUMPRODUCT(--($AL15:AN15=AN15))=2,3,IF(SUMPRODUCT(--($AL15:$AP15&gt;AO15))+SUMPRODUCT(--($AL15:AO15=AO15))=2,4,5)))),"")</f>
        <v/>
      </c>
      <c r="AS15" s="59" t="str">
        <f aca="false">IF($AJ15=Constants!$B$7,IF(SUMPRODUCT(--($AL15:$AP15&gt;AL15))+SUMPRODUCT(--($AL15:AL15=AL15))=3,1,IF(SUMPRODUCT(--($AL15:$AP15&gt;AM15))+SUMPRODUCT(--($AL15:AM15=AM15))=3,2,IF(SUMPRODUCT(--($AL15:$AP15&gt;AN15))+SUMPRODUCT(--($AL15:AN15=AN15))=3,3,IF(SUMPRODUCT(--($AL15:$AP15&gt;AO15))+SUMPRODUCT(--($AL15:AO15=AO15))=3,4,5)))),"")</f>
        <v/>
      </c>
      <c r="AT15" s="59" t="str">
        <f aca="false">IF($AJ15=Constants!$B$7,LARGE(AL15:AP15,1)+LARGE(AL15:AP15,2)+LARGE(AL15:AP15,3),"")</f>
        <v/>
      </c>
      <c r="AU15" s="59" t="str">
        <f aca="false">IF(ISBLANK($C15),"",IF($AJ15&lt;&gt;Constants!$B$7,$AJ15,AT15*W15))</f>
        <v/>
      </c>
      <c r="AV15" s="59" t="str">
        <f aca="false">IF(ISBLANK($C15),"",IF($AJ15=Constants!$B$7,IF(ISNUMBER(AU15),RANK(AU15,$AU$8:$AU$507),Constants!$B$14),$AJ15))</f>
        <v/>
      </c>
      <c r="AW15" s="59" t="str">
        <f aca="false">IF(ISBLANK($C15),"",IF($AJ15=Constants!$B$7,IF(ISNUMBER(AV15),COUNTIFS($AK$8:$AK$507,"&lt;"&amp;$AK15)+COUNTIFS($AK$8:$AK$507,$AK15,$AV$8:$AV$507,"&lt;"&amp;$AV15)+1,Constants!$B$14),$AJ15))</f>
        <v/>
      </c>
      <c r="AX15" s="59" t="str">
        <f aca="false">IF(ISBLANK($C15),"",IF($AJ15=Constants!$B$7,LARGE(AL15:AP15,4)*W15,""))</f>
        <v/>
      </c>
      <c r="AY15" s="59" t="str">
        <f aca="false">IF(ISBLANK($C15),"",IF($AJ15=Constants!$B$7,RANK(AX15,$AX$8:$AX$507),$AJ15))</f>
        <v/>
      </c>
      <c r="AZ15" s="59" t="str">
        <f aca="false">IF(ISBLANK($C15),"",IF($AJ15=Constants!$B$7,IF(ISNUMBER(AV15),COUNTIFS($AK$8:$AK$507,"&lt;"&amp;$AK15)+COUNTIFS($AK$8:$AK$507,$AK15,$AV$8:$AV$507,"&lt;"&amp;$AV15)+COUNTIFS($AK$8:$AK$507,$AK15,$AV$8:$AV$507,$AV15,$AY$8:$AY$507,"&lt;"&amp;$AY15)+1,Constants!$B$14),$AJ15))</f>
        <v/>
      </c>
      <c r="BA15" s="59" t="str">
        <f aca="false">IF(ISBLANK($C15),"",IF($AJ15=Constants!$B$7,IF(ISNUMBER(AW15),AW15-AZ15,Constants!$B$14),$AJ15))</f>
        <v/>
      </c>
      <c r="BB15" s="61"/>
      <c r="BC15" s="62" t="str">
        <f aca="false">IF(ISBLANK($C15),"",IF($AJ15&lt;&gt;Constants!$B$7,$AJ15,SMALL(AQ15:AS15,1)&amp;", "&amp;SMALL(AQ15:AS15,2)&amp;", "&amp;SMALL(AQ15:AS15,3)))</f>
        <v/>
      </c>
      <c r="BD15" s="63" t="str">
        <f aca="false">IF(ISBLANK($C15),"",IF($AJ15&lt;&gt;Constants!$B$7,$AJ15,W15))</f>
        <v/>
      </c>
      <c r="BE15" s="64" t="str">
        <f aca="false">IF(ISBLANK($C15),"",IF($AJ15&lt;&gt;Constants!$B$7,$AJ15,AU15))</f>
        <v/>
      </c>
      <c r="BF15" s="65" t="str">
        <f aca="false">IF(ISBLANK($C15),"",IF($AJ15&lt;&gt;Constants!$B$7,$AJ15,AK15))</f>
        <v/>
      </c>
      <c r="BG15" s="63" t="str">
        <f aca="false">IF(ISBLANK($C15),"",BA15)</f>
        <v/>
      </c>
      <c r="BH15" s="63" t="str">
        <f aca="false">IF(ISBLANK($C15),"",AZ15)</f>
        <v/>
      </c>
      <c r="BI15" s="66" t="str">
        <f aca="false">IF(ISBLANK($C15),"",IF(BH15=Constants!$B$4,COUNTA($C$8:$C$507)+2,IF(BH15=Constants!$B$5,COUNTA($C$8:$C$507)+1,IF(BH15=Constants!$B$6,COUNTA($C$8:$C$507),BH15))))</f>
        <v/>
      </c>
      <c r="BJ15" s="5"/>
      <c r="BK15" s="67" t="n">
        <f aca="false">IF(OR(ISNUMBER(BH15),BH15=Constants!$B$4,BH15=Constants!$B$6,BH15=Constants!$B$5),1,0)</f>
        <v>0</v>
      </c>
      <c r="BL15" s="67" t="n">
        <v>8</v>
      </c>
      <c r="BM15" s="67" t="str">
        <f aca="false">IF(ISBLANK($C15),"",IF(ISNUMBER(BI15),BI15+ROW($B15)/1000,""))</f>
        <v/>
      </c>
      <c r="BN15" s="67" t="str">
        <f aca="false">IF(ISNUMBER(BM15),RANK(BM15,$BM$8:$BM$507,1),"")</f>
        <v/>
      </c>
      <c r="BO15" s="67" t="str">
        <f aca="false">IF(ISBLANK($C15),"",$B15)</f>
        <v/>
      </c>
      <c r="BP15" s="67" t="str">
        <f aca="false">IF(ISBLANK($C15),"",$C15)</f>
        <v/>
      </c>
      <c r="BQ15" s="67" t="str">
        <f aca="false">IF(ISBLANK($C15),"",$D15)</f>
        <v/>
      </c>
      <c r="BR15" s="68" t="str">
        <f aca="false">BF15</f>
        <v/>
      </c>
      <c r="BS15" s="69" t="str">
        <f aca="false">BE15</f>
        <v/>
      </c>
      <c r="BT15" s="67" t="str">
        <f aca="false">IF(ISBLANK($C15),"",BH15)</f>
        <v/>
      </c>
      <c r="BU15" s="70" t="str">
        <f aca="false">IF($BL15&gt;$BK$7,"",VLOOKUP($BL15,$BN$8:$BT$507,7,FALSE()))</f>
        <v/>
      </c>
      <c r="BV15" s="71" t="str">
        <f aca="false">IF($BL15&gt;$BK$7,"",VLOOKUP($BL15,$BN$8:$BT$507,2,FALSE()))</f>
        <v/>
      </c>
      <c r="BW15" s="71" t="str">
        <f aca="false">IF($BL15&gt;$BK$7,"",VLOOKUP($BL15,$BN$8:$BT$507,3,FALSE()))</f>
        <v/>
      </c>
      <c r="BX15" s="71" t="str">
        <f aca="false">IF($BL15&gt;$BK$7,"",VLOOKUP($BL15,$BN$8:$BT$507,4,FALSE()))</f>
        <v/>
      </c>
      <c r="BY15" s="71" t="str">
        <f aca="false">IF($BL15&gt;$BK$7,"",VLOOKUP($BL15,$BN$8:$BT$507,5,FALSE()))</f>
        <v/>
      </c>
      <c r="BZ15" s="72" t="str">
        <f aca="false">IF($BL15&gt;$BK$7,"",VLOOKUP($BL15,$BN$8:$BT$507,6,FALSE()))</f>
        <v/>
      </c>
      <c r="CA15" s="48"/>
    </row>
    <row r="16" customFormat="false" ht="15.75" hidden="false" customHeight="false" outlineLevel="0" collapsed="false">
      <c r="A16" s="5"/>
      <c r="B16" s="109"/>
      <c r="C16" s="75"/>
      <c r="D16" s="51"/>
      <c r="E16" s="52"/>
      <c r="F16" s="53"/>
      <c r="G16" s="54"/>
      <c r="H16" s="55"/>
      <c r="I16" s="56"/>
      <c r="J16" s="54"/>
      <c r="K16" s="55"/>
      <c r="L16" s="54"/>
      <c r="M16" s="55"/>
      <c r="N16" s="54"/>
      <c r="O16" s="55"/>
      <c r="P16" s="54"/>
      <c r="Q16" s="55"/>
      <c r="R16" s="54"/>
      <c r="S16" s="57"/>
      <c r="T16" s="58"/>
      <c r="U16" s="59" t="str">
        <f aca="false">IF(ISBLANK($C16),"",IF(E16=Constants!$B$2, TRUE(), IF(E16=Constants!$B$3, FALSE(), TRUE())))</f>
        <v/>
      </c>
      <c r="V16" s="59" t="str">
        <f aca="false">IF(ISBLANK($C16),"",IF(F16=Constants!$B$2, TRUE(), IF(F16=Constants!$B$3, FALSE(), TRUE())))</f>
        <v/>
      </c>
      <c r="W16" s="59" t="str">
        <f aca="false">IF(ISBLANK($C16),"",IF(G16=Constants!$B$15,Constants!$B$8,IF(G16=Constants!$B$16,Constants!$B$9,Constants!$B$10)))</f>
        <v/>
      </c>
      <c r="X16" s="59" t="str">
        <f aca="false">IF(ISBLANK($C16),"",IF(H16=Constants!$B$2, TRUE(), IF(H16=Constants!$B$3, FALSE(), TRUE())))</f>
        <v/>
      </c>
      <c r="Y16" s="59" t="str">
        <f aca="false">IF(ISBLANK($C16),"",IF(I16=Constants!$B$19,Constants!$B$19,Constants!$B$18))</f>
        <v/>
      </c>
      <c r="Z16" s="59" t="str">
        <f aca="false">IF(ISBLANK($C16),"",IF(ISNUMBER(J16),IF(J16&gt;=0,J16,""),""))</f>
        <v/>
      </c>
      <c r="AA16" s="59" t="str">
        <f aca="false">IF(ISBLANK($C16),"",IF(K16=Constants!$B$19,Constants!$B$19,Constants!$B$18))</f>
        <v/>
      </c>
      <c r="AB16" s="59" t="str">
        <f aca="false">IF(ISBLANK($C16),"",IF(ISNUMBER(L16),IF(L16&gt;=0,L16,""),""))</f>
        <v/>
      </c>
      <c r="AC16" s="59" t="str">
        <f aca="false">IF(ISBLANK($C16),"",IF(M16=Constants!$B$19,Constants!$B$19,Constants!$B$18))</f>
        <v/>
      </c>
      <c r="AD16" s="59" t="str">
        <f aca="false">IF(ISBLANK($C16),"",IF(ISNUMBER(N16),IF(N16&gt;=0,N16,""),""))</f>
        <v/>
      </c>
      <c r="AE16" s="59" t="str">
        <f aca="false">IF(ISBLANK($C16),"",IF(O16=Constants!$B$19,Constants!$B$19,Constants!$B$18))</f>
        <v/>
      </c>
      <c r="AF16" s="59" t="str">
        <f aca="false">IF(ISBLANK($C16),"",IF(ISNUMBER(P16),IF(P16&gt;=0,P16,""),""))</f>
        <v/>
      </c>
      <c r="AG16" s="59" t="str">
        <f aca="false">IF(ISBLANK($C16),"",IF(Q16=Constants!$B$19,Constants!$B$19,Constants!$B$18))</f>
        <v/>
      </c>
      <c r="AH16" s="59" t="str">
        <f aca="false">IF(ISBLANK($C16),"",IF(ISNUMBER(R16),IF(R16&gt;=0,R16,""),""))</f>
        <v/>
      </c>
      <c r="AI16" s="59" t="str">
        <f aca="false">IF(ISBLANK($C16),"",IF(S16=Constants!$B$2, TRUE(), IF(S16=Constants!$B$3, FALSE(), FALSE())))</f>
        <v/>
      </c>
      <c r="AJ16" s="59" t="str">
        <f aca="false">IF(ISBLANK($C16),"",IF(AI16,Constants!$B$4,IF(COUNTA(E16:R16)=0,Constants!$B$5,IF(COUNTA(J16,L16,N16,P16,R16)=0,Constants!$B$6,Constants!$B$7))))</f>
        <v/>
      </c>
      <c r="AK16" s="59" t="str">
        <f aca="false">IF(ISBLANK($C16),"",IF($AJ16&lt;&gt;Constants!$B$7,$AJ16,IF(OR(NOT(X16),AND(NOT(U16),COUNTIFS(Y16:AG16,Constants!$B$18,Z16:AH16,"&gt;=0")&gt;0),AND(NOT(V16),COUNTIFS(Y16:AG16,Constants!$B$19,Z16:AH16,"&gt;=0")&gt;0)),Constants!$B$12,Constants!$B$11)))</f>
        <v/>
      </c>
      <c r="AL16" s="59" t="str">
        <f aca="false">IF($AJ16=Constants!$B$7,IF(Z16="",Constants!$B$13,Z16),"")</f>
        <v/>
      </c>
      <c r="AM16" s="59" t="str">
        <f aca="false">IF($AJ16=Constants!$B$7,IF(AB16="",Constants!$B$13,AB16),"")</f>
        <v/>
      </c>
      <c r="AN16" s="59" t="str">
        <f aca="false">IF($AJ16=Constants!$B$7,IF(AD16="",Constants!$B$13,AD16),"")</f>
        <v/>
      </c>
      <c r="AO16" s="59" t="str">
        <f aca="false">IF($AJ16=Constants!$B$7,IF(AF16="",Constants!$B$13,AF16),"")</f>
        <v/>
      </c>
      <c r="AP16" s="59" t="str">
        <f aca="false">IF($AJ16=Constants!$B$7,IF(AH16="",Constants!$B$13,AH16),"")</f>
        <v/>
      </c>
      <c r="AQ16" s="59" t="str">
        <f aca="false">IF($AJ16=Constants!$B$7,IF(SUMPRODUCT(--($AL16:$AP16&gt;AL16))+SUMPRODUCT(--($AL16:AL16=AL16))=1,1,IF(SUMPRODUCT(--($AL16:$AP16&gt;AM16))+SUMPRODUCT(--($AL16:AM16=AM16))=1,2,IF(SUMPRODUCT(--($AL16:$AP16&gt;AN16))+SUMPRODUCT(--($AL16:AN16=AN16))=1,3,IF(SUMPRODUCT(--($AL16:$AP16&gt;AO16))+SUMPRODUCT(--($AL16:AO16=AO16))=1,4,5)))),"")</f>
        <v/>
      </c>
      <c r="AR16" s="59" t="str">
        <f aca="false">IF($AJ16=Constants!$B$7,IF(SUMPRODUCT(--($AL16:$AP16&gt;AL16))+SUMPRODUCT(--($AL16:AL16=AL16))=2,1,IF(SUMPRODUCT(--($AL16:$AP16&gt;AM16))+SUMPRODUCT(--($AL16:AM16=AM16))=2,2,IF(SUMPRODUCT(--($AL16:$AP16&gt;AN16))+SUMPRODUCT(--($AL16:AN16=AN16))=2,3,IF(SUMPRODUCT(--($AL16:$AP16&gt;AO16))+SUMPRODUCT(--($AL16:AO16=AO16))=2,4,5)))),"")</f>
        <v/>
      </c>
      <c r="AS16" s="59" t="str">
        <f aca="false">IF($AJ16=Constants!$B$7,IF(SUMPRODUCT(--($AL16:$AP16&gt;AL16))+SUMPRODUCT(--($AL16:AL16=AL16))=3,1,IF(SUMPRODUCT(--($AL16:$AP16&gt;AM16))+SUMPRODUCT(--($AL16:AM16=AM16))=3,2,IF(SUMPRODUCT(--($AL16:$AP16&gt;AN16))+SUMPRODUCT(--($AL16:AN16=AN16))=3,3,IF(SUMPRODUCT(--($AL16:$AP16&gt;AO16))+SUMPRODUCT(--($AL16:AO16=AO16))=3,4,5)))),"")</f>
        <v/>
      </c>
      <c r="AT16" s="59" t="str">
        <f aca="false">IF($AJ16=Constants!$B$7,LARGE(AL16:AP16,1)+LARGE(AL16:AP16,2)+LARGE(AL16:AP16,3),"")</f>
        <v/>
      </c>
      <c r="AU16" s="59" t="str">
        <f aca="false">IF(ISBLANK($C16),"",IF($AJ16&lt;&gt;Constants!$B$7,$AJ16,AT16*W16))</f>
        <v/>
      </c>
      <c r="AV16" s="59" t="str">
        <f aca="false">IF(ISBLANK($C16),"",IF($AJ16=Constants!$B$7,IF(ISNUMBER(AU16),RANK(AU16,$AU$8:$AU$507),Constants!$B$14),$AJ16))</f>
        <v/>
      </c>
      <c r="AW16" s="59" t="str">
        <f aca="false">IF(ISBLANK($C16),"",IF($AJ16=Constants!$B$7,IF(ISNUMBER(AV16),COUNTIFS($AK$8:$AK$507,"&lt;"&amp;$AK16)+COUNTIFS($AK$8:$AK$507,$AK16,$AV$8:$AV$507,"&lt;"&amp;$AV16)+1,Constants!$B$14),$AJ16))</f>
        <v/>
      </c>
      <c r="AX16" s="59" t="str">
        <f aca="false">IF(ISBLANK($C16),"",IF($AJ16=Constants!$B$7,LARGE(AL16:AP16,4)*W16,""))</f>
        <v/>
      </c>
      <c r="AY16" s="59" t="str">
        <f aca="false">IF(ISBLANK($C16),"",IF($AJ16=Constants!$B$7,RANK(AX16,$AX$8:$AX$507),$AJ16))</f>
        <v/>
      </c>
      <c r="AZ16" s="59" t="str">
        <f aca="false">IF(ISBLANK($C16),"",IF($AJ16=Constants!$B$7,IF(ISNUMBER(AV16),COUNTIFS($AK$8:$AK$507,"&lt;"&amp;$AK16)+COUNTIFS($AK$8:$AK$507,$AK16,$AV$8:$AV$507,"&lt;"&amp;$AV16)+COUNTIFS($AK$8:$AK$507,$AK16,$AV$8:$AV$507,$AV16,$AY$8:$AY$507,"&lt;"&amp;$AY16)+1,Constants!$B$14),$AJ16))</f>
        <v/>
      </c>
      <c r="BA16" s="59" t="str">
        <f aca="false">IF(ISBLANK($C16),"",IF($AJ16=Constants!$B$7,IF(ISNUMBER(AW16),AW16-AZ16,Constants!$B$14),$AJ16))</f>
        <v/>
      </c>
      <c r="BB16" s="61"/>
      <c r="BC16" s="62" t="str">
        <f aca="false">IF(ISBLANK($C16),"",IF($AJ16&lt;&gt;Constants!$B$7,$AJ16,SMALL(AQ16:AS16,1)&amp;", "&amp;SMALL(AQ16:AS16,2)&amp;", "&amp;SMALL(AQ16:AS16,3)))</f>
        <v/>
      </c>
      <c r="BD16" s="63" t="str">
        <f aca="false">IF(ISBLANK($C16),"",IF($AJ16&lt;&gt;Constants!$B$7,$AJ16,W16))</f>
        <v/>
      </c>
      <c r="BE16" s="64" t="str">
        <f aca="false">IF(ISBLANK($C16),"",IF($AJ16&lt;&gt;Constants!$B$7,$AJ16,AU16))</f>
        <v/>
      </c>
      <c r="BF16" s="65" t="str">
        <f aca="false">IF(ISBLANK($C16),"",IF($AJ16&lt;&gt;Constants!$B$7,$AJ16,AK16))</f>
        <v/>
      </c>
      <c r="BG16" s="63" t="str">
        <f aca="false">IF(ISBLANK($C16),"",BA16)</f>
        <v/>
      </c>
      <c r="BH16" s="63" t="str">
        <f aca="false">IF(ISBLANK($C16),"",AZ16)</f>
        <v/>
      </c>
      <c r="BI16" s="66" t="str">
        <f aca="false">IF(ISBLANK($C16),"",IF(BH16=Constants!$B$4,COUNTA($C$8:$C$507)+2,IF(BH16=Constants!$B$5,COUNTA($C$8:$C$507)+1,IF(BH16=Constants!$B$6,COUNTA($C$8:$C$507),BH16))))</f>
        <v/>
      </c>
      <c r="BJ16" s="5"/>
      <c r="BK16" s="67" t="n">
        <f aca="false">IF(OR(ISNUMBER(BH16),BH16=Constants!$B$4,BH16=Constants!$B$6,BH16=Constants!$B$5),1,0)</f>
        <v>0</v>
      </c>
      <c r="BL16" s="67" t="n">
        <v>9</v>
      </c>
      <c r="BM16" s="67" t="str">
        <f aca="false">IF(ISBLANK($C16),"",IF(ISNUMBER(BI16),BI16+ROW($B16)/1000,""))</f>
        <v/>
      </c>
      <c r="BN16" s="67" t="str">
        <f aca="false">IF(ISNUMBER(BM16),RANK(BM16,$BM$8:$BM$507,1),"")</f>
        <v/>
      </c>
      <c r="BO16" s="67" t="str">
        <f aca="false">IF(ISBLANK($C16),"",$B16)</f>
        <v/>
      </c>
      <c r="BP16" s="67" t="str">
        <f aca="false">IF(ISBLANK($C16),"",$C16)</f>
        <v/>
      </c>
      <c r="BQ16" s="67" t="str">
        <f aca="false">IF(ISBLANK($C16),"",$D16)</f>
        <v/>
      </c>
      <c r="BR16" s="68" t="str">
        <f aca="false">BF16</f>
        <v/>
      </c>
      <c r="BS16" s="69" t="str">
        <f aca="false">BE16</f>
        <v/>
      </c>
      <c r="BT16" s="67" t="str">
        <f aca="false">IF(ISBLANK($C16),"",BH16)</f>
        <v/>
      </c>
      <c r="BU16" s="70" t="str">
        <f aca="false">IF($BL16&gt;$BK$7,"",VLOOKUP($BL16,$BN$8:$BT$507,7,FALSE()))</f>
        <v/>
      </c>
      <c r="BV16" s="71" t="str">
        <f aca="false">IF($BL16&gt;$BK$7,"",VLOOKUP($BL16,$BN$8:$BT$507,2,FALSE()))</f>
        <v/>
      </c>
      <c r="BW16" s="71" t="str">
        <f aca="false">IF($BL16&gt;$BK$7,"",VLOOKUP($BL16,$BN$8:$BT$507,3,FALSE()))</f>
        <v/>
      </c>
      <c r="BX16" s="71" t="str">
        <f aca="false">IF($BL16&gt;$BK$7,"",VLOOKUP($BL16,$BN$8:$BT$507,4,FALSE()))</f>
        <v/>
      </c>
      <c r="BY16" s="71" t="str">
        <f aca="false">IF($BL16&gt;$BK$7,"",VLOOKUP($BL16,$BN$8:$BT$507,5,FALSE()))</f>
        <v/>
      </c>
      <c r="BZ16" s="72" t="str">
        <f aca="false">IF($BL16&gt;$BK$7,"",VLOOKUP($BL16,$BN$8:$BT$507,6,FALSE()))</f>
        <v/>
      </c>
      <c r="CA16" s="48"/>
    </row>
    <row r="17" customFormat="false" ht="15.75" hidden="false" customHeight="false" outlineLevel="0" collapsed="false">
      <c r="A17" s="5"/>
      <c r="B17" s="114"/>
      <c r="C17" s="115"/>
      <c r="D17" s="100"/>
      <c r="E17" s="116"/>
      <c r="F17" s="117"/>
      <c r="G17" s="82"/>
      <c r="H17" s="118"/>
      <c r="I17" s="119"/>
      <c r="J17" s="82"/>
      <c r="K17" s="118"/>
      <c r="L17" s="82"/>
      <c r="M17" s="118"/>
      <c r="N17" s="82"/>
      <c r="O17" s="118"/>
      <c r="P17" s="82"/>
      <c r="Q17" s="118"/>
      <c r="R17" s="82"/>
      <c r="S17" s="120"/>
      <c r="T17" s="86"/>
      <c r="U17" s="87" t="str">
        <f aca="false">IF(ISBLANK($C17),"",IF(E17=Constants!$B$2, TRUE(), IF(E17=Constants!$B$3, FALSE(), TRUE())))</f>
        <v/>
      </c>
      <c r="V17" s="87" t="str">
        <f aca="false">IF(ISBLANK($C17),"",IF(F17=Constants!$B$2, TRUE(), IF(F17=Constants!$B$3, FALSE(), TRUE())))</f>
        <v/>
      </c>
      <c r="W17" s="87" t="str">
        <f aca="false">IF(ISBLANK($C17),"",IF(G17=Constants!$B$15,Constants!$B$8,IF(G17=Constants!$B$16,Constants!$B$9,Constants!$B$10)))</f>
        <v/>
      </c>
      <c r="X17" s="87" t="str">
        <f aca="false">IF(ISBLANK($C17),"",IF(H17=Constants!$B$2, TRUE(), IF(H17=Constants!$B$3, FALSE(), TRUE())))</f>
        <v/>
      </c>
      <c r="Y17" s="87" t="str">
        <f aca="false">IF(ISBLANK($C17),"",IF(I17=Constants!$B$19,Constants!$B$19,Constants!$B$18))</f>
        <v/>
      </c>
      <c r="Z17" s="87" t="str">
        <f aca="false">IF(ISBLANK($C17),"",IF(ISNUMBER(J17),IF(J17&gt;=0,J17,""),""))</f>
        <v/>
      </c>
      <c r="AA17" s="87" t="str">
        <f aca="false">IF(ISBLANK($C17),"",IF(K17=Constants!$B$19,Constants!$B$19,Constants!$B$18))</f>
        <v/>
      </c>
      <c r="AB17" s="87" t="str">
        <f aca="false">IF(ISBLANK($C17),"",IF(ISNUMBER(L17),IF(L17&gt;=0,L17,""),""))</f>
        <v/>
      </c>
      <c r="AC17" s="87" t="str">
        <f aca="false">IF(ISBLANK($C17),"",IF(M17=Constants!$B$19,Constants!$B$19,Constants!$B$18))</f>
        <v/>
      </c>
      <c r="AD17" s="87" t="str">
        <f aca="false">IF(ISBLANK($C17),"",IF(ISNUMBER(N17),IF(N17&gt;=0,N17,""),""))</f>
        <v/>
      </c>
      <c r="AE17" s="87" t="str">
        <f aca="false">IF(ISBLANK($C17),"",IF(O17=Constants!$B$19,Constants!$B$19,Constants!$B$18))</f>
        <v/>
      </c>
      <c r="AF17" s="87" t="str">
        <f aca="false">IF(ISBLANK($C17),"",IF(ISNUMBER(P17),IF(P17&gt;=0,P17,""),""))</f>
        <v/>
      </c>
      <c r="AG17" s="87" t="str">
        <f aca="false">IF(ISBLANK($C17),"",IF(Q17=Constants!$B$19,Constants!$B$19,Constants!$B$18))</f>
        <v/>
      </c>
      <c r="AH17" s="87" t="str">
        <f aca="false">IF(ISBLANK($C17),"",IF(ISNUMBER(R17),IF(R17&gt;=0,R17,""),""))</f>
        <v/>
      </c>
      <c r="AI17" s="87" t="str">
        <f aca="false">IF(ISBLANK($C17),"",IF(S17=Constants!$B$2, TRUE(), IF(S17=Constants!$B$3, FALSE(), FALSE())))</f>
        <v/>
      </c>
      <c r="AJ17" s="87" t="str">
        <f aca="false">IF(ISBLANK($C17),"",IF(AI17,Constants!$B$4,IF(COUNTA(E17:R17)=0,Constants!$B$5,IF(COUNTA(J17,L17,N17,P17,R17)=0,Constants!$B$6,Constants!$B$7))))</f>
        <v/>
      </c>
      <c r="AK17" s="87" t="str">
        <f aca="false">IF(ISBLANK($C17),"",IF($AJ17&lt;&gt;Constants!$B$7,$AJ17,IF(OR(NOT(X17),AND(NOT(U17),COUNTIFS(Y17:AG17,Constants!$B$18,Z17:AH17,"&gt;=0")&gt;0),AND(NOT(V17),COUNTIFS(Y17:AG17,Constants!$B$19,Z17:AH17,"&gt;=0")&gt;0)),Constants!$B$12,Constants!$B$11)))</f>
        <v/>
      </c>
      <c r="AL17" s="87" t="str">
        <f aca="false">IF($AJ17=Constants!$B$7,IF(Z17="",Constants!$B$13,Z17),"")</f>
        <v/>
      </c>
      <c r="AM17" s="87" t="str">
        <f aca="false">IF($AJ17=Constants!$B$7,IF(AB17="",Constants!$B$13,AB17),"")</f>
        <v/>
      </c>
      <c r="AN17" s="87" t="str">
        <f aca="false">IF($AJ17=Constants!$B$7,IF(AD17="",Constants!$B$13,AD17),"")</f>
        <v/>
      </c>
      <c r="AO17" s="87" t="str">
        <f aca="false">IF($AJ17=Constants!$B$7,IF(AF17="",Constants!$B$13,AF17),"")</f>
        <v/>
      </c>
      <c r="AP17" s="87" t="str">
        <f aca="false">IF($AJ17=Constants!$B$7,IF(AH17="",Constants!$B$13,AH17),"")</f>
        <v/>
      </c>
      <c r="AQ17" s="87" t="str">
        <f aca="false">IF($AJ17=Constants!$B$7,IF(SUMPRODUCT(--($AL17:$AP17&gt;AL17))+SUMPRODUCT(--($AL17:AL17=AL17))=1,1,IF(SUMPRODUCT(--($AL17:$AP17&gt;AM17))+SUMPRODUCT(--($AL17:AM17=AM17))=1,2,IF(SUMPRODUCT(--($AL17:$AP17&gt;AN17))+SUMPRODUCT(--($AL17:AN17=AN17))=1,3,IF(SUMPRODUCT(--($AL17:$AP17&gt;AO17))+SUMPRODUCT(--($AL17:AO17=AO17))=1,4,5)))),"")</f>
        <v/>
      </c>
      <c r="AR17" s="87" t="str">
        <f aca="false">IF($AJ17=Constants!$B$7,IF(SUMPRODUCT(--($AL17:$AP17&gt;AL17))+SUMPRODUCT(--($AL17:AL17=AL17))=2,1,IF(SUMPRODUCT(--($AL17:$AP17&gt;AM17))+SUMPRODUCT(--($AL17:AM17=AM17))=2,2,IF(SUMPRODUCT(--($AL17:$AP17&gt;AN17))+SUMPRODUCT(--($AL17:AN17=AN17))=2,3,IF(SUMPRODUCT(--($AL17:$AP17&gt;AO17))+SUMPRODUCT(--($AL17:AO17=AO17))=2,4,5)))),"")</f>
        <v/>
      </c>
      <c r="AS17" s="87" t="str">
        <f aca="false">IF($AJ17=Constants!$B$7,IF(SUMPRODUCT(--($AL17:$AP17&gt;AL17))+SUMPRODUCT(--($AL17:AL17=AL17))=3,1,IF(SUMPRODUCT(--($AL17:$AP17&gt;AM17))+SUMPRODUCT(--($AL17:AM17=AM17))=3,2,IF(SUMPRODUCT(--($AL17:$AP17&gt;AN17))+SUMPRODUCT(--($AL17:AN17=AN17))=3,3,IF(SUMPRODUCT(--($AL17:$AP17&gt;AO17))+SUMPRODUCT(--($AL17:AO17=AO17))=3,4,5)))),"")</f>
        <v/>
      </c>
      <c r="AT17" s="87" t="str">
        <f aca="false">IF($AJ17=Constants!$B$7,LARGE(AL17:AP17,1)+LARGE(AL17:AP17,2)+LARGE(AL17:AP17,3),"")</f>
        <v/>
      </c>
      <c r="AU17" s="87" t="str">
        <f aca="false">IF(ISBLANK($C17),"",IF($AJ17&lt;&gt;Constants!$B$7,$AJ17,AT17*W17))</f>
        <v/>
      </c>
      <c r="AV17" s="87" t="str">
        <f aca="false">IF(ISBLANK($C17),"",IF($AJ17=Constants!$B$7,IF(ISNUMBER(AU17),RANK(AU17,$AU$8:$AU$507),Constants!$B$14),$AJ17))</f>
        <v/>
      </c>
      <c r="AW17" s="87" t="str">
        <f aca="false">IF(ISBLANK($C17),"",IF($AJ17=Constants!$B$7,IF(ISNUMBER(AV17),COUNTIFS($AK$8:$AK$507,"&lt;"&amp;$AK17)+COUNTIFS($AK$8:$AK$507,$AK17,$AV$8:$AV$507,"&lt;"&amp;$AV17)+1,Constants!$B$14),$AJ17))</f>
        <v/>
      </c>
      <c r="AX17" s="87" t="str">
        <f aca="false">IF(ISBLANK($C17),"",IF($AJ17=Constants!$B$7,LARGE(AL17:AP17,4)*W17,""))</f>
        <v/>
      </c>
      <c r="AY17" s="87" t="str">
        <f aca="false">IF(ISBLANK($C17),"",IF($AJ17=Constants!$B$7,RANK(AX17,$AX$8:$AX$507),$AJ17))</f>
        <v/>
      </c>
      <c r="AZ17" s="87" t="str">
        <f aca="false">IF(ISBLANK($C17),"",IF($AJ17=Constants!$B$7,IF(ISNUMBER(AV17),COUNTIFS($AK$8:$AK$507,"&lt;"&amp;$AK17)+COUNTIFS($AK$8:$AK$507,$AK17,$AV$8:$AV$507,"&lt;"&amp;$AV17)+COUNTIFS($AK$8:$AK$507,$AK17,$AV$8:$AV$507,$AV17,$AY$8:$AY$507,"&lt;"&amp;$AY17)+1,Constants!$B$14),$AJ17))</f>
        <v/>
      </c>
      <c r="BA17" s="87" t="str">
        <f aca="false">IF(ISBLANK($C17),"",IF($AJ17=Constants!$B$7,IF(ISNUMBER(AW17),AW17-AZ17,Constants!$B$14),$AJ17))</f>
        <v/>
      </c>
      <c r="BB17" s="88"/>
      <c r="BC17" s="89" t="str">
        <f aca="false">IF(ISBLANK($C17),"",IF($AJ17&lt;&gt;Constants!$B$7,$AJ17,SMALL(AQ17:AS17,1)&amp;", "&amp;SMALL(AQ17:AS17,2)&amp;", "&amp;SMALL(AQ17:AS17,3)))</f>
        <v/>
      </c>
      <c r="BD17" s="90" t="str">
        <f aca="false">IF(ISBLANK($C17),"",IF($AJ17&lt;&gt;Constants!$B$7,$AJ17,W17))</f>
        <v/>
      </c>
      <c r="BE17" s="91" t="str">
        <f aca="false">IF(ISBLANK($C17),"",IF($AJ17&lt;&gt;Constants!$B$7,$AJ17,AU17))</f>
        <v/>
      </c>
      <c r="BF17" s="92" t="str">
        <f aca="false">IF(ISBLANK($C17),"",IF($AJ17&lt;&gt;Constants!$B$7,$AJ17,AK17))</f>
        <v/>
      </c>
      <c r="BG17" s="90" t="str">
        <f aca="false">IF(ISBLANK($C17),"",BA17)</f>
        <v/>
      </c>
      <c r="BH17" s="90" t="str">
        <f aca="false">IF(ISBLANK($C17),"",AZ17)</f>
        <v/>
      </c>
      <c r="BI17" s="93" t="str">
        <f aca="false">IF(ISBLANK($C17),"",IF(BH17=Constants!$B$4,COUNTA($C$8:$C$507)+2,IF(BH17=Constants!$B$5,COUNTA($C$8:$C$507)+1,IF(BH17=Constants!$B$6,COUNTA($C$8:$C$507),BH17))))</f>
        <v/>
      </c>
      <c r="BJ17" s="5"/>
      <c r="BK17" s="94" t="n">
        <f aca="false">IF(OR(ISNUMBER(BH17),BH17=Constants!$B$4,BH17=Constants!$B$6,BH17=Constants!$B$5),1,0)</f>
        <v>0</v>
      </c>
      <c r="BL17" s="94" t="n">
        <v>10</v>
      </c>
      <c r="BM17" s="94" t="str">
        <f aca="false">IF(ISBLANK($C17),"",IF(ISNUMBER(BI17),BI17+ROW($B17)/1000,""))</f>
        <v/>
      </c>
      <c r="BN17" s="94" t="str">
        <f aca="false">IF(ISNUMBER(BM17),RANK(BM17,$BM$8:$BM$507,1),"")</f>
        <v/>
      </c>
      <c r="BO17" s="94" t="str">
        <f aca="false">IF(ISBLANK($C17),"",$B17)</f>
        <v/>
      </c>
      <c r="BP17" s="94" t="str">
        <f aca="false">IF(ISBLANK($C17),"",$C17)</f>
        <v/>
      </c>
      <c r="BQ17" s="94" t="str">
        <f aca="false">IF(ISBLANK($C17),"",$D17)</f>
        <v/>
      </c>
      <c r="BR17" s="95" t="str">
        <f aca="false">BF17</f>
        <v/>
      </c>
      <c r="BS17" s="96" t="str">
        <f aca="false">BE17</f>
        <v/>
      </c>
      <c r="BT17" s="94" t="str">
        <f aca="false">IF(ISBLANK($C17),"",BH17)</f>
        <v/>
      </c>
      <c r="BU17" s="97" t="str">
        <f aca="false">IF($BL17&gt;$BK$7,"",VLOOKUP($BL17,$BN$8:$BT$507,7,FALSE()))</f>
        <v/>
      </c>
      <c r="BV17" s="98" t="str">
        <f aca="false">IF($BL17&gt;$BK$7,"",VLOOKUP($BL17,$BN$8:$BT$507,2,FALSE()))</f>
        <v/>
      </c>
      <c r="BW17" s="98" t="str">
        <f aca="false">IF($BL17&gt;$BK$7,"",VLOOKUP($BL17,$BN$8:$BT$507,3,FALSE()))</f>
        <v/>
      </c>
      <c r="BX17" s="98" t="str">
        <f aca="false">IF($BL17&gt;$BK$7,"",VLOOKUP($BL17,$BN$8:$BT$507,4,FALSE()))</f>
        <v/>
      </c>
      <c r="BY17" s="98" t="str">
        <f aca="false">IF($BL17&gt;$BK$7,"",VLOOKUP($BL17,$BN$8:$BT$507,5,FALSE()))</f>
        <v/>
      </c>
      <c r="BZ17" s="99" t="str">
        <f aca="false">IF($BL17&gt;$BK$7,"",VLOOKUP($BL17,$BN$8:$BT$507,6,FALSE()))</f>
        <v/>
      </c>
      <c r="CA17" s="48"/>
    </row>
    <row r="18" customFormat="false" ht="15.75" hidden="false" customHeight="false" outlineLevel="0" collapsed="false">
      <c r="A18" s="5"/>
      <c r="B18" s="114"/>
      <c r="C18" s="115"/>
      <c r="D18" s="100"/>
      <c r="E18" s="116"/>
      <c r="F18" s="117"/>
      <c r="G18" s="82"/>
      <c r="H18" s="118"/>
      <c r="I18" s="119"/>
      <c r="J18" s="82"/>
      <c r="K18" s="118"/>
      <c r="L18" s="82"/>
      <c r="M18" s="118"/>
      <c r="N18" s="82"/>
      <c r="O18" s="118"/>
      <c r="P18" s="82"/>
      <c r="Q18" s="118"/>
      <c r="R18" s="82"/>
      <c r="S18" s="120"/>
      <c r="T18" s="86"/>
      <c r="U18" s="87" t="str">
        <f aca="false">IF(ISBLANK($C18),"",IF(E18=Constants!$B$2, TRUE(), IF(E18=Constants!$B$3, FALSE(), TRUE())))</f>
        <v/>
      </c>
      <c r="V18" s="87" t="str">
        <f aca="false">IF(ISBLANK($C18),"",IF(F18=Constants!$B$2, TRUE(), IF(F18=Constants!$B$3, FALSE(), TRUE())))</f>
        <v/>
      </c>
      <c r="W18" s="87" t="str">
        <f aca="false">IF(ISBLANK($C18),"",IF(G18=Constants!$B$15,Constants!$B$8,IF(G18=Constants!$B$16,Constants!$B$9,Constants!$B$10)))</f>
        <v/>
      </c>
      <c r="X18" s="87" t="str">
        <f aca="false">IF(ISBLANK($C18),"",IF(H18=Constants!$B$2, TRUE(), IF(H18=Constants!$B$3, FALSE(), TRUE())))</f>
        <v/>
      </c>
      <c r="Y18" s="87" t="str">
        <f aca="false">IF(ISBLANK($C18),"",IF(I18=Constants!$B$19,Constants!$B$19,Constants!$B$18))</f>
        <v/>
      </c>
      <c r="Z18" s="87" t="str">
        <f aca="false">IF(ISBLANK($C18),"",IF(ISNUMBER(J18),IF(J18&gt;=0,J18,""),""))</f>
        <v/>
      </c>
      <c r="AA18" s="87" t="str">
        <f aca="false">IF(ISBLANK($C18),"",IF(K18=Constants!$B$19,Constants!$B$19,Constants!$B$18))</f>
        <v/>
      </c>
      <c r="AB18" s="87" t="str">
        <f aca="false">IF(ISBLANK($C18),"",IF(ISNUMBER(L18),IF(L18&gt;=0,L18,""),""))</f>
        <v/>
      </c>
      <c r="AC18" s="87" t="str">
        <f aca="false">IF(ISBLANK($C18),"",IF(M18=Constants!$B$19,Constants!$B$19,Constants!$B$18))</f>
        <v/>
      </c>
      <c r="AD18" s="87" t="str">
        <f aca="false">IF(ISBLANK($C18),"",IF(ISNUMBER(N18),IF(N18&gt;=0,N18,""),""))</f>
        <v/>
      </c>
      <c r="AE18" s="87" t="str">
        <f aca="false">IF(ISBLANK($C18),"",IF(O18=Constants!$B$19,Constants!$B$19,Constants!$B$18))</f>
        <v/>
      </c>
      <c r="AF18" s="87" t="str">
        <f aca="false">IF(ISBLANK($C18),"",IF(ISNUMBER(P18),IF(P18&gt;=0,P18,""),""))</f>
        <v/>
      </c>
      <c r="AG18" s="87" t="str">
        <f aca="false">IF(ISBLANK($C18),"",IF(Q18=Constants!$B$19,Constants!$B$19,Constants!$B$18))</f>
        <v/>
      </c>
      <c r="AH18" s="87" t="str">
        <f aca="false">IF(ISBLANK($C18),"",IF(ISNUMBER(R18),IF(R18&gt;=0,R18,""),""))</f>
        <v/>
      </c>
      <c r="AI18" s="87" t="str">
        <f aca="false">IF(ISBLANK($C18),"",IF(S18=Constants!$B$2, TRUE(), IF(S18=Constants!$B$3, FALSE(), FALSE())))</f>
        <v/>
      </c>
      <c r="AJ18" s="87" t="str">
        <f aca="false">IF(ISBLANK($C18),"",IF(AI18,Constants!$B$4,IF(COUNTA(E18:R18)=0,Constants!$B$5,IF(COUNTA(J18,L18,N18,P18,R18)=0,Constants!$B$6,Constants!$B$7))))</f>
        <v/>
      </c>
      <c r="AK18" s="87" t="str">
        <f aca="false">IF(ISBLANK($C18),"",IF($AJ18&lt;&gt;Constants!$B$7,$AJ18,IF(OR(NOT(X18),AND(NOT(U18),COUNTIFS(Y18:AG18,Constants!$B$18,Z18:AH18,"&gt;=0")&gt;0),AND(NOT(V18),COUNTIFS(Y18:AG18,Constants!$B$19,Z18:AH18,"&gt;=0")&gt;0)),Constants!$B$12,Constants!$B$11)))</f>
        <v/>
      </c>
      <c r="AL18" s="87" t="str">
        <f aca="false">IF($AJ18=Constants!$B$7,IF(Z18="",Constants!$B$13,Z18),"")</f>
        <v/>
      </c>
      <c r="AM18" s="87" t="str">
        <f aca="false">IF($AJ18=Constants!$B$7,IF(AB18="",Constants!$B$13,AB18),"")</f>
        <v/>
      </c>
      <c r="AN18" s="87" t="str">
        <f aca="false">IF($AJ18=Constants!$B$7,IF(AD18="",Constants!$B$13,AD18),"")</f>
        <v/>
      </c>
      <c r="AO18" s="87" t="str">
        <f aca="false">IF($AJ18=Constants!$B$7,IF(AF18="",Constants!$B$13,AF18),"")</f>
        <v/>
      </c>
      <c r="AP18" s="87" t="str">
        <f aca="false">IF($AJ18=Constants!$B$7,IF(AH18="",Constants!$B$13,AH18),"")</f>
        <v/>
      </c>
      <c r="AQ18" s="87" t="str">
        <f aca="false">IF($AJ18=Constants!$B$7,IF(SUMPRODUCT(--($AL18:$AP18&gt;AL18))+SUMPRODUCT(--($AL18:AL18=AL18))=1,1,IF(SUMPRODUCT(--($AL18:$AP18&gt;AM18))+SUMPRODUCT(--($AL18:AM18=AM18))=1,2,IF(SUMPRODUCT(--($AL18:$AP18&gt;AN18))+SUMPRODUCT(--($AL18:AN18=AN18))=1,3,IF(SUMPRODUCT(--($AL18:$AP18&gt;AO18))+SUMPRODUCT(--($AL18:AO18=AO18))=1,4,5)))),"")</f>
        <v/>
      </c>
      <c r="AR18" s="87" t="str">
        <f aca="false">IF($AJ18=Constants!$B$7,IF(SUMPRODUCT(--($AL18:$AP18&gt;AL18))+SUMPRODUCT(--($AL18:AL18=AL18))=2,1,IF(SUMPRODUCT(--($AL18:$AP18&gt;AM18))+SUMPRODUCT(--($AL18:AM18=AM18))=2,2,IF(SUMPRODUCT(--($AL18:$AP18&gt;AN18))+SUMPRODUCT(--($AL18:AN18=AN18))=2,3,IF(SUMPRODUCT(--($AL18:$AP18&gt;AO18))+SUMPRODUCT(--($AL18:AO18=AO18))=2,4,5)))),"")</f>
        <v/>
      </c>
      <c r="AS18" s="87" t="str">
        <f aca="false">IF($AJ18=Constants!$B$7,IF(SUMPRODUCT(--($AL18:$AP18&gt;AL18))+SUMPRODUCT(--($AL18:AL18=AL18))=3,1,IF(SUMPRODUCT(--($AL18:$AP18&gt;AM18))+SUMPRODUCT(--($AL18:AM18=AM18))=3,2,IF(SUMPRODUCT(--($AL18:$AP18&gt;AN18))+SUMPRODUCT(--($AL18:AN18=AN18))=3,3,IF(SUMPRODUCT(--($AL18:$AP18&gt;AO18))+SUMPRODUCT(--($AL18:AO18=AO18))=3,4,5)))),"")</f>
        <v/>
      </c>
      <c r="AT18" s="87" t="str">
        <f aca="false">IF($AJ18=Constants!$B$7,LARGE(AL18:AP18,1)+LARGE(AL18:AP18,2)+LARGE(AL18:AP18,3),"")</f>
        <v/>
      </c>
      <c r="AU18" s="87" t="str">
        <f aca="false">IF(ISBLANK($C18),"",IF($AJ18&lt;&gt;Constants!$B$7,$AJ18,AT18*W18))</f>
        <v/>
      </c>
      <c r="AV18" s="87" t="str">
        <f aca="false">IF(ISBLANK($C18),"",IF($AJ18=Constants!$B$7,IF(ISNUMBER(AU18),RANK(AU18,$AU$8:$AU$507),Constants!$B$14),$AJ18))</f>
        <v/>
      </c>
      <c r="AW18" s="87" t="str">
        <f aca="false">IF(ISBLANK($C18),"",IF($AJ18=Constants!$B$7,IF(ISNUMBER(AV18),COUNTIFS($AK$8:$AK$507,"&lt;"&amp;$AK18)+COUNTIFS($AK$8:$AK$507,$AK18,$AV$8:$AV$507,"&lt;"&amp;$AV18)+1,Constants!$B$14),$AJ18))</f>
        <v/>
      </c>
      <c r="AX18" s="87" t="str">
        <f aca="false">IF(ISBLANK($C18),"",IF($AJ18=Constants!$B$7,LARGE(AL18:AP18,4)*W18,""))</f>
        <v/>
      </c>
      <c r="AY18" s="87" t="str">
        <f aca="false">IF(ISBLANK($C18),"",IF($AJ18=Constants!$B$7,RANK(AX18,$AX$8:$AX$507),$AJ18))</f>
        <v/>
      </c>
      <c r="AZ18" s="87" t="str">
        <f aca="false">IF(ISBLANK($C18),"",IF($AJ18=Constants!$B$7,IF(ISNUMBER(AV18),COUNTIFS($AK$8:$AK$507,"&lt;"&amp;$AK18)+COUNTIFS($AK$8:$AK$507,$AK18,$AV$8:$AV$507,"&lt;"&amp;$AV18)+COUNTIFS($AK$8:$AK$507,$AK18,$AV$8:$AV$507,$AV18,$AY$8:$AY$507,"&lt;"&amp;$AY18)+1,Constants!$B$14),$AJ18))</f>
        <v/>
      </c>
      <c r="BA18" s="87" t="str">
        <f aca="false">IF(ISBLANK($C18),"",IF($AJ18=Constants!$B$7,IF(ISNUMBER(AW18),AW18-AZ18,Constants!$B$14),$AJ18))</f>
        <v/>
      </c>
      <c r="BB18" s="88"/>
      <c r="BC18" s="89" t="str">
        <f aca="false">IF(ISBLANK($C18),"",IF($AJ18&lt;&gt;Constants!$B$7,$AJ18,SMALL(AQ18:AS18,1)&amp;", "&amp;SMALL(AQ18:AS18,2)&amp;", "&amp;SMALL(AQ18:AS18,3)))</f>
        <v/>
      </c>
      <c r="BD18" s="90" t="str">
        <f aca="false">IF(ISBLANK($C18),"",IF($AJ18&lt;&gt;Constants!$B$7,$AJ18,W18))</f>
        <v/>
      </c>
      <c r="BE18" s="91" t="str">
        <f aca="false">IF(ISBLANK($C18),"",IF($AJ18&lt;&gt;Constants!$B$7,$AJ18,AU18))</f>
        <v/>
      </c>
      <c r="BF18" s="92" t="str">
        <f aca="false">IF(ISBLANK($C18),"",IF($AJ18&lt;&gt;Constants!$B$7,$AJ18,AK18))</f>
        <v/>
      </c>
      <c r="BG18" s="90" t="str">
        <f aca="false">IF(ISBLANK($C18),"",BA18)</f>
        <v/>
      </c>
      <c r="BH18" s="90" t="str">
        <f aca="false">IF(ISBLANK($C18),"",AZ18)</f>
        <v/>
      </c>
      <c r="BI18" s="93" t="str">
        <f aca="false">IF(ISBLANK($C18),"",IF(BH18=Constants!$B$4,COUNTA($C$8:$C$507)+2,IF(BH18=Constants!$B$5,COUNTA($C$8:$C$507)+1,IF(BH18=Constants!$B$6,COUNTA($C$8:$C$507),BH18))))</f>
        <v/>
      </c>
      <c r="BJ18" s="5"/>
      <c r="BK18" s="94" t="n">
        <f aca="false">IF(OR(ISNUMBER(BH18),BH18=Constants!$B$4,BH18=Constants!$B$6,BH18=Constants!$B$5),1,0)</f>
        <v>0</v>
      </c>
      <c r="BL18" s="94" t="n">
        <v>11</v>
      </c>
      <c r="BM18" s="94" t="str">
        <f aca="false">IF(ISBLANK($C18),"",IF(ISNUMBER(BI18),BI18+ROW($B18)/1000,""))</f>
        <v/>
      </c>
      <c r="BN18" s="94" t="str">
        <f aca="false">IF(ISNUMBER(BM18),RANK(BM18,$BM$8:$BM$507,1),"")</f>
        <v/>
      </c>
      <c r="BO18" s="94" t="str">
        <f aca="false">IF(ISBLANK($C18),"",$B18)</f>
        <v/>
      </c>
      <c r="BP18" s="94" t="str">
        <f aca="false">IF(ISBLANK($C18),"",$C18)</f>
        <v/>
      </c>
      <c r="BQ18" s="94" t="str">
        <f aca="false">IF(ISBLANK($C18),"",$D18)</f>
        <v/>
      </c>
      <c r="BR18" s="95" t="str">
        <f aca="false">BF18</f>
        <v/>
      </c>
      <c r="BS18" s="96" t="str">
        <f aca="false">BE18</f>
        <v/>
      </c>
      <c r="BT18" s="94" t="str">
        <f aca="false">IF(ISBLANK($C18),"",BH18)</f>
        <v/>
      </c>
      <c r="BU18" s="97" t="str">
        <f aca="false">IF($BL18&gt;$BK$7,"",VLOOKUP($BL18,$BN$8:$BT$507,7,FALSE()))</f>
        <v/>
      </c>
      <c r="BV18" s="98" t="str">
        <f aca="false">IF($BL18&gt;$BK$7,"",VLOOKUP($BL18,$BN$8:$BT$507,2,FALSE()))</f>
        <v/>
      </c>
      <c r="BW18" s="98" t="str">
        <f aca="false">IF($BL18&gt;$BK$7,"",VLOOKUP($BL18,$BN$8:$BT$507,3,FALSE()))</f>
        <v/>
      </c>
      <c r="BX18" s="98" t="str">
        <f aca="false">IF($BL18&gt;$BK$7,"",VLOOKUP($BL18,$BN$8:$BT$507,4,FALSE()))</f>
        <v/>
      </c>
      <c r="BY18" s="98" t="str">
        <f aca="false">IF($BL18&gt;$BK$7,"",VLOOKUP($BL18,$BN$8:$BT$507,5,FALSE()))</f>
        <v/>
      </c>
      <c r="BZ18" s="99" t="str">
        <f aca="false">IF($BL18&gt;$BK$7,"",VLOOKUP($BL18,$BN$8:$BT$507,6,FALSE()))</f>
        <v/>
      </c>
      <c r="CA18" s="48"/>
    </row>
    <row r="19" customFormat="false" ht="15.75" hidden="false" customHeight="false" outlineLevel="0" collapsed="false">
      <c r="A19" s="5"/>
      <c r="B19" s="114"/>
      <c r="C19" s="115"/>
      <c r="D19" s="100"/>
      <c r="E19" s="116"/>
      <c r="F19" s="117"/>
      <c r="G19" s="82"/>
      <c r="H19" s="118"/>
      <c r="I19" s="119"/>
      <c r="J19" s="82"/>
      <c r="K19" s="118"/>
      <c r="L19" s="82"/>
      <c r="M19" s="118"/>
      <c r="N19" s="82"/>
      <c r="O19" s="118"/>
      <c r="P19" s="82"/>
      <c r="Q19" s="118"/>
      <c r="R19" s="82"/>
      <c r="S19" s="120"/>
      <c r="T19" s="86"/>
      <c r="U19" s="87" t="str">
        <f aca="false">IF(ISBLANK($C19),"",IF(E19=Constants!$B$2, TRUE(), IF(E19=Constants!$B$3, FALSE(), TRUE())))</f>
        <v/>
      </c>
      <c r="V19" s="87" t="str">
        <f aca="false">IF(ISBLANK($C19),"",IF(F19=Constants!$B$2, TRUE(), IF(F19=Constants!$B$3, FALSE(), TRUE())))</f>
        <v/>
      </c>
      <c r="W19" s="87" t="str">
        <f aca="false">IF(ISBLANK($C19),"",IF(G19=Constants!$B$15,Constants!$B$8,IF(G19=Constants!$B$16,Constants!$B$9,Constants!$B$10)))</f>
        <v/>
      </c>
      <c r="X19" s="87" t="str">
        <f aca="false">IF(ISBLANK($C19),"",IF(H19=Constants!$B$2, TRUE(), IF(H19=Constants!$B$3, FALSE(), TRUE())))</f>
        <v/>
      </c>
      <c r="Y19" s="87" t="str">
        <f aca="false">IF(ISBLANK($C19),"",IF(I19=Constants!$B$19,Constants!$B$19,Constants!$B$18))</f>
        <v/>
      </c>
      <c r="Z19" s="87" t="str">
        <f aca="false">IF(ISBLANK($C19),"",IF(ISNUMBER(J19),IF(J19&gt;=0,J19,""),""))</f>
        <v/>
      </c>
      <c r="AA19" s="87" t="str">
        <f aca="false">IF(ISBLANK($C19),"",IF(K19=Constants!$B$19,Constants!$B$19,Constants!$B$18))</f>
        <v/>
      </c>
      <c r="AB19" s="87" t="str">
        <f aca="false">IF(ISBLANK($C19),"",IF(ISNUMBER(L19),IF(L19&gt;=0,L19,""),""))</f>
        <v/>
      </c>
      <c r="AC19" s="87" t="str">
        <f aca="false">IF(ISBLANK($C19),"",IF(M19=Constants!$B$19,Constants!$B$19,Constants!$B$18))</f>
        <v/>
      </c>
      <c r="AD19" s="87" t="str">
        <f aca="false">IF(ISBLANK($C19),"",IF(ISNUMBER(N19),IF(N19&gt;=0,N19,""),""))</f>
        <v/>
      </c>
      <c r="AE19" s="87" t="str">
        <f aca="false">IF(ISBLANK($C19),"",IF(O19=Constants!$B$19,Constants!$B$19,Constants!$B$18))</f>
        <v/>
      </c>
      <c r="AF19" s="87" t="str">
        <f aca="false">IF(ISBLANK($C19),"",IF(ISNUMBER(P19),IF(P19&gt;=0,P19,""),""))</f>
        <v/>
      </c>
      <c r="AG19" s="87" t="str">
        <f aca="false">IF(ISBLANK($C19),"",IF(Q19=Constants!$B$19,Constants!$B$19,Constants!$B$18))</f>
        <v/>
      </c>
      <c r="AH19" s="87" t="str">
        <f aca="false">IF(ISBLANK($C19),"",IF(ISNUMBER(R19),IF(R19&gt;=0,R19,""),""))</f>
        <v/>
      </c>
      <c r="AI19" s="87" t="str">
        <f aca="false">IF(ISBLANK($C19),"",IF(S19=Constants!$B$2, TRUE(), IF(S19=Constants!$B$3, FALSE(), FALSE())))</f>
        <v/>
      </c>
      <c r="AJ19" s="87" t="str">
        <f aca="false">IF(ISBLANK($C19),"",IF(AI19,Constants!$B$4,IF(COUNTA(E19:R19)=0,Constants!$B$5,IF(COUNTA(J19,L19,N19,P19,R19)=0,Constants!$B$6,Constants!$B$7))))</f>
        <v/>
      </c>
      <c r="AK19" s="87" t="str">
        <f aca="false">IF(ISBLANK($C19),"",IF($AJ19&lt;&gt;Constants!$B$7,$AJ19,IF(OR(NOT(X19),AND(NOT(U19),COUNTIFS(Y19:AG19,Constants!$B$18,Z19:AH19,"&gt;=0")&gt;0),AND(NOT(V19),COUNTIFS(Y19:AG19,Constants!$B$19,Z19:AH19,"&gt;=0")&gt;0)),Constants!$B$12,Constants!$B$11)))</f>
        <v/>
      </c>
      <c r="AL19" s="87" t="str">
        <f aca="false">IF($AJ19=Constants!$B$7,IF(Z19="",Constants!$B$13,Z19),"")</f>
        <v/>
      </c>
      <c r="AM19" s="87" t="str">
        <f aca="false">IF($AJ19=Constants!$B$7,IF(AB19="",Constants!$B$13,AB19),"")</f>
        <v/>
      </c>
      <c r="AN19" s="87" t="str">
        <f aca="false">IF($AJ19=Constants!$B$7,IF(AD19="",Constants!$B$13,AD19),"")</f>
        <v/>
      </c>
      <c r="AO19" s="87" t="str">
        <f aca="false">IF($AJ19=Constants!$B$7,IF(AF19="",Constants!$B$13,AF19),"")</f>
        <v/>
      </c>
      <c r="AP19" s="87" t="str">
        <f aca="false">IF($AJ19=Constants!$B$7,IF(AH19="",Constants!$B$13,AH19),"")</f>
        <v/>
      </c>
      <c r="AQ19" s="87" t="str">
        <f aca="false">IF($AJ19=Constants!$B$7,IF(SUMPRODUCT(--($AL19:$AP19&gt;AL19))+SUMPRODUCT(--($AL19:AL19=AL19))=1,1,IF(SUMPRODUCT(--($AL19:$AP19&gt;AM19))+SUMPRODUCT(--($AL19:AM19=AM19))=1,2,IF(SUMPRODUCT(--($AL19:$AP19&gt;AN19))+SUMPRODUCT(--($AL19:AN19=AN19))=1,3,IF(SUMPRODUCT(--($AL19:$AP19&gt;AO19))+SUMPRODUCT(--($AL19:AO19=AO19))=1,4,5)))),"")</f>
        <v/>
      </c>
      <c r="AR19" s="87" t="str">
        <f aca="false">IF($AJ19=Constants!$B$7,IF(SUMPRODUCT(--($AL19:$AP19&gt;AL19))+SUMPRODUCT(--($AL19:AL19=AL19))=2,1,IF(SUMPRODUCT(--($AL19:$AP19&gt;AM19))+SUMPRODUCT(--($AL19:AM19=AM19))=2,2,IF(SUMPRODUCT(--($AL19:$AP19&gt;AN19))+SUMPRODUCT(--($AL19:AN19=AN19))=2,3,IF(SUMPRODUCT(--($AL19:$AP19&gt;AO19))+SUMPRODUCT(--($AL19:AO19=AO19))=2,4,5)))),"")</f>
        <v/>
      </c>
      <c r="AS19" s="87" t="str">
        <f aca="false">IF($AJ19=Constants!$B$7,IF(SUMPRODUCT(--($AL19:$AP19&gt;AL19))+SUMPRODUCT(--($AL19:AL19=AL19))=3,1,IF(SUMPRODUCT(--($AL19:$AP19&gt;AM19))+SUMPRODUCT(--($AL19:AM19=AM19))=3,2,IF(SUMPRODUCT(--($AL19:$AP19&gt;AN19))+SUMPRODUCT(--($AL19:AN19=AN19))=3,3,IF(SUMPRODUCT(--($AL19:$AP19&gt;AO19))+SUMPRODUCT(--($AL19:AO19=AO19))=3,4,5)))),"")</f>
        <v/>
      </c>
      <c r="AT19" s="87" t="str">
        <f aca="false">IF($AJ19=Constants!$B$7,LARGE(AL19:AP19,1)+LARGE(AL19:AP19,2)+LARGE(AL19:AP19,3),"")</f>
        <v/>
      </c>
      <c r="AU19" s="87" t="str">
        <f aca="false">IF(ISBLANK($C19),"",IF($AJ19&lt;&gt;Constants!$B$7,$AJ19,AT19*W19))</f>
        <v/>
      </c>
      <c r="AV19" s="87" t="str">
        <f aca="false">IF(ISBLANK($C19),"",IF($AJ19=Constants!$B$7,IF(ISNUMBER(AU19),RANK(AU19,$AU$8:$AU$507),Constants!$B$14),$AJ19))</f>
        <v/>
      </c>
      <c r="AW19" s="87" t="str">
        <f aca="false">IF(ISBLANK($C19),"",IF($AJ19=Constants!$B$7,IF(ISNUMBER(AV19),COUNTIFS($AK$8:$AK$507,"&lt;"&amp;$AK19)+COUNTIFS($AK$8:$AK$507,$AK19,$AV$8:$AV$507,"&lt;"&amp;$AV19)+1,Constants!$B$14),$AJ19))</f>
        <v/>
      </c>
      <c r="AX19" s="87" t="str">
        <f aca="false">IF(ISBLANK($C19),"",IF($AJ19=Constants!$B$7,LARGE(AL19:AP19,4)*W19,""))</f>
        <v/>
      </c>
      <c r="AY19" s="87" t="str">
        <f aca="false">IF(ISBLANK($C19),"",IF($AJ19=Constants!$B$7,RANK(AX19,$AX$8:$AX$507),$AJ19))</f>
        <v/>
      </c>
      <c r="AZ19" s="87" t="str">
        <f aca="false">IF(ISBLANK($C19),"",IF($AJ19=Constants!$B$7,IF(ISNUMBER(AV19),COUNTIFS($AK$8:$AK$507,"&lt;"&amp;$AK19)+COUNTIFS($AK$8:$AK$507,$AK19,$AV$8:$AV$507,"&lt;"&amp;$AV19)+COUNTIFS($AK$8:$AK$507,$AK19,$AV$8:$AV$507,$AV19,$AY$8:$AY$507,"&lt;"&amp;$AY19)+1,Constants!$B$14),$AJ19))</f>
        <v/>
      </c>
      <c r="BA19" s="87" t="str">
        <f aca="false">IF(ISBLANK($C19),"",IF($AJ19=Constants!$B$7,IF(ISNUMBER(AW19),AW19-AZ19,Constants!$B$14),$AJ19))</f>
        <v/>
      </c>
      <c r="BB19" s="88"/>
      <c r="BC19" s="89" t="str">
        <f aca="false">IF(ISBLANK($C19),"",IF($AJ19&lt;&gt;Constants!$B$7,$AJ19,SMALL(AQ19:AS19,1)&amp;", "&amp;SMALL(AQ19:AS19,2)&amp;", "&amp;SMALL(AQ19:AS19,3)))</f>
        <v/>
      </c>
      <c r="BD19" s="90" t="str">
        <f aca="false">IF(ISBLANK($C19),"",IF($AJ19&lt;&gt;Constants!$B$7,$AJ19,W19))</f>
        <v/>
      </c>
      <c r="BE19" s="91" t="str">
        <f aca="false">IF(ISBLANK($C19),"",IF($AJ19&lt;&gt;Constants!$B$7,$AJ19,AU19))</f>
        <v/>
      </c>
      <c r="BF19" s="92" t="str">
        <f aca="false">IF(ISBLANK($C19),"",IF($AJ19&lt;&gt;Constants!$B$7,$AJ19,AK19))</f>
        <v/>
      </c>
      <c r="BG19" s="90" t="str">
        <f aca="false">IF(ISBLANK($C19),"",BA19)</f>
        <v/>
      </c>
      <c r="BH19" s="90" t="str">
        <f aca="false">IF(ISBLANK($C19),"",AZ19)</f>
        <v/>
      </c>
      <c r="BI19" s="93" t="str">
        <f aca="false">IF(ISBLANK($C19),"",IF(BH19=Constants!$B$4,COUNTA($C$8:$C$507)+2,IF(BH19=Constants!$B$5,COUNTA($C$8:$C$507)+1,IF(BH19=Constants!$B$6,COUNTA($C$8:$C$507),BH19))))</f>
        <v/>
      </c>
      <c r="BJ19" s="5"/>
      <c r="BK19" s="94" t="n">
        <f aca="false">IF(OR(ISNUMBER(BH19),BH19=Constants!$B$4,BH19=Constants!$B$6,BH19=Constants!$B$5),1,0)</f>
        <v>0</v>
      </c>
      <c r="BL19" s="94" t="n">
        <v>12</v>
      </c>
      <c r="BM19" s="94" t="str">
        <f aca="false">IF(ISBLANK($C19),"",IF(ISNUMBER(BI19),BI19+ROW($B19)/1000,""))</f>
        <v/>
      </c>
      <c r="BN19" s="94" t="str">
        <f aca="false">IF(ISNUMBER(BM19),RANK(BM19,$BM$8:$BM$507,1),"")</f>
        <v/>
      </c>
      <c r="BO19" s="94" t="str">
        <f aca="false">IF(ISBLANK($C19),"",$B19)</f>
        <v/>
      </c>
      <c r="BP19" s="94" t="str">
        <f aca="false">IF(ISBLANK($C19),"",$C19)</f>
        <v/>
      </c>
      <c r="BQ19" s="94" t="str">
        <f aca="false">IF(ISBLANK($C19),"",$D19)</f>
        <v/>
      </c>
      <c r="BR19" s="95" t="str">
        <f aca="false">BF19</f>
        <v/>
      </c>
      <c r="BS19" s="96" t="str">
        <f aca="false">BE19</f>
        <v/>
      </c>
      <c r="BT19" s="94" t="str">
        <f aca="false">IF(ISBLANK($C19),"",BH19)</f>
        <v/>
      </c>
      <c r="BU19" s="97" t="str">
        <f aca="false">IF($BL19&gt;$BK$7,"",VLOOKUP($BL19,$BN$8:$BT$507,7,FALSE()))</f>
        <v/>
      </c>
      <c r="BV19" s="98" t="str">
        <f aca="false">IF($BL19&gt;$BK$7,"",VLOOKUP($BL19,$BN$8:$BT$507,2,FALSE()))</f>
        <v/>
      </c>
      <c r="BW19" s="98" t="str">
        <f aca="false">IF($BL19&gt;$BK$7,"",VLOOKUP($BL19,$BN$8:$BT$507,3,FALSE()))</f>
        <v/>
      </c>
      <c r="BX19" s="98" t="str">
        <f aca="false">IF($BL19&gt;$BK$7,"",VLOOKUP($BL19,$BN$8:$BT$507,4,FALSE()))</f>
        <v/>
      </c>
      <c r="BY19" s="98" t="str">
        <f aca="false">IF($BL19&gt;$BK$7,"",VLOOKUP($BL19,$BN$8:$BT$507,5,FALSE()))</f>
        <v/>
      </c>
      <c r="BZ19" s="99" t="str">
        <f aca="false">IF($BL19&gt;$BK$7,"",VLOOKUP($BL19,$BN$8:$BT$507,6,FALSE()))</f>
        <v/>
      </c>
      <c r="CA19" s="48"/>
    </row>
    <row r="20" customFormat="false" ht="15.75" hidden="false" customHeight="false" outlineLevel="0" collapsed="false">
      <c r="A20" s="5"/>
      <c r="B20" s="121"/>
      <c r="C20" s="50"/>
      <c r="D20" s="51"/>
      <c r="E20" s="110"/>
      <c r="F20" s="111"/>
      <c r="G20" s="54"/>
      <c r="H20" s="112"/>
      <c r="I20" s="113"/>
      <c r="J20" s="54"/>
      <c r="K20" s="112"/>
      <c r="L20" s="54"/>
      <c r="M20" s="112"/>
      <c r="N20" s="54"/>
      <c r="O20" s="112"/>
      <c r="P20" s="54"/>
      <c r="Q20" s="112"/>
      <c r="R20" s="54"/>
      <c r="S20" s="74"/>
      <c r="T20" s="58"/>
      <c r="U20" s="59" t="str">
        <f aca="false">IF(ISBLANK($C20),"",IF(E20=Constants!$B$2, TRUE(), IF(E20=Constants!$B$3, FALSE(), TRUE())))</f>
        <v/>
      </c>
      <c r="V20" s="59" t="str">
        <f aca="false">IF(ISBLANK($C20),"",IF(F20=Constants!$B$2, TRUE(), IF(F20=Constants!$B$3, FALSE(), TRUE())))</f>
        <v/>
      </c>
      <c r="W20" s="59" t="str">
        <f aca="false">IF(ISBLANK($C20),"",IF(G20=Constants!$B$15,Constants!$B$8,IF(G20=Constants!$B$16,Constants!$B$9,Constants!$B$10)))</f>
        <v/>
      </c>
      <c r="X20" s="59" t="str">
        <f aca="false">IF(ISBLANK($C20),"",IF(H20=Constants!$B$2, TRUE(), IF(H20=Constants!$B$3, FALSE(), TRUE())))</f>
        <v/>
      </c>
      <c r="Y20" s="59" t="str">
        <f aca="false">IF(ISBLANK($C20),"",IF(I20=Constants!$B$19,Constants!$B$19,Constants!$B$18))</f>
        <v/>
      </c>
      <c r="Z20" s="59" t="str">
        <f aca="false">IF(ISBLANK($C20),"",IF(ISNUMBER(J20),IF(J20&gt;=0,J20,""),""))</f>
        <v/>
      </c>
      <c r="AA20" s="59" t="str">
        <f aca="false">IF(ISBLANK($C20),"",IF(K20=Constants!$B$19,Constants!$B$19,Constants!$B$18))</f>
        <v/>
      </c>
      <c r="AB20" s="59" t="str">
        <f aca="false">IF(ISBLANK($C20),"",IF(ISNUMBER(L20),IF(L20&gt;=0,L20,""),""))</f>
        <v/>
      </c>
      <c r="AC20" s="59" t="str">
        <f aca="false">IF(ISBLANK($C20),"",IF(M20=Constants!$B$19,Constants!$B$19,Constants!$B$18))</f>
        <v/>
      </c>
      <c r="AD20" s="59" t="str">
        <f aca="false">IF(ISBLANK($C20),"",IF(ISNUMBER(N20),IF(N20&gt;=0,N20,""),""))</f>
        <v/>
      </c>
      <c r="AE20" s="59" t="str">
        <f aca="false">IF(ISBLANK($C20),"",IF(O20=Constants!$B$19,Constants!$B$19,Constants!$B$18))</f>
        <v/>
      </c>
      <c r="AF20" s="59" t="str">
        <f aca="false">IF(ISBLANK($C20),"",IF(ISNUMBER(P20),IF(P20&gt;=0,P20,""),""))</f>
        <v/>
      </c>
      <c r="AG20" s="59" t="str">
        <f aca="false">IF(ISBLANK($C20),"",IF(Q20=Constants!$B$19,Constants!$B$19,Constants!$B$18))</f>
        <v/>
      </c>
      <c r="AH20" s="59" t="str">
        <f aca="false">IF(ISBLANK($C20),"",IF(ISNUMBER(R20),IF(R20&gt;=0,R20,""),""))</f>
        <v/>
      </c>
      <c r="AI20" s="59" t="str">
        <f aca="false">IF(ISBLANK($C20),"",IF(S20=Constants!$B$2, TRUE(), IF(S20=Constants!$B$3, FALSE(), FALSE())))</f>
        <v/>
      </c>
      <c r="AJ20" s="59" t="str">
        <f aca="false">IF(ISBLANK($C20),"",IF(AI20,Constants!$B$4,IF(COUNTA(E20:R20)=0,Constants!$B$5,IF(COUNTA(J20,L20,N20,P20,R20)=0,Constants!$B$6,Constants!$B$7))))</f>
        <v/>
      </c>
      <c r="AK20" s="59" t="str">
        <f aca="false">IF(ISBLANK($C20),"",IF($AJ20&lt;&gt;Constants!$B$7,$AJ20,IF(OR(NOT(X20),AND(NOT(U20),COUNTIFS(Y20:AG20,Constants!$B$18,Z20:AH20,"&gt;=0")&gt;0),AND(NOT(V20),COUNTIFS(Y20:AG20,Constants!$B$19,Z20:AH20,"&gt;=0")&gt;0)),Constants!$B$12,Constants!$B$11)))</f>
        <v/>
      </c>
      <c r="AL20" s="59" t="str">
        <f aca="false">IF($AJ20=Constants!$B$7,IF(Z20="",Constants!$B$13,Z20),"")</f>
        <v/>
      </c>
      <c r="AM20" s="59" t="str">
        <f aca="false">IF($AJ20=Constants!$B$7,IF(AB20="",Constants!$B$13,AB20),"")</f>
        <v/>
      </c>
      <c r="AN20" s="59" t="str">
        <f aca="false">IF($AJ20=Constants!$B$7,IF(AD20="",Constants!$B$13,AD20),"")</f>
        <v/>
      </c>
      <c r="AO20" s="59" t="str">
        <f aca="false">IF($AJ20=Constants!$B$7,IF(AF20="",Constants!$B$13,AF20),"")</f>
        <v/>
      </c>
      <c r="AP20" s="59" t="str">
        <f aca="false">IF($AJ20=Constants!$B$7,IF(AH20="",Constants!$B$13,AH20),"")</f>
        <v/>
      </c>
      <c r="AQ20" s="59" t="str">
        <f aca="false">IF($AJ20=Constants!$B$7,IF(SUMPRODUCT(--($AL20:$AP20&gt;AL20))+SUMPRODUCT(--($AL20:AL20=AL20))=1,1,IF(SUMPRODUCT(--($AL20:$AP20&gt;AM20))+SUMPRODUCT(--($AL20:AM20=AM20))=1,2,IF(SUMPRODUCT(--($AL20:$AP20&gt;AN20))+SUMPRODUCT(--($AL20:AN20=AN20))=1,3,IF(SUMPRODUCT(--($AL20:$AP20&gt;AO20))+SUMPRODUCT(--($AL20:AO20=AO20))=1,4,5)))),"")</f>
        <v/>
      </c>
      <c r="AR20" s="59" t="str">
        <f aca="false">IF($AJ20=Constants!$B$7,IF(SUMPRODUCT(--($AL20:$AP20&gt;AL20))+SUMPRODUCT(--($AL20:AL20=AL20))=2,1,IF(SUMPRODUCT(--($AL20:$AP20&gt;AM20))+SUMPRODUCT(--($AL20:AM20=AM20))=2,2,IF(SUMPRODUCT(--($AL20:$AP20&gt;AN20))+SUMPRODUCT(--($AL20:AN20=AN20))=2,3,IF(SUMPRODUCT(--($AL20:$AP20&gt;AO20))+SUMPRODUCT(--($AL20:AO20=AO20))=2,4,5)))),"")</f>
        <v/>
      </c>
      <c r="AS20" s="59" t="str">
        <f aca="false">IF($AJ20=Constants!$B$7,IF(SUMPRODUCT(--($AL20:$AP20&gt;AL20))+SUMPRODUCT(--($AL20:AL20=AL20))=3,1,IF(SUMPRODUCT(--($AL20:$AP20&gt;AM20))+SUMPRODUCT(--($AL20:AM20=AM20))=3,2,IF(SUMPRODUCT(--($AL20:$AP20&gt;AN20))+SUMPRODUCT(--($AL20:AN20=AN20))=3,3,IF(SUMPRODUCT(--($AL20:$AP20&gt;AO20))+SUMPRODUCT(--($AL20:AO20=AO20))=3,4,5)))),"")</f>
        <v/>
      </c>
      <c r="AT20" s="59" t="str">
        <f aca="false">IF($AJ20=Constants!$B$7,LARGE(AL20:AP20,1)+LARGE(AL20:AP20,2)+LARGE(AL20:AP20,3),"")</f>
        <v/>
      </c>
      <c r="AU20" s="59" t="str">
        <f aca="false">IF(ISBLANK($C20),"",IF($AJ20&lt;&gt;Constants!$B$7,$AJ20,AT20*W20))</f>
        <v/>
      </c>
      <c r="AV20" s="59" t="str">
        <f aca="false">IF(ISBLANK($C20),"",IF($AJ20=Constants!$B$7,IF(ISNUMBER(AU20),RANK(AU20,$AU$8:$AU$507),Constants!$B$14),$AJ20))</f>
        <v/>
      </c>
      <c r="AW20" s="59" t="str">
        <f aca="false">IF(ISBLANK($C20),"",IF($AJ20=Constants!$B$7,IF(ISNUMBER(AV20),COUNTIFS($AK$8:$AK$507,"&lt;"&amp;$AK20)+COUNTIFS($AK$8:$AK$507,$AK20,$AV$8:$AV$507,"&lt;"&amp;$AV20)+1,Constants!$B$14),$AJ20))</f>
        <v/>
      </c>
      <c r="AX20" s="59" t="str">
        <f aca="false">IF(ISBLANK($C20),"",IF($AJ20=Constants!$B$7,LARGE(AL20:AP20,4)*W20,""))</f>
        <v/>
      </c>
      <c r="AY20" s="59" t="str">
        <f aca="false">IF(ISBLANK($C20),"",IF($AJ20=Constants!$B$7,RANK(AX20,$AX$8:$AX$507),$AJ20))</f>
        <v/>
      </c>
      <c r="AZ20" s="59" t="str">
        <f aca="false">IF(ISBLANK($C20),"",IF($AJ20=Constants!$B$7,IF(ISNUMBER(AV20),COUNTIFS($AK$8:$AK$507,"&lt;"&amp;$AK20)+COUNTIFS($AK$8:$AK$507,$AK20,$AV$8:$AV$507,"&lt;"&amp;$AV20)+COUNTIFS($AK$8:$AK$507,$AK20,$AV$8:$AV$507,$AV20,$AY$8:$AY$507,"&lt;"&amp;$AY20)+1,Constants!$B$14),$AJ20))</f>
        <v/>
      </c>
      <c r="BA20" s="59" t="str">
        <f aca="false">IF(ISBLANK($C20),"",IF($AJ20=Constants!$B$7,IF(ISNUMBER(AW20),AW20-AZ20,Constants!$B$14),$AJ20))</f>
        <v/>
      </c>
      <c r="BB20" s="61"/>
      <c r="BC20" s="62" t="str">
        <f aca="false">IF(ISBLANK($C20),"",IF($AJ20&lt;&gt;Constants!$B$7,$AJ20,SMALL(AQ20:AS20,1)&amp;", "&amp;SMALL(AQ20:AS20,2)&amp;", "&amp;SMALL(AQ20:AS20,3)))</f>
        <v/>
      </c>
      <c r="BD20" s="63" t="str">
        <f aca="false">IF(ISBLANK($C20),"",IF($AJ20&lt;&gt;Constants!$B$7,$AJ20,W20))</f>
        <v/>
      </c>
      <c r="BE20" s="64" t="str">
        <f aca="false">IF(ISBLANK($C20),"",IF($AJ20&lt;&gt;Constants!$B$7,$AJ20,AU20))</f>
        <v/>
      </c>
      <c r="BF20" s="65" t="str">
        <f aca="false">IF(ISBLANK($C20),"",IF($AJ20&lt;&gt;Constants!$B$7,$AJ20,AK20))</f>
        <v/>
      </c>
      <c r="BG20" s="63" t="str">
        <f aca="false">IF(ISBLANK($C20),"",BA20)</f>
        <v/>
      </c>
      <c r="BH20" s="63" t="str">
        <f aca="false">IF(ISBLANK($C20),"",AZ20)</f>
        <v/>
      </c>
      <c r="BI20" s="66" t="str">
        <f aca="false">IF(ISBLANK($C20),"",IF(BH20=Constants!$B$4,COUNTA($C$8:$C$507)+2,IF(BH20=Constants!$B$5,COUNTA($C$8:$C$507)+1,IF(BH20=Constants!$B$6,COUNTA($C$8:$C$507),BH20))))</f>
        <v/>
      </c>
      <c r="BJ20" s="5"/>
      <c r="BK20" s="67" t="n">
        <f aca="false">IF(OR(ISNUMBER(BH20),BH20=Constants!$B$4,BH20=Constants!$B$6,BH20=Constants!$B$5),1,0)</f>
        <v>0</v>
      </c>
      <c r="BL20" s="67" t="n">
        <v>13</v>
      </c>
      <c r="BM20" s="67" t="str">
        <f aca="false">IF(ISBLANK($C20),"",IF(ISNUMBER(BI20),BI20+ROW($B20)/1000,""))</f>
        <v/>
      </c>
      <c r="BN20" s="67" t="str">
        <f aca="false">IF(ISNUMBER(BM20),RANK(BM20,$BM$8:$BM$507,1),"")</f>
        <v/>
      </c>
      <c r="BO20" s="67" t="str">
        <f aca="false">IF(ISBLANK($C20),"",$B20)</f>
        <v/>
      </c>
      <c r="BP20" s="67" t="str">
        <f aca="false">IF(ISBLANK($C20),"",$C20)</f>
        <v/>
      </c>
      <c r="BQ20" s="67" t="str">
        <f aca="false">IF(ISBLANK($C20),"",$D20)</f>
        <v/>
      </c>
      <c r="BR20" s="68" t="str">
        <f aca="false">BF20</f>
        <v/>
      </c>
      <c r="BS20" s="69" t="str">
        <f aca="false">BE20</f>
        <v/>
      </c>
      <c r="BT20" s="67" t="str">
        <f aca="false">IF(ISBLANK($C20),"",BH20)</f>
        <v/>
      </c>
      <c r="BU20" s="70" t="str">
        <f aca="false">IF($BL20&gt;$BK$7,"",VLOOKUP($BL20,$BN$8:$BT$507,7,FALSE()))</f>
        <v/>
      </c>
      <c r="BV20" s="71" t="str">
        <f aca="false">IF($BL20&gt;$BK$7,"",VLOOKUP($BL20,$BN$8:$BT$507,2,FALSE()))</f>
        <v/>
      </c>
      <c r="BW20" s="71" t="str">
        <f aca="false">IF($BL20&gt;$BK$7,"",VLOOKUP($BL20,$BN$8:$BT$507,3,FALSE()))</f>
        <v/>
      </c>
      <c r="BX20" s="71" t="str">
        <f aca="false">IF($BL20&gt;$BK$7,"",VLOOKUP($BL20,$BN$8:$BT$507,4,FALSE()))</f>
        <v/>
      </c>
      <c r="BY20" s="71" t="str">
        <f aca="false">IF($BL20&gt;$BK$7,"",VLOOKUP($BL20,$BN$8:$BT$507,5,FALSE()))</f>
        <v/>
      </c>
      <c r="BZ20" s="72" t="str">
        <f aca="false">IF($BL20&gt;$BK$7,"",VLOOKUP($BL20,$BN$8:$BT$507,6,FALSE()))</f>
        <v/>
      </c>
      <c r="CA20" s="48"/>
    </row>
    <row r="21" customFormat="false" ht="15.75" hidden="false" customHeight="false" outlineLevel="0" collapsed="false">
      <c r="A21" s="5"/>
      <c r="B21" s="121"/>
      <c r="C21" s="50"/>
      <c r="D21" s="51"/>
      <c r="E21" s="110"/>
      <c r="F21" s="111"/>
      <c r="G21" s="54"/>
      <c r="H21" s="112"/>
      <c r="I21" s="113"/>
      <c r="J21" s="54"/>
      <c r="K21" s="112"/>
      <c r="L21" s="54"/>
      <c r="M21" s="112"/>
      <c r="N21" s="54"/>
      <c r="O21" s="112"/>
      <c r="P21" s="54"/>
      <c r="Q21" s="112"/>
      <c r="R21" s="54"/>
      <c r="S21" s="74"/>
      <c r="T21" s="58"/>
      <c r="U21" s="59" t="str">
        <f aca="false">IF(ISBLANK($C21),"",IF(E21=Constants!$B$2, TRUE(), IF(E21=Constants!$B$3, FALSE(), TRUE())))</f>
        <v/>
      </c>
      <c r="V21" s="59" t="str">
        <f aca="false">IF(ISBLANK($C21),"",IF(F21=Constants!$B$2, TRUE(), IF(F21=Constants!$B$3, FALSE(), TRUE())))</f>
        <v/>
      </c>
      <c r="W21" s="59" t="str">
        <f aca="false">IF(ISBLANK($C21),"",IF(G21=Constants!$B$15,Constants!$B$8,IF(G21=Constants!$B$16,Constants!$B$9,Constants!$B$10)))</f>
        <v/>
      </c>
      <c r="X21" s="59" t="str">
        <f aca="false">IF(ISBLANK($C21),"",IF(H21=Constants!$B$2, TRUE(), IF(H21=Constants!$B$3, FALSE(), TRUE())))</f>
        <v/>
      </c>
      <c r="Y21" s="59" t="str">
        <f aca="false">IF(ISBLANK($C21),"",IF(I21=Constants!$B$19,Constants!$B$19,Constants!$B$18))</f>
        <v/>
      </c>
      <c r="Z21" s="59" t="str">
        <f aca="false">IF(ISBLANK($C21),"",IF(ISNUMBER(J21),IF(J21&gt;=0,J21,""),""))</f>
        <v/>
      </c>
      <c r="AA21" s="59" t="str">
        <f aca="false">IF(ISBLANK($C21),"",IF(K21=Constants!$B$19,Constants!$B$19,Constants!$B$18))</f>
        <v/>
      </c>
      <c r="AB21" s="59" t="str">
        <f aca="false">IF(ISBLANK($C21),"",IF(ISNUMBER(L21),IF(L21&gt;=0,L21,""),""))</f>
        <v/>
      </c>
      <c r="AC21" s="59" t="str">
        <f aca="false">IF(ISBLANK($C21),"",IF(M21=Constants!$B$19,Constants!$B$19,Constants!$B$18))</f>
        <v/>
      </c>
      <c r="AD21" s="59" t="str">
        <f aca="false">IF(ISBLANK($C21),"",IF(ISNUMBER(N21),IF(N21&gt;=0,N21,""),""))</f>
        <v/>
      </c>
      <c r="AE21" s="59" t="str">
        <f aca="false">IF(ISBLANK($C21),"",IF(O21=Constants!$B$19,Constants!$B$19,Constants!$B$18))</f>
        <v/>
      </c>
      <c r="AF21" s="59" t="str">
        <f aca="false">IF(ISBLANK($C21),"",IF(ISNUMBER(P21),IF(P21&gt;=0,P21,""),""))</f>
        <v/>
      </c>
      <c r="AG21" s="59" t="str">
        <f aca="false">IF(ISBLANK($C21),"",IF(Q21=Constants!$B$19,Constants!$B$19,Constants!$B$18))</f>
        <v/>
      </c>
      <c r="AH21" s="59" t="str">
        <f aca="false">IF(ISBLANK($C21),"",IF(ISNUMBER(R21),IF(R21&gt;=0,R21,""),""))</f>
        <v/>
      </c>
      <c r="AI21" s="59" t="str">
        <f aca="false">IF(ISBLANK($C21),"",IF(S21=Constants!$B$2, TRUE(), IF(S21=Constants!$B$3, FALSE(), FALSE())))</f>
        <v/>
      </c>
      <c r="AJ21" s="59" t="str">
        <f aca="false">IF(ISBLANK($C21),"",IF(AI21,Constants!$B$4,IF(COUNTA(E21:R21)=0,Constants!$B$5,IF(COUNTA(J21,L21,N21,P21,R21)=0,Constants!$B$6,Constants!$B$7))))</f>
        <v/>
      </c>
      <c r="AK21" s="59" t="str">
        <f aca="false">IF(ISBLANK($C21),"",IF($AJ21&lt;&gt;Constants!$B$7,$AJ21,IF(OR(NOT(X21),AND(NOT(U21),COUNTIFS(Y21:AG21,Constants!$B$18,Z21:AH21,"&gt;=0")&gt;0),AND(NOT(V21),COUNTIFS(Y21:AG21,Constants!$B$19,Z21:AH21,"&gt;=0")&gt;0)),Constants!$B$12,Constants!$B$11)))</f>
        <v/>
      </c>
      <c r="AL21" s="59" t="str">
        <f aca="false">IF($AJ21=Constants!$B$7,IF(Z21="",Constants!$B$13,Z21),"")</f>
        <v/>
      </c>
      <c r="AM21" s="59" t="str">
        <f aca="false">IF($AJ21=Constants!$B$7,IF(AB21="",Constants!$B$13,AB21),"")</f>
        <v/>
      </c>
      <c r="AN21" s="59" t="str">
        <f aca="false">IF($AJ21=Constants!$B$7,IF(AD21="",Constants!$B$13,AD21),"")</f>
        <v/>
      </c>
      <c r="AO21" s="59" t="str">
        <f aca="false">IF($AJ21=Constants!$B$7,IF(AF21="",Constants!$B$13,AF21),"")</f>
        <v/>
      </c>
      <c r="AP21" s="59" t="str">
        <f aca="false">IF($AJ21=Constants!$B$7,IF(AH21="",Constants!$B$13,AH21),"")</f>
        <v/>
      </c>
      <c r="AQ21" s="59" t="str">
        <f aca="false">IF($AJ21=Constants!$B$7,IF(SUMPRODUCT(--($AL21:$AP21&gt;AL21))+SUMPRODUCT(--($AL21:AL21=AL21))=1,1,IF(SUMPRODUCT(--($AL21:$AP21&gt;AM21))+SUMPRODUCT(--($AL21:AM21=AM21))=1,2,IF(SUMPRODUCT(--($AL21:$AP21&gt;AN21))+SUMPRODUCT(--($AL21:AN21=AN21))=1,3,IF(SUMPRODUCT(--($AL21:$AP21&gt;AO21))+SUMPRODUCT(--($AL21:AO21=AO21))=1,4,5)))),"")</f>
        <v/>
      </c>
      <c r="AR21" s="59" t="str">
        <f aca="false">IF($AJ21=Constants!$B$7,IF(SUMPRODUCT(--($AL21:$AP21&gt;AL21))+SUMPRODUCT(--($AL21:AL21=AL21))=2,1,IF(SUMPRODUCT(--($AL21:$AP21&gt;AM21))+SUMPRODUCT(--($AL21:AM21=AM21))=2,2,IF(SUMPRODUCT(--($AL21:$AP21&gt;AN21))+SUMPRODUCT(--($AL21:AN21=AN21))=2,3,IF(SUMPRODUCT(--($AL21:$AP21&gt;AO21))+SUMPRODUCT(--($AL21:AO21=AO21))=2,4,5)))),"")</f>
        <v/>
      </c>
      <c r="AS21" s="59" t="str">
        <f aca="false">IF($AJ21=Constants!$B$7,IF(SUMPRODUCT(--($AL21:$AP21&gt;AL21))+SUMPRODUCT(--($AL21:AL21=AL21))=3,1,IF(SUMPRODUCT(--($AL21:$AP21&gt;AM21))+SUMPRODUCT(--($AL21:AM21=AM21))=3,2,IF(SUMPRODUCT(--($AL21:$AP21&gt;AN21))+SUMPRODUCT(--($AL21:AN21=AN21))=3,3,IF(SUMPRODUCT(--($AL21:$AP21&gt;AO21))+SUMPRODUCT(--($AL21:AO21=AO21))=3,4,5)))),"")</f>
        <v/>
      </c>
      <c r="AT21" s="59" t="str">
        <f aca="false">IF($AJ21=Constants!$B$7,LARGE(AL21:AP21,1)+LARGE(AL21:AP21,2)+LARGE(AL21:AP21,3),"")</f>
        <v/>
      </c>
      <c r="AU21" s="59" t="str">
        <f aca="false">IF(ISBLANK($C21),"",IF($AJ21&lt;&gt;Constants!$B$7,$AJ21,AT21*W21))</f>
        <v/>
      </c>
      <c r="AV21" s="59" t="str">
        <f aca="false">IF(ISBLANK($C21),"",IF($AJ21=Constants!$B$7,IF(ISNUMBER(AU21),RANK(AU21,$AU$8:$AU$507),Constants!$B$14),$AJ21))</f>
        <v/>
      </c>
      <c r="AW21" s="59" t="str">
        <f aca="false">IF(ISBLANK($C21),"",IF($AJ21=Constants!$B$7,IF(ISNUMBER(AV21),COUNTIFS($AK$8:$AK$507,"&lt;"&amp;$AK21)+COUNTIFS($AK$8:$AK$507,$AK21,$AV$8:$AV$507,"&lt;"&amp;$AV21)+1,Constants!$B$14),$AJ21))</f>
        <v/>
      </c>
      <c r="AX21" s="59" t="str">
        <f aca="false">IF(ISBLANK($C21),"",IF($AJ21=Constants!$B$7,LARGE(AL21:AP21,4)*W21,""))</f>
        <v/>
      </c>
      <c r="AY21" s="59" t="str">
        <f aca="false">IF(ISBLANK($C21),"",IF($AJ21=Constants!$B$7,RANK(AX21,$AX$8:$AX$507),$AJ21))</f>
        <v/>
      </c>
      <c r="AZ21" s="59" t="str">
        <f aca="false">IF(ISBLANK($C21),"",IF($AJ21=Constants!$B$7,IF(ISNUMBER(AV21),COUNTIFS($AK$8:$AK$507,"&lt;"&amp;$AK21)+COUNTIFS($AK$8:$AK$507,$AK21,$AV$8:$AV$507,"&lt;"&amp;$AV21)+COUNTIFS($AK$8:$AK$507,$AK21,$AV$8:$AV$507,$AV21,$AY$8:$AY$507,"&lt;"&amp;$AY21)+1,Constants!$B$14),$AJ21))</f>
        <v/>
      </c>
      <c r="BA21" s="59" t="str">
        <f aca="false">IF(ISBLANK($C21),"",IF($AJ21=Constants!$B$7,IF(ISNUMBER(AW21),AW21-AZ21,Constants!$B$14),$AJ21))</f>
        <v/>
      </c>
      <c r="BB21" s="61"/>
      <c r="BC21" s="62" t="str">
        <f aca="false">IF(ISBLANK($C21),"",IF($AJ21&lt;&gt;Constants!$B$7,$AJ21,SMALL(AQ21:AS21,1)&amp;", "&amp;SMALL(AQ21:AS21,2)&amp;", "&amp;SMALL(AQ21:AS21,3)))</f>
        <v/>
      </c>
      <c r="BD21" s="63" t="str">
        <f aca="false">IF(ISBLANK($C21),"",IF($AJ21&lt;&gt;Constants!$B$7,$AJ21,W21))</f>
        <v/>
      </c>
      <c r="BE21" s="64" t="str">
        <f aca="false">IF(ISBLANK($C21),"",IF($AJ21&lt;&gt;Constants!$B$7,$AJ21,AU21))</f>
        <v/>
      </c>
      <c r="BF21" s="65" t="str">
        <f aca="false">IF(ISBLANK($C21),"",IF($AJ21&lt;&gt;Constants!$B$7,$AJ21,AK21))</f>
        <v/>
      </c>
      <c r="BG21" s="63" t="str">
        <f aca="false">IF(ISBLANK($C21),"",BA21)</f>
        <v/>
      </c>
      <c r="BH21" s="63" t="str">
        <f aca="false">IF(ISBLANK($C21),"",AZ21)</f>
        <v/>
      </c>
      <c r="BI21" s="66" t="str">
        <f aca="false">IF(ISBLANK($C21),"",IF(BH21=Constants!$B$4,COUNTA($C$8:$C$507)+2,IF(BH21=Constants!$B$5,COUNTA($C$8:$C$507)+1,IF(BH21=Constants!$B$6,COUNTA($C$8:$C$507),BH21))))</f>
        <v/>
      </c>
      <c r="BJ21" s="5"/>
      <c r="BK21" s="67" t="n">
        <f aca="false">IF(OR(ISNUMBER(BH21),BH21=Constants!$B$4,BH21=Constants!$B$6,BH21=Constants!$B$5),1,0)</f>
        <v>0</v>
      </c>
      <c r="BL21" s="67" t="n">
        <v>14</v>
      </c>
      <c r="BM21" s="67" t="str">
        <f aca="false">IF(ISBLANK($C21),"",IF(ISNUMBER(BI21),BI21+ROW($B21)/1000,""))</f>
        <v/>
      </c>
      <c r="BN21" s="67" t="str">
        <f aca="false">IF(ISNUMBER(BM21),RANK(BM21,$BM$8:$BM$507,1),"")</f>
        <v/>
      </c>
      <c r="BO21" s="67" t="str">
        <f aca="false">IF(ISBLANK($C21),"",$B21)</f>
        <v/>
      </c>
      <c r="BP21" s="67" t="str">
        <f aca="false">IF(ISBLANK($C21),"",$C21)</f>
        <v/>
      </c>
      <c r="BQ21" s="67" t="str">
        <f aca="false">IF(ISBLANK($C21),"",$D21)</f>
        <v/>
      </c>
      <c r="BR21" s="68" t="str">
        <f aca="false">BF21</f>
        <v/>
      </c>
      <c r="BS21" s="69" t="str">
        <f aca="false">BE21</f>
        <v/>
      </c>
      <c r="BT21" s="67" t="str">
        <f aca="false">IF(ISBLANK($C21),"",BH21)</f>
        <v/>
      </c>
      <c r="BU21" s="70" t="str">
        <f aca="false">IF($BL21&gt;$BK$7,"",VLOOKUP($BL21,$BN$8:$BT$507,7,FALSE()))</f>
        <v/>
      </c>
      <c r="BV21" s="71" t="str">
        <f aca="false">IF($BL21&gt;$BK$7,"",VLOOKUP($BL21,$BN$8:$BT$507,2,FALSE()))</f>
        <v/>
      </c>
      <c r="BW21" s="71" t="str">
        <f aca="false">IF($BL21&gt;$BK$7,"",VLOOKUP($BL21,$BN$8:$BT$507,3,FALSE()))</f>
        <v/>
      </c>
      <c r="BX21" s="71" t="str">
        <f aca="false">IF($BL21&gt;$BK$7,"",VLOOKUP($BL21,$BN$8:$BT$507,4,FALSE()))</f>
        <v/>
      </c>
      <c r="BY21" s="71" t="str">
        <f aca="false">IF($BL21&gt;$BK$7,"",VLOOKUP($BL21,$BN$8:$BT$507,5,FALSE()))</f>
        <v/>
      </c>
      <c r="BZ21" s="72" t="str">
        <f aca="false">IF($BL21&gt;$BK$7,"",VLOOKUP($BL21,$BN$8:$BT$507,6,FALSE()))</f>
        <v/>
      </c>
      <c r="CA21" s="48"/>
    </row>
    <row r="22" customFormat="false" ht="15.75" hidden="false" customHeight="false" outlineLevel="0" collapsed="false">
      <c r="A22" s="5"/>
      <c r="B22" s="121"/>
      <c r="C22" s="50"/>
      <c r="D22" s="51"/>
      <c r="E22" s="110"/>
      <c r="F22" s="111"/>
      <c r="G22" s="54"/>
      <c r="H22" s="112"/>
      <c r="I22" s="113"/>
      <c r="J22" s="54"/>
      <c r="K22" s="112"/>
      <c r="L22" s="54"/>
      <c r="M22" s="112"/>
      <c r="N22" s="54"/>
      <c r="O22" s="112"/>
      <c r="P22" s="54"/>
      <c r="Q22" s="112"/>
      <c r="R22" s="54"/>
      <c r="S22" s="74"/>
      <c r="T22" s="58"/>
      <c r="U22" s="59" t="str">
        <f aca="false">IF(ISBLANK($C22),"",IF(E22=Constants!$B$2, TRUE(), IF(E22=Constants!$B$3, FALSE(), TRUE())))</f>
        <v/>
      </c>
      <c r="V22" s="59" t="str">
        <f aca="false">IF(ISBLANK($C22),"",IF(F22=Constants!$B$2, TRUE(), IF(F22=Constants!$B$3, FALSE(), TRUE())))</f>
        <v/>
      </c>
      <c r="W22" s="59" t="str">
        <f aca="false">IF(ISBLANK($C22),"",IF(G22=Constants!$B$15,Constants!$B$8,IF(G22=Constants!$B$16,Constants!$B$9,Constants!$B$10)))</f>
        <v/>
      </c>
      <c r="X22" s="59" t="str">
        <f aca="false">IF(ISBLANK($C22),"",IF(H22=Constants!$B$2, TRUE(), IF(H22=Constants!$B$3, FALSE(), TRUE())))</f>
        <v/>
      </c>
      <c r="Y22" s="59" t="str">
        <f aca="false">IF(ISBLANK($C22),"",IF(I22=Constants!$B$19,Constants!$B$19,Constants!$B$18))</f>
        <v/>
      </c>
      <c r="Z22" s="59" t="str">
        <f aca="false">IF(ISBLANK($C22),"",IF(ISNUMBER(J22),IF(J22&gt;=0,J22,""),""))</f>
        <v/>
      </c>
      <c r="AA22" s="59" t="str">
        <f aca="false">IF(ISBLANK($C22),"",IF(K22=Constants!$B$19,Constants!$B$19,Constants!$B$18))</f>
        <v/>
      </c>
      <c r="AB22" s="59" t="str">
        <f aca="false">IF(ISBLANK($C22),"",IF(ISNUMBER(L22),IF(L22&gt;=0,L22,""),""))</f>
        <v/>
      </c>
      <c r="AC22" s="59" t="str">
        <f aca="false">IF(ISBLANK($C22),"",IF(M22=Constants!$B$19,Constants!$B$19,Constants!$B$18))</f>
        <v/>
      </c>
      <c r="AD22" s="59" t="str">
        <f aca="false">IF(ISBLANK($C22),"",IF(ISNUMBER(N22),IF(N22&gt;=0,N22,""),""))</f>
        <v/>
      </c>
      <c r="AE22" s="59" t="str">
        <f aca="false">IF(ISBLANK($C22),"",IF(O22=Constants!$B$19,Constants!$B$19,Constants!$B$18))</f>
        <v/>
      </c>
      <c r="AF22" s="59" t="str">
        <f aca="false">IF(ISBLANK($C22),"",IF(ISNUMBER(P22),IF(P22&gt;=0,P22,""),""))</f>
        <v/>
      </c>
      <c r="AG22" s="59" t="str">
        <f aca="false">IF(ISBLANK($C22),"",IF(Q22=Constants!$B$19,Constants!$B$19,Constants!$B$18))</f>
        <v/>
      </c>
      <c r="AH22" s="59" t="str">
        <f aca="false">IF(ISBLANK($C22),"",IF(ISNUMBER(R22),IF(R22&gt;=0,R22,""),""))</f>
        <v/>
      </c>
      <c r="AI22" s="59" t="str">
        <f aca="false">IF(ISBLANK($C22),"",IF(S22=Constants!$B$2, TRUE(), IF(S22=Constants!$B$3, FALSE(), FALSE())))</f>
        <v/>
      </c>
      <c r="AJ22" s="59" t="str">
        <f aca="false">IF(ISBLANK($C22),"",IF(AI22,Constants!$B$4,IF(COUNTA(E22:R22)=0,Constants!$B$5,IF(COUNTA(J22,L22,N22,P22,R22)=0,Constants!$B$6,Constants!$B$7))))</f>
        <v/>
      </c>
      <c r="AK22" s="59" t="str">
        <f aca="false">IF(ISBLANK($C22),"",IF($AJ22&lt;&gt;Constants!$B$7,$AJ22,IF(OR(NOT(X22),AND(NOT(U22),COUNTIFS(Y22:AG22,Constants!$B$18,Z22:AH22,"&gt;=0")&gt;0),AND(NOT(V22),COUNTIFS(Y22:AG22,Constants!$B$19,Z22:AH22,"&gt;=0")&gt;0)),Constants!$B$12,Constants!$B$11)))</f>
        <v/>
      </c>
      <c r="AL22" s="59" t="str">
        <f aca="false">IF($AJ22=Constants!$B$7,IF(Z22="",Constants!$B$13,Z22),"")</f>
        <v/>
      </c>
      <c r="AM22" s="59" t="str">
        <f aca="false">IF($AJ22=Constants!$B$7,IF(AB22="",Constants!$B$13,AB22),"")</f>
        <v/>
      </c>
      <c r="AN22" s="59" t="str">
        <f aca="false">IF($AJ22=Constants!$B$7,IF(AD22="",Constants!$B$13,AD22),"")</f>
        <v/>
      </c>
      <c r="AO22" s="59" t="str">
        <f aca="false">IF($AJ22=Constants!$B$7,IF(AF22="",Constants!$B$13,AF22),"")</f>
        <v/>
      </c>
      <c r="AP22" s="59" t="str">
        <f aca="false">IF($AJ22=Constants!$B$7,IF(AH22="",Constants!$B$13,AH22),"")</f>
        <v/>
      </c>
      <c r="AQ22" s="59" t="str">
        <f aca="false">IF($AJ22=Constants!$B$7,IF(SUMPRODUCT(--($AL22:$AP22&gt;AL22))+SUMPRODUCT(--($AL22:AL22=AL22))=1,1,IF(SUMPRODUCT(--($AL22:$AP22&gt;AM22))+SUMPRODUCT(--($AL22:AM22=AM22))=1,2,IF(SUMPRODUCT(--($AL22:$AP22&gt;AN22))+SUMPRODUCT(--($AL22:AN22=AN22))=1,3,IF(SUMPRODUCT(--($AL22:$AP22&gt;AO22))+SUMPRODUCT(--($AL22:AO22=AO22))=1,4,5)))),"")</f>
        <v/>
      </c>
      <c r="AR22" s="59" t="str">
        <f aca="false">IF($AJ22=Constants!$B$7,IF(SUMPRODUCT(--($AL22:$AP22&gt;AL22))+SUMPRODUCT(--($AL22:AL22=AL22))=2,1,IF(SUMPRODUCT(--($AL22:$AP22&gt;AM22))+SUMPRODUCT(--($AL22:AM22=AM22))=2,2,IF(SUMPRODUCT(--($AL22:$AP22&gt;AN22))+SUMPRODUCT(--($AL22:AN22=AN22))=2,3,IF(SUMPRODUCT(--($AL22:$AP22&gt;AO22))+SUMPRODUCT(--($AL22:AO22=AO22))=2,4,5)))),"")</f>
        <v/>
      </c>
      <c r="AS22" s="59" t="str">
        <f aca="false">IF($AJ22=Constants!$B$7,IF(SUMPRODUCT(--($AL22:$AP22&gt;AL22))+SUMPRODUCT(--($AL22:AL22=AL22))=3,1,IF(SUMPRODUCT(--($AL22:$AP22&gt;AM22))+SUMPRODUCT(--($AL22:AM22=AM22))=3,2,IF(SUMPRODUCT(--($AL22:$AP22&gt;AN22))+SUMPRODUCT(--($AL22:AN22=AN22))=3,3,IF(SUMPRODUCT(--($AL22:$AP22&gt;AO22))+SUMPRODUCT(--($AL22:AO22=AO22))=3,4,5)))),"")</f>
        <v/>
      </c>
      <c r="AT22" s="59" t="str">
        <f aca="false">IF($AJ22=Constants!$B$7,LARGE(AL22:AP22,1)+LARGE(AL22:AP22,2)+LARGE(AL22:AP22,3),"")</f>
        <v/>
      </c>
      <c r="AU22" s="59" t="str">
        <f aca="false">IF(ISBLANK($C22),"",IF($AJ22&lt;&gt;Constants!$B$7,$AJ22,AT22*W22))</f>
        <v/>
      </c>
      <c r="AV22" s="59" t="str">
        <f aca="false">IF(ISBLANK($C22),"",IF($AJ22=Constants!$B$7,IF(ISNUMBER(AU22),RANK(AU22,$AU$8:$AU$507),Constants!$B$14),$AJ22))</f>
        <v/>
      </c>
      <c r="AW22" s="59" t="str">
        <f aca="false">IF(ISBLANK($C22),"",IF($AJ22=Constants!$B$7,IF(ISNUMBER(AV22),COUNTIFS($AK$8:$AK$507,"&lt;"&amp;$AK22)+COUNTIFS($AK$8:$AK$507,$AK22,$AV$8:$AV$507,"&lt;"&amp;$AV22)+1,Constants!$B$14),$AJ22))</f>
        <v/>
      </c>
      <c r="AX22" s="59" t="str">
        <f aca="false">IF(ISBLANK($C22),"",IF($AJ22=Constants!$B$7,LARGE(AL22:AP22,4)*W22,""))</f>
        <v/>
      </c>
      <c r="AY22" s="59" t="str">
        <f aca="false">IF(ISBLANK($C22),"",IF($AJ22=Constants!$B$7,RANK(AX22,$AX$8:$AX$507),$AJ22))</f>
        <v/>
      </c>
      <c r="AZ22" s="59" t="str">
        <f aca="false">IF(ISBLANK($C22),"",IF($AJ22=Constants!$B$7,IF(ISNUMBER(AV22),COUNTIFS($AK$8:$AK$507,"&lt;"&amp;$AK22)+COUNTIFS($AK$8:$AK$507,$AK22,$AV$8:$AV$507,"&lt;"&amp;$AV22)+COUNTIFS($AK$8:$AK$507,$AK22,$AV$8:$AV$507,$AV22,$AY$8:$AY$507,"&lt;"&amp;$AY22)+1,Constants!$B$14),$AJ22))</f>
        <v/>
      </c>
      <c r="BA22" s="59" t="str">
        <f aca="false">IF(ISBLANK($C22),"",IF($AJ22=Constants!$B$7,IF(ISNUMBER(AW22),AW22-AZ22,Constants!$B$14),$AJ22))</f>
        <v/>
      </c>
      <c r="BB22" s="61"/>
      <c r="BC22" s="62" t="str">
        <f aca="false">IF(ISBLANK($C22),"",IF($AJ22&lt;&gt;Constants!$B$7,$AJ22,SMALL(AQ22:AS22,1)&amp;", "&amp;SMALL(AQ22:AS22,2)&amp;", "&amp;SMALL(AQ22:AS22,3)))</f>
        <v/>
      </c>
      <c r="BD22" s="63" t="str">
        <f aca="false">IF(ISBLANK($C22),"",IF($AJ22&lt;&gt;Constants!$B$7,$AJ22,W22))</f>
        <v/>
      </c>
      <c r="BE22" s="64" t="str">
        <f aca="false">IF(ISBLANK($C22),"",IF($AJ22&lt;&gt;Constants!$B$7,$AJ22,AU22))</f>
        <v/>
      </c>
      <c r="BF22" s="65" t="str">
        <f aca="false">IF(ISBLANK($C22),"",IF($AJ22&lt;&gt;Constants!$B$7,$AJ22,AK22))</f>
        <v/>
      </c>
      <c r="BG22" s="63" t="str">
        <f aca="false">IF(ISBLANK($C22),"",BA22)</f>
        <v/>
      </c>
      <c r="BH22" s="63" t="str">
        <f aca="false">IF(ISBLANK($C22),"",AZ22)</f>
        <v/>
      </c>
      <c r="BI22" s="66" t="str">
        <f aca="false">IF(ISBLANK($C22),"",IF(BH22=Constants!$B$4,COUNTA($C$8:$C$507)+2,IF(BH22=Constants!$B$5,COUNTA($C$8:$C$507)+1,IF(BH22=Constants!$B$6,COUNTA($C$8:$C$507),BH22))))</f>
        <v/>
      </c>
      <c r="BJ22" s="5"/>
      <c r="BK22" s="67" t="n">
        <f aca="false">IF(OR(ISNUMBER(BH22),BH22=Constants!$B$4,BH22=Constants!$B$6,BH22=Constants!$B$5),1,0)</f>
        <v>0</v>
      </c>
      <c r="BL22" s="67" t="n">
        <v>15</v>
      </c>
      <c r="BM22" s="67" t="str">
        <f aca="false">IF(ISBLANK($C22),"",IF(ISNUMBER(BI22),BI22+ROW($B22)/1000,""))</f>
        <v/>
      </c>
      <c r="BN22" s="67" t="str">
        <f aca="false">IF(ISNUMBER(BM22),RANK(BM22,$BM$8:$BM$507,1),"")</f>
        <v/>
      </c>
      <c r="BO22" s="67" t="str">
        <f aca="false">IF(ISBLANK($C22),"",$B22)</f>
        <v/>
      </c>
      <c r="BP22" s="67" t="str">
        <f aca="false">IF(ISBLANK($C22),"",$C22)</f>
        <v/>
      </c>
      <c r="BQ22" s="67" t="str">
        <f aca="false">IF(ISBLANK($C22),"",$D22)</f>
        <v/>
      </c>
      <c r="BR22" s="68" t="str">
        <f aca="false">BF22</f>
        <v/>
      </c>
      <c r="BS22" s="69" t="str">
        <f aca="false">BE22</f>
        <v/>
      </c>
      <c r="BT22" s="67" t="str">
        <f aca="false">IF(ISBLANK($C22),"",BH22)</f>
        <v/>
      </c>
      <c r="BU22" s="70" t="str">
        <f aca="false">IF($BL22&gt;$BK$7,"",VLOOKUP($BL22,$BN$8:$BT$507,7,FALSE()))</f>
        <v/>
      </c>
      <c r="BV22" s="71" t="str">
        <f aca="false">IF($BL22&gt;$BK$7,"",VLOOKUP($BL22,$BN$8:$BT$507,2,FALSE()))</f>
        <v/>
      </c>
      <c r="BW22" s="71" t="str">
        <f aca="false">IF($BL22&gt;$BK$7,"",VLOOKUP($BL22,$BN$8:$BT$507,3,FALSE()))</f>
        <v/>
      </c>
      <c r="BX22" s="71" t="str">
        <f aca="false">IF($BL22&gt;$BK$7,"",VLOOKUP($BL22,$BN$8:$BT$507,4,FALSE()))</f>
        <v/>
      </c>
      <c r="BY22" s="71" t="str">
        <f aca="false">IF($BL22&gt;$BK$7,"",VLOOKUP($BL22,$BN$8:$BT$507,5,FALSE()))</f>
        <v/>
      </c>
      <c r="BZ22" s="72" t="str">
        <f aca="false">IF($BL22&gt;$BK$7,"",VLOOKUP($BL22,$BN$8:$BT$507,6,FALSE()))</f>
        <v/>
      </c>
      <c r="CA22" s="48"/>
    </row>
    <row r="23" customFormat="false" ht="15.75" hidden="false" customHeight="false" outlineLevel="0" collapsed="false">
      <c r="A23" s="5"/>
      <c r="B23" s="114"/>
      <c r="C23" s="115"/>
      <c r="D23" s="100"/>
      <c r="E23" s="116"/>
      <c r="F23" s="117"/>
      <c r="G23" s="82"/>
      <c r="H23" s="118"/>
      <c r="I23" s="119"/>
      <c r="J23" s="82"/>
      <c r="K23" s="118"/>
      <c r="L23" s="82"/>
      <c r="M23" s="118"/>
      <c r="N23" s="82"/>
      <c r="O23" s="118"/>
      <c r="P23" s="82"/>
      <c r="Q23" s="118"/>
      <c r="R23" s="82"/>
      <c r="S23" s="120"/>
      <c r="T23" s="86"/>
      <c r="U23" s="87" t="str">
        <f aca="false">IF(ISBLANK($C23),"",IF(E23=Constants!$B$2, TRUE(), IF(E23=Constants!$B$3, FALSE(), TRUE())))</f>
        <v/>
      </c>
      <c r="V23" s="87" t="str">
        <f aca="false">IF(ISBLANK($C23),"",IF(F23=Constants!$B$2, TRUE(), IF(F23=Constants!$B$3, FALSE(), TRUE())))</f>
        <v/>
      </c>
      <c r="W23" s="87" t="str">
        <f aca="false">IF(ISBLANK($C23),"",IF(G23=Constants!$B$15,Constants!$B$8,IF(G23=Constants!$B$16,Constants!$B$9,Constants!$B$10)))</f>
        <v/>
      </c>
      <c r="X23" s="87" t="str">
        <f aca="false">IF(ISBLANK($C23),"",IF(H23=Constants!$B$2, TRUE(), IF(H23=Constants!$B$3, FALSE(), TRUE())))</f>
        <v/>
      </c>
      <c r="Y23" s="87" t="str">
        <f aca="false">IF(ISBLANK($C23),"",IF(I23=Constants!$B$19,Constants!$B$19,Constants!$B$18))</f>
        <v/>
      </c>
      <c r="Z23" s="87" t="str">
        <f aca="false">IF(ISBLANK($C23),"",IF(ISNUMBER(J23),IF(J23&gt;=0,J23,""),""))</f>
        <v/>
      </c>
      <c r="AA23" s="87" t="str">
        <f aca="false">IF(ISBLANK($C23),"",IF(K23=Constants!$B$19,Constants!$B$19,Constants!$B$18))</f>
        <v/>
      </c>
      <c r="AB23" s="87" t="str">
        <f aca="false">IF(ISBLANK($C23),"",IF(ISNUMBER(L23),IF(L23&gt;=0,L23,""),""))</f>
        <v/>
      </c>
      <c r="AC23" s="87" t="str">
        <f aca="false">IF(ISBLANK($C23),"",IF(M23=Constants!$B$19,Constants!$B$19,Constants!$B$18))</f>
        <v/>
      </c>
      <c r="AD23" s="87" t="str">
        <f aca="false">IF(ISBLANK($C23),"",IF(ISNUMBER(N23),IF(N23&gt;=0,N23,""),""))</f>
        <v/>
      </c>
      <c r="AE23" s="87" t="str">
        <f aca="false">IF(ISBLANK($C23),"",IF(O23=Constants!$B$19,Constants!$B$19,Constants!$B$18))</f>
        <v/>
      </c>
      <c r="AF23" s="87" t="str">
        <f aca="false">IF(ISBLANK($C23),"",IF(ISNUMBER(P23),IF(P23&gt;=0,P23,""),""))</f>
        <v/>
      </c>
      <c r="AG23" s="87" t="str">
        <f aca="false">IF(ISBLANK($C23),"",IF(Q23=Constants!$B$19,Constants!$B$19,Constants!$B$18))</f>
        <v/>
      </c>
      <c r="AH23" s="87" t="str">
        <f aca="false">IF(ISBLANK($C23),"",IF(ISNUMBER(R23),IF(R23&gt;=0,R23,""),""))</f>
        <v/>
      </c>
      <c r="AI23" s="87" t="str">
        <f aca="false">IF(ISBLANK($C23),"",IF(S23=Constants!$B$2, TRUE(), IF(S23=Constants!$B$3, FALSE(), FALSE())))</f>
        <v/>
      </c>
      <c r="AJ23" s="87" t="str">
        <f aca="false">IF(ISBLANK($C23),"",IF(AI23,Constants!$B$4,IF(COUNTA(E23:R23)=0,Constants!$B$5,IF(COUNTA(J23,L23,N23,P23,R23)=0,Constants!$B$6,Constants!$B$7))))</f>
        <v/>
      </c>
      <c r="AK23" s="87" t="str">
        <f aca="false">IF(ISBLANK($C23),"",IF($AJ23&lt;&gt;Constants!$B$7,$AJ23,IF(OR(NOT(X23),AND(NOT(U23),COUNTIFS(Y23:AG23,Constants!$B$18,Z23:AH23,"&gt;=0")&gt;0),AND(NOT(V23),COUNTIFS(Y23:AG23,Constants!$B$19,Z23:AH23,"&gt;=0")&gt;0)),Constants!$B$12,Constants!$B$11)))</f>
        <v/>
      </c>
      <c r="AL23" s="87" t="str">
        <f aca="false">IF($AJ23=Constants!$B$7,IF(Z23="",Constants!$B$13,Z23),"")</f>
        <v/>
      </c>
      <c r="AM23" s="87" t="str">
        <f aca="false">IF($AJ23=Constants!$B$7,IF(AB23="",Constants!$B$13,AB23),"")</f>
        <v/>
      </c>
      <c r="AN23" s="87" t="str">
        <f aca="false">IF($AJ23=Constants!$B$7,IF(AD23="",Constants!$B$13,AD23),"")</f>
        <v/>
      </c>
      <c r="AO23" s="87" t="str">
        <f aca="false">IF($AJ23=Constants!$B$7,IF(AF23="",Constants!$B$13,AF23),"")</f>
        <v/>
      </c>
      <c r="AP23" s="87" t="str">
        <f aca="false">IF($AJ23=Constants!$B$7,IF(AH23="",Constants!$B$13,AH23),"")</f>
        <v/>
      </c>
      <c r="AQ23" s="87" t="str">
        <f aca="false">IF($AJ23=Constants!$B$7,IF(SUMPRODUCT(--($AL23:$AP23&gt;AL23))+SUMPRODUCT(--($AL23:AL23=AL23))=1,1,IF(SUMPRODUCT(--($AL23:$AP23&gt;AM23))+SUMPRODUCT(--($AL23:AM23=AM23))=1,2,IF(SUMPRODUCT(--($AL23:$AP23&gt;AN23))+SUMPRODUCT(--($AL23:AN23=AN23))=1,3,IF(SUMPRODUCT(--($AL23:$AP23&gt;AO23))+SUMPRODUCT(--($AL23:AO23=AO23))=1,4,5)))),"")</f>
        <v/>
      </c>
      <c r="AR23" s="87" t="str">
        <f aca="false">IF($AJ23=Constants!$B$7,IF(SUMPRODUCT(--($AL23:$AP23&gt;AL23))+SUMPRODUCT(--($AL23:AL23=AL23))=2,1,IF(SUMPRODUCT(--($AL23:$AP23&gt;AM23))+SUMPRODUCT(--($AL23:AM23=AM23))=2,2,IF(SUMPRODUCT(--($AL23:$AP23&gt;AN23))+SUMPRODUCT(--($AL23:AN23=AN23))=2,3,IF(SUMPRODUCT(--($AL23:$AP23&gt;AO23))+SUMPRODUCT(--($AL23:AO23=AO23))=2,4,5)))),"")</f>
        <v/>
      </c>
      <c r="AS23" s="87" t="str">
        <f aca="false">IF($AJ23=Constants!$B$7,IF(SUMPRODUCT(--($AL23:$AP23&gt;AL23))+SUMPRODUCT(--($AL23:AL23=AL23))=3,1,IF(SUMPRODUCT(--($AL23:$AP23&gt;AM23))+SUMPRODUCT(--($AL23:AM23=AM23))=3,2,IF(SUMPRODUCT(--($AL23:$AP23&gt;AN23))+SUMPRODUCT(--($AL23:AN23=AN23))=3,3,IF(SUMPRODUCT(--($AL23:$AP23&gt;AO23))+SUMPRODUCT(--($AL23:AO23=AO23))=3,4,5)))),"")</f>
        <v/>
      </c>
      <c r="AT23" s="87" t="str">
        <f aca="false">IF($AJ23=Constants!$B$7,LARGE(AL23:AP23,1)+LARGE(AL23:AP23,2)+LARGE(AL23:AP23,3),"")</f>
        <v/>
      </c>
      <c r="AU23" s="87" t="str">
        <f aca="false">IF(ISBLANK($C23),"",IF($AJ23&lt;&gt;Constants!$B$7,$AJ23,AT23*W23))</f>
        <v/>
      </c>
      <c r="AV23" s="87" t="str">
        <f aca="false">IF(ISBLANK($C23),"",IF($AJ23=Constants!$B$7,IF(ISNUMBER(AU23),RANK(AU23,$AU$8:$AU$507),Constants!$B$14),$AJ23))</f>
        <v/>
      </c>
      <c r="AW23" s="87" t="str">
        <f aca="false">IF(ISBLANK($C23),"",IF($AJ23=Constants!$B$7,IF(ISNUMBER(AV23),COUNTIFS($AK$8:$AK$507,"&lt;"&amp;$AK23)+COUNTIFS($AK$8:$AK$507,$AK23,$AV$8:$AV$507,"&lt;"&amp;$AV23)+1,Constants!$B$14),$AJ23))</f>
        <v/>
      </c>
      <c r="AX23" s="87" t="str">
        <f aca="false">IF(ISBLANK($C23),"",IF($AJ23=Constants!$B$7,LARGE(AL23:AP23,4)*W23,""))</f>
        <v/>
      </c>
      <c r="AY23" s="87" t="str">
        <f aca="false">IF(ISBLANK($C23),"",IF($AJ23=Constants!$B$7,RANK(AX23,$AX$8:$AX$507),$AJ23))</f>
        <v/>
      </c>
      <c r="AZ23" s="87" t="str">
        <f aca="false">IF(ISBLANK($C23),"",IF($AJ23=Constants!$B$7,IF(ISNUMBER(AV23),COUNTIFS($AK$8:$AK$507,"&lt;"&amp;$AK23)+COUNTIFS($AK$8:$AK$507,$AK23,$AV$8:$AV$507,"&lt;"&amp;$AV23)+COUNTIFS($AK$8:$AK$507,$AK23,$AV$8:$AV$507,$AV23,$AY$8:$AY$507,"&lt;"&amp;$AY23)+1,Constants!$B$14),$AJ23))</f>
        <v/>
      </c>
      <c r="BA23" s="87" t="str">
        <f aca="false">IF(ISBLANK($C23),"",IF($AJ23=Constants!$B$7,IF(ISNUMBER(AW23),AW23-AZ23,Constants!$B$14),$AJ23))</f>
        <v/>
      </c>
      <c r="BB23" s="88"/>
      <c r="BC23" s="89" t="str">
        <f aca="false">IF(ISBLANK($C23),"",IF($AJ23&lt;&gt;Constants!$B$7,$AJ23,SMALL(AQ23:AS23,1)&amp;", "&amp;SMALL(AQ23:AS23,2)&amp;", "&amp;SMALL(AQ23:AS23,3)))</f>
        <v/>
      </c>
      <c r="BD23" s="90" t="str">
        <f aca="false">IF(ISBLANK($C23),"",IF($AJ23&lt;&gt;Constants!$B$7,$AJ23,W23))</f>
        <v/>
      </c>
      <c r="BE23" s="91" t="str">
        <f aca="false">IF(ISBLANK($C23),"",IF($AJ23&lt;&gt;Constants!$B$7,$AJ23,AU23))</f>
        <v/>
      </c>
      <c r="BF23" s="92" t="str">
        <f aca="false">IF(ISBLANK($C23),"",IF($AJ23&lt;&gt;Constants!$B$7,$AJ23,AK23))</f>
        <v/>
      </c>
      <c r="BG23" s="90" t="str">
        <f aca="false">IF(ISBLANK($C23),"",BA23)</f>
        <v/>
      </c>
      <c r="BH23" s="90" t="str">
        <f aca="false">IF(ISBLANK($C23),"",AZ23)</f>
        <v/>
      </c>
      <c r="BI23" s="93" t="str">
        <f aca="false">IF(ISBLANK($C23),"",IF(BH23=Constants!$B$4,COUNTA($C$8:$C$507)+2,IF(BH23=Constants!$B$5,COUNTA($C$8:$C$507)+1,IF(BH23=Constants!$B$6,COUNTA($C$8:$C$507),BH23))))</f>
        <v/>
      </c>
      <c r="BJ23" s="5"/>
      <c r="BK23" s="94" t="n">
        <f aca="false">IF(OR(ISNUMBER(BH23),BH23=Constants!$B$4,BH23=Constants!$B$6,BH23=Constants!$B$5),1,0)</f>
        <v>0</v>
      </c>
      <c r="BL23" s="94" t="n">
        <v>16</v>
      </c>
      <c r="BM23" s="94" t="str">
        <f aca="false">IF(ISBLANK($C23),"",IF(ISNUMBER(BI23),BI23+ROW($B23)/1000,""))</f>
        <v/>
      </c>
      <c r="BN23" s="94" t="str">
        <f aca="false">IF(ISNUMBER(BM23),RANK(BM23,$BM$8:$BM$507,1),"")</f>
        <v/>
      </c>
      <c r="BO23" s="94" t="str">
        <f aca="false">IF(ISBLANK($C23),"",$B23)</f>
        <v/>
      </c>
      <c r="BP23" s="94" t="str">
        <f aca="false">IF(ISBLANK($C23),"",$C23)</f>
        <v/>
      </c>
      <c r="BQ23" s="94" t="str">
        <f aca="false">IF(ISBLANK($C23),"",$D23)</f>
        <v/>
      </c>
      <c r="BR23" s="95" t="str">
        <f aca="false">BF23</f>
        <v/>
      </c>
      <c r="BS23" s="96" t="str">
        <f aca="false">BE23</f>
        <v/>
      </c>
      <c r="BT23" s="94" t="str">
        <f aca="false">IF(ISBLANK($C23),"",BH23)</f>
        <v/>
      </c>
      <c r="BU23" s="97" t="str">
        <f aca="false">IF($BL23&gt;$BK$7,"",VLOOKUP($BL23,$BN$8:$BT$507,7,FALSE()))</f>
        <v/>
      </c>
      <c r="BV23" s="98" t="str">
        <f aca="false">IF($BL23&gt;$BK$7,"",VLOOKUP($BL23,$BN$8:$BT$507,2,FALSE()))</f>
        <v/>
      </c>
      <c r="BW23" s="98" t="str">
        <f aca="false">IF($BL23&gt;$BK$7,"",VLOOKUP($BL23,$BN$8:$BT$507,3,FALSE()))</f>
        <v/>
      </c>
      <c r="BX23" s="98" t="str">
        <f aca="false">IF($BL23&gt;$BK$7,"",VLOOKUP($BL23,$BN$8:$BT$507,4,FALSE()))</f>
        <v/>
      </c>
      <c r="BY23" s="98" t="str">
        <f aca="false">IF($BL23&gt;$BK$7,"",VLOOKUP($BL23,$BN$8:$BT$507,5,FALSE()))</f>
        <v/>
      </c>
      <c r="BZ23" s="99" t="str">
        <f aca="false">IF($BL23&gt;$BK$7,"",VLOOKUP($BL23,$BN$8:$BT$507,6,FALSE()))</f>
        <v/>
      </c>
      <c r="CA23" s="48"/>
    </row>
    <row r="24" customFormat="false" ht="15.75" hidden="false" customHeight="false" outlineLevel="0" collapsed="false">
      <c r="A24" s="5"/>
      <c r="B24" s="114"/>
      <c r="C24" s="115"/>
      <c r="D24" s="100"/>
      <c r="E24" s="116"/>
      <c r="F24" s="117"/>
      <c r="G24" s="82"/>
      <c r="H24" s="118"/>
      <c r="I24" s="119"/>
      <c r="J24" s="82"/>
      <c r="K24" s="118"/>
      <c r="L24" s="82"/>
      <c r="M24" s="118"/>
      <c r="N24" s="82"/>
      <c r="O24" s="118"/>
      <c r="P24" s="82"/>
      <c r="Q24" s="118"/>
      <c r="R24" s="82"/>
      <c r="S24" s="120"/>
      <c r="T24" s="86"/>
      <c r="U24" s="87" t="str">
        <f aca="false">IF(ISBLANK($C24),"",IF(E24=Constants!$B$2, TRUE(), IF(E24=Constants!$B$3, FALSE(), TRUE())))</f>
        <v/>
      </c>
      <c r="V24" s="87" t="str">
        <f aca="false">IF(ISBLANK($C24),"",IF(F24=Constants!$B$2, TRUE(), IF(F24=Constants!$B$3, FALSE(), TRUE())))</f>
        <v/>
      </c>
      <c r="W24" s="87" t="str">
        <f aca="false">IF(ISBLANK($C24),"",IF(G24=Constants!$B$15,Constants!$B$8,IF(G24=Constants!$B$16,Constants!$B$9,Constants!$B$10)))</f>
        <v/>
      </c>
      <c r="X24" s="87" t="str">
        <f aca="false">IF(ISBLANK($C24),"",IF(H24=Constants!$B$2, TRUE(), IF(H24=Constants!$B$3, FALSE(), TRUE())))</f>
        <v/>
      </c>
      <c r="Y24" s="87" t="str">
        <f aca="false">IF(ISBLANK($C24),"",IF(I24=Constants!$B$19,Constants!$B$19,Constants!$B$18))</f>
        <v/>
      </c>
      <c r="Z24" s="87" t="str">
        <f aca="false">IF(ISBLANK($C24),"",IF(ISNUMBER(J24),IF(J24&gt;=0,J24,""),""))</f>
        <v/>
      </c>
      <c r="AA24" s="87" t="str">
        <f aca="false">IF(ISBLANK($C24),"",IF(K24=Constants!$B$19,Constants!$B$19,Constants!$B$18))</f>
        <v/>
      </c>
      <c r="AB24" s="87" t="str">
        <f aca="false">IF(ISBLANK($C24),"",IF(ISNUMBER(L24),IF(L24&gt;=0,L24,""),""))</f>
        <v/>
      </c>
      <c r="AC24" s="87" t="str">
        <f aca="false">IF(ISBLANK($C24),"",IF(M24=Constants!$B$19,Constants!$B$19,Constants!$B$18))</f>
        <v/>
      </c>
      <c r="AD24" s="87" t="str">
        <f aca="false">IF(ISBLANK($C24),"",IF(ISNUMBER(N24),IF(N24&gt;=0,N24,""),""))</f>
        <v/>
      </c>
      <c r="AE24" s="87" t="str">
        <f aca="false">IF(ISBLANK($C24),"",IF(O24=Constants!$B$19,Constants!$B$19,Constants!$B$18))</f>
        <v/>
      </c>
      <c r="AF24" s="87" t="str">
        <f aca="false">IF(ISBLANK($C24),"",IF(ISNUMBER(P24),IF(P24&gt;=0,P24,""),""))</f>
        <v/>
      </c>
      <c r="AG24" s="87" t="str">
        <f aca="false">IF(ISBLANK($C24),"",IF(Q24=Constants!$B$19,Constants!$B$19,Constants!$B$18))</f>
        <v/>
      </c>
      <c r="AH24" s="87" t="str">
        <f aca="false">IF(ISBLANK($C24),"",IF(ISNUMBER(R24),IF(R24&gt;=0,R24,""),""))</f>
        <v/>
      </c>
      <c r="AI24" s="87" t="str">
        <f aca="false">IF(ISBLANK($C24),"",IF(S24=Constants!$B$2, TRUE(), IF(S24=Constants!$B$3, FALSE(), FALSE())))</f>
        <v/>
      </c>
      <c r="AJ24" s="87" t="str">
        <f aca="false">IF(ISBLANK($C24),"",IF(AI24,Constants!$B$4,IF(COUNTA(E24:R24)=0,Constants!$B$5,IF(COUNTA(J24,L24,N24,P24,R24)=0,Constants!$B$6,Constants!$B$7))))</f>
        <v/>
      </c>
      <c r="AK24" s="87" t="str">
        <f aca="false">IF(ISBLANK($C24),"",IF($AJ24&lt;&gt;Constants!$B$7,$AJ24,IF(OR(NOT(X24),AND(NOT(U24),COUNTIFS(Y24:AG24,Constants!$B$18,Z24:AH24,"&gt;=0")&gt;0),AND(NOT(V24),COUNTIFS(Y24:AG24,Constants!$B$19,Z24:AH24,"&gt;=0")&gt;0)),Constants!$B$12,Constants!$B$11)))</f>
        <v/>
      </c>
      <c r="AL24" s="87" t="str">
        <f aca="false">IF($AJ24=Constants!$B$7,IF(Z24="",Constants!$B$13,Z24),"")</f>
        <v/>
      </c>
      <c r="AM24" s="87" t="str">
        <f aca="false">IF($AJ24=Constants!$B$7,IF(AB24="",Constants!$B$13,AB24),"")</f>
        <v/>
      </c>
      <c r="AN24" s="87" t="str">
        <f aca="false">IF($AJ24=Constants!$B$7,IF(AD24="",Constants!$B$13,AD24),"")</f>
        <v/>
      </c>
      <c r="AO24" s="87" t="str">
        <f aca="false">IF($AJ24=Constants!$B$7,IF(AF24="",Constants!$B$13,AF24),"")</f>
        <v/>
      </c>
      <c r="AP24" s="87" t="str">
        <f aca="false">IF($AJ24=Constants!$B$7,IF(AH24="",Constants!$B$13,AH24),"")</f>
        <v/>
      </c>
      <c r="AQ24" s="87" t="str">
        <f aca="false">IF($AJ24=Constants!$B$7,IF(SUMPRODUCT(--($AL24:$AP24&gt;AL24))+SUMPRODUCT(--($AL24:AL24=AL24))=1,1,IF(SUMPRODUCT(--($AL24:$AP24&gt;AM24))+SUMPRODUCT(--($AL24:AM24=AM24))=1,2,IF(SUMPRODUCT(--($AL24:$AP24&gt;AN24))+SUMPRODUCT(--($AL24:AN24=AN24))=1,3,IF(SUMPRODUCT(--($AL24:$AP24&gt;AO24))+SUMPRODUCT(--($AL24:AO24=AO24))=1,4,5)))),"")</f>
        <v/>
      </c>
      <c r="AR24" s="87" t="str">
        <f aca="false">IF($AJ24=Constants!$B$7,IF(SUMPRODUCT(--($AL24:$AP24&gt;AL24))+SUMPRODUCT(--($AL24:AL24=AL24))=2,1,IF(SUMPRODUCT(--($AL24:$AP24&gt;AM24))+SUMPRODUCT(--($AL24:AM24=AM24))=2,2,IF(SUMPRODUCT(--($AL24:$AP24&gt;AN24))+SUMPRODUCT(--($AL24:AN24=AN24))=2,3,IF(SUMPRODUCT(--($AL24:$AP24&gt;AO24))+SUMPRODUCT(--($AL24:AO24=AO24))=2,4,5)))),"")</f>
        <v/>
      </c>
      <c r="AS24" s="87" t="str">
        <f aca="false">IF($AJ24=Constants!$B$7,IF(SUMPRODUCT(--($AL24:$AP24&gt;AL24))+SUMPRODUCT(--($AL24:AL24=AL24))=3,1,IF(SUMPRODUCT(--($AL24:$AP24&gt;AM24))+SUMPRODUCT(--($AL24:AM24=AM24))=3,2,IF(SUMPRODUCT(--($AL24:$AP24&gt;AN24))+SUMPRODUCT(--($AL24:AN24=AN24))=3,3,IF(SUMPRODUCT(--($AL24:$AP24&gt;AO24))+SUMPRODUCT(--($AL24:AO24=AO24))=3,4,5)))),"")</f>
        <v/>
      </c>
      <c r="AT24" s="87" t="str">
        <f aca="false">IF($AJ24=Constants!$B$7,LARGE(AL24:AP24,1)+LARGE(AL24:AP24,2)+LARGE(AL24:AP24,3),"")</f>
        <v/>
      </c>
      <c r="AU24" s="87" t="str">
        <f aca="false">IF(ISBLANK($C24),"",IF($AJ24&lt;&gt;Constants!$B$7,$AJ24,AT24*W24))</f>
        <v/>
      </c>
      <c r="AV24" s="87" t="str">
        <f aca="false">IF(ISBLANK($C24),"",IF($AJ24=Constants!$B$7,IF(ISNUMBER(AU24),RANK(AU24,$AU$8:$AU$507),Constants!$B$14),$AJ24))</f>
        <v/>
      </c>
      <c r="AW24" s="87" t="str">
        <f aca="false">IF(ISBLANK($C24),"",IF($AJ24=Constants!$B$7,IF(ISNUMBER(AV24),COUNTIFS($AK$8:$AK$507,"&lt;"&amp;$AK24)+COUNTIFS($AK$8:$AK$507,$AK24,$AV$8:$AV$507,"&lt;"&amp;$AV24)+1,Constants!$B$14),$AJ24))</f>
        <v/>
      </c>
      <c r="AX24" s="87" t="str">
        <f aca="false">IF(ISBLANK($C24),"",IF($AJ24=Constants!$B$7,LARGE(AL24:AP24,4)*W24,""))</f>
        <v/>
      </c>
      <c r="AY24" s="87" t="str">
        <f aca="false">IF(ISBLANK($C24),"",IF($AJ24=Constants!$B$7,RANK(AX24,$AX$8:$AX$507),$AJ24))</f>
        <v/>
      </c>
      <c r="AZ24" s="87" t="str">
        <f aca="false">IF(ISBLANK($C24),"",IF($AJ24=Constants!$B$7,IF(ISNUMBER(AV24),COUNTIFS($AK$8:$AK$507,"&lt;"&amp;$AK24)+COUNTIFS($AK$8:$AK$507,$AK24,$AV$8:$AV$507,"&lt;"&amp;$AV24)+COUNTIFS($AK$8:$AK$507,$AK24,$AV$8:$AV$507,$AV24,$AY$8:$AY$507,"&lt;"&amp;$AY24)+1,Constants!$B$14),$AJ24))</f>
        <v/>
      </c>
      <c r="BA24" s="87" t="str">
        <f aca="false">IF(ISBLANK($C24),"",IF($AJ24=Constants!$B$7,IF(ISNUMBER(AW24),AW24-AZ24,Constants!$B$14),$AJ24))</f>
        <v/>
      </c>
      <c r="BB24" s="88"/>
      <c r="BC24" s="89" t="str">
        <f aca="false">IF(ISBLANK($C24),"",IF($AJ24&lt;&gt;Constants!$B$7,$AJ24,SMALL(AQ24:AS24,1)&amp;", "&amp;SMALL(AQ24:AS24,2)&amp;", "&amp;SMALL(AQ24:AS24,3)))</f>
        <v/>
      </c>
      <c r="BD24" s="90" t="str">
        <f aca="false">IF(ISBLANK($C24),"",IF($AJ24&lt;&gt;Constants!$B$7,$AJ24,W24))</f>
        <v/>
      </c>
      <c r="BE24" s="91" t="str">
        <f aca="false">IF(ISBLANK($C24),"",IF($AJ24&lt;&gt;Constants!$B$7,$AJ24,AU24))</f>
        <v/>
      </c>
      <c r="BF24" s="92" t="str">
        <f aca="false">IF(ISBLANK($C24),"",IF($AJ24&lt;&gt;Constants!$B$7,$AJ24,AK24))</f>
        <v/>
      </c>
      <c r="BG24" s="90" t="str">
        <f aca="false">IF(ISBLANK($C24),"",BA24)</f>
        <v/>
      </c>
      <c r="BH24" s="90" t="str">
        <f aca="false">IF(ISBLANK($C24),"",AZ24)</f>
        <v/>
      </c>
      <c r="BI24" s="93" t="str">
        <f aca="false">IF(ISBLANK($C24),"",IF(BH24=Constants!$B$4,COUNTA($C$8:$C$507)+2,IF(BH24=Constants!$B$5,COUNTA($C$8:$C$507)+1,IF(BH24=Constants!$B$6,COUNTA($C$8:$C$507),BH24))))</f>
        <v/>
      </c>
      <c r="BJ24" s="5"/>
      <c r="BK24" s="94" t="n">
        <f aca="false">IF(OR(ISNUMBER(BH24),BH24=Constants!$B$4,BH24=Constants!$B$6,BH24=Constants!$B$5),1,0)</f>
        <v>0</v>
      </c>
      <c r="BL24" s="94" t="n">
        <v>17</v>
      </c>
      <c r="BM24" s="94" t="str">
        <f aca="false">IF(ISBLANK($C24),"",IF(ISNUMBER(BI24),BI24+ROW($B24)/1000,""))</f>
        <v/>
      </c>
      <c r="BN24" s="94" t="str">
        <f aca="false">IF(ISNUMBER(BM24),RANK(BM24,$BM$8:$BM$507,1),"")</f>
        <v/>
      </c>
      <c r="BO24" s="94" t="str">
        <f aca="false">IF(ISBLANK($C24),"",$B24)</f>
        <v/>
      </c>
      <c r="BP24" s="94" t="str">
        <f aca="false">IF(ISBLANK($C24),"",$C24)</f>
        <v/>
      </c>
      <c r="BQ24" s="94" t="str">
        <f aca="false">IF(ISBLANK($C24),"",$D24)</f>
        <v/>
      </c>
      <c r="BR24" s="95" t="str">
        <f aca="false">BF24</f>
        <v/>
      </c>
      <c r="BS24" s="96" t="str">
        <f aca="false">BE24</f>
        <v/>
      </c>
      <c r="BT24" s="94" t="str">
        <f aca="false">IF(ISBLANK($C24),"",BH24)</f>
        <v/>
      </c>
      <c r="BU24" s="97" t="str">
        <f aca="false">IF($BL24&gt;$BK$7,"",VLOOKUP($BL24,$BN$8:$BT$507,7,FALSE()))</f>
        <v/>
      </c>
      <c r="BV24" s="98" t="str">
        <f aca="false">IF($BL24&gt;$BK$7,"",VLOOKUP($BL24,$BN$8:$BT$507,2,FALSE()))</f>
        <v/>
      </c>
      <c r="BW24" s="98" t="str">
        <f aca="false">IF($BL24&gt;$BK$7,"",VLOOKUP($BL24,$BN$8:$BT$507,3,FALSE()))</f>
        <v/>
      </c>
      <c r="BX24" s="98" t="str">
        <f aca="false">IF($BL24&gt;$BK$7,"",VLOOKUP($BL24,$BN$8:$BT$507,4,FALSE()))</f>
        <v/>
      </c>
      <c r="BY24" s="98" t="str">
        <f aca="false">IF($BL24&gt;$BK$7,"",VLOOKUP($BL24,$BN$8:$BT$507,5,FALSE()))</f>
        <v/>
      </c>
      <c r="BZ24" s="99" t="str">
        <f aca="false">IF($BL24&gt;$BK$7,"",VLOOKUP($BL24,$BN$8:$BT$507,6,FALSE()))</f>
        <v/>
      </c>
      <c r="CA24" s="48"/>
    </row>
    <row r="25" customFormat="false" ht="15.75" hidden="false" customHeight="false" outlineLevel="0" collapsed="false">
      <c r="A25" s="5"/>
      <c r="B25" s="114"/>
      <c r="C25" s="115"/>
      <c r="D25" s="100"/>
      <c r="E25" s="116"/>
      <c r="F25" s="117"/>
      <c r="G25" s="82"/>
      <c r="H25" s="118"/>
      <c r="I25" s="119"/>
      <c r="J25" s="82"/>
      <c r="K25" s="118"/>
      <c r="L25" s="82"/>
      <c r="M25" s="118"/>
      <c r="N25" s="82"/>
      <c r="O25" s="118"/>
      <c r="P25" s="82"/>
      <c r="Q25" s="118"/>
      <c r="R25" s="82"/>
      <c r="S25" s="120"/>
      <c r="T25" s="86"/>
      <c r="U25" s="87" t="str">
        <f aca="false">IF(ISBLANK($C25),"",IF(E25=Constants!$B$2, TRUE(), IF(E25=Constants!$B$3, FALSE(), TRUE())))</f>
        <v/>
      </c>
      <c r="V25" s="87" t="str">
        <f aca="false">IF(ISBLANK($C25),"",IF(F25=Constants!$B$2, TRUE(), IF(F25=Constants!$B$3, FALSE(), TRUE())))</f>
        <v/>
      </c>
      <c r="W25" s="87" t="str">
        <f aca="false">IF(ISBLANK($C25),"",IF(G25=Constants!$B$15,Constants!$B$8,IF(G25=Constants!$B$16,Constants!$B$9,Constants!$B$10)))</f>
        <v/>
      </c>
      <c r="X25" s="87" t="str">
        <f aca="false">IF(ISBLANK($C25),"",IF(H25=Constants!$B$2, TRUE(), IF(H25=Constants!$B$3, FALSE(), TRUE())))</f>
        <v/>
      </c>
      <c r="Y25" s="87" t="str">
        <f aca="false">IF(ISBLANK($C25),"",IF(I25=Constants!$B$19,Constants!$B$19,Constants!$B$18))</f>
        <v/>
      </c>
      <c r="Z25" s="87" t="str">
        <f aca="false">IF(ISBLANK($C25),"",IF(ISNUMBER(J25),IF(J25&gt;=0,J25,""),""))</f>
        <v/>
      </c>
      <c r="AA25" s="87" t="str">
        <f aca="false">IF(ISBLANK($C25),"",IF(K25=Constants!$B$19,Constants!$B$19,Constants!$B$18))</f>
        <v/>
      </c>
      <c r="AB25" s="87" t="str">
        <f aca="false">IF(ISBLANK($C25),"",IF(ISNUMBER(L25),IF(L25&gt;=0,L25,""),""))</f>
        <v/>
      </c>
      <c r="AC25" s="87" t="str">
        <f aca="false">IF(ISBLANK($C25),"",IF(M25=Constants!$B$19,Constants!$B$19,Constants!$B$18))</f>
        <v/>
      </c>
      <c r="AD25" s="87" t="str">
        <f aca="false">IF(ISBLANK($C25),"",IF(ISNUMBER(N25),IF(N25&gt;=0,N25,""),""))</f>
        <v/>
      </c>
      <c r="AE25" s="87" t="str">
        <f aca="false">IF(ISBLANK($C25),"",IF(O25=Constants!$B$19,Constants!$B$19,Constants!$B$18))</f>
        <v/>
      </c>
      <c r="AF25" s="87" t="str">
        <f aca="false">IF(ISBLANK($C25),"",IF(ISNUMBER(P25),IF(P25&gt;=0,P25,""),""))</f>
        <v/>
      </c>
      <c r="AG25" s="87" t="str">
        <f aca="false">IF(ISBLANK($C25),"",IF(Q25=Constants!$B$19,Constants!$B$19,Constants!$B$18))</f>
        <v/>
      </c>
      <c r="AH25" s="87" t="str">
        <f aca="false">IF(ISBLANK($C25),"",IF(ISNUMBER(R25),IF(R25&gt;=0,R25,""),""))</f>
        <v/>
      </c>
      <c r="AI25" s="87" t="str">
        <f aca="false">IF(ISBLANK($C25),"",IF(S25=Constants!$B$2, TRUE(), IF(S25=Constants!$B$3, FALSE(), FALSE())))</f>
        <v/>
      </c>
      <c r="AJ25" s="87" t="str">
        <f aca="false">IF(ISBLANK($C25),"",IF(AI25,Constants!$B$4,IF(COUNTA(E25:R25)=0,Constants!$B$5,IF(COUNTA(J25,L25,N25,P25,R25)=0,Constants!$B$6,Constants!$B$7))))</f>
        <v/>
      </c>
      <c r="AK25" s="87" t="str">
        <f aca="false">IF(ISBLANK($C25),"",IF($AJ25&lt;&gt;Constants!$B$7,$AJ25,IF(OR(NOT(X25),AND(NOT(U25),COUNTIFS(Y25:AG25,Constants!$B$18,Z25:AH25,"&gt;=0")&gt;0),AND(NOT(V25),COUNTIFS(Y25:AG25,Constants!$B$19,Z25:AH25,"&gt;=0")&gt;0)),Constants!$B$12,Constants!$B$11)))</f>
        <v/>
      </c>
      <c r="AL25" s="87" t="str">
        <f aca="false">IF($AJ25=Constants!$B$7,IF(Z25="",Constants!$B$13,Z25),"")</f>
        <v/>
      </c>
      <c r="AM25" s="87" t="str">
        <f aca="false">IF($AJ25=Constants!$B$7,IF(AB25="",Constants!$B$13,AB25),"")</f>
        <v/>
      </c>
      <c r="AN25" s="87" t="str">
        <f aca="false">IF($AJ25=Constants!$B$7,IF(AD25="",Constants!$B$13,AD25),"")</f>
        <v/>
      </c>
      <c r="AO25" s="87" t="str">
        <f aca="false">IF($AJ25=Constants!$B$7,IF(AF25="",Constants!$B$13,AF25),"")</f>
        <v/>
      </c>
      <c r="AP25" s="87" t="str">
        <f aca="false">IF($AJ25=Constants!$B$7,IF(AH25="",Constants!$B$13,AH25),"")</f>
        <v/>
      </c>
      <c r="AQ25" s="87" t="str">
        <f aca="false">IF($AJ25=Constants!$B$7,IF(SUMPRODUCT(--($AL25:$AP25&gt;AL25))+SUMPRODUCT(--($AL25:AL25=AL25))=1,1,IF(SUMPRODUCT(--($AL25:$AP25&gt;AM25))+SUMPRODUCT(--($AL25:AM25=AM25))=1,2,IF(SUMPRODUCT(--($AL25:$AP25&gt;AN25))+SUMPRODUCT(--($AL25:AN25=AN25))=1,3,IF(SUMPRODUCT(--($AL25:$AP25&gt;AO25))+SUMPRODUCT(--($AL25:AO25=AO25))=1,4,5)))),"")</f>
        <v/>
      </c>
      <c r="AR25" s="87" t="str">
        <f aca="false">IF($AJ25=Constants!$B$7,IF(SUMPRODUCT(--($AL25:$AP25&gt;AL25))+SUMPRODUCT(--($AL25:AL25=AL25))=2,1,IF(SUMPRODUCT(--($AL25:$AP25&gt;AM25))+SUMPRODUCT(--($AL25:AM25=AM25))=2,2,IF(SUMPRODUCT(--($AL25:$AP25&gt;AN25))+SUMPRODUCT(--($AL25:AN25=AN25))=2,3,IF(SUMPRODUCT(--($AL25:$AP25&gt;AO25))+SUMPRODUCT(--($AL25:AO25=AO25))=2,4,5)))),"")</f>
        <v/>
      </c>
      <c r="AS25" s="87" t="str">
        <f aca="false">IF($AJ25=Constants!$B$7,IF(SUMPRODUCT(--($AL25:$AP25&gt;AL25))+SUMPRODUCT(--($AL25:AL25=AL25))=3,1,IF(SUMPRODUCT(--($AL25:$AP25&gt;AM25))+SUMPRODUCT(--($AL25:AM25=AM25))=3,2,IF(SUMPRODUCT(--($AL25:$AP25&gt;AN25))+SUMPRODUCT(--($AL25:AN25=AN25))=3,3,IF(SUMPRODUCT(--($AL25:$AP25&gt;AO25))+SUMPRODUCT(--($AL25:AO25=AO25))=3,4,5)))),"")</f>
        <v/>
      </c>
      <c r="AT25" s="87" t="str">
        <f aca="false">IF($AJ25=Constants!$B$7,LARGE(AL25:AP25,1)+LARGE(AL25:AP25,2)+LARGE(AL25:AP25,3),"")</f>
        <v/>
      </c>
      <c r="AU25" s="87" t="str">
        <f aca="false">IF(ISBLANK($C25),"",IF($AJ25&lt;&gt;Constants!$B$7,$AJ25,AT25*W25))</f>
        <v/>
      </c>
      <c r="AV25" s="87" t="str">
        <f aca="false">IF(ISBLANK($C25),"",IF($AJ25=Constants!$B$7,IF(ISNUMBER(AU25),RANK(AU25,$AU$8:$AU$507),Constants!$B$14),$AJ25))</f>
        <v/>
      </c>
      <c r="AW25" s="87" t="str">
        <f aca="false">IF(ISBLANK($C25),"",IF($AJ25=Constants!$B$7,IF(ISNUMBER(AV25),COUNTIFS($AK$8:$AK$507,"&lt;"&amp;$AK25)+COUNTIFS($AK$8:$AK$507,$AK25,$AV$8:$AV$507,"&lt;"&amp;$AV25)+1,Constants!$B$14),$AJ25))</f>
        <v/>
      </c>
      <c r="AX25" s="87" t="str">
        <f aca="false">IF(ISBLANK($C25),"",IF($AJ25=Constants!$B$7,LARGE(AL25:AP25,4)*W25,""))</f>
        <v/>
      </c>
      <c r="AY25" s="87" t="str">
        <f aca="false">IF(ISBLANK($C25),"",IF($AJ25=Constants!$B$7,RANK(AX25,$AX$8:$AX$507),$AJ25))</f>
        <v/>
      </c>
      <c r="AZ25" s="87" t="str">
        <f aca="false">IF(ISBLANK($C25),"",IF($AJ25=Constants!$B$7,IF(ISNUMBER(AV25),COUNTIFS($AK$8:$AK$507,"&lt;"&amp;$AK25)+COUNTIFS($AK$8:$AK$507,$AK25,$AV$8:$AV$507,"&lt;"&amp;$AV25)+COUNTIFS($AK$8:$AK$507,$AK25,$AV$8:$AV$507,$AV25,$AY$8:$AY$507,"&lt;"&amp;$AY25)+1,Constants!$B$14),$AJ25))</f>
        <v/>
      </c>
      <c r="BA25" s="87" t="str">
        <f aca="false">IF(ISBLANK($C25),"",IF($AJ25=Constants!$B$7,IF(ISNUMBER(AW25),AW25-AZ25,Constants!$B$14),$AJ25))</f>
        <v/>
      </c>
      <c r="BB25" s="88"/>
      <c r="BC25" s="89" t="str">
        <f aca="false">IF(ISBLANK($C25),"",IF($AJ25&lt;&gt;Constants!$B$7,$AJ25,SMALL(AQ25:AS25,1)&amp;", "&amp;SMALL(AQ25:AS25,2)&amp;", "&amp;SMALL(AQ25:AS25,3)))</f>
        <v/>
      </c>
      <c r="BD25" s="90" t="str">
        <f aca="false">IF(ISBLANK($C25),"",IF($AJ25&lt;&gt;Constants!$B$7,$AJ25,W25))</f>
        <v/>
      </c>
      <c r="BE25" s="91" t="str">
        <f aca="false">IF(ISBLANK($C25),"",IF($AJ25&lt;&gt;Constants!$B$7,$AJ25,AU25))</f>
        <v/>
      </c>
      <c r="BF25" s="92" t="str">
        <f aca="false">IF(ISBLANK($C25),"",IF($AJ25&lt;&gt;Constants!$B$7,$AJ25,AK25))</f>
        <v/>
      </c>
      <c r="BG25" s="90" t="str">
        <f aca="false">IF(ISBLANK($C25),"",BA25)</f>
        <v/>
      </c>
      <c r="BH25" s="90" t="str">
        <f aca="false">IF(ISBLANK($C25),"",AZ25)</f>
        <v/>
      </c>
      <c r="BI25" s="93" t="str">
        <f aca="false">IF(ISBLANK($C25),"",IF(BH25=Constants!$B$4,COUNTA($C$8:$C$507)+2,IF(BH25=Constants!$B$5,COUNTA($C$8:$C$507)+1,IF(BH25=Constants!$B$6,COUNTA($C$8:$C$507),BH25))))</f>
        <v/>
      </c>
      <c r="BJ25" s="5"/>
      <c r="BK25" s="94" t="n">
        <f aca="false">IF(OR(ISNUMBER(BH25),BH25=Constants!$B$4,BH25=Constants!$B$6,BH25=Constants!$B$5),1,0)</f>
        <v>0</v>
      </c>
      <c r="BL25" s="94" t="n">
        <v>18</v>
      </c>
      <c r="BM25" s="94" t="str">
        <f aca="false">IF(ISBLANK($C25),"",IF(ISNUMBER(BI25),BI25+ROW($B25)/1000,""))</f>
        <v/>
      </c>
      <c r="BN25" s="94" t="str">
        <f aca="false">IF(ISNUMBER(BM25),RANK(BM25,$BM$8:$BM$507,1),"")</f>
        <v/>
      </c>
      <c r="BO25" s="94" t="str">
        <f aca="false">IF(ISBLANK($C25),"",$B25)</f>
        <v/>
      </c>
      <c r="BP25" s="94" t="str">
        <f aca="false">IF(ISBLANK($C25),"",$C25)</f>
        <v/>
      </c>
      <c r="BQ25" s="94" t="str">
        <f aca="false">IF(ISBLANK($C25),"",$D25)</f>
        <v/>
      </c>
      <c r="BR25" s="95" t="str">
        <f aca="false">BF25</f>
        <v/>
      </c>
      <c r="BS25" s="96" t="str">
        <f aca="false">BE25</f>
        <v/>
      </c>
      <c r="BT25" s="94" t="str">
        <f aca="false">IF(ISBLANK($C25),"",BH25)</f>
        <v/>
      </c>
      <c r="BU25" s="97" t="str">
        <f aca="false">IF($BL25&gt;$BK$7,"",VLOOKUP($BL25,$BN$8:$BT$507,7,FALSE()))</f>
        <v/>
      </c>
      <c r="BV25" s="98" t="str">
        <f aca="false">IF($BL25&gt;$BK$7,"",VLOOKUP($BL25,$BN$8:$BT$507,2,FALSE()))</f>
        <v/>
      </c>
      <c r="BW25" s="98" t="str">
        <f aca="false">IF($BL25&gt;$BK$7,"",VLOOKUP($BL25,$BN$8:$BT$507,3,FALSE()))</f>
        <v/>
      </c>
      <c r="BX25" s="98" t="str">
        <f aca="false">IF($BL25&gt;$BK$7,"",VLOOKUP($BL25,$BN$8:$BT$507,4,FALSE()))</f>
        <v/>
      </c>
      <c r="BY25" s="98" t="str">
        <f aca="false">IF($BL25&gt;$BK$7,"",VLOOKUP($BL25,$BN$8:$BT$507,5,FALSE()))</f>
        <v/>
      </c>
      <c r="BZ25" s="99" t="str">
        <f aca="false">IF($BL25&gt;$BK$7,"",VLOOKUP($BL25,$BN$8:$BT$507,6,FALSE()))</f>
        <v/>
      </c>
      <c r="CA25" s="48"/>
    </row>
    <row r="26" customFormat="false" ht="15.75" hidden="false" customHeight="false" outlineLevel="0" collapsed="false">
      <c r="A26" s="5"/>
      <c r="B26" s="121"/>
      <c r="C26" s="50"/>
      <c r="D26" s="51"/>
      <c r="E26" s="110"/>
      <c r="F26" s="111"/>
      <c r="G26" s="54"/>
      <c r="H26" s="112"/>
      <c r="I26" s="113"/>
      <c r="J26" s="54"/>
      <c r="K26" s="112"/>
      <c r="L26" s="54"/>
      <c r="M26" s="112"/>
      <c r="N26" s="54"/>
      <c r="O26" s="112"/>
      <c r="P26" s="54"/>
      <c r="Q26" s="112"/>
      <c r="R26" s="54"/>
      <c r="S26" s="74"/>
      <c r="T26" s="58"/>
      <c r="U26" s="59" t="str">
        <f aca="false">IF(ISBLANK($C26),"",IF(E26=Constants!$B$2, TRUE(), IF(E26=Constants!$B$3, FALSE(), TRUE())))</f>
        <v/>
      </c>
      <c r="V26" s="59" t="str">
        <f aca="false">IF(ISBLANK($C26),"",IF(F26=Constants!$B$2, TRUE(), IF(F26=Constants!$B$3, FALSE(), TRUE())))</f>
        <v/>
      </c>
      <c r="W26" s="59" t="str">
        <f aca="false">IF(ISBLANK($C26),"",IF(G26=Constants!$B$15,Constants!$B$8,IF(G26=Constants!$B$16,Constants!$B$9,Constants!$B$10)))</f>
        <v/>
      </c>
      <c r="X26" s="59" t="str">
        <f aca="false">IF(ISBLANK($C26),"",IF(H26=Constants!$B$2, TRUE(), IF(H26=Constants!$B$3, FALSE(), TRUE())))</f>
        <v/>
      </c>
      <c r="Y26" s="59" t="str">
        <f aca="false">IF(ISBLANK($C26),"",IF(I26=Constants!$B$19,Constants!$B$19,Constants!$B$18))</f>
        <v/>
      </c>
      <c r="Z26" s="59" t="str">
        <f aca="false">IF(ISBLANK($C26),"",IF(ISNUMBER(J26),IF(J26&gt;=0,J26,""),""))</f>
        <v/>
      </c>
      <c r="AA26" s="59" t="str">
        <f aca="false">IF(ISBLANK($C26),"",IF(K26=Constants!$B$19,Constants!$B$19,Constants!$B$18))</f>
        <v/>
      </c>
      <c r="AB26" s="59" t="str">
        <f aca="false">IF(ISBLANK($C26),"",IF(ISNUMBER(L26),IF(L26&gt;=0,L26,""),""))</f>
        <v/>
      </c>
      <c r="AC26" s="59" t="str">
        <f aca="false">IF(ISBLANK($C26),"",IF(M26=Constants!$B$19,Constants!$B$19,Constants!$B$18))</f>
        <v/>
      </c>
      <c r="AD26" s="59" t="str">
        <f aca="false">IF(ISBLANK($C26),"",IF(ISNUMBER(N26),IF(N26&gt;=0,N26,""),""))</f>
        <v/>
      </c>
      <c r="AE26" s="59" t="str">
        <f aca="false">IF(ISBLANK($C26),"",IF(O26=Constants!$B$19,Constants!$B$19,Constants!$B$18))</f>
        <v/>
      </c>
      <c r="AF26" s="59" t="str">
        <f aca="false">IF(ISBLANK($C26),"",IF(ISNUMBER(P26),IF(P26&gt;=0,P26,""),""))</f>
        <v/>
      </c>
      <c r="AG26" s="59" t="str">
        <f aca="false">IF(ISBLANK($C26),"",IF(Q26=Constants!$B$19,Constants!$B$19,Constants!$B$18))</f>
        <v/>
      </c>
      <c r="AH26" s="59" t="str">
        <f aca="false">IF(ISBLANK($C26),"",IF(ISNUMBER(R26),IF(R26&gt;=0,R26,""),""))</f>
        <v/>
      </c>
      <c r="AI26" s="59" t="str">
        <f aca="false">IF(ISBLANK($C26),"",IF(S26=Constants!$B$2, TRUE(), IF(S26=Constants!$B$3, FALSE(), FALSE())))</f>
        <v/>
      </c>
      <c r="AJ26" s="59" t="str">
        <f aca="false">IF(ISBLANK($C26),"",IF(AI26,Constants!$B$4,IF(COUNTA(E26:R26)=0,Constants!$B$5,IF(COUNTA(J26,L26,N26,P26,R26)=0,Constants!$B$6,Constants!$B$7))))</f>
        <v/>
      </c>
      <c r="AK26" s="59" t="str">
        <f aca="false">IF(ISBLANK($C26),"",IF($AJ26&lt;&gt;Constants!$B$7,$AJ26,IF(OR(NOT(X26),AND(NOT(U26),COUNTIFS(Y26:AG26,Constants!$B$18,Z26:AH26,"&gt;=0")&gt;0),AND(NOT(V26),COUNTIFS(Y26:AG26,Constants!$B$19,Z26:AH26,"&gt;=0")&gt;0)),Constants!$B$12,Constants!$B$11)))</f>
        <v/>
      </c>
      <c r="AL26" s="59" t="str">
        <f aca="false">IF($AJ26=Constants!$B$7,IF(Z26="",Constants!$B$13,Z26),"")</f>
        <v/>
      </c>
      <c r="AM26" s="59" t="str">
        <f aca="false">IF($AJ26=Constants!$B$7,IF(AB26="",Constants!$B$13,AB26),"")</f>
        <v/>
      </c>
      <c r="AN26" s="59" t="str">
        <f aca="false">IF($AJ26=Constants!$B$7,IF(AD26="",Constants!$B$13,AD26),"")</f>
        <v/>
      </c>
      <c r="AO26" s="59" t="str">
        <f aca="false">IF($AJ26=Constants!$B$7,IF(AF26="",Constants!$B$13,AF26),"")</f>
        <v/>
      </c>
      <c r="AP26" s="59" t="str">
        <f aca="false">IF($AJ26=Constants!$B$7,IF(AH26="",Constants!$B$13,AH26),"")</f>
        <v/>
      </c>
      <c r="AQ26" s="59" t="str">
        <f aca="false">IF($AJ26=Constants!$B$7,IF(SUMPRODUCT(--($AL26:$AP26&gt;AL26))+SUMPRODUCT(--($AL26:AL26=AL26))=1,1,IF(SUMPRODUCT(--($AL26:$AP26&gt;AM26))+SUMPRODUCT(--($AL26:AM26=AM26))=1,2,IF(SUMPRODUCT(--($AL26:$AP26&gt;AN26))+SUMPRODUCT(--($AL26:AN26=AN26))=1,3,IF(SUMPRODUCT(--($AL26:$AP26&gt;AO26))+SUMPRODUCT(--($AL26:AO26=AO26))=1,4,5)))),"")</f>
        <v/>
      </c>
      <c r="AR26" s="59" t="str">
        <f aca="false">IF($AJ26=Constants!$B$7,IF(SUMPRODUCT(--($AL26:$AP26&gt;AL26))+SUMPRODUCT(--($AL26:AL26=AL26))=2,1,IF(SUMPRODUCT(--($AL26:$AP26&gt;AM26))+SUMPRODUCT(--($AL26:AM26=AM26))=2,2,IF(SUMPRODUCT(--($AL26:$AP26&gt;AN26))+SUMPRODUCT(--($AL26:AN26=AN26))=2,3,IF(SUMPRODUCT(--($AL26:$AP26&gt;AO26))+SUMPRODUCT(--($AL26:AO26=AO26))=2,4,5)))),"")</f>
        <v/>
      </c>
      <c r="AS26" s="59" t="str">
        <f aca="false">IF($AJ26=Constants!$B$7,IF(SUMPRODUCT(--($AL26:$AP26&gt;AL26))+SUMPRODUCT(--($AL26:AL26=AL26))=3,1,IF(SUMPRODUCT(--($AL26:$AP26&gt;AM26))+SUMPRODUCT(--($AL26:AM26=AM26))=3,2,IF(SUMPRODUCT(--($AL26:$AP26&gt;AN26))+SUMPRODUCT(--($AL26:AN26=AN26))=3,3,IF(SUMPRODUCT(--($AL26:$AP26&gt;AO26))+SUMPRODUCT(--($AL26:AO26=AO26))=3,4,5)))),"")</f>
        <v/>
      </c>
      <c r="AT26" s="59" t="str">
        <f aca="false">IF($AJ26=Constants!$B$7,LARGE(AL26:AP26,1)+LARGE(AL26:AP26,2)+LARGE(AL26:AP26,3),"")</f>
        <v/>
      </c>
      <c r="AU26" s="59" t="str">
        <f aca="false">IF(ISBLANK($C26),"",IF($AJ26&lt;&gt;Constants!$B$7,$AJ26,AT26*W26))</f>
        <v/>
      </c>
      <c r="AV26" s="59" t="str">
        <f aca="false">IF(ISBLANK($C26),"",IF($AJ26=Constants!$B$7,IF(ISNUMBER(AU26),RANK(AU26,$AU$8:$AU$507),Constants!$B$14),$AJ26))</f>
        <v/>
      </c>
      <c r="AW26" s="59" t="str">
        <f aca="false">IF(ISBLANK($C26),"",IF($AJ26=Constants!$B$7,IF(ISNUMBER(AV26),COUNTIFS($AK$8:$AK$507,"&lt;"&amp;$AK26)+COUNTIFS($AK$8:$AK$507,$AK26,$AV$8:$AV$507,"&lt;"&amp;$AV26)+1,Constants!$B$14),$AJ26))</f>
        <v/>
      </c>
      <c r="AX26" s="59" t="str">
        <f aca="false">IF(ISBLANK($C26),"",IF($AJ26=Constants!$B$7,LARGE(AL26:AP26,4)*W26,""))</f>
        <v/>
      </c>
      <c r="AY26" s="59" t="str">
        <f aca="false">IF(ISBLANK($C26),"",IF($AJ26=Constants!$B$7,RANK(AX26,$AX$8:$AX$507),$AJ26))</f>
        <v/>
      </c>
      <c r="AZ26" s="59" t="str">
        <f aca="false">IF(ISBLANK($C26),"",IF($AJ26=Constants!$B$7,IF(ISNUMBER(AV26),COUNTIFS($AK$8:$AK$507,"&lt;"&amp;$AK26)+COUNTIFS($AK$8:$AK$507,$AK26,$AV$8:$AV$507,"&lt;"&amp;$AV26)+COUNTIFS($AK$8:$AK$507,$AK26,$AV$8:$AV$507,$AV26,$AY$8:$AY$507,"&lt;"&amp;$AY26)+1,Constants!$B$14),$AJ26))</f>
        <v/>
      </c>
      <c r="BA26" s="59" t="str">
        <f aca="false">IF(ISBLANK($C26),"",IF($AJ26=Constants!$B$7,IF(ISNUMBER(AW26),AW26-AZ26,Constants!$B$14),$AJ26))</f>
        <v/>
      </c>
      <c r="BB26" s="61"/>
      <c r="BC26" s="62" t="str">
        <f aca="false">IF(ISBLANK($C26),"",IF($AJ26&lt;&gt;Constants!$B$7,$AJ26,SMALL(AQ26:AS26,1)&amp;", "&amp;SMALL(AQ26:AS26,2)&amp;", "&amp;SMALL(AQ26:AS26,3)))</f>
        <v/>
      </c>
      <c r="BD26" s="63" t="str">
        <f aca="false">IF(ISBLANK($C26),"",IF($AJ26&lt;&gt;Constants!$B$7,$AJ26,W26))</f>
        <v/>
      </c>
      <c r="BE26" s="64" t="str">
        <f aca="false">IF(ISBLANK($C26),"",IF($AJ26&lt;&gt;Constants!$B$7,$AJ26,AU26))</f>
        <v/>
      </c>
      <c r="BF26" s="65" t="str">
        <f aca="false">IF(ISBLANK($C26),"",IF($AJ26&lt;&gt;Constants!$B$7,$AJ26,AK26))</f>
        <v/>
      </c>
      <c r="BG26" s="63" t="str">
        <f aca="false">IF(ISBLANK($C26),"",BA26)</f>
        <v/>
      </c>
      <c r="BH26" s="63" t="str">
        <f aca="false">IF(ISBLANK($C26),"",AZ26)</f>
        <v/>
      </c>
      <c r="BI26" s="66" t="str">
        <f aca="false">IF(ISBLANK($C26),"",IF(BH26=Constants!$B$4,COUNTA($C$8:$C$507)+2,IF(BH26=Constants!$B$5,COUNTA($C$8:$C$507)+1,IF(BH26=Constants!$B$6,COUNTA($C$8:$C$507),BH26))))</f>
        <v/>
      </c>
      <c r="BJ26" s="5"/>
      <c r="BK26" s="67" t="n">
        <f aca="false">IF(OR(ISNUMBER(BH26),BH26=Constants!$B$4,BH26=Constants!$B$6,BH26=Constants!$B$5),1,0)</f>
        <v>0</v>
      </c>
      <c r="BL26" s="67" t="n">
        <v>19</v>
      </c>
      <c r="BM26" s="67" t="str">
        <f aca="false">IF(ISBLANK($C26),"",IF(ISNUMBER(BI26),BI26+ROW($B26)/1000,""))</f>
        <v/>
      </c>
      <c r="BN26" s="67" t="str">
        <f aca="false">IF(ISNUMBER(BM26),RANK(BM26,$BM$8:$BM$507,1),"")</f>
        <v/>
      </c>
      <c r="BO26" s="67" t="str">
        <f aca="false">IF(ISBLANK($C26),"",$B26)</f>
        <v/>
      </c>
      <c r="BP26" s="67" t="str">
        <f aca="false">IF(ISBLANK($C26),"",$C26)</f>
        <v/>
      </c>
      <c r="BQ26" s="67" t="str">
        <f aca="false">IF(ISBLANK($C26),"",$D26)</f>
        <v/>
      </c>
      <c r="BR26" s="68" t="str">
        <f aca="false">BF26</f>
        <v/>
      </c>
      <c r="BS26" s="69" t="str">
        <f aca="false">BE26</f>
        <v/>
      </c>
      <c r="BT26" s="67" t="str">
        <f aca="false">IF(ISBLANK($C26),"",BH26)</f>
        <v/>
      </c>
      <c r="BU26" s="70" t="str">
        <f aca="false">IF($BL26&gt;$BK$7,"",VLOOKUP($BL26,$BN$8:$BT$507,7,FALSE()))</f>
        <v/>
      </c>
      <c r="BV26" s="71" t="str">
        <f aca="false">IF($BL26&gt;$BK$7,"",VLOOKUP($BL26,$BN$8:$BT$507,2,FALSE()))</f>
        <v/>
      </c>
      <c r="BW26" s="71" t="str">
        <f aca="false">IF($BL26&gt;$BK$7,"",VLOOKUP($BL26,$BN$8:$BT$507,3,FALSE()))</f>
        <v/>
      </c>
      <c r="BX26" s="71" t="str">
        <f aca="false">IF($BL26&gt;$BK$7,"",VLOOKUP($BL26,$BN$8:$BT$507,4,FALSE()))</f>
        <v/>
      </c>
      <c r="BY26" s="71" t="str">
        <f aca="false">IF($BL26&gt;$BK$7,"",VLOOKUP($BL26,$BN$8:$BT$507,5,FALSE()))</f>
        <v/>
      </c>
      <c r="BZ26" s="72" t="str">
        <f aca="false">IF($BL26&gt;$BK$7,"",VLOOKUP($BL26,$BN$8:$BT$507,6,FALSE()))</f>
        <v/>
      </c>
      <c r="CA26" s="48"/>
    </row>
    <row r="27" customFormat="false" ht="15.75" hidden="false" customHeight="false" outlineLevel="0" collapsed="false">
      <c r="A27" s="5"/>
      <c r="B27" s="121"/>
      <c r="C27" s="50"/>
      <c r="D27" s="51"/>
      <c r="E27" s="110"/>
      <c r="F27" s="111"/>
      <c r="G27" s="54"/>
      <c r="H27" s="112"/>
      <c r="I27" s="113"/>
      <c r="J27" s="54"/>
      <c r="K27" s="112"/>
      <c r="L27" s="54"/>
      <c r="M27" s="112"/>
      <c r="N27" s="54"/>
      <c r="O27" s="112"/>
      <c r="P27" s="54"/>
      <c r="Q27" s="112"/>
      <c r="R27" s="54"/>
      <c r="S27" s="74"/>
      <c r="T27" s="58"/>
      <c r="U27" s="59" t="str">
        <f aca="false">IF(ISBLANK($C27),"",IF(E27=Constants!$B$2, TRUE(), IF(E27=Constants!$B$3, FALSE(), TRUE())))</f>
        <v/>
      </c>
      <c r="V27" s="59" t="str">
        <f aca="false">IF(ISBLANK($C27),"",IF(F27=Constants!$B$2, TRUE(), IF(F27=Constants!$B$3, FALSE(), TRUE())))</f>
        <v/>
      </c>
      <c r="W27" s="59" t="str">
        <f aca="false">IF(ISBLANK($C27),"",IF(G27=Constants!$B$15,Constants!$B$8,IF(G27=Constants!$B$16,Constants!$B$9,Constants!$B$10)))</f>
        <v/>
      </c>
      <c r="X27" s="59" t="str">
        <f aca="false">IF(ISBLANK($C27),"",IF(H27=Constants!$B$2, TRUE(), IF(H27=Constants!$B$3, FALSE(), TRUE())))</f>
        <v/>
      </c>
      <c r="Y27" s="59" t="str">
        <f aca="false">IF(ISBLANK($C27),"",IF(I27=Constants!$B$19,Constants!$B$19,Constants!$B$18))</f>
        <v/>
      </c>
      <c r="Z27" s="59" t="str">
        <f aca="false">IF(ISBLANK($C27),"",IF(ISNUMBER(J27),IF(J27&gt;=0,J27,""),""))</f>
        <v/>
      </c>
      <c r="AA27" s="59" t="str">
        <f aca="false">IF(ISBLANK($C27),"",IF(K27=Constants!$B$19,Constants!$B$19,Constants!$B$18))</f>
        <v/>
      </c>
      <c r="AB27" s="59" t="str">
        <f aca="false">IF(ISBLANK($C27),"",IF(ISNUMBER(L27),IF(L27&gt;=0,L27,""),""))</f>
        <v/>
      </c>
      <c r="AC27" s="59" t="str">
        <f aca="false">IF(ISBLANK($C27),"",IF(M27=Constants!$B$19,Constants!$B$19,Constants!$B$18))</f>
        <v/>
      </c>
      <c r="AD27" s="59" t="str">
        <f aca="false">IF(ISBLANK($C27),"",IF(ISNUMBER(N27),IF(N27&gt;=0,N27,""),""))</f>
        <v/>
      </c>
      <c r="AE27" s="59" t="str">
        <f aca="false">IF(ISBLANK($C27),"",IF(O27=Constants!$B$19,Constants!$B$19,Constants!$B$18))</f>
        <v/>
      </c>
      <c r="AF27" s="59" t="str">
        <f aca="false">IF(ISBLANK($C27),"",IF(ISNUMBER(P27),IF(P27&gt;=0,P27,""),""))</f>
        <v/>
      </c>
      <c r="AG27" s="59" t="str">
        <f aca="false">IF(ISBLANK($C27),"",IF(Q27=Constants!$B$19,Constants!$B$19,Constants!$B$18))</f>
        <v/>
      </c>
      <c r="AH27" s="59" t="str">
        <f aca="false">IF(ISBLANK($C27),"",IF(ISNUMBER(R27),IF(R27&gt;=0,R27,""),""))</f>
        <v/>
      </c>
      <c r="AI27" s="59" t="str">
        <f aca="false">IF(ISBLANK($C27),"",IF(S27=Constants!$B$2, TRUE(), IF(S27=Constants!$B$3, FALSE(), FALSE())))</f>
        <v/>
      </c>
      <c r="AJ27" s="59" t="str">
        <f aca="false">IF(ISBLANK($C27),"",IF(AI27,Constants!$B$4,IF(COUNTA(E27:R27)=0,Constants!$B$5,IF(COUNTA(J27,L27,N27,P27,R27)=0,Constants!$B$6,Constants!$B$7))))</f>
        <v/>
      </c>
      <c r="AK27" s="59" t="str">
        <f aca="false">IF(ISBLANK($C27),"",IF($AJ27&lt;&gt;Constants!$B$7,$AJ27,IF(OR(NOT(X27),AND(NOT(U27),COUNTIFS(Y27:AG27,Constants!$B$18,Z27:AH27,"&gt;=0")&gt;0),AND(NOT(V27),COUNTIFS(Y27:AG27,Constants!$B$19,Z27:AH27,"&gt;=0")&gt;0)),Constants!$B$12,Constants!$B$11)))</f>
        <v/>
      </c>
      <c r="AL27" s="59" t="str">
        <f aca="false">IF($AJ27=Constants!$B$7,IF(Z27="",Constants!$B$13,Z27),"")</f>
        <v/>
      </c>
      <c r="AM27" s="59" t="str">
        <f aca="false">IF($AJ27=Constants!$B$7,IF(AB27="",Constants!$B$13,AB27),"")</f>
        <v/>
      </c>
      <c r="AN27" s="59" t="str">
        <f aca="false">IF($AJ27=Constants!$B$7,IF(AD27="",Constants!$B$13,AD27),"")</f>
        <v/>
      </c>
      <c r="AO27" s="59" t="str">
        <f aca="false">IF($AJ27=Constants!$B$7,IF(AF27="",Constants!$B$13,AF27),"")</f>
        <v/>
      </c>
      <c r="AP27" s="59" t="str">
        <f aca="false">IF($AJ27=Constants!$B$7,IF(AH27="",Constants!$B$13,AH27),"")</f>
        <v/>
      </c>
      <c r="AQ27" s="59" t="str">
        <f aca="false">IF($AJ27=Constants!$B$7,IF(SUMPRODUCT(--($AL27:$AP27&gt;AL27))+SUMPRODUCT(--($AL27:AL27=AL27))=1,1,IF(SUMPRODUCT(--($AL27:$AP27&gt;AM27))+SUMPRODUCT(--($AL27:AM27=AM27))=1,2,IF(SUMPRODUCT(--($AL27:$AP27&gt;AN27))+SUMPRODUCT(--($AL27:AN27=AN27))=1,3,IF(SUMPRODUCT(--($AL27:$AP27&gt;AO27))+SUMPRODUCT(--($AL27:AO27=AO27))=1,4,5)))),"")</f>
        <v/>
      </c>
      <c r="AR27" s="59" t="str">
        <f aca="false">IF($AJ27=Constants!$B$7,IF(SUMPRODUCT(--($AL27:$AP27&gt;AL27))+SUMPRODUCT(--($AL27:AL27=AL27))=2,1,IF(SUMPRODUCT(--($AL27:$AP27&gt;AM27))+SUMPRODUCT(--($AL27:AM27=AM27))=2,2,IF(SUMPRODUCT(--($AL27:$AP27&gt;AN27))+SUMPRODUCT(--($AL27:AN27=AN27))=2,3,IF(SUMPRODUCT(--($AL27:$AP27&gt;AO27))+SUMPRODUCT(--($AL27:AO27=AO27))=2,4,5)))),"")</f>
        <v/>
      </c>
      <c r="AS27" s="59" t="str">
        <f aca="false">IF($AJ27=Constants!$B$7,IF(SUMPRODUCT(--($AL27:$AP27&gt;AL27))+SUMPRODUCT(--($AL27:AL27=AL27))=3,1,IF(SUMPRODUCT(--($AL27:$AP27&gt;AM27))+SUMPRODUCT(--($AL27:AM27=AM27))=3,2,IF(SUMPRODUCT(--($AL27:$AP27&gt;AN27))+SUMPRODUCT(--($AL27:AN27=AN27))=3,3,IF(SUMPRODUCT(--($AL27:$AP27&gt;AO27))+SUMPRODUCT(--($AL27:AO27=AO27))=3,4,5)))),"")</f>
        <v/>
      </c>
      <c r="AT27" s="59" t="str">
        <f aca="false">IF($AJ27=Constants!$B$7,LARGE(AL27:AP27,1)+LARGE(AL27:AP27,2)+LARGE(AL27:AP27,3),"")</f>
        <v/>
      </c>
      <c r="AU27" s="59" t="str">
        <f aca="false">IF(ISBLANK($C27),"",IF($AJ27&lt;&gt;Constants!$B$7,$AJ27,AT27*W27))</f>
        <v/>
      </c>
      <c r="AV27" s="59" t="str">
        <f aca="false">IF(ISBLANK($C27),"",IF($AJ27=Constants!$B$7,IF(ISNUMBER(AU27),RANK(AU27,$AU$8:$AU$507),Constants!$B$14),$AJ27))</f>
        <v/>
      </c>
      <c r="AW27" s="59" t="str">
        <f aca="false">IF(ISBLANK($C27),"",IF($AJ27=Constants!$B$7,IF(ISNUMBER(AV27),COUNTIFS($AK$8:$AK$507,"&lt;"&amp;$AK27)+COUNTIFS($AK$8:$AK$507,$AK27,$AV$8:$AV$507,"&lt;"&amp;$AV27)+1,Constants!$B$14),$AJ27))</f>
        <v/>
      </c>
      <c r="AX27" s="59" t="str">
        <f aca="false">IF(ISBLANK($C27),"",IF($AJ27=Constants!$B$7,LARGE(AL27:AP27,4)*W27,""))</f>
        <v/>
      </c>
      <c r="AY27" s="59" t="str">
        <f aca="false">IF(ISBLANK($C27),"",IF($AJ27=Constants!$B$7,RANK(AX27,$AX$8:$AX$507),$AJ27))</f>
        <v/>
      </c>
      <c r="AZ27" s="59" t="str">
        <f aca="false">IF(ISBLANK($C27),"",IF($AJ27=Constants!$B$7,IF(ISNUMBER(AV27),COUNTIFS($AK$8:$AK$507,"&lt;"&amp;$AK27)+COUNTIFS($AK$8:$AK$507,$AK27,$AV$8:$AV$507,"&lt;"&amp;$AV27)+COUNTIFS($AK$8:$AK$507,$AK27,$AV$8:$AV$507,$AV27,$AY$8:$AY$507,"&lt;"&amp;$AY27)+1,Constants!$B$14),$AJ27))</f>
        <v/>
      </c>
      <c r="BA27" s="59" t="str">
        <f aca="false">IF(ISBLANK($C27),"",IF($AJ27=Constants!$B$7,IF(ISNUMBER(AW27),AW27-AZ27,Constants!$B$14),$AJ27))</f>
        <v/>
      </c>
      <c r="BB27" s="61"/>
      <c r="BC27" s="62" t="str">
        <f aca="false">IF(ISBLANK($C27),"",IF($AJ27&lt;&gt;Constants!$B$7,$AJ27,SMALL(AQ27:AS27,1)&amp;", "&amp;SMALL(AQ27:AS27,2)&amp;", "&amp;SMALL(AQ27:AS27,3)))</f>
        <v/>
      </c>
      <c r="BD27" s="63" t="str">
        <f aca="false">IF(ISBLANK($C27),"",IF($AJ27&lt;&gt;Constants!$B$7,$AJ27,W27))</f>
        <v/>
      </c>
      <c r="BE27" s="64" t="str">
        <f aca="false">IF(ISBLANK($C27),"",IF($AJ27&lt;&gt;Constants!$B$7,$AJ27,AU27))</f>
        <v/>
      </c>
      <c r="BF27" s="65" t="str">
        <f aca="false">IF(ISBLANK($C27),"",IF($AJ27&lt;&gt;Constants!$B$7,$AJ27,AK27))</f>
        <v/>
      </c>
      <c r="BG27" s="63" t="str">
        <f aca="false">IF(ISBLANK($C27),"",BA27)</f>
        <v/>
      </c>
      <c r="BH27" s="63" t="str">
        <f aca="false">IF(ISBLANK($C27),"",AZ27)</f>
        <v/>
      </c>
      <c r="BI27" s="66" t="str">
        <f aca="false">IF(ISBLANK($C27),"",IF(BH27=Constants!$B$4,COUNTA($C$8:$C$507)+2,IF(BH27=Constants!$B$5,COUNTA($C$8:$C$507)+1,IF(BH27=Constants!$B$6,COUNTA($C$8:$C$507),BH27))))</f>
        <v/>
      </c>
      <c r="BJ27" s="5"/>
      <c r="BK27" s="67" t="n">
        <f aca="false">IF(OR(ISNUMBER(BH27),BH27=Constants!$B$4,BH27=Constants!$B$6,BH27=Constants!$B$5),1,0)</f>
        <v>0</v>
      </c>
      <c r="BL27" s="67" t="n">
        <v>20</v>
      </c>
      <c r="BM27" s="67" t="str">
        <f aca="false">IF(ISBLANK($C27),"",IF(ISNUMBER(BI27),BI27+ROW($B27)/1000,""))</f>
        <v/>
      </c>
      <c r="BN27" s="67" t="str">
        <f aca="false">IF(ISNUMBER(BM27),RANK(BM27,$BM$8:$BM$507,1),"")</f>
        <v/>
      </c>
      <c r="BO27" s="67" t="str">
        <f aca="false">IF(ISBLANK($C27),"",$B27)</f>
        <v/>
      </c>
      <c r="BP27" s="67" t="str">
        <f aca="false">IF(ISBLANK($C27),"",$C27)</f>
        <v/>
      </c>
      <c r="BQ27" s="67" t="str">
        <f aca="false">IF(ISBLANK($C27),"",$D27)</f>
        <v/>
      </c>
      <c r="BR27" s="68" t="str">
        <f aca="false">BF27</f>
        <v/>
      </c>
      <c r="BS27" s="69" t="str">
        <f aca="false">BE27</f>
        <v/>
      </c>
      <c r="BT27" s="67" t="str">
        <f aca="false">IF(ISBLANK($C27),"",BH27)</f>
        <v/>
      </c>
      <c r="BU27" s="70" t="str">
        <f aca="false">IF($BL27&gt;$BK$7,"",VLOOKUP($BL27,$BN$8:$BT$507,7,FALSE()))</f>
        <v/>
      </c>
      <c r="BV27" s="71" t="str">
        <f aca="false">IF($BL27&gt;$BK$7,"",VLOOKUP($BL27,$BN$8:$BT$507,2,FALSE()))</f>
        <v/>
      </c>
      <c r="BW27" s="71" t="str">
        <f aca="false">IF($BL27&gt;$BK$7,"",VLOOKUP($BL27,$BN$8:$BT$507,3,FALSE()))</f>
        <v/>
      </c>
      <c r="BX27" s="71" t="str">
        <f aca="false">IF($BL27&gt;$BK$7,"",VLOOKUP($BL27,$BN$8:$BT$507,4,FALSE()))</f>
        <v/>
      </c>
      <c r="BY27" s="71" t="str">
        <f aca="false">IF($BL27&gt;$BK$7,"",VLOOKUP($BL27,$BN$8:$BT$507,5,FALSE()))</f>
        <v/>
      </c>
      <c r="BZ27" s="72" t="str">
        <f aca="false">IF($BL27&gt;$BK$7,"",VLOOKUP($BL27,$BN$8:$BT$507,6,FALSE()))</f>
        <v/>
      </c>
      <c r="CA27" s="48"/>
    </row>
    <row r="28" customFormat="false" ht="15.75" hidden="false" customHeight="false" outlineLevel="0" collapsed="false">
      <c r="A28" s="5"/>
      <c r="B28" s="121"/>
      <c r="C28" s="50"/>
      <c r="D28" s="51"/>
      <c r="E28" s="110"/>
      <c r="F28" s="111"/>
      <c r="G28" s="54"/>
      <c r="H28" s="112"/>
      <c r="I28" s="113"/>
      <c r="J28" s="54"/>
      <c r="K28" s="112"/>
      <c r="L28" s="54"/>
      <c r="M28" s="112"/>
      <c r="N28" s="54"/>
      <c r="O28" s="112"/>
      <c r="P28" s="54"/>
      <c r="Q28" s="112"/>
      <c r="R28" s="54"/>
      <c r="S28" s="74"/>
      <c r="T28" s="58"/>
      <c r="U28" s="59" t="str">
        <f aca="false">IF(ISBLANK($C28),"",IF(E28=Constants!$B$2, TRUE(), IF(E28=Constants!$B$3, FALSE(), TRUE())))</f>
        <v/>
      </c>
      <c r="V28" s="59" t="str">
        <f aca="false">IF(ISBLANK($C28),"",IF(F28=Constants!$B$2, TRUE(), IF(F28=Constants!$B$3, FALSE(), TRUE())))</f>
        <v/>
      </c>
      <c r="W28" s="59" t="str">
        <f aca="false">IF(ISBLANK($C28),"",IF(G28=Constants!$B$15,Constants!$B$8,IF(G28=Constants!$B$16,Constants!$B$9,Constants!$B$10)))</f>
        <v/>
      </c>
      <c r="X28" s="59" t="str">
        <f aca="false">IF(ISBLANK($C28),"",IF(H28=Constants!$B$2, TRUE(), IF(H28=Constants!$B$3, FALSE(), TRUE())))</f>
        <v/>
      </c>
      <c r="Y28" s="59" t="str">
        <f aca="false">IF(ISBLANK($C28),"",IF(I28=Constants!$B$19,Constants!$B$19,Constants!$B$18))</f>
        <v/>
      </c>
      <c r="Z28" s="59" t="str">
        <f aca="false">IF(ISBLANK($C28),"",IF(ISNUMBER(J28),IF(J28&gt;=0,J28,""),""))</f>
        <v/>
      </c>
      <c r="AA28" s="59" t="str">
        <f aca="false">IF(ISBLANK($C28),"",IF(K28=Constants!$B$19,Constants!$B$19,Constants!$B$18))</f>
        <v/>
      </c>
      <c r="AB28" s="59" t="str">
        <f aca="false">IF(ISBLANK($C28),"",IF(ISNUMBER(L28),IF(L28&gt;=0,L28,""),""))</f>
        <v/>
      </c>
      <c r="AC28" s="59" t="str">
        <f aca="false">IF(ISBLANK($C28),"",IF(M28=Constants!$B$19,Constants!$B$19,Constants!$B$18))</f>
        <v/>
      </c>
      <c r="AD28" s="59" t="str">
        <f aca="false">IF(ISBLANK($C28),"",IF(ISNUMBER(N28),IF(N28&gt;=0,N28,""),""))</f>
        <v/>
      </c>
      <c r="AE28" s="59" t="str">
        <f aca="false">IF(ISBLANK($C28),"",IF(O28=Constants!$B$19,Constants!$B$19,Constants!$B$18))</f>
        <v/>
      </c>
      <c r="AF28" s="59" t="str">
        <f aca="false">IF(ISBLANK($C28),"",IF(ISNUMBER(P28),IF(P28&gt;=0,P28,""),""))</f>
        <v/>
      </c>
      <c r="AG28" s="59" t="str">
        <f aca="false">IF(ISBLANK($C28),"",IF(Q28=Constants!$B$19,Constants!$B$19,Constants!$B$18))</f>
        <v/>
      </c>
      <c r="AH28" s="59" t="str">
        <f aca="false">IF(ISBLANK($C28),"",IF(ISNUMBER(R28),IF(R28&gt;=0,R28,""),""))</f>
        <v/>
      </c>
      <c r="AI28" s="59" t="str">
        <f aca="false">IF(ISBLANK($C28),"",IF(S28=Constants!$B$2, TRUE(), IF(S28=Constants!$B$3, FALSE(), FALSE())))</f>
        <v/>
      </c>
      <c r="AJ28" s="59" t="str">
        <f aca="false">IF(ISBLANK($C28),"",IF(AI28,Constants!$B$4,IF(COUNTA(E28:R28)=0,Constants!$B$5,IF(COUNTA(J28,L28,N28,P28,R28)=0,Constants!$B$6,Constants!$B$7))))</f>
        <v/>
      </c>
      <c r="AK28" s="59" t="str">
        <f aca="false">IF(ISBLANK($C28),"",IF($AJ28&lt;&gt;Constants!$B$7,$AJ28,IF(OR(NOT(X28),AND(NOT(U28),COUNTIFS(Y28:AG28,Constants!$B$18,Z28:AH28,"&gt;=0")&gt;0),AND(NOT(V28),COUNTIFS(Y28:AG28,Constants!$B$19,Z28:AH28,"&gt;=0")&gt;0)),Constants!$B$12,Constants!$B$11)))</f>
        <v/>
      </c>
      <c r="AL28" s="59" t="str">
        <f aca="false">IF($AJ28=Constants!$B$7,IF(Z28="",Constants!$B$13,Z28),"")</f>
        <v/>
      </c>
      <c r="AM28" s="59" t="str">
        <f aca="false">IF($AJ28=Constants!$B$7,IF(AB28="",Constants!$B$13,AB28),"")</f>
        <v/>
      </c>
      <c r="AN28" s="59" t="str">
        <f aca="false">IF($AJ28=Constants!$B$7,IF(AD28="",Constants!$B$13,AD28),"")</f>
        <v/>
      </c>
      <c r="AO28" s="59" t="str">
        <f aca="false">IF($AJ28=Constants!$B$7,IF(AF28="",Constants!$B$13,AF28),"")</f>
        <v/>
      </c>
      <c r="AP28" s="59" t="str">
        <f aca="false">IF($AJ28=Constants!$B$7,IF(AH28="",Constants!$B$13,AH28),"")</f>
        <v/>
      </c>
      <c r="AQ28" s="59" t="str">
        <f aca="false">IF($AJ28=Constants!$B$7,IF(SUMPRODUCT(--($AL28:$AP28&gt;AL28))+SUMPRODUCT(--($AL28:AL28=AL28))=1,1,IF(SUMPRODUCT(--($AL28:$AP28&gt;AM28))+SUMPRODUCT(--($AL28:AM28=AM28))=1,2,IF(SUMPRODUCT(--($AL28:$AP28&gt;AN28))+SUMPRODUCT(--($AL28:AN28=AN28))=1,3,IF(SUMPRODUCT(--($AL28:$AP28&gt;AO28))+SUMPRODUCT(--($AL28:AO28=AO28))=1,4,5)))),"")</f>
        <v/>
      </c>
      <c r="AR28" s="59" t="str">
        <f aca="false">IF($AJ28=Constants!$B$7,IF(SUMPRODUCT(--($AL28:$AP28&gt;AL28))+SUMPRODUCT(--($AL28:AL28=AL28))=2,1,IF(SUMPRODUCT(--($AL28:$AP28&gt;AM28))+SUMPRODUCT(--($AL28:AM28=AM28))=2,2,IF(SUMPRODUCT(--($AL28:$AP28&gt;AN28))+SUMPRODUCT(--($AL28:AN28=AN28))=2,3,IF(SUMPRODUCT(--($AL28:$AP28&gt;AO28))+SUMPRODUCT(--($AL28:AO28=AO28))=2,4,5)))),"")</f>
        <v/>
      </c>
      <c r="AS28" s="59" t="str">
        <f aca="false">IF($AJ28=Constants!$B$7,IF(SUMPRODUCT(--($AL28:$AP28&gt;AL28))+SUMPRODUCT(--($AL28:AL28=AL28))=3,1,IF(SUMPRODUCT(--($AL28:$AP28&gt;AM28))+SUMPRODUCT(--($AL28:AM28=AM28))=3,2,IF(SUMPRODUCT(--($AL28:$AP28&gt;AN28))+SUMPRODUCT(--($AL28:AN28=AN28))=3,3,IF(SUMPRODUCT(--($AL28:$AP28&gt;AO28))+SUMPRODUCT(--($AL28:AO28=AO28))=3,4,5)))),"")</f>
        <v/>
      </c>
      <c r="AT28" s="59" t="str">
        <f aca="false">IF($AJ28=Constants!$B$7,LARGE(AL28:AP28,1)+LARGE(AL28:AP28,2)+LARGE(AL28:AP28,3),"")</f>
        <v/>
      </c>
      <c r="AU28" s="59" t="str">
        <f aca="false">IF(ISBLANK($C28),"",IF($AJ28&lt;&gt;Constants!$B$7,$AJ28,AT28*W28))</f>
        <v/>
      </c>
      <c r="AV28" s="59" t="str">
        <f aca="false">IF(ISBLANK($C28),"",IF($AJ28=Constants!$B$7,IF(ISNUMBER(AU28),RANK(AU28,$AU$8:$AU$507),Constants!$B$14),$AJ28))</f>
        <v/>
      </c>
      <c r="AW28" s="59" t="str">
        <f aca="false">IF(ISBLANK($C28),"",IF($AJ28=Constants!$B$7,IF(ISNUMBER(AV28),COUNTIFS($AK$8:$AK$507,"&lt;"&amp;$AK28)+COUNTIFS($AK$8:$AK$507,$AK28,$AV$8:$AV$507,"&lt;"&amp;$AV28)+1,Constants!$B$14),$AJ28))</f>
        <v/>
      </c>
      <c r="AX28" s="59" t="str">
        <f aca="false">IF(ISBLANK($C28),"",IF($AJ28=Constants!$B$7,LARGE(AL28:AP28,4)*W28,""))</f>
        <v/>
      </c>
      <c r="AY28" s="59" t="str">
        <f aca="false">IF(ISBLANK($C28),"",IF($AJ28=Constants!$B$7,RANK(AX28,$AX$8:$AX$507),$AJ28))</f>
        <v/>
      </c>
      <c r="AZ28" s="59" t="str">
        <f aca="false">IF(ISBLANK($C28),"",IF($AJ28=Constants!$B$7,IF(ISNUMBER(AV28),COUNTIFS($AK$8:$AK$507,"&lt;"&amp;$AK28)+COUNTIFS($AK$8:$AK$507,$AK28,$AV$8:$AV$507,"&lt;"&amp;$AV28)+COUNTIFS($AK$8:$AK$507,$AK28,$AV$8:$AV$507,$AV28,$AY$8:$AY$507,"&lt;"&amp;$AY28)+1,Constants!$B$14),$AJ28))</f>
        <v/>
      </c>
      <c r="BA28" s="59" t="str">
        <f aca="false">IF(ISBLANK($C28),"",IF($AJ28=Constants!$B$7,IF(ISNUMBER(AW28),AW28-AZ28,Constants!$B$14),$AJ28))</f>
        <v/>
      </c>
      <c r="BB28" s="61"/>
      <c r="BC28" s="62" t="str">
        <f aca="false">IF(ISBLANK($C28),"",IF($AJ28&lt;&gt;Constants!$B$7,$AJ28,SMALL(AQ28:AS28,1)&amp;", "&amp;SMALL(AQ28:AS28,2)&amp;", "&amp;SMALL(AQ28:AS28,3)))</f>
        <v/>
      </c>
      <c r="BD28" s="63" t="str">
        <f aca="false">IF(ISBLANK($C28),"",IF($AJ28&lt;&gt;Constants!$B$7,$AJ28,W28))</f>
        <v/>
      </c>
      <c r="BE28" s="64" t="str">
        <f aca="false">IF(ISBLANK($C28),"",IF($AJ28&lt;&gt;Constants!$B$7,$AJ28,AU28))</f>
        <v/>
      </c>
      <c r="BF28" s="65" t="str">
        <f aca="false">IF(ISBLANK($C28),"",IF($AJ28&lt;&gt;Constants!$B$7,$AJ28,AK28))</f>
        <v/>
      </c>
      <c r="BG28" s="63" t="str">
        <f aca="false">IF(ISBLANK($C28),"",BA28)</f>
        <v/>
      </c>
      <c r="BH28" s="63" t="str">
        <f aca="false">IF(ISBLANK($C28),"",AZ28)</f>
        <v/>
      </c>
      <c r="BI28" s="66" t="str">
        <f aca="false">IF(ISBLANK($C28),"",IF(BH28=Constants!$B$4,COUNTA($C$8:$C$507)+2,IF(BH28=Constants!$B$5,COUNTA($C$8:$C$507)+1,IF(BH28=Constants!$B$6,COUNTA($C$8:$C$507),BH28))))</f>
        <v/>
      </c>
      <c r="BJ28" s="5"/>
      <c r="BK28" s="67" t="n">
        <f aca="false">IF(OR(ISNUMBER(BH28),BH28=Constants!$B$4,BH28=Constants!$B$6,BH28=Constants!$B$5),1,0)</f>
        <v>0</v>
      </c>
      <c r="BL28" s="67" t="n">
        <v>21</v>
      </c>
      <c r="BM28" s="67" t="str">
        <f aca="false">IF(ISBLANK($C28),"",IF(ISNUMBER(BI28),BI28+ROW($B28)/1000,""))</f>
        <v/>
      </c>
      <c r="BN28" s="67" t="str">
        <f aca="false">IF(ISNUMBER(BM28),RANK(BM28,$BM$8:$BM$507,1),"")</f>
        <v/>
      </c>
      <c r="BO28" s="67" t="str">
        <f aca="false">IF(ISBLANK($C28),"",$B28)</f>
        <v/>
      </c>
      <c r="BP28" s="67" t="str">
        <f aca="false">IF(ISBLANK($C28),"",$C28)</f>
        <v/>
      </c>
      <c r="BQ28" s="67" t="str">
        <f aca="false">IF(ISBLANK($C28),"",$D28)</f>
        <v/>
      </c>
      <c r="BR28" s="68" t="str">
        <f aca="false">BF28</f>
        <v/>
      </c>
      <c r="BS28" s="69" t="str">
        <f aca="false">BE28</f>
        <v/>
      </c>
      <c r="BT28" s="67" t="str">
        <f aca="false">IF(ISBLANK($C28),"",BH28)</f>
        <v/>
      </c>
      <c r="BU28" s="70" t="str">
        <f aca="false">IF($BL28&gt;$BK$7,"",VLOOKUP($BL28,$BN$8:$BT$507,7,FALSE()))</f>
        <v/>
      </c>
      <c r="BV28" s="71" t="str">
        <f aca="false">IF($BL28&gt;$BK$7,"",VLOOKUP($BL28,$BN$8:$BT$507,2,FALSE()))</f>
        <v/>
      </c>
      <c r="BW28" s="71" t="str">
        <f aca="false">IF($BL28&gt;$BK$7,"",VLOOKUP($BL28,$BN$8:$BT$507,3,FALSE()))</f>
        <v/>
      </c>
      <c r="BX28" s="71" t="str">
        <f aca="false">IF($BL28&gt;$BK$7,"",VLOOKUP($BL28,$BN$8:$BT$507,4,FALSE()))</f>
        <v/>
      </c>
      <c r="BY28" s="71" t="str">
        <f aca="false">IF($BL28&gt;$BK$7,"",VLOOKUP($BL28,$BN$8:$BT$507,5,FALSE()))</f>
        <v/>
      </c>
      <c r="BZ28" s="72" t="str">
        <f aca="false">IF($BL28&gt;$BK$7,"",VLOOKUP($BL28,$BN$8:$BT$507,6,FALSE()))</f>
        <v/>
      </c>
      <c r="CA28" s="48"/>
    </row>
    <row r="29" customFormat="false" ht="15.75" hidden="false" customHeight="false" outlineLevel="0" collapsed="false">
      <c r="A29" s="5"/>
      <c r="B29" s="114"/>
      <c r="C29" s="115"/>
      <c r="D29" s="100"/>
      <c r="E29" s="116"/>
      <c r="F29" s="117"/>
      <c r="G29" s="82"/>
      <c r="H29" s="118"/>
      <c r="I29" s="119"/>
      <c r="J29" s="82"/>
      <c r="K29" s="118"/>
      <c r="L29" s="82"/>
      <c r="M29" s="118"/>
      <c r="N29" s="82"/>
      <c r="O29" s="118"/>
      <c r="P29" s="82"/>
      <c r="Q29" s="118"/>
      <c r="R29" s="82"/>
      <c r="S29" s="120"/>
      <c r="T29" s="86"/>
      <c r="U29" s="87" t="str">
        <f aca="false">IF(ISBLANK($C29),"",IF(E29=Constants!$B$2, TRUE(), IF(E29=Constants!$B$3, FALSE(), TRUE())))</f>
        <v/>
      </c>
      <c r="V29" s="87" t="str">
        <f aca="false">IF(ISBLANK($C29),"",IF(F29=Constants!$B$2, TRUE(), IF(F29=Constants!$B$3, FALSE(), TRUE())))</f>
        <v/>
      </c>
      <c r="W29" s="87" t="str">
        <f aca="false">IF(ISBLANK($C29),"",IF(G29=Constants!$B$15,Constants!$B$8,IF(G29=Constants!$B$16,Constants!$B$9,Constants!$B$10)))</f>
        <v/>
      </c>
      <c r="X29" s="87" t="str">
        <f aca="false">IF(ISBLANK($C29),"",IF(H29=Constants!$B$2, TRUE(), IF(H29=Constants!$B$3, FALSE(), TRUE())))</f>
        <v/>
      </c>
      <c r="Y29" s="87" t="str">
        <f aca="false">IF(ISBLANK($C29),"",IF(I29=Constants!$B$19,Constants!$B$19,Constants!$B$18))</f>
        <v/>
      </c>
      <c r="Z29" s="87" t="str">
        <f aca="false">IF(ISBLANK($C29),"",IF(ISNUMBER(J29),IF(J29&gt;=0,J29,""),""))</f>
        <v/>
      </c>
      <c r="AA29" s="87" t="str">
        <f aca="false">IF(ISBLANK($C29),"",IF(K29=Constants!$B$19,Constants!$B$19,Constants!$B$18))</f>
        <v/>
      </c>
      <c r="AB29" s="87" t="str">
        <f aca="false">IF(ISBLANK($C29),"",IF(ISNUMBER(L29),IF(L29&gt;=0,L29,""),""))</f>
        <v/>
      </c>
      <c r="AC29" s="87" t="str">
        <f aca="false">IF(ISBLANK($C29),"",IF(M29=Constants!$B$19,Constants!$B$19,Constants!$B$18))</f>
        <v/>
      </c>
      <c r="AD29" s="87" t="str">
        <f aca="false">IF(ISBLANK($C29),"",IF(ISNUMBER(N29),IF(N29&gt;=0,N29,""),""))</f>
        <v/>
      </c>
      <c r="AE29" s="87" t="str">
        <f aca="false">IF(ISBLANK($C29),"",IF(O29=Constants!$B$19,Constants!$B$19,Constants!$B$18))</f>
        <v/>
      </c>
      <c r="AF29" s="87" t="str">
        <f aca="false">IF(ISBLANK($C29),"",IF(ISNUMBER(P29),IF(P29&gt;=0,P29,""),""))</f>
        <v/>
      </c>
      <c r="AG29" s="87" t="str">
        <f aca="false">IF(ISBLANK($C29),"",IF(Q29=Constants!$B$19,Constants!$B$19,Constants!$B$18))</f>
        <v/>
      </c>
      <c r="AH29" s="87" t="str">
        <f aca="false">IF(ISBLANK($C29),"",IF(ISNUMBER(R29),IF(R29&gt;=0,R29,""),""))</f>
        <v/>
      </c>
      <c r="AI29" s="87" t="str">
        <f aca="false">IF(ISBLANK($C29),"",IF(S29=Constants!$B$2, TRUE(), IF(S29=Constants!$B$3, FALSE(), FALSE())))</f>
        <v/>
      </c>
      <c r="AJ29" s="87" t="str">
        <f aca="false">IF(ISBLANK($C29),"",IF(AI29,Constants!$B$4,IF(COUNTA(E29:R29)=0,Constants!$B$5,IF(COUNTA(J29,L29,N29,P29,R29)=0,Constants!$B$6,Constants!$B$7))))</f>
        <v/>
      </c>
      <c r="AK29" s="87" t="str">
        <f aca="false">IF(ISBLANK($C29),"",IF($AJ29&lt;&gt;Constants!$B$7,$AJ29,IF(OR(NOT(X29),AND(NOT(U29),COUNTIFS(Y29:AG29,Constants!$B$18,Z29:AH29,"&gt;=0")&gt;0),AND(NOT(V29),COUNTIFS(Y29:AG29,Constants!$B$19,Z29:AH29,"&gt;=0")&gt;0)),Constants!$B$12,Constants!$B$11)))</f>
        <v/>
      </c>
      <c r="AL29" s="87" t="str">
        <f aca="false">IF($AJ29=Constants!$B$7,IF(Z29="",Constants!$B$13,Z29),"")</f>
        <v/>
      </c>
      <c r="AM29" s="87" t="str">
        <f aca="false">IF($AJ29=Constants!$B$7,IF(AB29="",Constants!$B$13,AB29),"")</f>
        <v/>
      </c>
      <c r="AN29" s="87" t="str">
        <f aca="false">IF($AJ29=Constants!$B$7,IF(AD29="",Constants!$B$13,AD29),"")</f>
        <v/>
      </c>
      <c r="AO29" s="87" t="str">
        <f aca="false">IF($AJ29=Constants!$B$7,IF(AF29="",Constants!$B$13,AF29),"")</f>
        <v/>
      </c>
      <c r="AP29" s="87" t="str">
        <f aca="false">IF($AJ29=Constants!$B$7,IF(AH29="",Constants!$B$13,AH29),"")</f>
        <v/>
      </c>
      <c r="AQ29" s="87" t="str">
        <f aca="false">IF($AJ29=Constants!$B$7,IF(SUMPRODUCT(--($AL29:$AP29&gt;AL29))+SUMPRODUCT(--($AL29:AL29=AL29))=1,1,IF(SUMPRODUCT(--($AL29:$AP29&gt;AM29))+SUMPRODUCT(--($AL29:AM29=AM29))=1,2,IF(SUMPRODUCT(--($AL29:$AP29&gt;AN29))+SUMPRODUCT(--($AL29:AN29=AN29))=1,3,IF(SUMPRODUCT(--($AL29:$AP29&gt;AO29))+SUMPRODUCT(--($AL29:AO29=AO29))=1,4,5)))),"")</f>
        <v/>
      </c>
      <c r="AR29" s="87" t="str">
        <f aca="false">IF($AJ29=Constants!$B$7,IF(SUMPRODUCT(--($AL29:$AP29&gt;AL29))+SUMPRODUCT(--($AL29:AL29=AL29))=2,1,IF(SUMPRODUCT(--($AL29:$AP29&gt;AM29))+SUMPRODUCT(--($AL29:AM29=AM29))=2,2,IF(SUMPRODUCT(--($AL29:$AP29&gt;AN29))+SUMPRODUCT(--($AL29:AN29=AN29))=2,3,IF(SUMPRODUCT(--($AL29:$AP29&gt;AO29))+SUMPRODUCT(--($AL29:AO29=AO29))=2,4,5)))),"")</f>
        <v/>
      </c>
      <c r="AS29" s="87" t="str">
        <f aca="false">IF($AJ29=Constants!$B$7,IF(SUMPRODUCT(--($AL29:$AP29&gt;AL29))+SUMPRODUCT(--($AL29:AL29=AL29))=3,1,IF(SUMPRODUCT(--($AL29:$AP29&gt;AM29))+SUMPRODUCT(--($AL29:AM29=AM29))=3,2,IF(SUMPRODUCT(--($AL29:$AP29&gt;AN29))+SUMPRODUCT(--($AL29:AN29=AN29))=3,3,IF(SUMPRODUCT(--($AL29:$AP29&gt;AO29))+SUMPRODUCT(--($AL29:AO29=AO29))=3,4,5)))),"")</f>
        <v/>
      </c>
      <c r="AT29" s="87" t="str">
        <f aca="false">IF($AJ29=Constants!$B$7,LARGE(AL29:AP29,1)+LARGE(AL29:AP29,2)+LARGE(AL29:AP29,3),"")</f>
        <v/>
      </c>
      <c r="AU29" s="87" t="str">
        <f aca="false">IF(ISBLANK($C29),"",IF($AJ29&lt;&gt;Constants!$B$7,$AJ29,AT29*W29))</f>
        <v/>
      </c>
      <c r="AV29" s="87" t="str">
        <f aca="false">IF(ISBLANK($C29),"",IF($AJ29=Constants!$B$7,IF(ISNUMBER(AU29),RANK(AU29,$AU$8:$AU$507),Constants!$B$14),$AJ29))</f>
        <v/>
      </c>
      <c r="AW29" s="87" t="str">
        <f aca="false">IF(ISBLANK($C29),"",IF($AJ29=Constants!$B$7,IF(ISNUMBER(AV29),COUNTIFS($AK$8:$AK$507,"&lt;"&amp;$AK29)+COUNTIFS($AK$8:$AK$507,$AK29,$AV$8:$AV$507,"&lt;"&amp;$AV29)+1,Constants!$B$14),$AJ29))</f>
        <v/>
      </c>
      <c r="AX29" s="87" t="str">
        <f aca="false">IF(ISBLANK($C29),"",IF($AJ29=Constants!$B$7,LARGE(AL29:AP29,4)*W29,""))</f>
        <v/>
      </c>
      <c r="AY29" s="87" t="str">
        <f aca="false">IF(ISBLANK($C29),"",IF($AJ29=Constants!$B$7,RANK(AX29,$AX$8:$AX$507),$AJ29))</f>
        <v/>
      </c>
      <c r="AZ29" s="87" t="str">
        <f aca="false">IF(ISBLANK($C29),"",IF($AJ29=Constants!$B$7,IF(ISNUMBER(AV29),COUNTIFS($AK$8:$AK$507,"&lt;"&amp;$AK29)+COUNTIFS($AK$8:$AK$507,$AK29,$AV$8:$AV$507,"&lt;"&amp;$AV29)+COUNTIFS($AK$8:$AK$507,$AK29,$AV$8:$AV$507,$AV29,$AY$8:$AY$507,"&lt;"&amp;$AY29)+1,Constants!$B$14),$AJ29))</f>
        <v/>
      </c>
      <c r="BA29" s="87" t="str">
        <f aca="false">IF(ISBLANK($C29),"",IF($AJ29=Constants!$B$7,IF(ISNUMBER(AW29),AW29-AZ29,Constants!$B$14),$AJ29))</f>
        <v/>
      </c>
      <c r="BB29" s="88"/>
      <c r="BC29" s="89" t="str">
        <f aca="false">IF(ISBLANK($C29),"",IF($AJ29&lt;&gt;Constants!$B$7,$AJ29,SMALL(AQ29:AS29,1)&amp;", "&amp;SMALL(AQ29:AS29,2)&amp;", "&amp;SMALL(AQ29:AS29,3)))</f>
        <v/>
      </c>
      <c r="BD29" s="90" t="str">
        <f aca="false">IF(ISBLANK($C29),"",IF($AJ29&lt;&gt;Constants!$B$7,$AJ29,W29))</f>
        <v/>
      </c>
      <c r="BE29" s="91" t="str">
        <f aca="false">IF(ISBLANK($C29),"",IF($AJ29&lt;&gt;Constants!$B$7,$AJ29,AU29))</f>
        <v/>
      </c>
      <c r="BF29" s="92" t="str">
        <f aca="false">IF(ISBLANK($C29),"",IF($AJ29&lt;&gt;Constants!$B$7,$AJ29,AK29))</f>
        <v/>
      </c>
      <c r="BG29" s="90" t="str">
        <f aca="false">IF(ISBLANK($C29),"",BA29)</f>
        <v/>
      </c>
      <c r="BH29" s="90" t="str">
        <f aca="false">IF(ISBLANK($C29),"",AZ29)</f>
        <v/>
      </c>
      <c r="BI29" s="93" t="str">
        <f aca="false">IF(ISBLANK($C29),"",IF(BH29=Constants!$B$4,COUNTA($C$8:$C$507)+2,IF(BH29=Constants!$B$5,COUNTA($C$8:$C$507)+1,IF(BH29=Constants!$B$6,COUNTA($C$8:$C$507),BH29))))</f>
        <v/>
      </c>
      <c r="BJ29" s="5"/>
      <c r="BK29" s="94" t="n">
        <f aca="false">IF(OR(ISNUMBER(BH29),BH29=Constants!$B$4,BH29=Constants!$B$6,BH29=Constants!$B$5),1,0)</f>
        <v>0</v>
      </c>
      <c r="BL29" s="94" t="n">
        <v>22</v>
      </c>
      <c r="BM29" s="94" t="str">
        <f aca="false">IF(ISBLANK($C29),"",IF(ISNUMBER(BI29),BI29+ROW($B29)/1000,""))</f>
        <v/>
      </c>
      <c r="BN29" s="94" t="str">
        <f aca="false">IF(ISNUMBER(BM29),RANK(BM29,$BM$8:$BM$507,1),"")</f>
        <v/>
      </c>
      <c r="BO29" s="94" t="str">
        <f aca="false">IF(ISBLANK($C29),"",$B29)</f>
        <v/>
      </c>
      <c r="BP29" s="94" t="str">
        <f aca="false">IF(ISBLANK($C29),"",$C29)</f>
        <v/>
      </c>
      <c r="BQ29" s="94" t="str">
        <f aca="false">IF(ISBLANK($C29),"",$D29)</f>
        <v/>
      </c>
      <c r="BR29" s="95" t="str">
        <f aca="false">BF29</f>
        <v/>
      </c>
      <c r="BS29" s="96" t="str">
        <f aca="false">BE29</f>
        <v/>
      </c>
      <c r="BT29" s="94" t="str">
        <f aca="false">IF(ISBLANK($C29),"",BH29)</f>
        <v/>
      </c>
      <c r="BU29" s="97" t="str">
        <f aca="false">IF($BL29&gt;$BK$7,"",VLOOKUP($BL29,$BN$8:$BT$507,7,FALSE()))</f>
        <v/>
      </c>
      <c r="BV29" s="98" t="str">
        <f aca="false">IF($BL29&gt;$BK$7,"",VLOOKUP($BL29,$BN$8:$BT$507,2,FALSE()))</f>
        <v/>
      </c>
      <c r="BW29" s="98" t="str">
        <f aca="false">IF($BL29&gt;$BK$7,"",VLOOKUP($BL29,$BN$8:$BT$507,3,FALSE()))</f>
        <v/>
      </c>
      <c r="BX29" s="98" t="str">
        <f aca="false">IF($BL29&gt;$BK$7,"",VLOOKUP($BL29,$BN$8:$BT$507,4,FALSE()))</f>
        <v/>
      </c>
      <c r="BY29" s="98" t="str">
        <f aca="false">IF($BL29&gt;$BK$7,"",VLOOKUP($BL29,$BN$8:$BT$507,5,FALSE()))</f>
        <v/>
      </c>
      <c r="BZ29" s="99" t="str">
        <f aca="false">IF($BL29&gt;$BK$7,"",VLOOKUP($BL29,$BN$8:$BT$507,6,FALSE()))</f>
        <v/>
      </c>
      <c r="CA29" s="48"/>
    </row>
    <row r="30" customFormat="false" ht="15.75" hidden="false" customHeight="false" outlineLevel="0" collapsed="false">
      <c r="A30" s="5"/>
      <c r="B30" s="114"/>
      <c r="C30" s="115"/>
      <c r="D30" s="100"/>
      <c r="E30" s="116"/>
      <c r="F30" s="117"/>
      <c r="G30" s="82"/>
      <c r="H30" s="118"/>
      <c r="I30" s="119"/>
      <c r="J30" s="82"/>
      <c r="K30" s="118"/>
      <c r="L30" s="82"/>
      <c r="M30" s="118"/>
      <c r="N30" s="82"/>
      <c r="O30" s="118"/>
      <c r="P30" s="82"/>
      <c r="Q30" s="118"/>
      <c r="R30" s="82"/>
      <c r="S30" s="120"/>
      <c r="T30" s="86"/>
      <c r="U30" s="87" t="str">
        <f aca="false">IF(ISBLANK($C30),"",IF(E30=Constants!$B$2, TRUE(), IF(E30=Constants!$B$3, FALSE(), TRUE())))</f>
        <v/>
      </c>
      <c r="V30" s="87" t="str">
        <f aca="false">IF(ISBLANK($C30),"",IF(F30=Constants!$B$2, TRUE(), IF(F30=Constants!$B$3, FALSE(), TRUE())))</f>
        <v/>
      </c>
      <c r="W30" s="87" t="str">
        <f aca="false">IF(ISBLANK($C30),"",IF(G30=Constants!$B$15,Constants!$B$8,IF(G30=Constants!$B$16,Constants!$B$9,Constants!$B$10)))</f>
        <v/>
      </c>
      <c r="X30" s="87" t="str">
        <f aca="false">IF(ISBLANK($C30),"",IF(H30=Constants!$B$2, TRUE(), IF(H30=Constants!$B$3, FALSE(), TRUE())))</f>
        <v/>
      </c>
      <c r="Y30" s="87" t="str">
        <f aca="false">IF(ISBLANK($C30),"",IF(I30=Constants!$B$19,Constants!$B$19,Constants!$B$18))</f>
        <v/>
      </c>
      <c r="Z30" s="87" t="str">
        <f aca="false">IF(ISBLANK($C30),"",IF(ISNUMBER(J30),IF(J30&gt;=0,J30,""),""))</f>
        <v/>
      </c>
      <c r="AA30" s="87" t="str">
        <f aca="false">IF(ISBLANK($C30),"",IF(K30=Constants!$B$19,Constants!$B$19,Constants!$B$18))</f>
        <v/>
      </c>
      <c r="AB30" s="87" t="str">
        <f aca="false">IF(ISBLANK($C30),"",IF(ISNUMBER(L30),IF(L30&gt;=0,L30,""),""))</f>
        <v/>
      </c>
      <c r="AC30" s="87" t="str">
        <f aca="false">IF(ISBLANK($C30),"",IF(M30=Constants!$B$19,Constants!$B$19,Constants!$B$18))</f>
        <v/>
      </c>
      <c r="AD30" s="87" t="str">
        <f aca="false">IF(ISBLANK($C30),"",IF(ISNUMBER(N30),IF(N30&gt;=0,N30,""),""))</f>
        <v/>
      </c>
      <c r="AE30" s="87" t="str">
        <f aca="false">IF(ISBLANK($C30),"",IF(O30=Constants!$B$19,Constants!$B$19,Constants!$B$18))</f>
        <v/>
      </c>
      <c r="AF30" s="87" t="str">
        <f aca="false">IF(ISBLANK($C30),"",IF(ISNUMBER(P30),IF(P30&gt;=0,P30,""),""))</f>
        <v/>
      </c>
      <c r="AG30" s="87" t="str">
        <f aca="false">IF(ISBLANK($C30),"",IF(Q30=Constants!$B$19,Constants!$B$19,Constants!$B$18))</f>
        <v/>
      </c>
      <c r="AH30" s="87" t="str">
        <f aca="false">IF(ISBLANK($C30),"",IF(ISNUMBER(R30),IF(R30&gt;=0,R30,""),""))</f>
        <v/>
      </c>
      <c r="AI30" s="87" t="str">
        <f aca="false">IF(ISBLANK($C30),"",IF(S30=Constants!$B$2, TRUE(), IF(S30=Constants!$B$3, FALSE(), FALSE())))</f>
        <v/>
      </c>
      <c r="AJ30" s="87" t="str">
        <f aca="false">IF(ISBLANK($C30),"",IF(AI30,Constants!$B$4,IF(COUNTA(E30:R30)=0,Constants!$B$5,IF(COUNTA(J30,L30,N30,P30,R30)=0,Constants!$B$6,Constants!$B$7))))</f>
        <v/>
      </c>
      <c r="AK30" s="87" t="str">
        <f aca="false">IF(ISBLANK($C30),"",IF($AJ30&lt;&gt;Constants!$B$7,$AJ30,IF(OR(NOT(X30),AND(NOT(U30),COUNTIFS(Y30:AG30,Constants!$B$18,Z30:AH30,"&gt;=0")&gt;0),AND(NOT(V30),COUNTIFS(Y30:AG30,Constants!$B$19,Z30:AH30,"&gt;=0")&gt;0)),Constants!$B$12,Constants!$B$11)))</f>
        <v/>
      </c>
      <c r="AL30" s="87" t="str">
        <f aca="false">IF($AJ30=Constants!$B$7,IF(Z30="",Constants!$B$13,Z30),"")</f>
        <v/>
      </c>
      <c r="AM30" s="87" t="str">
        <f aca="false">IF($AJ30=Constants!$B$7,IF(AB30="",Constants!$B$13,AB30),"")</f>
        <v/>
      </c>
      <c r="AN30" s="87" t="str">
        <f aca="false">IF($AJ30=Constants!$B$7,IF(AD30="",Constants!$B$13,AD30),"")</f>
        <v/>
      </c>
      <c r="AO30" s="87" t="str">
        <f aca="false">IF($AJ30=Constants!$B$7,IF(AF30="",Constants!$B$13,AF30),"")</f>
        <v/>
      </c>
      <c r="AP30" s="87" t="str">
        <f aca="false">IF($AJ30=Constants!$B$7,IF(AH30="",Constants!$B$13,AH30),"")</f>
        <v/>
      </c>
      <c r="AQ30" s="87" t="str">
        <f aca="false">IF($AJ30=Constants!$B$7,IF(SUMPRODUCT(--($AL30:$AP30&gt;AL30))+SUMPRODUCT(--($AL30:AL30=AL30))=1,1,IF(SUMPRODUCT(--($AL30:$AP30&gt;AM30))+SUMPRODUCT(--($AL30:AM30=AM30))=1,2,IF(SUMPRODUCT(--($AL30:$AP30&gt;AN30))+SUMPRODUCT(--($AL30:AN30=AN30))=1,3,IF(SUMPRODUCT(--($AL30:$AP30&gt;AO30))+SUMPRODUCT(--($AL30:AO30=AO30))=1,4,5)))),"")</f>
        <v/>
      </c>
      <c r="AR30" s="87" t="str">
        <f aca="false">IF($AJ30=Constants!$B$7,IF(SUMPRODUCT(--($AL30:$AP30&gt;AL30))+SUMPRODUCT(--($AL30:AL30=AL30))=2,1,IF(SUMPRODUCT(--($AL30:$AP30&gt;AM30))+SUMPRODUCT(--($AL30:AM30=AM30))=2,2,IF(SUMPRODUCT(--($AL30:$AP30&gt;AN30))+SUMPRODUCT(--($AL30:AN30=AN30))=2,3,IF(SUMPRODUCT(--($AL30:$AP30&gt;AO30))+SUMPRODUCT(--($AL30:AO30=AO30))=2,4,5)))),"")</f>
        <v/>
      </c>
      <c r="AS30" s="87" t="str">
        <f aca="false">IF($AJ30=Constants!$B$7,IF(SUMPRODUCT(--($AL30:$AP30&gt;AL30))+SUMPRODUCT(--($AL30:AL30=AL30))=3,1,IF(SUMPRODUCT(--($AL30:$AP30&gt;AM30))+SUMPRODUCT(--($AL30:AM30=AM30))=3,2,IF(SUMPRODUCT(--($AL30:$AP30&gt;AN30))+SUMPRODUCT(--($AL30:AN30=AN30))=3,3,IF(SUMPRODUCT(--($AL30:$AP30&gt;AO30))+SUMPRODUCT(--($AL30:AO30=AO30))=3,4,5)))),"")</f>
        <v/>
      </c>
      <c r="AT30" s="87" t="str">
        <f aca="false">IF($AJ30=Constants!$B$7,LARGE(AL30:AP30,1)+LARGE(AL30:AP30,2)+LARGE(AL30:AP30,3),"")</f>
        <v/>
      </c>
      <c r="AU30" s="87" t="str">
        <f aca="false">IF(ISBLANK($C30),"",IF($AJ30&lt;&gt;Constants!$B$7,$AJ30,AT30*W30))</f>
        <v/>
      </c>
      <c r="AV30" s="87" t="str">
        <f aca="false">IF(ISBLANK($C30),"",IF($AJ30=Constants!$B$7,IF(ISNUMBER(AU30),RANK(AU30,$AU$8:$AU$507),Constants!$B$14),$AJ30))</f>
        <v/>
      </c>
      <c r="AW30" s="87" t="str">
        <f aca="false">IF(ISBLANK($C30),"",IF($AJ30=Constants!$B$7,IF(ISNUMBER(AV30),COUNTIFS($AK$8:$AK$507,"&lt;"&amp;$AK30)+COUNTIFS($AK$8:$AK$507,$AK30,$AV$8:$AV$507,"&lt;"&amp;$AV30)+1,Constants!$B$14),$AJ30))</f>
        <v/>
      </c>
      <c r="AX30" s="87" t="str">
        <f aca="false">IF(ISBLANK($C30),"",IF($AJ30=Constants!$B$7,LARGE(AL30:AP30,4)*W30,""))</f>
        <v/>
      </c>
      <c r="AY30" s="87" t="str">
        <f aca="false">IF(ISBLANK($C30),"",IF($AJ30=Constants!$B$7,RANK(AX30,$AX$8:$AX$507),$AJ30))</f>
        <v/>
      </c>
      <c r="AZ30" s="87" t="str">
        <f aca="false">IF(ISBLANK($C30),"",IF($AJ30=Constants!$B$7,IF(ISNUMBER(AV30),COUNTIFS($AK$8:$AK$507,"&lt;"&amp;$AK30)+COUNTIFS($AK$8:$AK$507,$AK30,$AV$8:$AV$507,"&lt;"&amp;$AV30)+COUNTIFS($AK$8:$AK$507,$AK30,$AV$8:$AV$507,$AV30,$AY$8:$AY$507,"&lt;"&amp;$AY30)+1,Constants!$B$14),$AJ30))</f>
        <v/>
      </c>
      <c r="BA30" s="87" t="str">
        <f aca="false">IF(ISBLANK($C30),"",IF($AJ30=Constants!$B$7,IF(ISNUMBER(AW30),AW30-AZ30,Constants!$B$14),$AJ30))</f>
        <v/>
      </c>
      <c r="BB30" s="88"/>
      <c r="BC30" s="89" t="str">
        <f aca="false">IF(ISBLANK($C30),"",IF($AJ30&lt;&gt;Constants!$B$7,$AJ30,SMALL(AQ30:AS30,1)&amp;", "&amp;SMALL(AQ30:AS30,2)&amp;", "&amp;SMALL(AQ30:AS30,3)))</f>
        <v/>
      </c>
      <c r="BD30" s="90" t="str">
        <f aca="false">IF(ISBLANK($C30),"",IF($AJ30&lt;&gt;Constants!$B$7,$AJ30,W30))</f>
        <v/>
      </c>
      <c r="BE30" s="91" t="str">
        <f aca="false">IF(ISBLANK($C30),"",IF($AJ30&lt;&gt;Constants!$B$7,$AJ30,AU30))</f>
        <v/>
      </c>
      <c r="BF30" s="92" t="str">
        <f aca="false">IF(ISBLANK($C30),"",IF($AJ30&lt;&gt;Constants!$B$7,$AJ30,AK30))</f>
        <v/>
      </c>
      <c r="BG30" s="90" t="str">
        <f aca="false">IF(ISBLANK($C30),"",BA30)</f>
        <v/>
      </c>
      <c r="BH30" s="90" t="str">
        <f aca="false">IF(ISBLANK($C30),"",AZ30)</f>
        <v/>
      </c>
      <c r="BI30" s="93" t="str">
        <f aca="false">IF(ISBLANK($C30),"",IF(BH30=Constants!$B$4,COUNTA($C$8:$C$507)+2,IF(BH30=Constants!$B$5,COUNTA($C$8:$C$507)+1,IF(BH30=Constants!$B$6,COUNTA($C$8:$C$507),BH30))))</f>
        <v/>
      </c>
      <c r="BJ30" s="5"/>
      <c r="BK30" s="94" t="n">
        <f aca="false">IF(OR(ISNUMBER(BH30),BH30=Constants!$B$4,BH30=Constants!$B$6,BH30=Constants!$B$5),1,0)</f>
        <v>0</v>
      </c>
      <c r="BL30" s="94" t="n">
        <v>23</v>
      </c>
      <c r="BM30" s="94" t="str">
        <f aca="false">IF(ISBLANK($C30),"",IF(ISNUMBER(BI30),BI30+ROW($B30)/1000,""))</f>
        <v/>
      </c>
      <c r="BN30" s="94" t="str">
        <f aca="false">IF(ISNUMBER(BM30),RANK(BM30,$BM$8:$BM$507,1),"")</f>
        <v/>
      </c>
      <c r="BO30" s="94" t="str">
        <f aca="false">IF(ISBLANK($C30),"",$B30)</f>
        <v/>
      </c>
      <c r="BP30" s="94" t="str">
        <f aca="false">IF(ISBLANK($C30),"",$C30)</f>
        <v/>
      </c>
      <c r="BQ30" s="94" t="str">
        <f aca="false">IF(ISBLANK($C30),"",$D30)</f>
        <v/>
      </c>
      <c r="BR30" s="95" t="str">
        <f aca="false">BF30</f>
        <v/>
      </c>
      <c r="BS30" s="96" t="str">
        <f aca="false">BE30</f>
        <v/>
      </c>
      <c r="BT30" s="94" t="str">
        <f aca="false">IF(ISBLANK($C30),"",BH30)</f>
        <v/>
      </c>
      <c r="BU30" s="97" t="str">
        <f aca="false">IF($BL30&gt;$BK$7,"",VLOOKUP($BL30,$BN$8:$BT$507,7,FALSE()))</f>
        <v/>
      </c>
      <c r="BV30" s="98" t="str">
        <f aca="false">IF($BL30&gt;$BK$7,"",VLOOKUP($BL30,$BN$8:$BT$507,2,FALSE()))</f>
        <v/>
      </c>
      <c r="BW30" s="98" t="str">
        <f aca="false">IF($BL30&gt;$BK$7,"",VLOOKUP($BL30,$BN$8:$BT$507,3,FALSE()))</f>
        <v/>
      </c>
      <c r="BX30" s="98" t="str">
        <f aca="false">IF($BL30&gt;$BK$7,"",VLOOKUP($BL30,$BN$8:$BT$507,4,FALSE()))</f>
        <v/>
      </c>
      <c r="BY30" s="98" t="str">
        <f aca="false">IF($BL30&gt;$BK$7,"",VLOOKUP($BL30,$BN$8:$BT$507,5,FALSE()))</f>
        <v/>
      </c>
      <c r="BZ30" s="99" t="str">
        <f aca="false">IF($BL30&gt;$BK$7,"",VLOOKUP($BL30,$BN$8:$BT$507,6,FALSE()))</f>
        <v/>
      </c>
      <c r="CA30" s="48"/>
    </row>
    <row r="31" customFormat="false" ht="15.75" hidden="false" customHeight="false" outlineLevel="0" collapsed="false">
      <c r="A31" s="5"/>
      <c r="B31" s="114"/>
      <c r="C31" s="115"/>
      <c r="D31" s="100"/>
      <c r="E31" s="116"/>
      <c r="F31" s="117"/>
      <c r="G31" s="82"/>
      <c r="H31" s="118"/>
      <c r="I31" s="119"/>
      <c r="J31" s="82"/>
      <c r="K31" s="118"/>
      <c r="L31" s="82"/>
      <c r="M31" s="118"/>
      <c r="N31" s="82"/>
      <c r="O31" s="118"/>
      <c r="P31" s="82"/>
      <c r="Q31" s="118"/>
      <c r="R31" s="82"/>
      <c r="S31" s="120"/>
      <c r="T31" s="86"/>
      <c r="U31" s="87" t="str">
        <f aca="false">IF(ISBLANK($C31),"",IF(E31=Constants!$B$2, TRUE(), IF(E31=Constants!$B$3, FALSE(), TRUE())))</f>
        <v/>
      </c>
      <c r="V31" s="87" t="str">
        <f aca="false">IF(ISBLANK($C31),"",IF(F31=Constants!$B$2, TRUE(), IF(F31=Constants!$B$3, FALSE(), TRUE())))</f>
        <v/>
      </c>
      <c r="W31" s="87" t="str">
        <f aca="false">IF(ISBLANK($C31),"",IF(G31=Constants!$B$15,Constants!$B$8,IF(G31=Constants!$B$16,Constants!$B$9,Constants!$B$10)))</f>
        <v/>
      </c>
      <c r="X31" s="87" t="str">
        <f aca="false">IF(ISBLANK($C31),"",IF(H31=Constants!$B$2, TRUE(), IF(H31=Constants!$B$3, FALSE(), TRUE())))</f>
        <v/>
      </c>
      <c r="Y31" s="87" t="str">
        <f aca="false">IF(ISBLANK($C31),"",IF(I31=Constants!$B$19,Constants!$B$19,Constants!$B$18))</f>
        <v/>
      </c>
      <c r="Z31" s="87" t="str">
        <f aca="false">IF(ISBLANK($C31),"",IF(ISNUMBER(J31),IF(J31&gt;=0,J31,""),""))</f>
        <v/>
      </c>
      <c r="AA31" s="87" t="str">
        <f aca="false">IF(ISBLANK($C31),"",IF(K31=Constants!$B$19,Constants!$B$19,Constants!$B$18))</f>
        <v/>
      </c>
      <c r="AB31" s="87" t="str">
        <f aca="false">IF(ISBLANK($C31),"",IF(ISNUMBER(L31),IF(L31&gt;=0,L31,""),""))</f>
        <v/>
      </c>
      <c r="AC31" s="87" t="str">
        <f aca="false">IF(ISBLANK($C31),"",IF(M31=Constants!$B$19,Constants!$B$19,Constants!$B$18))</f>
        <v/>
      </c>
      <c r="AD31" s="87" t="str">
        <f aca="false">IF(ISBLANK($C31),"",IF(ISNUMBER(N31),IF(N31&gt;=0,N31,""),""))</f>
        <v/>
      </c>
      <c r="AE31" s="87" t="str">
        <f aca="false">IF(ISBLANK($C31),"",IF(O31=Constants!$B$19,Constants!$B$19,Constants!$B$18))</f>
        <v/>
      </c>
      <c r="AF31" s="87" t="str">
        <f aca="false">IF(ISBLANK($C31),"",IF(ISNUMBER(P31),IF(P31&gt;=0,P31,""),""))</f>
        <v/>
      </c>
      <c r="AG31" s="87" t="str">
        <f aca="false">IF(ISBLANK($C31),"",IF(Q31=Constants!$B$19,Constants!$B$19,Constants!$B$18))</f>
        <v/>
      </c>
      <c r="AH31" s="87" t="str">
        <f aca="false">IF(ISBLANK($C31),"",IF(ISNUMBER(R31),IF(R31&gt;=0,R31,""),""))</f>
        <v/>
      </c>
      <c r="AI31" s="87" t="str">
        <f aca="false">IF(ISBLANK($C31),"",IF(S31=Constants!$B$2, TRUE(), IF(S31=Constants!$B$3, FALSE(), FALSE())))</f>
        <v/>
      </c>
      <c r="AJ31" s="87" t="str">
        <f aca="false">IF(ISBLANK($C31),"",IF(AI31,Constants!$B$4,IF(COUNTA(E31:R31)=0,Constants!$B$5,IF(COUNTA(J31,L31,N31,P31,R31)=0,Constants!$B$6,Constants!$B$7))))</f>
        <v/>
      </c>
      <c r="AK31" s="87" t="str">
        <f aca="false">IF(ISBLANK($C31),"",IF($AJ31&lt;&gt;Constants!$B$7,$AJ31,IF(OR(NOT(X31),AND(NOT(U31),COUNTIFS(Y31:AG31,Constants!$B$18,Z31:AH31,"&gt;=0")&gt;0),AND(NOT(V31),COUNTIFS(Y31:AG31,Constants!$B$19,Z31:AH31,"&gt;=0")&gt;0)),Constants!$B$12,Constants!$B$11)))</f>
        <v/>
      </c>
      <c r="AL31" s="87" t="str">
        <f aca="false">IF($AJ31=Constants!$B$7,IF(Z31="",Constants!$B$13,Z31),"")</f>
        <v/>
      </c>
      <c r="AM31" s="87" t="str">
        <f aca="false">IF($AJ31=Constants!$B$7,IF(AB31="",Constants!$B$13,AB31),"")</f>
        <v/>
      </c>
      <c r="AN31" s="87" t="str">
        <f aca="false">IF($AJ31=Constants!$B$7,IF(AD31="",Constants!$B$13,AD31),"")</f>
        <v/>
      </c>
      <c r="AO31" s="87" t="str">
        <f aca="false">IF($AJ31=Constants!$B$7,IF(AF31="",Constants!$B$13,AF31),"")</f>
        <v/>
      </c>
      <c r="AP31" s="87" t="str">
        <f aca="false">IF($AJ31=Constants!$B$7,IF(AH31="",Constants!$B$13,AH31),"")</f>
        <v/>
      </c>
      <c r="AQ31" s="87" t="str">
        <f aca="false">IF($AJ31=Constants!$B$7,IF(SUMPRODUCT(--($AL31:$AP31&gt;AL31))+SUMPRODUCT(--($AL31:AL31=AL31))=1,1,IF(SUMPRODUCT(--($AL31:$AP31&gt;AM31))+SUMPRODUCT(--($AL31:AM31=AM31))=1,2,IF(SUMPRODUCT(--($AL31:$AP31&gt;AN31))+SUMPRODUCT(--($AL31:AN31=AN31))=1,3,IF(SUMPRODUCT(--($AL31:$AP31&gt;AO31))+SUMPRODUCT(--($AL31:AO31=AO31))=1,4,5)))),"")</f>
        <v/>
      </c>
      <c r="AR31" s="87" t="str">
        <f aca="false">IF($AJ31=Constants!$B$7,IF(SUMPRODUCT(--($AL31:$AP31&gt;AL31))+SUMPRODUCT(--($AL31:AL31=AL31))=2,1,IF(SUMPRODUCT(--($AL31:$AP31&gt;AM31))+SUMPRODUCT(--($AL31:AM31=AM31))=2,2,IF(SUMPRODUCT(--($AL31:$AP31&gt;AN31))+SUMPRODUCT(--($AL31:AN31=AN31))=2,3,IF(SUMPRODUCT(--($AL31:$AP31&gt;AO31))+SUMPRODUCT(--($AL31:AO31=AO31))=2,4,5)))),"")</f>
        <v/>
      </c>
      <c r="AS31" s="87" t="str">
        <f aca="false">IF($AJ31=Constants!$B$7,IF(SUMPRODUCT(--($AL31:$AP31&gt;AL31))+SUMPRODUCT(--($AL31:AL31=AL31))=3,1,IF(SUMPRODUCT(--($AL31:$AP31&gt;AM31))+SUMPRODUCT(--($AL31:AM31=AM31))=3,2,IF(SUMPRODUCT(--($AL31:$AP31&gt;AN31))+SUMPRODUCT(--($AL31:AN31=AN31))=3,3,IF(SUMPRODUCT(--($AL31:$AP31&gt;AO31))+SUMPRODUCT(--($AL31:AO31=AO31))=3,4,5)))),"")</f>
        <v/>
      </c>
      <c r="AT31" s="87" t="str">
        <f aca="false">IF($AJ31=Constants!$B$7,LARGE(AL31:AP31,1)+LARGE(AL31:AP31,2)+LARGE(AL31:AP31,3),"")</f>
        <v/>
      </c>
      <c r="AU31" s="87" t="str">
        <f aca="false">IF(ISBLANK($C31),"",IF($AJ31&lt;&gt;Constants!$B$7,$AJ31,AT31*W31))</f>
        <v/>
      </c>
      <c r="AV31" s="87" t="str">
        <f aca="false">IF(ISBLANK($C31),"",IF($AJ31=Constants!$B$7,IF(ISNUMBER(AU31),RANK(AU31,$AU$8:$AU$507),Constants!$B$14),$AJ31))</f>
        <v/>
      </c>
      <c r="AW31" s="87" t="str">
        <f aca="false">IF(ISBLANK($C31),"",IF($AJ31=Constants!$B$7,IF(ISNUMBER(AV31),COUNTIFS($AK$8:$AK$507,"&lt;"&amp;$AK31)+COUNTIFS($AK$8:$AK$507,$AK31,$AV$8:$AV$507,"&lt;"&amp;$AV31)+1,Constants!$B$14),$AJ31))</f>
        <v/>
      </c>
      <c r="AX31" s="87" t="str">
        <f aca="false">IF(ISBLANK($C31),"",IF($AJ31=Constants!$B$7,LARGE(AL31:AP31,4)*W31,""))</f>
        <v/>
      </c>
      <c r="AY31" s="87" t="str">
        <f aca="false">IF(ISBLANK($C31),"",IF($AJ31=Constants!$B$7,RANK(AX31,$AX$8:$AX$507),$AJ31))</f>
        <v/>
      </c>
      <c r="AZ31" s="87" t="str">
        <f aca="false">IF(ISBLANK($C31),"",IF($AJ31=Constants!$B$7,IF(ISNUMBER(AV31),COUNTIFS($AK$8:$AK$507,"&lt;"&amp;$AK31)+COUNTIFS($AK$8:$AK$507,$AK31,$AV$8:$AV$507,"&lt;"&amp;$AV31)+COUNTIFS($AK$8:$AK$507,$AK31,$AV$8:$AV$507,$AV31,$AY$8:$AY$507,"&lt;"&amp;$AY31)+1,Constants!$B$14),$AJ31))</f>
        <v/>
      </c>
      <c r="BA31" s="87" t="str">
        <f aca="false">IF(ISBLANK($C31),"",IF($AJ31=Constants!$B$7,IF(ISNUMBER(AW31),AW31-AZ31,Constants!$B$14),$AJ31))</f>
        <v/>
      </c>
      <c r="BB31" s="88"/>
      <c r="BC31" s="89" t="str">
        <f aca="false">IF(ISBLANK($C31),"",IF($AJ31&lt;&gt;Constants!$B$7,$AJ31,SMALL(AQ31:AS31,1)&amp;", "&amp;SMALL(AQ31:AS31,2)&amp;", "&amp;SMALL(AQ31:AS31,3)))</f>
        <v/>
      </c>
      <c r="BD31" s="90" t="str">
        <f aca="false">IF(ISBLANK($C31),"",IF($AJ31&lt;&gt;Constants!$B$7,$AJ31,W31))</f>
        <v/>
      </c>
      <c r="BE31" s="91" t="str">
        <f aca="false">IF(ISBLANK($C31),"",IF($AJ31&lt;&gt;Constants!$B$7,$AJ31,AU31))</f>
        <v/>
      </c>
      <c r="BF31" s="92" t="str">
        <f aca="false">IF(ISBLANK($C31),"",IF($AJ31&lt;&gt;Constants!$B$7,$AJ31,AK31))</f>
        <v/>
      </c>
      <c r="BG31" s="90" t="str">
        <f aca="false">IF(ISBLANK($C31),"",BA31)</f>
        <v/>
      </c>
      <c r="BH31" s="90" t="str">
        <f aca="false">IF(ISBLANK($C31),"",AZ31)</f>
        <v/>
      </c>
      <c r="BI31" s="93" t="str">
        <f aca="false">IF(ISBLANK($C31),"",IF(BH31=Constants!$B$4,COUNTA($C$8:$C$507)+2,IF(BH31=Constants!$B$5,COUNTA($C$8:$C$507)+1,IF(BH31=Constants!$B$6,COUNTA($C$8:$C$507),BH31))))</f>
        <v/>
      </c>
      <c r="BJ31" s="5"/>
      <c r="BK31" s="94" t="n">
        <f aca="false">IF(OR(ISNUMBER(BH31),BH31=Constants!$B$4,BH31=Constants!$B$6,BH31=Constants!$B$5),1,0)</f>
        <v>0</v>
      </c>
      <c r="BL31" s="94" t="n">
        <v>24</v>
      </c>
      <c r="BM31" s="94" t="str">
        <f aca="false">IF(ISBLANK($C31),"",IF(ISNUMBER(BI31),BI31+ROW($B31)/1000,""))</f>
        <v/>
      </c>
      <c r="BN31" s="94" t="str">
        <f aca="false">IF(ISNUMBER(BM31),RANK(BM31,$BM$8:$BM$507,1),"")</f>
        <v/>
      </c>
      <c r="BO31" s="94" t="str">
        <f aca="false">IF(ISBLANK($C31),"",$B31)</f>
        <v/>
      </c>
      <c r="BP31" s="94" t="str">
        <f aca="false">IF(ISBLANK($C31),"",$C31)</f>
        <v/>
      </c>
      <c r="BQ31" s="94" t="str">
        <f aca="false">IF(ISBLANK($C31),"",$D31)</f>
        <v/>
      </c>
      <c r="BR31" s="95" t="str">
        <f aca="false">BF31</f>
        <v/>
      </c>
      <c r="BS31" s="96" t="str">
        <f aca="false">BE31</f>
        <v/>
      </c>
      <c r="BT31" s="94" t="str">
        <f aca="false">IF(ISBLANK($C31),"",BH31)</f>
        <v/>
      </c>
      <c r="BU31" s="97" t="str">
        <f aca="false">IF($BL31&gt;$BK$7,"",VLOOKUP($BL31,$BN$8:$BT$507,7,FALSE()))</f>
        <v/>
      </c>
      <c r="BV31" s="98" t="str">
        <f aca="false">IF($BL31&gt;$BK$7,"",VLOOKUP($BL31,$BN$8:$BT$507,2,FALSE()))</f>
        <v/>
      </c>
      <c r="BW31" s="98" t="str">
        <f aca="false">IF($BL31&gt;$BK$7,"",VLOOKUP($BL31,$BN$8:$BT$507,3,FALSE()))</f>
        <v/>
      </c>
      <c r="BX31" s="98" t="str">
        <f aca="false">IF($BL31&gt;$BK$7,"",VLOOKUP($BL31,$BN$8:$BT$507,4,FALSE()))</f>
        <v/>
      </c>
      <c r="BY31" s="98" t="str">
        <f aca="false">IF($BL31&gt;$BK$7,"",VLOOKUP($BL31,$BN$8:$BT$507,5,FALSE()))</f>
        <v/>
      </c>
      <c r="BZ31" s="99" t="str">
        <f aca="false">IF($BL31&gt;$BK$7,"",VLOOKUP($BL31,$BN$8:$BT$507,6,FALSE()))</f>
        <v/>
      </c>
      <c r="CA31" s="48"/>
    </row>
    <row r="32" customFormat="false" ht="15.75" hidden="false" customHeight="false" outlineLevel="0" collapsed="false">
      <c r="A32" s="5"/>
      <c r="B32" s="121"/>
      <c r="C32" s="50"/>
      <c r="D32" s="51"/>
      <c r="E32" s="110"/>
      <c r="F32" s="111"/>
      <c r="G32" s="54"/>
      <c r="H32" s="112"/>
      <c r="I32" s="113"/>
      <c r="J32" s="54"/>
      <c r="K32" s="112"/>
      <c r="L32" s="54"/>
      <c r="M32" s="112"/>
      <c r="N32" s="54"/>
      <c r="O32" s="112"/>
      <c r="P32" s="54"/>
      <c r="Q32" s="112"/>
      <c r="R32" s="54"/>
      <c r="S32" s="74"/>
      <c r="T32" s="58"/>
      <c r="U32" s="59" t="str">
        <f aca="false">IF(ISBLANK($C32),"",IF(E32=Constants!$B$2, TRUE(), IF(E32=Constants!$B$3, FALSE(), TRUE())))</f>
        <v/>
      </c>
      <c r="V32" s="59" t="str">
        <f aca="false">IF(ISBLANK($C32),"",IF(F32=Constants!$B$2, TRUE(), IF(F32=Constants!$B$3, FALSE(), TRUE())))</f>
        <v/>
      </c>
      <c r="W32" s="59" t="str">
        <f aca="false">IF(ISBLANK($C32),"",IF(G32=Constants!$B$15,Constants!$B$8,IF(G32=Constants!$B$16,Constants!$B$9,Constants!$B$10)))</f>
        <v/>
      </c>
      <c r="X32" s="59" t="str">
        <f aca="false">IF(ISBLANK($C32),"",IF(H32=Constants!$B$2, TRUE(), IF(H32=Constants!$B$3, FALSE(), TRUE())))</f>
        <v/>
      </c>
      <c r="Y32" s="59" t="str">
        <f aca="false">IF(ISBLANK($C32),"",IF(I32=Constants!$B$19,Constants!$B$19,Constants!$B$18))</f>
        <v/>
      </c>
      <c r="Z32" s="59" t="str">
        <f aca="false">IF(ISBLANK($C32),"",IF(ISNUMBER(J32),IF(J32&gt;=0,J32,""),""))</f>
        <v/>
      </c>
      <c r="AA32" s="59" t="str">
        <f aca="false">IF(ISBLANK($C32),"",IF(K32=Constants!$B$19,Constants!$B$19,Constants!$B$18))</f>
        <v/>
      </c>
      <c r="AB32" s="59" t="str">
        <f aca="false">IF(ISBLANK($C32),"",IF(ISNUMBER(L32),IF(L32&gt;=0,L32,""),""))</f>
        <v/>
      </c>
      <c r="AC32" s="59" t="str">
        <f aca="false">IF(ISBLANK($C32),"",IF(M32=Constants!$B$19,Constants!$B$19,Constants!$B$18))</f>
        <v/>
      </c>
      <c r="AD32" s="59" t="str">
        <f aca="false">IF(ISBLANK($C32),"",IF(ISNUMBER(N32),IF(N32&gt;=0,N32,""),""))</f>
        <v/>
      </c>
      <c r="AE32" s="59" t="str">
        <f aca="false">IF(ISBLANK($C32),"",IF(O32=Constants!$B$19,Constants!$B$19,Constants!$B$18))</f>
        <v/>
      </c>
      <c r="AF32" s="59" t="str">
        <f aca="false">IF(ISBLANK($C32),"",IF(ISNUMBER(P32),IF(P32&gt;=0,P32,""),""))</f>
        <v/>
      </c>
      <c r="AG32" s="59" t="str">
        <f aca="false">IF(ISBLANK($C32),"",IF(Q32=Constants!$B$19,Constants!$B$19,Constants!$B$18))</f>
        <v/>
      </c>
      <c r="AH32" s="59" t="str">
        <f aca="false">IF(ISBLANK($C32),"",IF(ISNUMBER(R32),IF(R32&gt;=0,R32,""),""))</f>
        <v/>
      </c>
      <c r="AI32" s="59" t="str">
        <f aca="false">IF(ISBLANK($C32),"",IF(S32=Constants!$B$2, TRUE(), IF(S32=Constants!$B$3, FALSE(), FALSE())))</f>
        <v/>
      </c>
      <c r="AJ32" s="59" t="str">
        <f aca="false">IF(ISBLANK($C32),"",IF(AI32,Constants!$B$4,IF(COUNTA(E32:R32)=0,Constants!$B$5,IF(COUNTA(J32,L32,N32,P32,R32)=0,Constants!$B$6,Constants!$B$7))))</f>
        <v/>
      </c>
      <c r="AK32" s="59" t="str">
        <f aca="false">IF(ISBLANK($C32),"",IF($AJ32&lt;&gt;Constants!$B$7,$AJ32,IF(OR(NOT(X32),AND(NOT(U32),COUNTIFS(Y32:AG32,Constants!$B$18,Z32:AH32,"&gt;=0")&gt;0),AND(NOT(V32),COUNTIFS(Y32:AG32,Constants!$B$19,Z32:AH32,"&gt;=0")&gt;0)),Constants!$B$12,Constants!$B$11)))</f>
        <v/>
      </c>
      <c r="AL32" s="59" t="str">
        <f aca="false">IF($AJ32=Constants!$B$7,IF(Z32="",Constants!$B$13,Z32),"")</f>
        <v/>
      </c>
      <c r="AM32" s="59" t="str">
        <f aca="false">IF($AJ32=Constants!$B$7,IF(AB32="",Constants!$B$13,AB32),"")</f>
        <v/>
      </c>
      <c r="AN32" s="59" t="str">
        <f aca="false">IF($AJ32=Constants!$B$7,IF(AD32="",Constants!$B$13,AD32),"")</f>
        <v/>
      </c>
      <c r="AO32" s="59" t="str">
        <f aca="false">IF($AJ32=Constants!$B$7,IF(AF32="",Constants!$B$13,AF32),"")</f>
        <v/>
      </c>
      <c r="AP32" s="59" t="str">
        <f aca="false">IF($AJ32=Constants!$B$7,IF(AH32="",Constants!$B$13,AH32),"")</f>
        <v/>
      </c>
      <c r="AQ32" s="59" t="str">
        <f aca="false">IF($AJ32=Constants!$B$7,IF(SUMPRODUCT(--($AL32:$AP32&gt;AL32))+SUMPRODUCT(--($AL32:AL32=AL32))=1,1,IF(SUMPRODUCT(--($AL32:$AP32&gt;AM32))+SUMPRODUCT(--($AL32:AM32=AM32))=1,2,IF(SUMPRODUCT(--($AL32:$AP32&gt;AN32))+SUMPRODUCT(--($AL32:AN32=AN32))=1,3,IF(SUMPRODUCT(--($AL32:$AP32&gt;AO32))+SUMPRODUCT(--($AL32:AO32=AO32))=1,4,5)))),"")</f>
        <v/>
      </c>
      <c r="AR32" s="59" t="str">
        <f aca="false">IF($AJ32=Constants!$B$7,IF(SUMPRODUCT(--($AL32:$AP32&gt;AL32))+SUMPRODUCT(--($AL32:AL32=AL32))=2,1,IF(SUMPRODUCT(--($AL32:$AP32&gt;AM32))+SUMPRODUCT(--($AL32:AM32=AM32))=2,2,IF(SUMPRODUCT(--($AL32:$AP32&gt;AN32))+SUMPRODUCT(--($AL32:AN32=AN32))=2,3,IF(SUMPRODUCT(--($AL32:$AP32&gt;AO32))+SUMPRODUCT(--($AL32:AO32=AO32))=2,4,5)))),"")</f>
        <v/>
      </c>
      <c r="AS32" s="59" t="str">
        <f aca="false">IF($AJ32=Constants!$B$7,IF(SUMPRODUCT(--($AL32:$AP32&gt;AL32))+SUMPRODUCT(--($AL32:AL32=AL32))=3,1,IF(SUMPRODUCT(--($AL32:$AP32&gt;AM32))+SUMPRODUCT(--($AL32:AM32=AM32))=3,2,IF(SUMPRODUCT(--($AL32:$AP32&gt;AN32))+SUMPRODUCT(--($AL32:AN32=AN32))=3,3,IF(SUMPRODUCT(--($AL32:$AP32&gt;AO32))+SUMPRODUCT(--($AL32:AO32=AO32))=3,4,5)))),"")</f>
        <v/>
      </c>
      <c r="AT32" s="59" t="str">
        <f aca="false">IF($AJ32=Constants!$B$7,LARGE(AL32:AP32,1)+LARGE(AL32:AP32,2)+LARGE(AL32:AP32,3),"")</f>
        <v/>
      </c>
      <c r="AU32" s="59" t="str">
        <f aca="false">IF(ISBLANK($C32),"",IF($AJ32&lt;&gt;Constants!$B$7,$AJ32,AT32*W32))</f>
        <v/>
      </c>
      <c r="AV32" s="59" t="str">
        <f aca="false">IF(ISBLANK($C32),"",IF($AJ32=Constants!$B$7,IF(ISNUMBER(AU32),RANK(AU32,$AU$8:$AU$507),Constants!$B$14),$AJ32))</f>
        <v/>
      </c>
      <c r="AW32" s="59" t="str">
        <f aca="false">IF(ISBLANK($C32),"",IF($AJ32=Constants!$B$7,IF(ISNUMBER(AV32),COUNTIFS($AK$8:$AK$507,"&lt;"&amp;$AK32)+COUNTIFS($AK$8:$AK$507,$AK32,$AV$8:$AV$507,"&lt;"&amp;$AV32)+1,Constants!$B$14),$AJ32))</f>
        <v/>
      </c>
      <c r="AX32" s="59" t="str">
        <f aca="false">IF(ISBLANK($C32),"",IF($AJ32=Constants!$B$7,LARGE(AL32:AP32,4)*W32,""))</f>
        <v/>
      </c>
      <c r="AY32" s="59" t="str">
        <f aca="false">IF(ISBLANK($C32),"",IF($AJ32=Constants!$B$7,RANK(AX32,$AX$8:$AX$507),$AJ32))</f>
        <v/>
      </c>
      <c r="AZ32" s="59" t="str">
        <f aca="false">IF(ISBLANK($C32),"",IF($AJ32=Constants!$B$7,IF(ISNUMBER(AV32),COUNTIFS($AK$8:$AK$507,"&lt;"&amp;$AK32)+COUNTIFS($AK$8:$AK$507,$AK32,$AV$8:$AV$507,"&lt;"&amp;$AV32)+COUNTIFS($AK$8:$AK$507,$AK32,$AV$8:$AV$507,$AV32,$AY$8:$AY$507,"&lt;"&amp;$AY32)+1,Constants!$B$14),$AJ32))</f>
        <v/>
      </c>
      <c r="BA32" s="59" t="str">
        <f aca="false">IF(ISBLANK($C32),"",IF($AJ32=Constants!$B$7,IF(ISNUMBER(AW32),AW32-AZ32,Constants!$B$14),$AJ32))</f>
        <v/>
      </c>
      <c r="BB32" s="61"/>
      <c r="BC32" s="62" t="str">
        <f aca="false">IF(ISBLANK($C32),"",IF($AJ32&lt;&gt;Constants!$B$7,$AJ32,SMALL(AQ32:AS32,1)&amp;", "&amp;SMALL(AQ32:AS32,2)&amp;", "&amp;SMALL(AQ32:AS32,3)))</f>
        <v/>
      </c>
      <c r="BD32" s="63" t="str">
        <f aca="false">IF(ISBLANK($C32),"",IF($AJ32&lt;&gt;Constants!$B$7,$AJ32,W32))</f>
        <v/>
      </c>
      <c r="BE32" s="64" t="str">
        <f aca="false">IF(ISBLANK($C32),"",IF($AJ32&lt;&gt;Constants!$B$7,$AJ32,AU32))</f>
        <v/>
      </c>
      <c r="BF32" s="65" t="str">
        <f aca="false">IF(ISBLANK($C32),"",IF($AJ32&lt;&gt;Constants!$B$7,$AJ32,AK32))</f>
        <v/>
      </c>
      <c r="BG32" s="63" t="str">
        <f aca="false">IF(ISBLANK($C32),"",BA32)</f>
        <v/>
      </c>
      <c r="BH32" s="63" t="str">
        <f aca="false">IF(ISBLANK($C32),"",AZ32)</f>
        <v/>
      </c>
      <c r="BI32" s="66" t="str">
        <f aca="false">IF(ISBLANK($C32),"",IF(BH32=Constants!$B$4,COUNTA($C$8:$C$507)+2,IF(BH32=Constants!$B$5,COUNTA($C$8:$C$507)+1,IF(BH32=Constants!$B$6,COUNTA($C$8:$C$507),BH32))))</f>
        <v/>
      </c>
      <c r="BJ32" s="5"/>
      <c r="BK32" s="67" t="n">
        <f aca="false">IF(OR(ISNUMBER(BH32),BH32=Constants!$B$4,BH32=Constants!$B$6,BH32=Constants!$B$5),1,0)</f>
        <v>0</v>
      </c>
      <c r="BL32" s="67" t="n">
        <v>25</v>
      </c>
      <c r="BM32" s="67" t="str">
        <f aca="false">IF(ISBLANK($C32),"",IF(ISNUMBER(BI32),BI32+ROW($B32)/1000,""))</f>
        <v/>
      </c>
      <c r="BN32" s="67" t="str">
        <f aca="false">IF(ISNUMBER(BM32),RANK(BM32,$BM$8:$BM$507,1),"")</f>
        <v/>
      </c>
      <c r="BO32" s="67" t="str">
        <f aca="false">IF(ISBLANK($C32),"",$B32)</f>
        <v/>
      </c>
      <c r="BP32" s="67" t="str">
        <f aca="false">IF(ISBLANK($C32),"",$C32)</f>
        <v/>
      </c>
      <c r="BQ32" s="67" t="str">
        <f aca="false">IF(ISBLANK($C32),"",$D32)</f>
        <v/>
      </c>
      <c r="BR32" s="68" t="str">
        <f aca="false">BF32</f>
        <v/>
      </c>
      <c r="BS32" s="69" t="str">
        <f aca="false">BE32</f>
        <v/>
      </c>
      <c r="BT32" s="67" t="str">
        <f aca="false">IF(ISBLANK($C32),"",BH32)</f>
        <v/>
      </c>
      <c r="BU32" s="70" t="str">
        <f aca="false">IF($BL32&gt;$BK$7,"",VLOOKUP($BL32,$BN$8:$BT$507,7,FALSE()))</f>
        <v/>
      </c>
      <c r="BV32" s="71" t="str">
        <f aca="false">IF($BL32&gt;$BK$7,"",VLOOKUP($BL32,$BN$8:$BT$507,2,FALSE()))</f>
        <v/>
      </c>
      <c r="BW32" s="71" t="str">
        <f aca="false">IF($BL32&gt;$BK$7,"",VLOOKUP($BL32,$BN$8:$BT$507,3,FALSE()))</f>
        <v/>
      </c>
      <c r="BX32" s="71" t="str">
        <f aca="false">IF($BL32&gt;$BK$7,"",VLOOKUP($BL32,$BN$8:$BT$507,4,FALSE()))</f>
        <v/>
      </c>
      <c r="BY32" s="71" t="str">
        <f aca="false">IF($BL32&gt;$BK$7,"",VLOOKUP($BL32,$BN$8:$BT$507,5,FALSE()))</f>
        <v/>
      </c>
      <c r="BZ32" s="72" t="str">
        <f aca="false">IF($BL32&gt;$BK$7,"",VLOOKUP($BL32,$BN$8:$BT$507,6,FALSE()))</f>
        <v/>
      </c>
      <c r="CA32" s="48"/>
    </row>
    <row r="33" customFormat="false" ht="15.75" hidden="false" customHeight="false" outlineLevel="0" collapsed="false">
      <c r="A33" s="5"/>
      <c r="B33" s="121"/>
      <c r="C33" s="50"/>
      <c r="D33" s="51"/>
      <c r="E33" s="110"/>
      <c r="F33" s="111"/>
      <c r="G33" s="54"/>
      <c r="H33" s="112"/>
      <c r="I33" s="113"/>
      <c r="J33" s="54"/>
      <c r="K33" s="112"/>
      <c r="L33" s="54"/>
      <c r="M33" s="112"/>
      <c r="N33" s="54"/>
      <c r="O33" s="112"/>
      <c r="P33" s="54"/>
      <c r="Q33" s="112"/>
      <c r="R33" s="54"/>
      <c r="S33" s="74"/>
      <c r="T33" s="58"/>
      <c r="U33" s="59" t="str">
        <f aca="false">IF(ISBLANK($C33),"",IF(E33=Constants!$B$2, TRUE(), IF(E33=Constants!$B$3, FALSE(), TRUE())))</f>
        <v/>
      </c>
      <c r="V33" s="59" t="str">
        <f aca="false">IF(ISBLANK($C33),"",IF(F33=Constants!$B$2, TRUE(), IF(F33=Constants!$B$3, FALSE(), TRUE())))</f>
        <v/>
      </c>
      <c r="W33" s="59" t="str">
        <f aca="false">IF(ISBLANK($C33),"",IF(G33=Constants!$B$15,Constants!$B$8,IF(G33=Constants!$B$16,Constants!$B$9,Constants!$B$10)))</f>
        <v/>
      </c>
      <c r="X33" s="59" t="str">
        <f aca="false">IF(ISBLANK($C33),"",IF(H33=Constants!$B$2, TRUE(), IF(H33=Constants!$B$3, FALSE(), TRUE())))</f>
        <v/>
      </c>
      <c r="Y33" s="59" t="str">
        <f aca="false">IF(ISBLANK($C33),"",IF(I33=Constants!$B$19,Constants!$B$19,Constants!$B$18))</f>
        <v/>
      </c>
      <c r="Z33" s="59" t="str">
        <f aca="false">IF(ISBLANK($C33),"",IF(ISNUMBER(J33),IF(J33&gt;=0,J33,""),""))</f>
        <v/>
      </c>
      <c r="AA33" s="59" t="str">
        <f aca="false">IF(ISBLANK($C33),"",IF(K33=Constants!$B$19,Constants!$B$19,Constants!$B$18))</f>
        <v/>
      </c>
      <c r="AB33" s="59" t="str">
        <f aca="false">IF(ISBLANK($C33),"",IF(ISNUMBER(L33),IF(L33&gt;=0,L33,""),""))</f>
        <v/>
      </c>
      <c r="AC33" s="59" t="str">
        <f aca="false">IF(ISBLANK($C33),"",IF(M33=Constants!$B$19,Constants!$B$19,Constants!$B$18))</f>
        <v/>
      </c>
      <c r="AD33" s="59" t="str">
        <f aca="false">IF(ISBLANK($C33),"",IF(ISNUMBER(N33),IF(N33&gt;=0,N33,""),""))</f>
        <v/>
      </c>
      <c r="AE33" s="59" t="str">
        <f aca="false">IF(ISBLANK($C33),"",IF(O33=Constants!$B$19,Constants!$B$19,Constants!$B$18))</f>
        <v/>
      </c>
      <c r="AF33" s="59" t="str">
        <f aca="false">IF(ISBLANK($C33),"",IF(ISNUMBER(P33),IF(P33&gt;=0,P33,""),""))</f>
        <v/>
      </c>
      <c r="AG33" s="59" t="str">
        <f aca="false">IF(ISBLANK($C33),"",IF(Q33=Constants!$B$19,Constants!$B$19,Constants!$B$18))</f>
        <v/>
      </c>
      <c r="AH33" s="59" t="str">
        <f aca="false">IF(ISBLANK($C33),"",IF(ISNUMBER(R33),IF(R33&gt;=0,R33,""),""))</f>
        <v/>
      </c>
      <c r="AI33" s="59" t="str">
        <f aca="false">IF(ISBLANK($C33),"",IF(S33=Constants!$B$2, TRUE(), IF(S33=Constants!$B$3, FALSE(), FALSE())))</f>
        <v/>
      </c>
      <c r="AJ33" s="59" t="str">
        <f aca="false">IF(ISBLANK($C33),"",IF(AI33,Constants!$B$4,IF(COUNTA(E33:R33)=0,Constants!$B$5,IF(COUNTA(J33,L33,N33,P33,R33)=0,Constants!$B$6,Constants!$B$7))))</f>
        <v/>
      </c>
      <c r="AK33" s="59" t="str">
        <f aca="false">IF(ISBLANK($C33),"",IF($AJ33&lt;&gt;Constants!$B$7,$AJ33,IF(OR(NOT(X33),AND(NOT(U33),COUNTIFS(Y33:AG33,Constants!$B$18,Z33:AH33,"&gt;=0")&gt;0),AND(NOT(V33),COUNTIFS(Y33:AG33,Constants!$B$19,Z33:AH33,"&gt;=0")&gt;0)),Constants!$B$12,Constants!$B$11)))</f>
        <v/>
      </c>
      <c r="AL33" s="59" t="str">
        <f aca="false">IF($AJ33=Constants!$B$7,IF(Z33="",Constants!$B$13,Z33),"")</f>
        <v/>
      </c>
      <c r="AM33" s="59" t="str">
        <f aca="false">IF($AJ33=Constants!$B$7,IF(AB33="",Constants!$B$13,AB33),"")</f>
        <v/>
      </c>
      <c r="AN33" s="59" t="str">
        <f aca="false">IF($AJ33=Constants!$B$7,IF(AD33="",Constants!$B$13,AD33),"")</f>
        <v/>
      </c>
      <c r="AO33" s="59" t="str">
        <f aca="false">IF($AJ33=Constants!$B$7,IF(AF33="",Constants!$B$13,AF33),"")</f>
        <v/>
      </c>
      <c r="AP33" s="59" t="str">
        <f aca="false">IF($AJ33=Constants!$B$7,IF(AH33="",Constants!$B$13,AH33),"")</f>
        <v/>
      </c>
      <c r="AQ33" s="59" t="str">
        <f aca="false">IF($AJ33=Constants!$B$7,IF(SUMPRODUCT(--($AL33:$AP33&gt;AL33))+SUMPRODUCT(--($AL33:AL33=AL33))=1,1,IF(SUMPRODUCT(--($AL33:$AP33&gt;AM33))+SUMPRODUCT(--($AL33:AM33=AM33))=1,2,IF(SUMPRODUCT(--($AL33:$AP33&gt;AN33))+SUMPRODUCT(--($AL33:AN33=AN33))=1,3,IF(SUMPRODUCT(--($AL33:$AP33&gt;AO33))+SUMPRODUCT(--($AL33:AO33=AO33))=1,4,5)))),"")</f>
        <v/>
      </c>
      <c r="AR33" s="59" t="str">
        <f aca="false">IF($AJ33=Constants!$B$7,IF(SUMPRODUCT(--($AL33:$AP33&gt;AL33))+SUMPRODUCT(--($AL33:AL33=AL33))=2,1,IF(SUMPRODUCT(--($AL33:$AP33&gt;AM33))+SUMPRODUCT(--($AL33:AM33=AM33))=2,2,IF(SUMPRODUCT(--($AL33:$AP33&gt;AN33))+SUMPRODUCT(--($AL33:AN33=AN33))=2,3,IF(SUMPRODUCT(--($AL33:$AP33&gt;AO33))+SUMPRODUCT(--($AL33:AO33=AO33))=2,4,5)))),"")</f>
        <v/>
      </c>
      <c r="AS33" s="59" t="str">
        <f aca="false">IF($AJ33=Constants!$B$7,IF(SUMPRODUCT(--($AL33:$AP33&gt;AL33))+SUMPRODUCT(--($AL33:AL33=AL33))=3,1,IF(SUMPRODUCT(--($AL33:$AP33&gt;AM33))+SUMPRODUCT(--($AL33:AM33=AM33))=3,2,IF(SUMPRODUCT(--($AL33:$AP33&gt;AN33))+SUMPRODUCT(--($AL33:AN33=AN33))=3,3,IF(SUMPRODUCT(--($AL33:$AP33&gt;AO33))+SUMPRODUCT(--($AL33:AO33=AO33))=3,4,5)))),"")</f>
        <v/>
      </c>
      <c r="AT33" s="59" t="str">
        <f aca="false">IF($AJ33=Constants!$B$7,LARGE(AL33:AP33,1)+LARGE(AL33:AP33,2)+LARGE(AL33:AP33,3),"")</f>
        <v/>
      </c>
      <c r="AU33" s="59" t="str">
        <f aca="false">IF(ISBLANK($C33),"",IF($AJ33&lt;&gt;Constants!$B$7,$AJ33,AT33*W33))</f>
        <v/>
      </c>
      <c r="AV33" s="59" t="str">
        <f aca="false">IF(ISBLANK($C33),"",IF($AJ33=Constants!$B$7,IF(ISNUMBER(AU33),RANK(AU33,$AU$8:$AU$507),Constants!$B$14),$AJ33))</f>
        <v/>
      </c>
      <c r="AW33" s="59" t="str">
        <f aca="false">IF(ISBLANK($C33),"",IF($AJ33=Constants!$B$7,IF(ISNUMBER(AV33),COUNTIFS($AK$8:$AK$507,"&lt;"&amp;$AK33)+COUNTIFS($AK$8:$AK$507,$AK33,$AV$8:$AV$507,"&lt;"&amp;$AV33)+1,Constants!$B$14),$AJ33))</f>
        <v/>
      </c>
      <c r="AX33" s="59" t="str">
        <f aca="false">IF(ISBLANK($C33),"",IF($AJ33=Constants!$B$7,LARGE(AL33:AP33,4)*W33,""))</f>
        <v/>
      </c>
      <c r="AY33" s="59" t="str">
        <f aca="false">IF(ISBLANK($C33),"",IF($AJ33=Constants!$B$7,RANK(AX33,$AX$8:$AX$507),$AJ33))</f>
        <v/>
      </c>
      <c r="AZ33" s="59" t="str">
        <f aca="false">IF(ISBLANK($C33),"",IF($AJ33=Constants!$B$7,IF(ISNUMBER(AV33),COUNTIFS($AK$8:$AK$507,"&lt;"&amp;$AK33)+COUNTIFS($AK$8:$AK$507,$AK33,$AV$8:$AV$507,"&lt;"&amp;$AV33)+COUNTIFS($AK$8:$AK$507,$AK33,$AV$8:$AV$507,$AV33,$AY$8:$AY$507,"&lt;"&amp;$AY33)+1,Constants!$B$14),$AJ33))</f>
        <v/>
      </c>
      <c r="BA33" s="59" t="str">
        <f aca="false">IF(ISBLANK($C33),"",IF($AJ33=Constants!$B$7,IF(ISNUMBER(AW33),AW33-AZ33,Constants!$B$14),$AJ33))</f>
        <v/>
      </c>
      <c r="BB33" s="61"/>
      <c r="BC33" s="62" t="str">
        <f aca="false">IF(ISBLANK($C33),"",IF($AJ33&lt;&gt;Constants!$B$7,$AJ33,SMALL(AQ33:AS33,1)&amp;", "&amp;SMALL(AQ33:AS33,2)&amp;", "&amp;SMALL(AQ33:AS33,3)))</f>
        <v/>
      </c>
      <c r="BD33" s="63" t="str">
        <f aca="false">IF(ISBLANK($C33),"",IF($AJ33&lt;&gt;Constants!$B$7,$AJ33,W33))</f>
        <v/>
      </c>
      <c r="BE33" s="64" t="str">
        <f aca="false">IF(ISBLANK($C33),"",IF($AJ33&lt;&gt;Constants!$B$7,$AJ33,AU33))</f>
        <v/>
      </c>
      <c r="BF33" s="65" t="str">
        <f aca="false">IF(ISBLANK($C33),"",IF($AJ33&lt;&gt;Constants!$B$7,$AJ33,AK33))</f>
        <v/>
      </c>
      <c r="BG33" s="63" t="str">
        <f aca="false">IF(ISBLANK($C33),"",BA33)</f>
        <v/>
      </c>
      <c r="BH33" s="63" t="str">
        <f aca="false">IF(ISBLANK($C33),"",AZ33)</f>
        <v/>
      </c>
      <c r="BI33" s="66" t="str">
        <f aca="false">IF(ISBLANK($C33),"",IF(BH33=Constants!$B$4,COUNTA($C$8:$C$507)+2,IF(BH33=Constants!$B$5,COUNTA($C$8:$C$507)+1,IF(BH33=Constants!$B$6,COUNTA($C$8:$C$507),BH33))))</f>
        <v/>
      </c>
      <c r="BJ33" s="5"/>
      <c r="BK33" s="67" t="n">
        <f aca="false">IF(OR(ISNUMBER(BH33),BH33=Constants!$B$4,BH33=Constants!$B$6,BH33=Constants!$B$5),1,0)</f>
        <v>0</v>
      </c>
      <c r="BL33" s="67" t="n">
        <v>26</v>
      </c>
      <c r="BM33" s="67" t="str">
        <f aca="false">IF(ISBLANK($C33),"",IF(ISNUMBER(BI33),BI33+ROW($B33)/1000,""))</f>
        <v/>
      </c>
      <c r="BN33" s="67" t="str">
        <f aca="false">IF(ISNUMBER(BM33),RANK(BM33,$BM$8:$BM$507,1),"")</f>
        <v/>
      </c>
      <c r="BO33" s="67" t="str">
        <f aca="false">IF(ISBLANK($C33),"",$B33)</f>
        <v/>
      </c>
      <c r="BP33" s="67" t="str">
        <f aca="false">IF(ISBLANK($C33),"",$C33)</f>
        <v/>
      </c>
      <c r="BQ33" s="67" t="str">
        <f aca="false">IF(ISBLANK($C33),"",$D33)</f>
        <v/>
      </c>
      <c r="BR33" s="68" t="str">
        <f aca="false">BF33</f>
        <v/>
      </c>
      <c r="BS33" s="69" t="str">
        <f aca="false">BE33</f>
        <v/>
      </c>
      <c r="BT33" s="67" t="str">
        <f aca="false">IF(ISBLANK($C33),"",BH33)</f>
        <v/>
      </c>
      <c r="BU33" s="70" t="str">
        <f aca="false">IF($BL33&gt;$BK$7,"",VLOOKUP($BL33,$BN$8:$BT$507,7,FALSE()))</f>
        <v/>
      </c>
      <c r="BV33" s="71" t="str">
        <f aca="false">IF($BL33&gt;$BK$7,"",VLOOKUP($BL33,$BN$8:$BT$507,2,FALSE()))</f>
        <v/>
      </c>
      <c r="BW33" s="71" t="str">
        <f aca="false">IF($BL33&gt;$BK$7,"",VLOOKUP($BL33,$BN$8:$BT$507,3,FALSE()))</f>
        <v/>
      </c>
      <c r="BX33" s="71" t="str">
        <f aca="false">IF($BL33&gt;$BK$7,"",VLOOKUP($BL33,$BN$8:$BT$507,4,FALSE()))</f>
        <v/>
      </c>
      <c r="BY33" s="71" t="str">
        <f aca="false">IF($BL33&gt;$BK$7,"",VLOOKUP($BL33,$BN$8:$BT$507,5,FALSE()))</f>
        <v/>
      </c>
      <c r="BZ33" s="72" t="str">
        <f aca="false">IF($BL33&gt;$BK$7,"",VLOOKUP($BL33,$BN$8:$BT$507,6,FALSE()))</f>
        <v/>
      </c>
      <c r="CA33" s="48"/>
    </row>
    <row r="34" customFormat="false" ht="15.75" hidden="false" customHeight="false" outlineLevel="0" collapsed="false">
      <c r="A34" s="5"/>
      <c r="B34" s="121"/>
      <c r="C34" s="50"/>
      <c r="D34" s="51"/>
      <c r="E34" s="110"/>
      <c r="F34" s="111"/>
      <c r="G34" s="54"/>
      <c r="H34" s="112"/>
      <c r="I34" s="113"/>
      <c r="J34" s="54"/>
      <c r="K34" s="112"/>
      <c r="L34" s="54"/>
      <c r="M34" s="112"/>
      <c r="N34" s="54"/>
      <c r="O34" s="112"/>
      <c r="P34" s="54"/>
      <c r="Q34" s="112"/>
      <c r="R34" s="54"/>
      <c r="S34" s="74"/>
      <c r="T34" s="58"/>
      <c r="U34" s="59" t="str">
        <f aca="false">IF(ISBLANK($C34),"",IF(E34=Constants!$B$2, TRUE(), IF(E34=Constants!$B$3, FALSE(), TRUE())))</f>
        <v/>
      </c>
      <c r="V34" s="59" t="str">
        <f aca="false">IF(ISBLANK($C34),"",IF(F34=Constants!$B$2, TRUE(), IF(F34=Constants!$B$3, FALSE(), TRUE())))</f>
        <v/>
      </c>
      <c r="W34" s="59" t="str">
        <f aca="false">IF(ISBLANK($C34),"",IF(G34=Constants!$B$15,Constants!$B$8,IF(G34=Constants!$B$16,Constants!$B$9,Constants!$B$10)))</f>
        <v/>
      </c>
      <c r="X34" s="59" t="str">
        <f aca="false">IF(ISBLANK($C34),"",IF(H34=Constants!$B$2, TRUE(), IF(H34=Constants!$B$3, FALSE(), TRUE())))</f>
        <v/>
      </c>
      <c r="Y34" s="59" t="str">
        <f aca="false">IF(ISBLANK($C34),"",IF(I34=Constants!$B$19,Constants!$B$19,Constants!$B$18))</f>
        <v/>
      </c>
      <c r="Z34" s="59" t="str">
        <f aca="false">IF(ISBLANK($C34),"",IF(ISNUMBER(J34),IF(J34&gt;=0,J34,""),""))</f>
        <v/>
      </c>
      <c r="AA34" s="59" t="str">
        <f aca="false">IF(ISBLANK($C34),"",IF(K34=Constants!$B$19,Constants!$B$19,Constants!$B$18))</f>
        <v/>
      </c>
      <c r="AB34" s="59" t="str">
        <f aca="false">IF(ISBLANK($C34),"",IF(ISNUMBER(L34),IF(L34&gt;=0,L34,""),""))</f>
        <v/>
      </c>
      <c r="AC34" s="59" t="str">
        <f aca="false">IF(ISBLANK($C34),"",IF(M34=Constants!$B$19,Constants!$B$19,Constants!$B$18))</f>
        <v/>
      </c>
      <c r="AD34" s="59" t="str">
        <f aca="false">IF(ISBLANK($C34),"",IF(ISNUMBER(N34),IF(N34&gt;=0,N34,""),""))</f>
        <v/>
      </c>
      <c r="AE34" s="59" t="str">
        <f aca="false">IF(ISBLANK($C34),"",IF(O34=Constants!$B$19,Constants!$B$19,Constants!$B$18))</f>
        <v/>
      </c>
      <c r="AF34" s="59" t="str">
        <f aca="false">IF(ISBLANK($C34),"",IF(ISNUMBER(P34),IF(P34&gt;=0,P34,""),""))</f>
        <v/>
      </c>
      <c r="AG34" s="59" t="str">
        <f aca="false">IF(ISBLANK($C34),"",IF(Q34=Constants!$B$19,Constants!$B$19,Constants!$B$18))</f>
        <v/>
      </c>
      <c r="AH34" s="59" t="str">
        <f aca="false">IF(ISBLANK($C34),"",IF(ISNUMBER(R34),IF(R34&gt;=0,R34,""),""))</f>
        <v/>
      </c>
      <c r="AI34" s="59" t="str">
        <f aca="false">IF(ISBLANK($C34),"",IF(S34=Constants!$B$2, TRUE(), IF(S34=Constants!$B$3, FALSE(), FALSE())))</f>
        <v/>
      </c>
      <c r="AJ34" s="59" t="str">
        <f aca="false">IF(ISBLANK($C34),"",IF(AI34,Constants!$B$4,IF(COUNTA(E34:R34)=0,Constants!$B$5,IF(COUNTA(J34,L34,N34,P34,R34)=0,Constants!$B$6,Constants!$B$7))))</f>
        <v/>
      </c>
      <c r="AK34" s="59" t="str">
        <f aca="false">IF(ISBLANK($C34),"",IF($AJ34&lt;&gt;Constants!$B$7,$AJ34,IF(OR(NOT(X34),AND(NOT(U34),COUNTIFS(Y34:AG34,Constants!$B$18,Z34:AH34,"&gt;=0")&gt;0),AND(NOT(V34),COUNTIFS(Y34:AG34,Constants!$B$19,Z34:AH34,"&gt;=0")&gt;0)),Constants!$B$12,Constants!$B$11)))</f>
        <v/>
      </c>
      <c r="AL34" s="59" t="str">
        <f aca="false">IF($AJ34=Constants!$B$7,IF(Z34="",Constants!$B$13,Z34),"")</f>
        <v/>
      </c>
      <c r="AM34" s="59" t="str">
        <f aca="false">IF($AJ34=Constants!$B$7,IF(AB34="",Constants!$B$13,AB34),"")</f>
        <v/>
      </c>
      <c r="AN34" s="59" t="str">
        <f aca="false">IF($AJ34=Constants!$B$7,IF(AD34="",Constants!$B$13,AD34),"")</f>
        <v/>
      </c>
      <c r="AO34" s="59" t="str">
        <f aca="false">IF($AJ34=Constants!$B$7,IF(AF34="",Constants!$B$13,AF34),"")</f>
        <v/>
      </c>
      <c r="AP34" s="59" t="str">
        <f aca="false">IF($AJ34=Constants!$B$7,IF(AH34="",Constants!$B$13,AH34),"")</f>
        <v/>
      </c>
      <c r="AQ34" s="59" t="str">
        <f aca="false">IF($AJ34=Constants!$B$7,IF(SUMPRODUCT(--($AL34:$AP34&gt;AL34))+SUMPRODUCT(--($AL34:AL34=AL34))=1,1,IF(SUMPRODUCT(--($AL34:$AP34&gt;AM34))+SUMPRODUCT(--($AL34:AM34=AM34))=1,2,IF(SUMPRODUCT(--($AL34:$AP34&gt;AN34))+SUMPRODUCT(--($AL34:AN34=AN34))=1,3,IF(SUMPRODUCT(--($AL34:$AP34&gt;AO34))+SUMPRODUCT(--($AL34:AO34=AO34))=1,4,5)))),"")</f>
        <v/>
      </c>
      <c r="AR34" s="59" t="str">
        <f aca="false">IF($AJ34=Constants!$B$7,IF(SUMPRODUCT(--($AL34:$AP34&gt;AL34))+SUMPRODUCT(--($AL34:AL34=AL34))=2,1,IF(SUMPRODUCT(--($AL34:$AP34&gt;AM34))+SUMPRODUCT(--($AL34:AM34=AM34))=2,2,IF(SUMPRODUCT(--($AL34:$AP34&gt;AN34))+SUMPRODUCT(--($AL34:AN34=AN34))=2,3,IF(SUMPRODUCT(--($AL34:$AP34&gt;AO34))+SUMPRODUCT(--($AL34:AO34=AO34))=2,4,5)))),"")</f>
        <v/>
      </c>
      <c r="AS34" s="59" t="str">
        <f aca="false">IF($AJ34=Constants!$B$7,IF(SUMPRODUCT(--($AL34:$AP34&gt;AL34))+SUMPRODUCT(--($AL34:AL34=AL34))=3,1,IF(SUMPRODUCT(--($AL34:$AP34&gt;AM34))+SUMPRODUCT(--($AL34:AM34=AM34))=3,2,IF(SUMPRODUCT(--($AL34:$AP34&gt;AN34))+SUMPRODUCT(--($AL34:AN34=AN34))=3,3,IF(SUMPRODUCT(--($AL34:$AP34&gt;AO34))+SUMPRODUCT(--($AL34:AO34=AO34))=3,4,5)))),"")</f>
        <v/>
      </c>
      <c r="AT34" s="59" t="str">
        <f aca="false">IF($AJ34=Constants!$B$7,LARGE(AL34:AP34,1)+LARGE(AL34:AP34,2)+LARGE(AL34:AP34,3),"")</f>
        <v/>
      </c>
      <c r="AU34" s="59" t="str">
        <f aca="false">IF(ISBLANK($C34),"",IF($AJ34&lt;&gt;Constants!$B$7,$AJ34,AT34*W34))</f>
        <v/>
      </c>
      <c r="AV34" s="59" t="str">
        <f aca="false">IF(ISBLANK($C34),"",IF($AJ34=Constants!$B$7,IF(ISNUMBER(AU34),RANK(AU34,$AU$8:$AU$507),Constants!$B$14),$AJ34))</f>
        <v/>
      </c>
      <c r="AW34" s="59" t="str">
        <f aca="false">IF(ISBLANK($C34),"",IF($AJ34=Constants!$B$7,IF(ISNUMBER(AV34),COUNTIFS($AK$8:$AK$507,"&lt;"&amp;$AK34)+COUNTIFS($AK$8:$AK$507,$AK34,$AV$8:$AV$507,"&lt;"&amp;$AV34)+1,Constants!$B$14),$AJ34))</f>
        <v/>
      </c>
      <c r="AX34" s="59" t="str">
        <f aca="false">IF(ISBLANK($C34),"",IF($AJ34=Constants!$B$7,LARGE(AL34:AP34,4)*W34,""))</f>
        <v/>
      </c>
      <c r="AY34" s="59" t="str">
        <f aca="false">IF(ISBLANK($C34),"",IF($AJ34=Constants!$B$7,RANK(AX34,$AX$8:$AX$507),$AJ34))</f>
        <v/>
      </c>
      <c r="AZ34" s="59" t="str">
        <f aca="false">IF(ISBLANK($C34),"",IF($AJ34=Constants!$B$7,IF(ISNUMBER(AV34),COUNTIFS($AK$8:$AK$507,"&lt;"&amp;$AK34)+COUNTIFS($AK$8:$AK$507,$AK34,$AV$8:$AV$507,"&lt;"&amp;$AV34)+COUNTIFS($AK$8:$AK$507,$AK34,$AV$8:$AV$507,$AV34,$AY$8:$AY$507,"&lt;"&amp;$AY34)+1,Constants!$B$14),$AJ34))</f>
        <v/>
      </c>
      <c r="BA34" s="59" t="str">
        <f aca="false">IF(ISBLANK($C34),"",IF($AJ34=Constants!$B$7,IF(ISNUMBER(AW34),AW34-AZ34,Constants!$B$14),$AJ34))</f>
        <v/>
      </c>
      <c r="BB34" s="61"/>
      <c r="BC34" s="62" t="str">
        <f aca="false">IF(ISBLANK($C34),"",IF($AJ34&lt;&gt;Constants!$B$7,$AJ34,SMALL(AQ34:AS34,1)&amp;", "&amp;SMALL(AQ34:AS34,2)&amp;", "&amp;SMALL(AQ34:AS34,3)))</f>
        <v/>
      </c>
      <c r="BD34" s="63" t="str">
        <f aca="false">IF(ISBLANK($C34),"",IF($AJ34&lt;&gt;Constants!$B$7,$AJ34,W34))</f>
        <v/>
      </c>
      <c r="BE34" s="64" t="str">
        <f aca="false">IF(ISBLANK($C34),"",IF($AJ34&lt;&gt;Constants!$B$7,$AJ34,AU34))</f>
        <v/>
      </c>
      <c r="BF34" s="65" t="str">
        <f aca="false">IF(ISBLANK($C34),"",IF($AJ34&lt;&gt;Constants!$B$7,$AJ34,AK34))</f>
        <v/>
      </c>
      <c r="BG34" s="63" t="str">
        <f aca="false">IF(ISBLANK($C34),"",BA34)</f>
        <v/>
      </c>
      <c r="BH34" s="63" t="str">
        <f aca="false">IF(ISBLANK($C34),"",AZ34)</f>
        <v/>
      </c>
      <c r="BI34" s="66" t="str">
        <f aca="false">IF(ISBLANK($C34),"",IF(BH34=Constants!$B$4,COUNTA($C$8:$C$507)+2,IF(BH34=Constants!$B$5,COUNTA($C$8:$C$507)+1,IF(BH34=Constants!$B$6,COUNTA($C$8:$C$507),BH34))))</f>
        <v/>
      </c>
      <c r="BJ34" s="5"/>
      <c r="BK34" s="67" t="n">
        <f aca="false">IF(OR(ISNUMBER(BH34),BH34=Constants!$B$4,BH34=Constants!$B$6,BH34=Constants!$B$5),1,0)</f>
        <v>0</v>
      </c>
      <c r="BL34" s="67" t="n">
        <v>27</v>
      </c>
      <c r="BM34" s="67" t="str">
        <f aca="false">IF(ISBLANK($C34),"",IF(ISNUMBER(BI34),BI34+ROW($B34)/1000,""))</f>
        <v/>
      </c>
      <c r="BN34" s="67" t="str">
        <f aca="false">IF(ISNUMBER(BM34),RANK(BM34,$BM$8:$BM$507,1),"")</f>
        <v/>
      </c>
      <c r="BO34" s="67" t="str">
        <f aca="false">IF(ISBLANK($C34),"",$B34)</f>
        <v/>
      </c>
      <c r="BP34" s="67" t="str">
        <f aca="false">IF(ISBLANK($C34),"",$C34)</f>
        <v/>
      </c>
      <c r="BQ34" s="67" t="str">
        <f aca="false">IF(ISBLANK($C34),"",$D34)</f>
        <v/>
      </c>
      <c r="BR34" s="68" t="str">
        <f aca="false">BF34</f>
        <v/>
      </c>
      <c r="BS34" s="69" t="str">
        <f aca="false">BE34</f>
        <v/>
      </c>
      <c r="BT34" s="67" t="str">
        <f aca="false">IF(ISBLANK($C34),"",BH34)</f>
        <v/>
      </c>
      <c r="BU34" s="70" t="str">
        <f aca="false">IF($BL34&gt;$BK$7,"",VLOOKUP($BL34,$BN$8:$BT$507,7,FALSE()))</f>
        <v/>
      </c>
      <c r="BV34" s="71" t="str">
        <f aca="false">IF($BL34&gt;$BK$7,"",VLOOKUP($BL34,$BN$8:$BT$507,2,FALSE()))</f>
        <v/>
      </c>
      <c r="BW34" s="71" t="str">
        <f aca="false">IF($BL34&gt;$BK$7,"",VLOOKUP($BL34,$BN$8:$BT$507,3,FALSE()))</f>
        <v/>
      </c>
      <c r="BX34" s="71" t="str">
        <f aca="false">IF($BL34&gt;$BK$7,"",VLOOKUP($BL34,$BN$8:$BT$507,4,FALSE()))</f>
        <v/>
      </c>
      <c r="BY34" s="71" t="str">
        <f aca="false">IF($BL34&gt;$BK$7,"",VLOOKUP($BL34,$BN$8:$BT$507,5,FALSE()))</f>
        <v/>
      </c>
      <c r="BZ34" s="72" t="str">
        <f aca="false">IF($BL34&gt;$BK$7,"",VLOOKUP($BL34,$BN$8:$BT$507,6,FALSE()))</f>
        <v/>
      </c>
      <c r="CA34" s="48"/>
    </row>
    <row r="35" customFormat="false" ht="15.75" hidden="false" customHeight="false" outlineLevel="0" collapsed="false">
      <c r="A35" s="5"/>
      <c r="B35" s="114"/>
      <c r="C35" s="115"/>
      <c r="D35" s="100"/>
      <c r="E35" s="116"/>
      <c r="F35" s="117"/>
      <c r="G35" s="82"/>
      <c r="H35" s="118"/>
      <c r="I35" s="119"/>
      <c r="J35" s="82"/>
      <c r="K35" s="118"/>
      <c r="L35" s="82"/>
      <c r="M35" s="118"/>
      <c r="N35" s="82"/>
      <c r="O35" s="118"/>
      <c r="P35" s="82"/>
      <c r="Q35" s="118"/>
      <c r="R35" s="82"/>
      <c r="S35" s="120"/>
      <c r="T35" s="86"/>
      <c r="U35" s="87" t="str">
        <f aca="false">IF(ISBLANK($C35),"",IF(E35=Constants!$B$2, TRUE(), IF(E35=Constants!$B$3, FALSE(), TRUE())))</f>
        <v/>
      </c>
      <c r="V35" s="87" t="str">
        <f aca="false">IF(ISBLANK($C35),"",IF(F35=Constants!$B$2, TRUE(), IF(F35=Constants!$B$3, FALSE(), TRUE())))</f>
        <v/>
      </c>
      <c r="W35" s="87" t="str">
        <f aca="false">IF(ISBLANK($C35),"",IF(G35=Constants!$B$15,Constants!$B$8,IF(G35=Constants!$B$16,Constants!$B$9,Constants!$B$10)))</f>
        <v/>
      </c>
      <c r="X35" s="87" t="str">
        <f aca="false">IF(ISBLANK($C35),"",IF(H35=Constants!$B$2, TRUE(), IF(H35=Constants!$B$3, FALSE(), TRUE())))</f>
        <v/>
      </c>
      <c r="Y35" s="87" t="str">
        <f aca="false">IF(ISBLANK($C35),"",IF(I35=Constants!$B$19,Constants!$B$19,Constants!$B$18))</f>
        <v/>
      </c>
      <c r="Z35" s="87" t="str">
        <f aca="false">IF(ISBLANK($C35),"",IF(ISNUMBER(J35),IF(J35&gt;=0,J35,""),""))</f>
        <v/>
      </c>
      <c r="AA35" s="87" t="str">
        <f aca="false">IF(ISBLANK($C35),"",IF(K35=Constants!$B$19,Constants!$B$19,Constants!$B$18))</f>
        <v/>
      </c>
      <c r="AB35" s="87" t="str">
        <f aca="false">IF(ISBLANK($C35),"",IF(ISNUMBER(L35),IF(L35&gt;=0,L35,""),""))</f>
        <v/>
      </c>
      <c r="AC35" s="87" t="str">
        <f aca="false">IF(ISBLANK($C35),"",IF(M35=Constants!$B$19,Constants!$B$19,Constants!$B$18))</f>
        <v/>
      </c>
      <c r="AD35" s="87" t="str">
        <f aca="false">IF(ISBLANK($C35),"",IF(ISNUMBER(N35),IF(N35&gt;=0,N35,""),""))</f>
        <v/>
      </c>
      <c r="AE35" s="87" t="str">
        <f aca="false">IF(ISBLANK($C35),"",IF(O35=Constants!$B$19,Constants!$B$19,Constants!$B$18))</f>
        <v/>
      </c>
      <c r="AF35" s="87" t="str">
        <f aca="false">IF(ISBLANK($C35),"",IF(ISNUMBER(P35),IF(P35&gt;=0,P35,""),""))</f>
        <v/>
      </c>
      <c r="AG35" s="87" t="str">
        <f aca="false">IF(ISBLANK($C35),"",IF(Q35=Constants!$B$19,Constants!$B$19,Constants!$B$18))</f>
        <v/>
      </c>
      <c r="AH35" s="87" t="str">
        <f aca="false">IF(ISBLANK($C35),"",IF(ISNUMBER(R35),IF(R35&gt;=0,R35,""),""))</f>
        <v/>
      </c>
      <c r="AI35" s="87" t="str">
        <f aca="false">IF(ISBLANK($C35),"",IF(S35=Constants!$B$2, TRUE(), IF(S35=Constants!$B$3, FALSE(), FALSE())))</f>
        <v/>
      </c>
      <c r="AJ35" s="87" t="str">
        <f aca="false">IF(ISBLANK($C35),"",IF(AI35,Constants!$B$4,IF(COUNTA(E35:R35)=0,Constants!$B$5,IF(COUNTA(J35,L35,N35,P35,R35)=0,Constants!$B$6,Constants!$B$7))))</f>
        <v/>
      </c>
      <c r="AK35" s="87" t="str">
        <f aca="false">IF(ISBLANK($C35),"",IF($AJ35&lt;&gt;Constants!$B$7,$AJ35,IF(OR(NOT(X35),AND(NOT(U35),COUNTIFS(Y35:AG35,Constants!$B$18,Z35:AH35,"&gt;=0")&gt;0),AND(NOT(V35),COUNTIFS(Y35:AG35,Constants!$B$19,Z35:AH35,"&gt;=0")&gt;0)),Constants!$B$12,Constants!$B$11)))</f>
        <v/>
      </c>
      <c r="AL35" s="87" t="str">
        <f aca="false">IF($AJ35=Constants!$B$7,IF(Z35="",Constants!$B$13,Z35),"")</f>
        <v/>
      </c>
      <c r="AM35" s="87" t="str">
        <f aca="false">IF($AJ35=Constants!$B$7,IF(AB35="",Constants!$B$13,AB35),"")</f>
        <v/>
      </c>
      <c r="AN35" s="87" t="str">
        <f aca="false">IF($AJ35=Constants!$B$7,IF(AD35="",Constants!$B$13,AD35),"")</f>
        <v/>
      </c>
      <c r="AO35" s="87" t="str">
        <f aca="false">IF($AJ35=Constants!$B$7,IF(AF35="",Constants!$B$13,AF35),"")</f>
        <v/>
      </c>
      <c r="AP35" s="87" t="str">
        <f aca="false">IF($AJ35=Constants!$B$7,IF(AH35="",Constants!$B$13,AH35),"")</f>
        <v/>
      </c>
      <c r="AQ35" s="87" t="str">
        <f aca="false">IF($AJ35=Constants!$B$7,IF(SUMPRODUCT(--($AL35:$AP35&gt;AL35))+SUMPRODUCT(--($AL35:AL35=AL35))=1,1,IF(SUMPRODUCT(--($AL35:$AP35&gt;AM35))+SUMPRODUCT(--($AL35:AM35=AM35))=1,2,IF(SUMPRODUCT(--($AL35:$AP35&gt;AN35))+SUMPRODUCT(--($AL35:AN35=AN35))=1,3,IF(SUMPRODUCT(--($AL35:$AP35&gt;AO35))+SUMPRODUCT(--($AL35:AO35=AO35))=1,4,5)))),"")</f>
        <v/>
      </c>
      <c r="AR35" s="87" t="str">
        <f aca="false">IF($AJ35=Constants!$B$7,IF(SUMPRODUCT(--($AL35:$AP35&gt;AL35))+SUMPRODUCT(--($AL35:AL35=AL35))=2,1,IF(SUMPRODUCT(--($AL35:$AP35&gt;AM35))+SUMPRODUCT(--($AL35:AM35=AM35))=2,2,IF(SUMPRODUCT(--($AL35:$AP35&gt;AN35))+SUMPRODUCT(--($AL35:AN35=AN35))=2,3,IF(SUMPRODUCT(--($AL35:$AP35&gt;AO35))+SUMPRODUCT(--($AL35:AO35=AO35))=2,4,5)))),"")</f>
        <v/>
      </c>
      <c r="AS35" s="87" t="str">
        <f aca="false">IF($AJ35=Constants!$B$7,IF(SUMPRODUCT(--($AL35:$AP35&gt;AL35))+SUMPRODUCT(--($AL35:AL35=AL35))=3,1,IF(SUMPRODUCT(--($AL35:$AP35&gt;AM35))+SUMPRODUCT(--($AL35:AM35=AM35))=3,2,IF(SUMPRODUCT(--($AL35:$AP35&gt;AN35))+SUMPRODUCT(--($AL35:AN35=AN35))=3,3,IF(SUMPRODUCT(--($AL35:$AP35&gt;AO35))+SUMPRODUCT(--($AL35:AO35=AO35))=3,4,5)))),"")</f>
        <v/>
      </c>
      <c r="AT35" s="87" t="str">
        <f aca="false">IF($AJ35=Constants!$B$7,LARGE(AL35:AP35,1)+LARGE(AL35:AP35,2)+LARGE(AL35:AP35,3),"")</f>
        <v/>
      </c>
      <c r="AU35" s="87" t="str">
        <f aca="false">IF(ISBLANK($C35),"",IF($AJ35&lt;&gt;Constants!$B$7,$AJ35,AT35*W35))</f>
        <v/>
      </c>
      <c r="AV35" s="87" t="str">
        <f aca="false">IF(ISBLANK($C35),"",IF($AJ35=Constants!$B$7,IF(ISNUMBER(AU35),RANK(AU35,$AU$8:$AU$507),Constants!$B$14),$AJ35))</f>
        <v/>
      </c>
      <c r="AW35" s="87" t="str">
        <f aca="false">IF(ISBLANK($C35),"",IF($AJ35=Constants!$B$7,IF(ISNUMBER(AV35),COUNTIFS($AK$8:$AK$507,"&lt;"&amp;$AK35)+COUNTIFS($AK$8:$AK$507,$AK35,$AV$8:$AV$507,"&lt;"&amp;$AV35)+1,Constants!$B$14),$AJ35))</f>
        <v/>
      </c>
      <c r="AX35" s="87" t="str">
        <f aca="false">IF(ISBLANK($C35),"",IF($AJ35=Constants!$B$7,LARGE(AL35:AP35,4)*W35,""))</f>
        <v/>
      </c>
      <c r="AY35" s="87" t="str">
        <f aca="false">IF(ISBLANK($C35),"",IF($AJ35=Constants!$B$7,RANK(AX35,$AX$8:$AX$507),$AJ35))</f>
        <v/>
      </c>
      <c r="AZ35" s="87" t="str">
        <f aca="false">IF(ISBLANK($C35),"",IF($AJ35=Constants!$B$7,IF(ISNUMBER(AV35),COUNTIFS($AK$8:$AK$507,"&lt;"&amp;$AK35)+COUNTIFS($AK$8:$AK$507,$AK35,$AV$8:$AV$507,"&lt;"&amp;$AV35)+COUNTIFS($AK$8:$AK$507,$AK35,$AV$8:$AV$507,$AV35,$AY$8:$AY$507,"&lt;"&amp;$AY35)+1,Constants!$B$14),$AJ35))</f>
        <v/>
      </c>
      <c r="BA35" s="87" t="str">
        <f aca="false">IF(ISBLANK($C35),"",IF($AJ35=Constants!$B$7,IF(ISNUMBER(AW35),AW35-AZ35,Constants!$B$14),$AJ35))</f>
        <v/>
      </c>
      <c r="BB35" s="88"/>
      <c r="BC35" s="89" t="str">
        <f aca="false">IF(ISBLANK($C35),"",IF($AJ35&lt;&gt;Constants!$B$7,$AJ35,SMALL(AQ35:AS35,1)&amp;", "&amp;SMALL(AQ35:AS35,2)&amp;", "&amp;SMALL(AQ35:AS35,3)))</f>
        <v/>
      </c>
      <c r="BD35" s="90" t="str">
        <f aca="false">IF(ISBLANK($C35),"",IF($AJ35&lt;&gt;Constants!$B$7,$AJ35,W35))</f>
        <v/>
      </c>
      <c r="BE35" s="91" t="str">
        <f aca="false">IF(ISBLANK($C35),"",IF($AJ35&lt;&gt;Constants!$B$7,$AJ35,AU35))</f>
        <v/>
      </c>
      <c r="BF35" s="92" t="str">
        <f aca="false">IF(ISBLANK($C35),"",IF($AJ35&lt;&gt;Constants!$B$7,$AJ35,AK35))</f>
        <v/>
      </c>
      <c r="BG35" s="90" t="str">
        <f aca="false">IF(ISBLANK($C35),"",BA35)</f>
        <v/>
      </c>
      <c r="BH35" s="90" t="str">
        <f aca="false">IF(ISBLANK($C35),"",AZ35)</f>
        <v/>
      </c>
      <c r="BI35" s="93" t="str">
        <f aca="false">IF(ISBLANK($C35),"",IF(BH35=Constants!$B$4,COUNTA($C$8:$C$507)+2,IF(BH35=Constants!$B$5,COUNTA($C$8:$C$507)+1,IF(BH35=Constants!$B$6,COUNTA($C$8:$C$507),BH35))))</f>
        <v/>
      </c>
      <c r="BJ35" s="5"/>
      <c r="BK35" s="94" t="n">
        <f aca="false">IF(OR(ISNUMBER(BH35),BH35=Constants!$B$4,BH35=Constants!$B$6,BH35=Constants!$B$5),1,0)</f>
        <v>0</v>
      </c>
      <c r="BL35" s="94" t="n">
        <v>28</v>
      </c>
      <c r="BM35" s="94" t="str">
        <f aca="false">IF(ISBLANK($C35),"",IF(ISNUMBER(BI35),BI35+ROW($B35)/1000,""))</f>
        <v/>
      </c>
      <c r="BN35" s="94" t="str">
        <f aca="false">IF(ISNUMBER(BM35),RANK(BM35,$BM$8:$BM$507,1),"")</f>
        <v/>
      </c>
      <c r="BO35" s="94" t="str">
        <f aca="false">IF(ISBLANK($C35),"",$B35)</f>
        <v/>
      </c>
      <c r="BP35" s="94" t="str">
        <f aca="false">IF(ISBLANK($C35),"",$C35)</f>
        <v/>
      </c>
      <c r="BQ35" s="94" t="str">
        <f aca="false">IF(ISBLANK($C35),"",$D35)</f>
        <v/>
      </c>
      <c r="BR35" s="95" t="str">
        <f aca="false">BF35</f>
        <v/>
      </c>
      <c r="BS35" s="96" t="str">
        <f aca="false">BE35</f>
        <v/>
      </c>
      <c r="BT35" s="94" t="str">
        <f aca="false">IF(ISBLANK($C35),"",BH35)</f>
        <v/>
      </c>
      <c r="BU35" s="97" t="str">
        <f aca="false">IF($BL35&gt;$BK$7,"",VLOOKUP($BL35,$BN$8:$BT$507,7,FALSE()))</f>
        <v/>
      </c>
      <c r="BV35" s="98" t="str">
        <f aca="false">IF($BL35&gt;$BK$7,"",VLOOKUP($BL35,$BN$8:$BT$507,2,FALSE()))</f>
        <v/>
      </c>
      <c r="BW35" s="98" t="str">
        <f aca="false">IF($BL35&gt;$BK$7,"",VLOOKUP($BL35,$BN$8:$BT$507,3,FALSE()))</f>
        <v/>
      </c>
      <c r="BX35" s="98" t="str">
        <f aca="false">IF($BL35&gt;$BK$7,"",VLOOKUP($BL35,$BN$8:$BT$507,4,FALSE()))</f>
        <v/>
      </c>
      <c r="BY35" s="98" t="str">
        <f aca="false">IF($BL35&gt;$BK$7,"",VLOOKUP($BL35,$BN$8:$BT$507,5,FALSE()))</f>
        <v/>
      </c>
      <c r="BZ35" s="99" t="str">
        <f aca="false">IF($BL35&gt;$BK$7,"",VLOOKUP($BL35,$BN$8:$BT$507,6,FALSE()))</f>
        <v/>
      </c>
      <c r="CA35" s="48"/>
    </row>
    <row r="36" customFormat="false" ht="15.75" hidden="false" customHeight="false" outlineLevel="0" collapsed="false">
      <c r="A36" s="5"/>
      <c r="B36" s="114"/>
      <c r="C36" s="115"/>
      <c r="D36" s="100"/>
      <c r="E36" s="116"/>
      <c r="F36" s="117"/>
      <c r="G36" s="82"/>
      <c r="H36" s="118"/>
      <c r="I36" s="119"/>
      <c r="J36" s="82"/>
      <c r="K36" s="118"/>
      <c r="L36" s="82"/>
      <c r="M36" s="118"/>
      <c r="N36" s="82"/>
      <c r="O36" s="118"/>
      <c r="P36" s="82"/>
      <c r="Q36" s="118"/>
      <c r="R36" s="82"/>
      <c r="S36" s="120"/>
      <c r="T36" s="86"/>
      <c r="U36" s="87" t="str">
        <f aca="false">IF(ISBLANK($C36),"",IF(E36=Constants!$B$2, TRUE(), IF(E36=Constants!$B$3, FALSE(), TRUE())))</f>
        <v/>
      </c>
      <c r="V36" s="87" t="str">
        <f aca="false">IF(ISBLANK($C36),"",IF(F36=Constants!$B$2, TRUE(), IF(F36=Constants!$B$3, FALSE(), TRUE())))</f>
        <v/>
      </c>
      <c r="W36" s="87" t="str">
        <f aca="false">IF(ISBLANK($C36),"",IF(G36=Constants!$B$15,Constants!$B$8,IF(G36=Constants!$B$16,Constants!$B$9,Constants!$B$10)))</f>
        <v/>
      </c>
      <c r="X36" s="87" t="str">
        <f aca="false">IF(ISBLANK($C36),"",IF(H36=Constants!$B$2, TRUE(), IF(H36=Constants!$B$3, FALSE(), TRUE())))</f>
        <v/>
      </c>
      <c r="Y36" s="87" t="str">
        <f aca="false">IF(ISBLANK($C36),"",IF(I36=Constants!$B$19,Constants!$B$19,Constants!$B$18))</f>
        <v/>
      </c>
      <c r="Z36" s="87" t="str">
        <f aca="false">IF(ISBLANK($C36),"",IF(ISNUMBER(J36),IF(J36&gt;=0,J36,""),""))</f>
        <v/>
      </c>
      <c r="AA36" s="87" t="str">
        <f aca="false">IF(ISBLANK($C36),"",IF(K36=Constants!$B$19,Constants!$B$19,Constants!$B$18))</f>
        <v/>
      </c>
      <c r="AB36" s="87" t="str">
        <f aca="false">IF(ISBLANK($C36),"",IF(ISNUMBER(L36),IF(L36&gt;=0,L36,""),""))</f>
        <v/>
      </c>
      <c r="AC36" s="87" t="str">
        <f aca="false">IF(ISBLANK($C36),"",IF(M36=Constants!$B$19,Constants!$B$19,Constants!$B$18))</f>
        <v/>
      </c>
      <c r="AD36" s="87" t="str">
        <f aca="false">IF(ISBLANK($C36),"",IF(ISNUMBER(N36),IF(N36&gt;=0,N36,""),""))</f>
        <v/>
      </c>
      <c r="AE36" s="87" t="str">
        <f aca="false">IF(ISBLANK($C36),"",IF(O36=Constants!$B$19,Constants!$B$19,Constants!$B$18))</f>
        <v/>
      </c>
      <c r="AF36" s="87" t="str">
        <f aca="false">IF(ISBLANK($C36),"",IF(ISNUMBER(P36),IF(P36&gt;=0,P36,""),""))</f>
        <v/>
      </c>
      <c r="AG36" s="87" t="str">
        <f aca="false">IF(ISBLANK($C36),"",IF(Q36=Constants!$B$19,Constants!$B$19,Constants!$B$18))</f>
        <v/>
      </c>
      <c r="AH36" s="87" t="str">
        <f aca="false">IF(ISBLANK($C36),"",IF(ISNUMBER(R36),IF(R36&gt;=0,R36,""),""))</f>
        <v/>
      </c>
      <c r="AI36" s="87" t="str">
        <f aca="false">IF(ISBLANK($C36),"",IF(S36=Constants!$B$2, TRUE(), IF(S36=Constants!$B$3, FALSE(), FALSE())))</f>
        <v/>
      </c>
      <c r="AJ36" s="87" t="str">
        <f aca="false">IF(ISBLANK($C36),"",IF(AI36,Constants!$B$4,IF(COUNTA(E36:R36)=0,Constants!$B$5,IF(COUNTA(J36,L36,N36,P36,R36)=0,Constants!$B$6,Constants!$B$7))))</f>
        <v/>
      </c>
      <c r="AK36" s="87" t="str">
        <f aca="false">IF(ISBLANK($C36),"",IF($AJ36&lt;&gt;Constants!$B$7,$AJ36,IF(OR(NOT(X36),AND(NOT(U36),COUNTIFS(Y36:AG36,Constants!$B$18,Z36:AH36,"&gt;=0")&gt;0),AND(NOT(V36),COUNTIFS(Y36:AG36,Constants!$B$19,Z36:AH36,"&gt;=0")&gt;0)),Constants!$B$12,Constants!$B$11)))</f>
        <v/>
      </c>
      <c r="AL36" s="87" t="str">
        <f aca="false">IF($AJ36=Constants!$B$7,IF(Z36="",Constants!$B$13,Z36),"")</f>
        <v/>
      </c>
      <c r="AM36" s="87" t="str">
        <f aca="false">IF($AJ36=Constants!$B$7,IF(AB36="",Constants!$B$13,AB36),"")</f>
        <v/>
      </c>
      <c r="AN36" s="87" t="str">
        <f aca="false">IF($AJ36=Constants!$B$7,IF(AD36="",Constants!$B$13,AD36),"")</f>
        <v/>
      </c>
      <c r="AO36" s="87" t="str">
        <f aca="false">IF($AJ36=Constants!$B$7,IF(AF36="",Constants!$B$13,AF36),"")</f>
        <v/>
      </c>
      <c r="AP36" s="87" t="str">
        <f aca="false">IF($AJ36=Constants!$B$7,IF(AH36="",Constants!$B$13,AH36),"")</f>
        <v/>
      </c>
      <c r="AQ36" s="87" t="str">
        <f aca="false">IF($AJ36=Constants!$B$7,IF(SUMPRODUCT(--($AL36:$AP36&gt;AL36))+SUMPRODUCT(--($AL36:AL36=AL36))=1,1,IF(SUMPRODUCT(--($AL36:$AP36&gt;AM36))+SUMPRODUCT(--($AL36:AM36=AM36))=1,2,IF(SUMPRODUCT(--($AL36:$AP36&gt;AN36))+SUMPRODUCT(--($AL36:AN36=AN36))=1,3,IF(SUMPRODUCT(--($AL36:$AP36&gt;AO36))+SUMPRODUCT(--($AL36:AO36=AO36))=1,4,5)))),"")</f>
        <v/>
      </c>
      <c r="AR36" s="87" t="str">
        <f aca="false">IF($AJ36=Constants!$B$7,IF(SUMPRODUCT(--($AL36:$AP36&gt;AL36))+SUMPRODUCT(--($AL36:AL36=AL36))=2,1,IF(SUMPRODUCT(--($AL36:$AP36&gt;AM36))+SUMPRODUCT(--($AL36:AM36=AM36))=2,2,IF(SUMPRODUCT(--($AL36:$AP36&gt;AN36))+SUMPRODUCT(--($AL36:AN36=AN36))=2,3,IF(SUMPRODUCT(--($AL36:$AP36&gt;AO36))+SUMPRODUCT(--($AL36:AO36=AO36))=2,4,5)))),"")</f>
        <v/>
      </c>
      <c r="AS36" s="87" t="str">
        <f aca="false">IF($AJ36=Constants!$B$7,IF(SUMPRODUCT(--($AL36:$AP36&gt;AL36))+SUMPRODUCT(--($AL36:AL36=AL36))=3,1,IF(SUMPRODUCT(--($AL36:$AP36&gt;AM36))+SUMPRODUCT(--($AL36:AM36=AM36))=3,2,IF(SUMPRODUCT(--($AL36:$AP36&gt;AN36))+SUMPRODUCT(--($AL36:AN36=AN36))=3,3,IF(SUMPRODUCT(--($AL36:$AP36&gt;AO36))+SUMPRODUCT(--($AL36:AO36=AO36))=3,4,5)))),"")</f>
        <v/>
      </c>
      <c r="AT36" s="87" t="str">
        <f aca="false">IF($AJ36=Constants!$B$7,LARGE(AL36:AP36,1)+LARGE(AL36:AP36,2)+LARGE(AL36:AP36,3),"")</f>
        <v/>
      </c>
      <c r="AU36" s="87" t="str">
        <f aca="false">IF(ISBLANK($C36),"",IF($AJ36&lt;&gt;Constants!$B$7,$AJ36,AT36*W36))</f>
        <v/>
      </c>
      <c r="AV36" s="87" t="str">
        <f aca="false">IF(ISBLANK($C36),"",IF($AJ36=Constants!$B$7,IF(ISNUMBER(AU36),RANK(AU36,$AU$8:$AU$507),Constants!$B$14),$AJ36))</f>
        <v/>
      </c>
      <c r="AW36" s="87" t="str">
        <f aca="false">IF(ISBLANK($C36),"",IF($AJ36=Constants!$B$7,IF(ISNUMBER(AV36),COUNTIFS($AK$8:$AK$507,"&lt;"&amp;$AK36)+COUNTIFS($AK$8:$AK$507,$AK36,$AV$8:$AV$507,"&lt;"&amp;$AV36)+1,Constants!$B$14),$AJ36))</f>
        <v/>
      </c>
      <c r="AX36" s="87" t="str">
        <f aca="false">IF(ISBLANK($C36),"",IF($AJ36=Constants!$B$7,LARGE(AL36:AP36,4)*W36,""))</f>
        <v/>
      </c>
      <c r="AY36" s="87" t="str">
        <f aca="false">IF(ISBLANK($C36),"",IF($AJ36=Constants!$B$7,RANK(AX36,$AX$8:$AX$507),$AJ36))</f>
        <v/>
      </c>
      <c r="AZ36" s="87" t="str">
        <f aca="false">IF(ISBLANK($C36),"",IF($AJ36=Constants!$B$7,IF(ISNUMBER(AV36),COUNTIFS($AK$8:$AK$507,"&lt;"&amp;$AK36)+COUNTIFS($AK$8:$AK$507,$AK36,$AV$8:$AV$507,"&lt;"&amp;$AV36)+COUNTIFS($AK$8:$AK$507,$AK36,$AV$8:$AV$507,$AV36,$AY$8:$AY$507,"&lt;"&amp;$AY36)+1,Constants!$B$14),$AJ36))</f>
        <v/>
      </c>
      <c r="BA36" s="87" t="str">
        <f aca="false">IF(ISBLANK($C36),"",IF($AJ36=Constants!$B$7,IF(ISNUMBER(AW36),AW36-AZ36,Constants!$B$14),$AJ36))</f>
        <v/>
      </c>
      <c r="BB36" s="88"/>
      <c r="BC36" s="89" t="str">
        <f aca="false">IF(ISBLANK($C36),"",IF($AJ36&lt;&gt;Constants!$B$7,$AJ36,SMALL(AQ36:AS36,1)&amp;", "&amp;SMALL(AQ36:AS36,2)&amp;", "&amp;SMALL(AQ36:AS36,3)))</f>
        <v/>
      </c>
      <c r="BD36" s="90" t="str">
        <f aca="false">IF(ISBLANK($C36),"",IF($AJ36&lt;&gt;Constants!$B$7,$AJ36,W36))</f>
        <v/>
      </c>
      <c r="BE36" s="91" t="str">
        <f aca="false">IF(ISBLANK($C36),"",IF($AJ36&lt;&gt;Constants!$B$7,$AJ36,AU36))</f>
        <v/>
      </c>
      <c r="BF36" s="92" t="str">
        <f aca="false">IF(ISBLANK($C36),"",IF($AJ36&lt;&gt;Constants!$B$7,$AJ36,AK36))</f>
        <v/>
      </c>
      <c r="BG36" s="90" t="str">
        <f aca="false">IF(ISBLANK($C36),"",BA36)</f>
        <v/>
      </c>
      <c r="BH36" s="90" t="str">
        <f aca="false">IF(ISBLANK($C36),"",AZ36)</f>
        <v/>
      </c>
      <c r="BI36" s="93" t="str">
        <f aca="false">IF(ISBLANK($C36),"",IF(BH36=Constants!$B$4,COUNTA($C$8:$C$507)+2,IF(BH36=Constants!$B$5,COUNTA($C$8:$C$507)+1,IF(BH36=Constants!$B$6,COUNTA($C$8:$C$507),BH36))))</f>
        <v/>
      </c>
      <c r="BJ36" s="5"/>
      <c r="BK36" s="94" t="n">
        <f aca="false">IF(OR(ISNUMBER(BH36),BH36=Constants!$B$4,BH36=Constants!$B$6,BH36=Constants!$B$5),1,0)</f>
        <v>0</v>
      </c>
      <c r="BL36" s="94" t="n">
        <v>29</v>
      </c>
      <c r="BM36" s="94" t="str">
        <f aca="false">IF(ISBLANK($C36),"",IF(ISNUMBER(BI36),BI36+ROW($B36)/1000,""))</f>
        <v/>
      </c>
      <c r="BN36" s="94" t="str">
        <f aca="false">IF(ISNUMBER(BM36),RANK(BM36,$BM$8:$BM$507,1),"")</f>
        <v/>
      </c>
      <c r="BO36" s="94" t="str">
        <f aca="false">IF(ISBLANK($C36),"",$B36)</f>
        <v/>
      </c>
      <c r="BP36" s="94" t="str">
        <f aca="false">IF(ISBLANK($C36),"",$C36)</f>
        <v/>
      </c>
      <c r="BQ36" s="94" t="str">
        <f aca="false">IF(ISBLANK($C36),"",$D36)</f>
        <v/>
      </c>
      <c r="BR36" s="95" t="str">
        <f aca="false">BF36</f>
        <v/>
      </c>
      <c r="BS36" s="96" t="str">
        <f aca="false">BE36</f>
        <v/>
      </c>
      <c r="BT36" s="94" t="str">
        <f aca="false">IF(ISBLANK($C36),"",BH36)</f>
        <v/>
      </c>
      <c r="BU36" s="97" t="str">
        <f aca="false">IF($BL36&gt;$BK$7,"",VLOOKUP($BL36,$BN$8:$BT$507,7,FALSE()))</f>
        <v/>
      </c>
      <c r="BV36" s="98" t="str">
        <f aca="false">IF($BL36&gt;$BK$7,"",VLOOKUP($BL36,$BN$8:$BT$507,2,FALSE()))</f>
        <v/>
      </c>
      <c r="BW36" s="98" t="str">
        <f aca="false">IF($BL36&gt;$BK$7,"",VLOOKUP($BL36,$BN$8:$BT$507,3,FALSE()))</f>
        <v/>
      </c>
      <c r="BX36" s="98" t="str">
        <f aca="false">IF($BL36&gt;$BK$7,"",VLOOKUP($BL36,$BN$8:$BT$507,4,FALSE()))</f>
        <v/>
      </c>
      <c r="BY36" s="98" t="str">
        <f aca="false">IF($BL36&gt;$BK$7,"",VLOOKUP($BL36,$BN$8:$BT$507,5,FALSE()))</f>
        <v/>
      </c>
      <c r="BZ36" s="99" t="str">
        <f aca="false">IF($BL36&gt;$BK$7,"",VLOOKUP($BL36,$BN$8:$BT$507,6,FALSE()))</f>
        <v/>
      </c>
      <c r="CA36" s="48"/>
    </row>
    <row r="37" customFormat="false" ht="15.75" hidden="false" customHeight="false" outlineLevel="0" collapsed="false">
      <c r="A37" s="5"/>
      <c r="B37" s="114"/>
      <c r="C37" s="115"/>
      <c r="D37" s="100"/>
      <c r="E37" s="116"/>
      <c r="F37" s="117"/>
      <c r="G37" s="82"/>
      <c r="H37" s="118"/>
      <c r="I37" s="119"/>
      <c r="J37" s="82"/>
      <c r="K37" s="118"/>
      <c r="L37" s="82"/>
      <c r="M37" s="118"/>
      <c r="N37" s="82"/>
      <c r="O37" s="118"/>
      <c r="P37" s="82"/>
      <c r="Q37" s="118"/>
      <c r="R37" s="82"/>
      <c r="S37" s="120"/>
      <c r="T37" s="86"/>
      <c r="U37" s="87" t="str">
        <f aca="false">IF(ISBLANK($C37),"",IF(E37=Constants!$B$2, TRUE(), IF(E37=Constants!$B$3, FALSE(), TRUE())))</f>
        <v/>
      </c>
      <c r="V37" s="87" t="str">
        <f aca="false">IF(ISBLANK($C37),"",IF(F37=Constants!$B$2, TRUE(), IF(F37=Constants!$B$3, FALSE(), TRUE())))</f>
        <v/>
      </c>
      <c r="W37" s="87" t="str">
        <f aca="false">IF(ISBLANK($C37),"",IF(G37=Constants!$B$15,Constants!$B$8,IF(G37=Constants!$B$16,Constants!$B$9,Constants!$B$10)))</f>
        <v/>
      </c>
      <c r="X37" s="87" t="str">
        <f aca="false">IF(ISBLANK($C37),"",IF(H37=Constants!$B$2, TRUE(), IF(H37=Constants!$B$3, FALSE(), TRUE())))</f>
        <v/>
      </c>
      <c r="Y37" s="87" t="str">
        <f aca="false">IF(ISBLANK($C37),"",IF(I37=Constants!$B$19,Constants!$B$19,Constants!$B$18))</f>
        <v/>
      </c>
      <c r="Z37" s="87" t="str">
        <f aca="false">IF(ISBLANK($C37),"",IF(ISNUMBER(J37),IF(J37&gt;=0,J37,""),""))</f>
        <v/>
      </c>
      <c r="AA37" s="87" t="str">
        <f aca="false">IF(ISBLANK($C37),"",IF(K37=Constants!$B$19,Constants!$B$19,Constants!$B$18))</f>
        <v/>
      </c>
      <c r="AB37" s="87" t="str">
        <f aca="false">IF(ISBLANK($C37),"",IF(ISNUMBER(L37),IF(L37&gt;=0,L37,""),""))</f>
        <v/>
      </c>
      <c r="AC37" s="87" t="str">
        <f aca="false">IF(ISBLANK($C37),"",IF(M37=Constants!$B$19,Constants!$B$19,Constants!$B$18))</f>
        <v/>
      </c>
      <c r="AD37" s="87" t="str">
        <f aca="false">IF(ISBLANK($C37),"",IF(ISNUMBER(N37),IF(N37&gt;=0,N37,""),""))</f>
        <v/>
      </c>
      <c r="AE37" s="87" t="str">
        <f aca="false">IF(ISBLANK($C37),"",IF(O37=Constants!$B$19,Constants!$B$19,Constants!$B$18))</f>
        <v/>
      </c>
      <c r="AF37" s="87" t="str">
        <f aca="false">IF(ISBLANK($C37),"",IF(ISNUMBER(P37),IF(P37&gt;=0,P37,""),""))</f>
        <v/>
      </c>
      <c r="AG37" s="87" t="str">
        <f aca="false">IF(ISBLANK($C37),"",IF(Q37=Constants!$B$19,Constants!$B$19,Constants!$B$18))</f>
        <v/>
      </c>
      <c r="AH37" s="87" t="str">
        <f aca="false">IF(ISBLANK($C37),"",IF(ISNUMBER(R37),IF(R37&gt;=0,R37,""),""))</f>
        <v/>
      </c>
      <c r="AI37" s="87" t="str">
        <f aca="false">IF(ISBLANK($C37),"",IF(S37=Constants!$B$2, TRUE(), IF(S37=Constants!$B$3, FALSE(), FALSE())))</f>
        <v/>
      </c>
      <c r="AJ37" s="87" t="str">
        <f aca="false">IF(ISBLANK($C37),"",IF(AI37,Constants!$B$4,IF(COUNTA(E37:R37)=0,Constants!$B$5,IF(COUNTA(J37,L37,N37,P37,R37)=0,Constants!$B$6,Constants!$B$7))))</f>
        <v/>
      </c>
      <c r="AK37" s="87" t="str">
        <f aca="false">IF(ISBLANK($C37),"",IF($AJ37&lt;&gt;Constants!$B$7,$AJ37,IF(OR(NOT(X37),AND(NOT(U37),COUNTIFS(Y37:AG37,Constants!$B$18,Z37:AH37,"&gt;=0")&gt;0),AND(NOT(V37),COUNTIFS(Y37:AG37,Constants!$B$19,Z37:AH37,"&gt;=0")&gt;0)),Constants!$B$12,Constants!$B$11)))</f>
        <v/>
      </c>
      <c r="AL37" s="87" t="str">
        <f aca="false">IF($AJ37=Constants!$B$7,IF(Z37="",Constants!$B$13,Z37),"")</f>
        <v/>
      </c>
      <c r="AM37" s="87" t="str">
        <f aca="false">IF($AJ37=Constants!$B$7,IF(AB37="",Constants!$B$13,AB37),"")</f>
        <v/>
      </c>
      <c r="AN37" s="87" t="str">
        <f aca="false">IF($AJ37=Constants!$B$7,IF(AD37="",Constants!$B$13,AD37),"")</f>
        <v/>
      </c>
      <c r="AO37" s="87" t="str">
        <f aca="false">IF($AJ37=Constants!$B$7,IF(AF37="",Constants!$B$13,AF37),"")</f>
        <v/>
      </c>
      <c r="AP37" s="87" t="str">
        <f aca="false">IF($AJ37=Constants!$B$7,IF(AH37="",Constants!$B$13,AH37),"")</f>
        <v/>
      </c>
      <c r="AQ37" s="87" t="str">
        <f aca="false">IF($AJ37=Constants!$B$7,IF(SUMPRODUCT(--($AL37:$AP37&gt;AL37))+SUMPRODUCT(--($AL37:AL37=AL37))=1,1,IF(SUMPRODUCT(--($AL37:$AP37&gt;AM37))+SUMPRODUCT(--($AL37:AM37=AM37))=1,2,IF(SUMPRODUCT(--($AL37:$AP37&gt;AN37))+SUMPRODUCT(--($AL37:AN37=AN37))=1,3,IF(SUMPRODUCT(--($AL37:$AP37&gt;AO37))+SUMPRODUCT(--($AL37:AO37=AO37))=1,4,5)))),"")</f>
        <v/>
      </c>
      <c r="AR37" s="87" t="str">
        <f aca="false">IF($AJ37=Constants!$B$7,IF(SUMPRODUCT(--($AL37:$AP37&gt;AL37))+SUMPRODUCT(--($AL37:AL37=AL37))=2,1,IF(SUMPRODUCT(--($AL37:$AP37&gt;AM37))+SUMPRODUCT(--($AL37:AM37=AM37))=2,2,IF(SUMPRODUCT(--($AL37:$AP37&gt;AN37))+SUMPRODUCT(--($AL37:AN37=AN37))=2,3,IF(SUMPRODUCT(--($AL37:$AP37&gt;AO37))+SUMPRODUCT(--($AL37:AO37=AO37))=2,4,5)))),"")</f>
        <v/>
      </c>
      <c r="AS37" s="87" t="str">
        <f aca="false">IF($AJ37=Constants!$B$7,IF(SUMPRODUCT(--($AL37:$AP37&gt;AL37))+SUMPRODUCT(--($AL37:AL37=AL37))=3,1,IF(SUMPRODUCT(--($AL37:$AP37&gt;AM37))+SUMPRODUCT(--($AL37:AM37=AM37))=3,2,IF(SUMPRODUCT(--($AL37:$AP37&gt;AN37))+SUMPRODUCT(--($AL37:AN37=AN37))=3,3,IF(SUMPRODUCT(--($AL37:$AP37&gt;AO37))+SUMPRODUCT(--($AL37:AO37=AO37))=3,4,5)))),"")</f>
        <v/>
      </c>
      <c r="AT37" s="87" t="str">
        <f aca="false">IF($AJ37=Constants!$B$7,LARGE(AL37:AP37,1)+LARGE(AL37:AP37,2)+LARGE(AL37:AP37,3),"")</f>
        <v/>
      </c>
      <c r="AU37" s="87" t="str">
        <f aca="false">IF(ISBLANK($C37),"",IF($AJ37&lt;&gt;Constants!$B$7,$AJ37,AT37*W37))</f>
        <v/>
      </c>
      <c r="AV37" s="87" t="str">
        <f aca="false">IF(ISBLANK($C37),"",IF($AJ37=Constants!$B$7,IF(ISNUMBER(AU37),RANK(AU37,$AU$8:$AU$507),Constants!$B$14),$AJ37))</f>
        <v/>
      </c>
      <c r="AW37" s="87" t="str">
        <f aca="false">IF(ISBLANK($C37),"",IF($AJ37=Constants!$B$7,IF(ISNUMBER(AV37),COUNTIFS($AK$8:$AK$507,"&lt;"&amp;$AK37)+COUNTIFS($AK$8:$AK$507,$AK37,$AV$8:$AV$507,"&lt;"&amp;$AV37)+1,Constants!$B$14),$AJ37))</f>
        <v/>
      </c>
      <c r="AX37" s="87" t="str">
        <f aca="false">IF(ISBLANK($C37),"",IF($AJ37=Constants!$B$7,LARGE(AL37:AP37,4)*W37,""))</f>
        <v/>
      </c>
      <c r="AY37" s="87" t="str">
        <f aca="false">IF(ISBLANK($C37),"",IF($AJ37=Constants!$B$7,RANK(AX37,$AX$8:$AX$507),$AJ37))</f>
        <v/>
      </c>
      <c r="AZ37" s="87" t="str">
        <f aca="false">IF(ISBLANK($C37),"",IF($AJ37=Constants!$B$7,IF(ISNUMBER(AV37),COUNTIFS($AK$8:$AK$507,"&lt;"&amp;$AK37)+COUNTIFS($AK$8:$AK$507,$AK37,$AV$8:$AV$507,"&lt;"&amp;$AV37)+COUNTIFS($AK$8:$AK$507,$AK37,$AV$8:$AV$507,$AV37,$AY$8:$AY$507,"&lt;"&amp;$AY37)+1,Constants!$B$14),$AJ37))</f>
        <v/>
      </c>
      <c r="BA37" s="87" t="str">
        <f aca="false">IF(ISBLANK($C37),"",IF($AJ37=Constants!$B$7,IF(ISNUMBER(AW37),AW37-AZ37,Constants!$B$14),$AJ37))</f>
        <v/>
      </c>
      <c r="BB37" s="88"/>
      <c r="BC37" s="89" t="str">
        <f aca="false">IF(ISBLANK($C37),"",IF($AJ37&lt;&gt;Constants!$B$7,$AJ37,SMALL(AQ37:AS37,1)&amp;", "&amp;SMALL(AQ37:AS37,2)&amp;", "&amp;SMALL(AQ37:AS37,3)))</f>
        <v/>
      </c>
      <c r="BD37" s="90" t="str">
        <f aca="false">IF(ISBLANK($C37),"",IF($AJ37&lt;&gt;Constants!$B$7,$AJ37,W37))</f>
        <v/>
      </c>
      <c r="BE37" s="91" t="str">
        <f aca="false">IF(ISBLANK($C37),"",IF($AJ37&lt;&gt;Constants!$B$7,$AJ37,AU37))</f>
        <v/>
      </c>
      <c r="BF37" s="92" t="str">
        <f aca="false">IF(ISBLANK($C37),"",IF($AJ37&lt;&gt;Constants!$B$7,$AJ37,AK37))</f>
        <v/>
      </c>
      <c r="BG37" s="90" t="str">
        <f aca="false">IF(ISBLANK($C37),"",BA37)</f>
        <v/>
      </c>
      <c r="BH37" s="90" t="str">
        <f aca="false">IF(ISBLANK($C37),"",AZ37)</f>
        <v/>
      </c>
      <c r="BI37" s="93" t="str">
        <f aca="false">IF(ISBLANK($C37),"",IF(BH37=Constants!$B$4,COUNTA($C$8:$C$507)+2,IF(BH37=Constants!$B$5,COUNTA($C$8:$C$507)+1,IF(BH37=Constants!$B$6,COUNTA($C$8:$C$507),BH37))))</f>
        <v/>
      </c>
      <c r="BJ37" s="5"/>
      <c r="BK37" s="94" t="n">
        <f aca="false">IF(OR(ISNUMBER(BH37),BH37=Constants!$B$4,BH37=Constants!$B$6,BH37=Constants!$B$5),1,0)</f>
        <v>0</v>
      </c>
      <c r="BL37" s="94" t="n">
        <v>30</v>
      </c>
      <c r="BM37" s="94" t="str">
        <f aca="false">IF(ISBLANK($C37),"",IF(ISNUMBER(BI37),BI37+ROW($B37)/1000,""))</f>
        <v/>
      </c>
      <c r="BN37" s="94" t="str">
        <f aca="false">IF(ISNUMBER(BM37),RANK(BM37,$BM$8:$BM$507,1),"")</f>
        <v/>
      </c>
      <c r="BO37" s="94" t="str">
        <f aca="false">IF(ISBLANK($C37),"",$B37)</f>
        <v/>
      </c>
      <c r="BP37" s="94" t="str">
        <f aca="false">IF(ISBLANK($C37),"",$C37)</f>
        <v/>
      </c>
      <c r="BQ37" s="94" t="str">
        <f aca="false">IF(ISBLANK($C37),"",$D37)</f>
        <v/>
      </c>
      <c r="BR37" s="95" t="str">
        <f aca="false">BF37</f>
        <v/>
      </c>
      <c r="BS37" s="96" t="str">
        <f aca="false">BE37</f>
        <v/>
      </c>
      <c r="BT37" s="94" t="str">
        <f aca="false">IF(ISBLANK($C37),"",BH37)</f>
        <v/>
      </c>
      <c r="BU37" s="97" t="str">
        <f aca="false">IF($BL37&gt;$BK$7,"",VLOOKUP($BL37,$BN$8:$BT$507,7,FALSE()))</f>
        <v/>
      </c>
      <c r="BV37" s="98" t="str">
        <f aca="false">IF($BL37&gt;$BK$7,"",VLOOKUP($BL37,$BN$8:$BT$507,2,FALSE()))</f>
        <v/>
      </c>
      <c r="BW37" s="98" t="str">
        <f aca="false">IF($BL37&gt;$BK$7,"",VLOOKUP($BL37,$BN$8:$BT$507,3,FALSE()))</f>
        <v/>
      </c>
      <c r="BX37" s="98" t="str">
        <f aca="false">IF($BL37&gt;$BK$7,"",VLOOKUP($BL37,$BN$8:$BT$507,4,FALSE()))</f>
        <v/>
      </c>
      <c r="BY37" s="98" t="str">
        <f aca="false">IF($BL37&gt;$BK$7,"",VLOOKUP($BL37,$BN$8:$BT$507,5,FALSE()))</f>
        <v/>
      </c>
      <c r="BZ37" s="99" t="str">
        <f aca="false">IF($BL37&gt;$BK$7,"",VLOOKUP($BL37,$BN$8:$BT$507,6,FALSE()))</f>
        <v/>
      </c>
      <c r="CA37" s="48"/>
    </row>
    <row r="38" customFormat="false" ht="15.75" hidden="false" customHeight="false" outlineLevel="0" collapsed="false">
      <c r="A38" s="5"/>
      <c r="B38" s="121"/>
      <c r="C38" s="50"/>
      <c r="D38" s="51"/>
      <c r="E38" s="110"/>
      <c r="F38" s="111"/>
      <c r="G38" s="54"/>
      <c r="H38" s="112"/>
      <c r="I38" s="113"/>
      <c r="J38" s="54"/>
      <c r="K38" s="112"/>
      <c r="L38" s="54"/>
      <c r="M38" s="112"/>
      <c r="N38" s="54"/>
      <c r="O38" s="112"/>
      <c r="P38" s="54"/>
      <c r="Q38" s="112"/>
      <c r="R38" s="54"/>
      <c r="S38" s="74"/>
      <c r="T38" s="58"/>
      <c r="U38" s="59" t="str">
        <f aca="false">IF(ISBLANK($C38),"",IF(E38=Constants!$B$2, TRUE(), IF(E38=Constants!$B$3, FALSE(), TRUE())))</f>
        <v/>
      </c>
      <c r="V38" s="59" t="str">
        <f aca="false">IF(ISBLANK($C38),"",IF(F38=Constants!$B$2, TRUE(), IF(F38=Constants!$B$3, FALSE(), TRUE())))</f>
        <v/>
      </c>
      <c r="W38" s="59" t="str">
        <f aca="false">IF(ISBLANK($C38),"",IF(G38=Constants!$B$15,Constants!$B$8,IF(G38=Constants!$B$16,Constants!$B$9,Constants!$B$10)))</f>
        <v/>
      </c>
      <c r="X38" s="59" t="str">
        <f aca="false">IF(ISBLANK($C38),"",IF(H38=Constants!$B$2, TRUE(), IF(H38=Constants!$B$3, FALSE(), TRUE())))</f>
        <v/>
      </c>
      <c r="Y38" s="59" t="str">
        <f aca="false">IF(ISBLANK($C38),"",IF(I38=Constants!$B$19,Constants!$B$19,Constants!$B$18))</f>
        <v/>
      </c>
      <c r="Z38" s="59" t="str">
        <f aca="false">IF(ISBLANK($C38),"",IF(ISNUMBER(J38),IF(J38&gt;=0,J38,""),""))</f>
        <v/>
      </c>
      <c r="AA38" s="59" t="str">
        <f aca="false">IF(ISBLANK($C38),"",IF(K38=Constants!$B$19,Constants!$B$19,Constants!$B$18))</f>
        <v/>
      </c>
      <c r="AB38" s="59" t="str">
        <f aca="false">IF(ISBLANK($C38),"",IF(ISNUMBER(L38),IF(L38&gt;=0,L38,""),""))</f>
        <v/>
      </c>
      <c r="AC38" s="59" t="str">
        <f aca="false">IF(ISBLANK($C38),"",IF(M38=Constants!$B$19,Constants!$B$19,Constants!$B$18))</f>
        <v/>
      </c>
      <c r="AD38" s="59" t="str">
        <f aca="false">IF(ISBLANK($C38),"",IF(ISNUMBER(N38),IF(N38&gt;=0,N38,""),""))</f>
        <v/>
      </c>
      <c r="AE38" s="59" t="str">
        <f aca="false">IF(ISBLANK($C38),"",IF(O38=Constants!$B$19,Constants!$B$19,Constants!$B$18))</f>
        <v/>
      </c>
      <c r="AF38" s="59" t="str">
        <f aca="false">IF(ISBLANK($C38),"",IF(ISNUMBER(P38),IF(P38&gt;=0,P38,""),""))</f>
        <v/>
      </c>
      <c r="AG38" s="59" t="str">
        <f aca="false">IF(ISBLANK($C38),"",IF(Q38=Constants!$B$19,Constants!$B$19,Constants!$B$18))</f>
        <v/>
      </c>
      <c r="AH38" s="59" t="str">
        <f aca="false">IF(ISBLANK($C38),"",IF(ISNUMBER(R38),IF(R38&gt;=0,R38,""),""))</f>
        <v/>
      </c>
      <c r="AI38" s="59" t="str">
        <f aca="false">IF(ISBLANK($C38),"",IF(S38=Constants!$B$2, TRUE(), IF(S38=Constants!$B$3, FALSE(), FALSE())))</f>
        <v/>
      </c>
      <c r="AJ38" s="59" t="str">
        <f aca="false">IF(ISBLANK($C38),"",IF(AI38,Constants!$B$4,IF(COUNTA(E38:R38)=0,Constants!$B$5,IF(COUNTA(J38,L38,N38,P38,R38)=0,Constants!$B$6,Constants!$B$7))))</f>
        <v/>
      </c>
      <c r="AK38" s="59" t="str">
        <f aca="false">IF(ISBLANK($C38),"",IF($AJ38&lt;&gt;Constants!$B$7,$AJ38,IF(OR(NOT(X38),AND(NOT(U38),COUNTIFS(Y38:AG38,Constants!$B$18,Z38:AH38,"&gt;=0")&gt;0),AND(NOT(V38),COUNTIFS(Y38:AG38,Constants!$B$19,Z38:AH38,"&gt;=0")&gt;0)),Constants!$B$12,Constants!$B$11)))</f>
        <v/>
      </c>
      <c r="AL38" s="59" t="str">
        <f aca="false">IF($AJ38=Constants!$B$7,IF(Z38="",Constants!$B$13,Z38),"")</f>
        <v/>
      </c>
      <c r="AM38" s="59" t="str">
        <f aca="false">IF($AJ38=Constants!$B$7,IF(AB38="",Constants!$B$13,AB38),"")</f>
        <v/>
      </c>
      <c r="AN38" s="59" t="str">
        <f aca="false">IF($AJ38=Constants!$B$7,IF(AD38="",Constants!$B$13,AD38),"")</f>
        <v/>
      </c>
      <c r="AO38" s="59" t="str">
        <f aca="false">IF($AJ38=Constants!$B$7,IF(AF38="",Constants!$B$13,AF38),"")</f>
        <v/>
      </c>
      <c r="AP38" s="59" t="str">
        <f aca="false">IF($AJ38=Constants!$B$7,IF(AH38="",Constants!$B$13,AH38),"")</f>
        <v/>
      </c>
      <c r="AQ38" s="59" t="str">
        <f aca="false">IF($AJ38=Constants!$B$7,IF(SUMPRODUCT(--($AL38:$AP38&gt;AL38))+SUMPRODUCT(--($AL38:AL38=AL38))=1,1,IF(SUMPRODUCT(--($AL38:$AP38&gt;AM38))+SUMPRODUCT(--($AL38:AM38=AM38))=1,2,IF(SUMPRODUCT(--($AL38:$AP38&gt;AN38))+SUMPRODUCT(--($AL38:AN38=AN38))=1,3,IF(SUMPRODUCT(--($AL38:$AP38&gt;AO38))+SUMPRODUCT(--($AL38:AO38=AO38))=1,4,5)))),"")</f>
        <v/>
      </c>
      <c r="AR38" s="59" t="str">
        <f aca="false">IF($AJ38=Constants!$B$7,IF(SUMPRODUCT(--($AL38:$AP38&gt;AL38))+SUMPRODUCT(--($AL38:AL38=AL38))=2,1,IF(SUMPRODUCT(--($AL38:$AP38&gt;AM38))+SUMPRODUCT(--($AL38:AM38=AM38))=2,2,IF(SUMPRODUCT(--($AL38:$AP38&gt;AN38))+SUMPRODUCT(--($AL38:AN38=AN38))=2,3,IF(SUMPRODUCT(--($AL38:$AP38&gt;AO38))+SUMPRODUCT(--($AL38:AO38=AO38))=2,4,5)))),"")</f>
        <v/>
      </c>
      <c r="AS38" s="59" t="str">
        <f aca="false">IF($AJ38=Constants!$B$7,IF(SUMPRODUCT(--($AL38:$AP38&gt;AL38))+SUMPRODUCT(--($AL38:AL38=AL38))=3,1,IF(SUMPRODUCT(--($AL38:$AP38&gt;AM38))+SUMPRODUCT(--($AL38:AM38=AM38))=3,2,IF(SUMPRODUCT(--($AL38:$AP38&gt;AN38))+SUMPRODUCT(--($AL38:AN38=AN38))=3,3,IF(SUMPRODUCT(--($AL38:$AP38&gt;AO38))+SUMPRODUCT(--($AL38:AO38=AO38))=3,4,5)))),"")</f>
        <v/>
      </c>
      <c r="AT38" s="59" t="str">
        <f aca="false">IF($AJ38=Constants!$B$7,LARGE(AL38:AP38,1)+LARGE(AL38:AP38,2)+LARGE(AL38:AP38,3),"")</f>
        <v/>
      </c>
      <c r="AU38" s="59" t="str">
        <f aca="false">IF(ISBLANK($C38),"",IF($AJ38&lt;&gt;Constants!$B$7,$AJ38,AT38*W38))</f>
        <v/>
      </c>
      <c r="AV38" s="59" t="str">
        <f aca="false">IF(ISBLANK($C38),"",IF($AJ38=Constants!$B$7,IF(ISNUMBER(AU38),RANK(AU38,$AU$8:$AU$507),Constants!$B$14),$AJ38))</f>
        <v/>
      </c>
      <c r="AW38" s="59" t="str">
        <f aca="false">IF(ISBLANK($C38),"",IF($AJ38=Constants!$B$7,IF(ISNUMBER(AV38),COUNTIFS($AK$8:$AK$507,"&lt;"&amp;$AK38)+COUNTIFS($AK$8:$AK$507,$AK38,$AV$8:$AV$507,"&lt;"&amp;$AV38)+1,Constants!$B$14),$AJ38))</f>
        <v/>
      </c>
      <c r="AX38" s="59" t="str">
        <f aca="false">IF(ISBLANK($C38),"",IF($AJ38=Constants!$B$7,LARGE(AL38:AP38,4)*W38,""))</f>
        <v/>
      </c>
      <c r="AY38" s="59" t="str">
        <f aca="false">IF(ISBLANK($C38),"",IF($AJ38=Constants!$B$7,RANK(AX38,$AX$8:$AX$507),$AJ38))</f>
        <v/>
      </c>
      <c r="AZ38" s="59" t="str">
        <f aca="false">IF(ISBLANK($C38),"",IF($AJ38=Constants!$B$7,IF(ISNUMBER(AV38),COUNTIFS($AK$8:$AK$507,"&lt;"&amp;$AK38)+COUNTIFS($AK$8:$AK$507,$AK38,$AV$8:$AV$507,"&lt;"&amp;$AV38)+COUNTIFS($AK$8:$AK$507,$AK38,$AV$8:$AV$507,$AV38,$AY$8:$AY$507,"&lt;"&amp;$AY38)+1,Constants!$B$14),$AJ38))</f>
        <v/>
      </c>
      <c r="BA38" s="59" t="str">
        <f aca="false">IF(ISBLANK($C38),"",IF($AJ38=Constants!$B$7,IF(ISNUMBER(AW38),AW38-AZ38,Constants!$B$14),$AJ38))</f>
        <v/>
      </c>
      <c r="BB38" s="61"/>
      <c r="BC38" s="62" t="str">
        <f aca="false">IF(ISBLANK($C38),"",IF($AJ38&lt;&gt;Constants!$B$7,$AJ38,SMALL(AQ38:AS38,1)&amp;", "&amp;SMALL(AQ38:AS38,2)&amp;", "&amp;SMALL(AQ38:AS38,3)))</f>
        <v/>
      </c>
      <c r="BD38" s="63" t="str">
        <f aca="false">IF(ISBLANK($C38),"",IF($AJ38&lt;&gt;Constants!$B$7,$AJ38,W38))</f>
        <v/>
      </c>
      <c r="BE38" s="64" t="str">
        <f aca="false">IF(ISBLANK($C38),"",IF($AJ38&lt;&gt;Constants!$B$7,$AJ38,AU38))</f>
        <v/>
      </c>
      <c r="BF38" s="65" t="str">
        <f aca="false">IF(ISBLANK($C38),"",IF($AJ38&lt;&gt;Constants!$B$7,$AJ38,AK38))</f>
        <v/>
      </c>
      <c r="BG38" s="63" t="str">
        <f aca="false">IF(ISBLANK($C38),"",BA38)</f>
        <v/>
      </c>
      <c r="BH38" s="63" t="str">
        <f aca="false">IF(ISBLANK($C38),"",AZ38)</f>
        <v/>
      </c>
      <c r="BI38" s="66" t="str">
        <f aca="false">IF(ISBLANK($C38),"",IF(BH38=Constants!$B$4,COUNTA($C$8:$C$507)+2,IF(BH38=Constants!$B$5,COUNTA($C$8:$C$507)+1,IF(BH38=Constants!$B$6,COUNTA($C$8:$C$507),BH38))))</f>
        <v/>
      </c>
      <c r="BJ38" s="5"/>
      <c r="BK38" s="67" t="n">
        <f aca="false">IF(OR(ISNUMBER(BH38),BH38=Constants!$B$4,BH38=Constants!$B$6,BH38=Constants!$B$5),1,0)</f>
        <v>0</v>
      </c>
      <c r="BL38" s="67" t="n">
        <v>31</v>
      </c>
      <c r="BM38" s="67" t="str">
        <f aca="false">IF(ISBLANK($C38),"",IF(ISNUMBER(BI38),BI38+ROW($B38)/1000,""))</f>
        <v/>
      </c>
      <c r="BN38" s="67" t="str">
        <f aca="false">IF(ISNUMBER(BM38),RANK(BM38,$BM$8:$BM$507,1),"")</f>
        <v/>
      </c>
      <c r="BO38" s="67" t="str">
        <f aca="false">IF(ISBLANK($C38),"",$B38)</f>
        <v/>
      </c>
      <c r="BP38" s="67" t="str">
        <f aca="false">IF(ISBLANK($C38),"",$C38)</f>
        <v/>
      </c>
      <c r="BQ38" s="67" t="str">
        <f aca="false">IF(ISBLANK($C38),"",$D38)</f>
        <v/>
      </c>
      <c r="BR38" s="68" t="str">
        <f aca="false">BF38</f>
        <v/>
      </c>
      <c r="BS38" s="69" t="str">
        <f aca="false">BE38</f>
        <v/>
      </c>
      <c r="BT38" s="67" t="str">
        <f aca="false">IF(ISBLANK($C38),"",BH38)</f>
        <v/>
      </c>
      <c r="BU38" s="70" t="str">
        <f aca="false">IF($BL38&gt;$BK$7,"",VLOOKUP($BL38,$BN$8:$BT$507,7,FALSE()))</f>
        <v/>
      </c>
      <c r="BV38" s="71" t="str">
        <f aca="false">IF($BL38&gt;$BK$7,"",VLOOKUP($BL38,$BN$8:$BT$507,2,FALSE()))</f>
        <v/>
      </c>
      <c r="BW38" s="71" t="str">
        <f aca="false">IF($BL38&gt;$BK$7,"",VLOOKUP($BL38,$BN$8:$BT$507,3,FALSE()))</f>
        <v/>
      </c>
      <c r="BX38" s="71" t="str">
        <f aca="false">IF($BL38&gt;$BK$7,"",VLOOKUP($BL38,$BN$8:$BT$507,4,FALSE()))</f>
        <v/>
      </c>
      <c r="BY38" s="71" t="str">
        <f aca="false">IF($BL38&gt;$BK$7,"",VLOOKUP($BL38,$BN$8:$BT$507,5,FALSE()))</f>
        <v/>
      </c>
      <c r="BZ38" s="72" t="str">
        <f aca="false">IF($BL38&gt;$BK$7,"",VLOOKUP($BL38,$BN$8:$BT$507,6,FALSE()))</f>
        <v/>
      </c>
      <c r="CA38" s="48"/>
    </row>
    <row r="39" customFormat="false" ht="15.75" hidden="false" customHeight="false" outlineLevel="0" collapsed="false">
      <c r="A39" s="5"/>
      <c r="B39" s="121"/>
      <c r="C39" s="50"/>
      <c r="D39" s="51"/>
      <c r="E39" s="74"/>
      <c r="F39" s="122"/>
      <c r="G39" s="54"/>
      <c r="H39" s="123"/>
      <c r="I39" s="124"/>
      <c r="J39" s="54"/>
      <c r="K39" s="123"/>
      <c r="L39" s="54"/>
      <c r="M39" s="123"/>
      <c r="N39" s="54"/>
      <c r="O39" s="123"/>
      <c r="P39" s="54"/>
      <c r="Q39" s="123"/>
      <c r="R39" s="54"/>
      <c r="S39" s="74"/>
      <c r="T39" s="58"/>
      <c r="U39" s="59" t="str">
        <f aca="false">IF(ISBLANK($C39),"",IF(E39=Constants!$B$2, TRUE(), IF(E39=Constants!$B$3, FALSE(), TRUE())))</f>
        <v/>
      </c>
      <c r="V39" s="59" t="str">
        <f aca="false">IF(ISBLANK($C39),"",IF(F39=Constants!$B$2, TRUE(), IF(F39=Constants!$B$3, FALSE(), TRUE())))</f>
        <v/>
      </c>
      <c r="W39" s="59" t="str">
        <f aca="false">IF(ISBLANK($C39),"",IF(G39=Constants!$B$15,Constants!$B$8,IF(G39=Constants!$B$16,Constants!$B$9,Constants!$B$10)))</f>
        <v/>
      </c>
      <c r="X39" s="59" t="str">
        <f aca="false">IF(ISBLANK($C39),"",IF(H39=Constants!$B$2, TRUE(), IF(H39=Constants!$B$3, FALSE(), TRUE())))</f>
        <v/>
      </c>
      <c r="Y39" s="59" t="str">
        <f aca="false">IF(ISBLANK($C39),"",IF(I39=Constants!$B$19,Constants!$B$19,Constants!$B$18))</f>
        <v/>
      </c>
      <c r="Z39" s="59" t="str">
        <f aca="false">IF(ISBLANK($C39),"",IF(ISNUMBER(J39),IF(J39&gt;=0,J39,""),""))</f>
        <v/>
      </c>
      <c r="AA39" s="59" t="str">
        <f aca="false">IF(ISBLANK($C39),"",IF(K39=Constants!$B$19,Constants!$B$19,Constants!$B$18))</f>
        <v/>
      </c>
      <c r="AB39" s="59" t="str">
        <f aca="false">IF(ISBLANK($C39),"",IF(ISNUMBER(L39),IF(L39&gt;=0,L39,""),""))</f>
        <v/>
      </c>
      <c r="AC39" s="59" t="str">
        <f aca="false">IF(ISBLANK($C39),"",IF(M39=Constants!$B$19,Constants!$B$19,Constants!$B$18))</f>
        <v/>
      </c>
      <c r="AD39" s="59" t="str">
        <f aca="false">IF(ISBLANK($C39),"",IF(ISNUMBER(N39),IF(N39&gt;=0,N39,""),""))</f>
        <v/>
      </c>
      <c r="AE39" s="59" t="str">
        <f aca="false">IF(ISBLANK($C39),"",IF(O39=Constants!$B$19,Constants!$B$19,Constants!$B$18))</f>
        <v/>
      </c>
      <c r="AF39" s="59" t="str">
        <f aca="false">IF(ISBLANK($C39),"",IF(ISNUMBER(P39),IF(P39&gt;=0,P39,""),""))</f>
        <v/>
      </c>
      <c r="AG39" s="59" t="str">
        <f aca="false">IF(ISBLANK($C39),"",IF(Q39=Constants!$B$19,Constants!$B$19,Constants!$B$18))</f>
        <v/>
      </c>
      <c r="AH39" s="59" t="str">
        <f aca="false">IF(ISBLANK($C39),"",IF(ISNUMBER(R39),IF(R39&gt;=0,R39,""),""))</f>
        <v/>
      </c>
      <c r="AI39" s="59" t="str">
        <f aca="false">IF(ISBLANK($C39),"",IF(S39=Constants!$B$2, TRUE(), IF(S39=Constants!$B$3, FALSE(), FALSE())))</f>
        <v/>
      </c>
      <c r="AJ39" s="59" t="str">
        <f aca="false">IF(ISBLANK($C39),"",IF(AI39,Constants!$B$4,IF(COUNTA(E39:R39)=0,Constants!$B$5,IF(COUNTA(J39,L39,N39,P39,R39)=0,Constants!$B$6,Constants!$B$7))))</f>
        <v/>
      </c>
      <c r="AK39" s="59" t="str">
        <f aca="false">IF(ISBLANK($C39),"",IF($AJ39&lt;&gt;Constants!$B$7,$AJ39,IF(OR(NOT(X39),AND(NOT(U39),COUNTIFS(Y39:AG39,Constants!$B$18,Z39:AH39,"&gt;=0")&gt;0),AND(NOT(V39),COUNTIFS(Y39:AG39,Constants!$B$19,Z39:AH39,"&gt;=0")&gt;0)),Constants!$B$12,Constants!$B$11)))</f>
        <v/>
      </c>
      <c r="AL39" s="59" t="str">
        <f aca="false">IF($AJ39=Constants!$B$7,IF(Z39="",Constants!$B$13,Z39),"")</f>
        <v/>
      </c>
      <c r="AM39" s="59" t="str">
        <f aca="false">IF($AJ39=Constants!$B$7,IF(AB39="",Constants!$B$13,AB39),"")</f>
        <v/>
      </c>
      <c r="AN39" s="59" t="str">
        <f aca="false">IF($AJ39=Constants!$B$7,IF(AD39="",Constants!$B$13,AD39),"")</f>
        <v/>
      </c>
      <c r="AO39" s="59" t="str">
        <f aca="false">IF($AJ39=Constants!$B$7,IF(AF39="",Constants!$B$13,AF39),"")</f>
        <v/>
      </c>
      <c r="AP39" s="59" t="str">
        <f aca="false">IF($AJ39=Constants!$B$7,IF(AH39="",Constants!$B$13,AH39),"")</f>
        <v/>
      </c>
      <c r="AQ39" s="59" t="str">
        <f aca="false">IF($AJ39=Constants!$B$7,IF(SUMPRODUCT(--($AL39:$AP39&gt;AL39))+SUMPRODUCT(--($AL39:AL39=AL39))=1,1,IF(SUMPRODUCT(--($AL39:$AP39&gt;AM39))+SUMPRODUCT(--($AL39:AM39=AM39))=1,2,IF(SUMPRODUCT(--($AL39:$AP39&gt;AN39))+SUMPRODUCT(--($AL39:AN39=AN39))=1,3,IF(SUMPRODUCT(--($AL39:$AP39&gt;AO39))+SUMPRODUCT(--($AL39:AO39=AO39))=1,4,5)))),"")</f>
        <v/>
      </c>
      <c r="AR39" s="59" t="str">
        <f aca="false">IF($AJ39=Constants!$B$7,IF(SUMPRODUCT(--($AL39:$AP39&gt;AL39))+SUMPRODUCT(--($AL39:AL39=AL39))=2,1,IF(SUMPRODUCT(--($AL39:$AP39&gt;AM39))+SUMPRODUCT(--($AL39:AM39=AM39))=2,2,IF(SUMPRODUCT(--($AL39:$AP39&gt;AN39))+SUMPRODUCT(--($AL39:AN39=AN39))=2,3,IF(SUMPRODUCT(--($AL39:$AP39&gt;AO39))+SUMPRODUCT(--($AL39:AO39=AO39))=2,4,5)))),"")</f>
        <v/>
      </c>
      <c r="AS39" s="59" t="str">
        <f aca="false">IF($AJ39=Constants!$B$7,IF(SUMPRODUCT(--($AL39:$AP39&gt;AL39))+SUMPRODUCT(--($AL39:AL39=AL39))=3,1,IF(SUMPRODUCT(--($AL39:$AP39&gt;AM39))+SUMPRODUCT(--($AL39:AM39=AM39))=3,2,IF(SUMPRODUCT(--($AL39:$AP39&gt;AN39))+SUMPRODUCT(--($AL39:AN39=AN39))=3,3,IF(SUMPRODUCT(--($AL39:$AP39&gt;AO39))+SUMPRODUCT(--($AL39:AO39=AO39))=3,4,5)))),"")</f>
        <v/>
      </c>
      <c r="AT39" s="59" t="str">
        <f aca="false">IF($AJ39=Constants!$B$7,LARGE(AL39:AP39,1)+LARGE(AL39:AP39,2)+LARGE(AL39:AP39,3),"")</f>
        <v/>
      </c>
      <c r="AU39" s="59" t="str">
        <f aca="false">IF(ISBLANK($C39),"",IF($AJ39&lt;&gt;Constants!$B$7,$AJ39,AT39*W39))</f>
        <v/>
      </c>
      <c r="AV39" s="59" t="str">
        <f aca="false">IF(ISBLANK($C39),"",IF($AJ39=Constants!$B$7,IF(ISNUMBER(AU39),RANK(AU39,$AU$8:$AU$507),Constants!$B$14),$AJ39))</f>
        <v/>
      </c>
      <c r="AW39" s="59" t="str">
        <f aca="false">IF(ISBLANK($C39),"",IF($AJ39=Constants!$B$7,IF(ISNUMBER(AV39),COUNTIFS($AK$8:$AK$507,"&lt;"&amp;$AK39)+COUNTIFS($AK$8:$AK$507,$AK39,$AV$8:$AV$507,"&lt;"&amp;$AV39)+1,Constants!$B$14),$AJ39))</f>
        <v/>
      </c>
      <c r="AX39" s="59" t="str">
        <f aca="false">IF(ISBLANK($C39),"",IF($AJ39=Constants!$B$7,LARGE(AL39:AP39,4)*W39,""))</f>
        <v/>
      </c>
      <c r="AY39" s="59" t="str">
        <f aca="false">IF(ISBLANK($C39),"",IF($AJ39=Constants!$B$7,RANK(AX39,$AX$8:$AX$507),$AJ39))</f>
        <v/>
      </c>
      <c r="AZ39" s="59" t="str">
        <f aca="false">IF(ISBLANK($C39),"",IF($AJ39=Constants!$B$7,IF(ISNUMBER(AV39),COUNTIFS($AK$8:$AK$507,"&lt;"&amp;$AK39)+COUNTIFS($AK$8:$AK$507,$AK39,$AV$8:$AV$507,"&lt;"&amp;$AV39)+COUNTIFS($AK$8:$AK$507,$AK39,$AV$8:$AV$507,$AV39,$AY$8:$AY$507,"&lt;"&amp;$AY39)+1,Constants!$B$14),$AJ39))</f>
        <v/>
      </c>
      <c r="BA39" s="59" t="str">
        <f aca="false">IF(ISBLANK($C39),"",IF($AJ39=Constants!$B$7,IF(ISNUMBER(AW39),AW39-AZ39,Constants!$B$14),$AJ39))</f>
        <v/>
      </c>
      <c r="BB39" s="61"/>
      <c r="BC39" s="62" t="str">
        <f aca="false">IF(ISBLANK($C39),"",IF($AJ39&lt;&gt;Constants!$B$7,$AJ39,SMALL(AQ39:AS39,1)&amp;", "&amp;SMALL(AQ39:AS39,2)&amp;", "&amp;SMALL(AQ39:AS39,3)))</f>
        <v/>
      </c>
      <c r="BD39" s="63" t="str">
        <f aca="false">IF(ISBLANK($C39),"",IF($AJ39&lt;&gt;Constants!$B$7,$AJ39,W39))</f>
        <v/>
      </c>
      <c r="BE39" s="64" t="str">
        <f aca="false">IF(ISBLANK($C39),"",IF($AJ39&lt;&gt;Constants!$B$7,$AJ39,AU39))</f>
        <v/>
      </c>
      <c r="BF39" s="65" t="str">
        <f aca="false">IF(ISBLANK($C39),"",IF($AJ39&lt;&gt;Constants!$B$7,$AJ39,AK39))</f>
        <v/>
      </c>
      <c r="BG39" s="63" t="str">
        <f aca="false">IF(ISBLANK($C39),"",BA39)</f>
        <v/>
      </c>
      <c r="BH39" s="63" t="str">
        <f aca="false">IF(ISBLANK($C39),"",AZ39)</f>
        <v/>
      </c>
      <c r="BI39" s="66" t="str">
        <f aca="false">IF(ISBLANK($C39),"",IF(BH39=Constants!$B$4,COUNTA($C$8:$C$507)+2,IF(BH39=Constants!$B$5,COUNTA($C$8:$C$507)+1,IF(BH39=Constants!$B$6,COUNTA($C$8:$C$507),BH39))))</f>
        <v/>
      </c>
      <c r="BJ39" s="5"/>
      <c r="BK39" s="67" t="n">
        <f aca="false">IF(OR(ISNUMBER(BH39),BH39=Constants!$B$4,BH39=Constants!$B$6,BH39=Constants!$B$5),1,0)</f>
        <v>0</v>
      </c>
      <c r="BL39" s="67" t="n">
        <v>32</v>
      </c>
      <c r="BM39" s="67" t="str">
        <f aca="false">IF(ISBLANK($C39),"",IF(ISNUMBER(BI39),BI39+ROW($B39)/1000,""))</f>
        <v/>
      </c>
      <c r="BN39" s="67" t="str">
        <f aca="false">IF(ISNUMBER(BM39),RANK(BM39,$BM$8:$BM$507,1),"")</f>
        <v/>
      </c>
      <c r="BO39" s="67" t="str">
        <f aca="false">IF(ISBLANK($C39),"",$B39)</f>
        <v/>
      </c>
      <c r="BP39" s="67" t="str">
        <f aca="false">IF(ISBLANK($C39),"",$C39)</f>
        <v/>
      </c>
      <c r="BQ39" s="67" t="str">
        <f aca="false">IF(ISBLANK($C39),"",$D39)</f>
        <v/>
      </c>
      <c r="BR39" s="68" t="str">
        <f aca="false">BF39</f>
        <v/>
      </c>
      <c r="BS39" s="69" t="str">
        <f aca="false">BE39</f>
        <v/>
      </c>
      <c r="BT39" s="67" t="str">
        <f aca="false">IF(ISBLANK($C39),"",BH39)</f>
        <v/>
      </c>
      <c r="BU39" s="70" t="str">
        <f aca="false">IF($BL39&gt;$BK$7,"",VLOOKUP($BL39,$BN$8:$BT$507,7,FALSE()))</f>
        <v/>
      </c>
      <c r="BV39" s="71" t="str">
        <f aca="false">IF($BL39&gt;$BK$7,"",VLOOKUP($BL39,$BN$8:$BT$507,2,FALSE()))</f>
        <v/>
      </c>
      <c r="BW39" s="71" t="str">
        <f aca="false">IF($BL39&gt;$BK$7,"",VLOOKUP($BL39,$BN$8:$BT$507,3,FALSE()))</f>
        <v/>
      </c>
      <c r="BX39" s="71" t="str">
        <f aca="false">IF($BL39&gt;$BK$7,"",VLOOKUP($BL39,$BN$8:$BT$507,4,FALSE()))</f>
        <v/>
      </c>
      <c r="BY39" s="71" t="str">
        <f aca="false">IF($BL39&gt;$BK$7,"",VLOOKUP($BL39,$BN$8:$BT$507,5,FALSE()))</f>
        <v/>
      </c>
      <c r="BZ39" s="72" t="str">
        <f aca="false">IF($BL39&gt;$BK$7,"",VLOOKUP($BL39,$BN$8:$BT$507,6,FALSE()))</f>
        <v/>
      </c>
      <c r="CA39" s="48"/>
    </row>
    <row r="40" customFormat="false" ht="15.75" hidden="false" customHeight="false" outlineLevel="0" collapsed="false">
      <c r="A40" s="5"/>
      <c r="B40" s="121"/>
      <c r="C40" s="50"/>
      <c r="D40" s="51"/>
      <c r="E40" s="74"/>
      <c r="F40" s="122"/>
      <c r="G40" s="54"/>
      <c r="H40" s="123"/>
      <c r="I40" s="124"/>
      <c r="J40" s="54"/>
      <c r="K40" s="123"/>
      <c r="L40" s="54"/>
      <c r="M40" s="123"/>
      <c r="N40" s="54"/>
      <c r="O40" s="123"/>
      <c r="P40" s="54"/>
      <c r="Q40" s="123"/>
      <c r="R40" s="54"/>
      <c r="S40" s="74"/>
      <c r="T40" s="58"/>
      <c r="U40" s="59" t="str">
        <f aca="false">IF(ISBLANK($C40),"",IF(E40=Constants!$B$2, TRUE(), IF(E40=Constants!$B$3, FALSE(), TRUE())))</f>
        <v/>
      </c>
      <c r="V40" s="59" t="str">
        <f aca="false">IF(ISBLANK($C40),"",IF(F40=Constants!$B$2, TRUE(), IF(F40=Constants!$B$3, FALSE(), TRUE())))</f>
        <v/>
      </c>
      <c r="W40" s="59" t="str">
        <f aca="false">IF(ISBLANK($C40),"",IF(G40=Constants!$B$15,Constants!$B$8,IF(G40=Constants!$B$16,Constants!$B$9,Constants!$B$10)))</f>
        <v/>
      </c>
      <c r="X40" s="59" t="str">
        <f aca="false">IF(ISBLANK($C40),"",IF(H40=Constants!$B$2, TRUE(), IF(H40=Constants!$B$3, FALSE(), TRUE())))</f>
        <v/>
      </c>
      <c r="Y40" s="59" t="str">
        <f aca="false">IF(ISBLANK($C40),"",IF(I40=Constants!$B$19,Constants!$B$19,Constants!$B$18))</f>
        <v/>
      </c>
      <c r="Z40" s="59" t="str">
        <f aca="false">IF(ISBLANK($C40),"",IF(ISNUMBER(J40),IF(J40&gt;=0,J40,""),""))</f>
        <v/>
      </c>
      <c r="AA40" s="59" t="str">
        <f aca="false">IF(ISBLANK($C40),"",IF(K40=Constants!$B$19,Constants!$B$19,Constants!$B$18))</f>
        <v/>
      </c>
      <c r="AB40" s="59" t="str">
        <f aca="false">IF(ISBLANK($C40),"",IF(ISNUMBER(L40),IF(L40&gt;=0,L40,""),""))</f>
        <v/>
      </c>
      <c r="AC40" s="59" t="str">
        <f aca="false">IF(ISBLANK($C40),"",IF(M40=Constants!$B$19,Constants!$B$19,Constants!$B$18))</f>
        <v/>
      </c>
      <c r="AD40" s="59" t="str">
        <f aca="false">IF(ISBLANK($C40),"",IF(ISNUMBER(N40),IF(N40&gt;=0,N40,""),""))</f>
        <v/>
      </c>
      <c r="AE40" s="59" t="str">
        <f aca="false">IF(ISBLANK($C40),"",IF(O40=Constants!$B$19,Constants!$B$19,Constants!$B$18))</f>
        <v/>
      </c>
      <c r="AF40" s="59" t="str">
        <f aca="false">IF(ISBLANK($C40),"",IF(ISNUMBER(P40),IF(P40&gt;=0,P40,""),""))</f>
        <v/>
      </c>
      <c r="AG40" s="59" t="str">
        <f aca="false">IF(ISBLANK($C40),"",IF(Q40=Constants!$B$19,Constants!$B$19,Constants!$B$18))</f>
        <v/>
      </c>
      <c r="AH40" s="59" t="str">
        <f aca="false">IF(ISBLANK($C40),"",IF(ISNUMBER(R40),IF(R40&gt;=0,R40,""),""))</f>
        <v/>
      </c>
      <c r="AI40" s="59" t="str">
        <f aca="false">IF(ISBLANK($C40),"",IF(S40=Constants!$B$2, TRUE(), IF(S40=Constants!$B$3, FALSE(), FALSE())))</f>
        <v/>
      </c>
      <c r="AJ40" s="59" t="str">
        <f aca="false">IF(ISBLANK($C40),"",IF(AI40,Constants!$B$4,IF(COUNTA(E40:R40)=0,Constants!$B$5,IF(COUNTA(J40,L40,N40,P40,R40)=0,Constants!$B$6,Constants!$B$7))))</f>
        <v/>
      </c>
      <c r="AK40" s="59" t="str">
        <f aca="false">IF(ISBLANK($C40),"",IF($AJ40&lt;&gt;Constants!$B$7,$AJ40,IF(OR(NOT(X40),AND(NOT(U40),COUNTIFS(Y40:AG40,Constants!$B$18,Z40:AH40,"&gt;=0")&gt;0),AND(NOT(V40),COUNTIFS(Y40:AG40,Constants!$B$19,Z40:AH40,"&gt;=0")&gt;0)),Constants!$B$12,Constants!$B$11)))</f>
        <v/>
      </c>
      <c r="AL40" s="59" t="str">
        <f aca="false">IF($AJ40=Constants!$B$7,IF(Z40="",Constants!$B$13,Z40),"")</f>
        <v/>
      </c>
      <c r="AM40" s="59" t="str">
        <f aca="false">IF($AJ40=Constants!$B$7,IF(AB40="",Constants!$B$13,AB40),"")</f>
        <v/>
      </c>
      <c r="AN40" s="59" t="str">
        <f aca="false">IF($AJ40=Constants!$B$7,IF(AD40="",Constants!$B$13,AD40),"")</f>
        <v/>
      </c>
      <c r="AO40" s="59" t="str">
        <f aca="false">IF($AJ40=Constants!$B$7,IF(AF40="",Constants!$B$13,AF40),"")</f>
        <v/>
      </c>
      <c r="AP40" s="59" t="str">
        <f aca="false">IF($AJ40=Constants!$B$7,IF(AH40="",Constants!$B$13,AH40),"")</f>
        <v/>
      </c>
      <c r="AQ40" s="59" t="str">
        <f aca="false">IF($AJ40=Constants!$B$7,IF(SUMPRODUCT(--($AL40:$AP40&gt;AL40))+SUMPRODUCT(--($AL40:AL40=AL40))=1,1,IF(SUMPRODUCT(--($AL40:$AP40&gt;AM40))+SUMPRODUCT(--($AL40:AM40=AM40))=1,2,IF(SUMPRODUCT(--($AL40:$AP40&gt;AN40))+SUMPRODUCT(--($AL40:AN40=AN40))=1,3,IF(SUMPRODUCT(--($AL40:$AP40&gt;AO40))+SUMPRODUCT(--($AL40:AO40=AO40))=1,4,5)))),"")</f>
        <v/>
      </c>
      <c r="AR40" s="59" t="str">
        <f aca="false">IF($AJ40=Constants!$B$7,IF(SUMPRODUCT(--($AL40:$AP40&gt;AL40))+SUMPRODUCT(--($AL40:AL40=AL40))=2,1,IF(SUMPRODUCT(--($AL40:$AP40&gt;AM40))+SUMPRODUCT(--($AL40:AM40=AM40))=2,2,IF(SUMPRODUCT(--($AL40:$AP40&gt;AN40))+SUMPRODUCT(--($AL40:AN40=AN40))=2,3,IF(SUMPRODUCT(--($AL40:$AP40&gt;AO40))+SUMPRODUCT(--($AL40:AO40=AO40))=2,4,5)))),"")</f>
        <v/>
      </c>
      <c r="AS40" s="59" t="str">
        <f aca="false">IF($AJ40=Constants!$B$7,IF(SUMPRODUCT(--($AL40:$AP40&gt;AL40))+SUMPRODUCT(--($AL40:AL40=AL40))=3,1,IF(SUMPRODUCT(--($AL40:$AP40&gt;AM40))+SUMPRODUCT(--($AL40:AM40=AM40))=3,2,IF(SUMPRODUCT(--($AL40:$AP40&gt;AN40))+SUMPRODUCT(--($AL40:AN40=AN40))=3,3,IF(SUMPRODUCT(--($AL40:$AP40&gt;AO40))+SUMPRODUCT(--($AL40:AO40=AO40))=3,4,5)))),"")</f>
        <v/>
      </c>
      <c r="AT40" s="59" t="str">
        <f aca="false">IF($AJ40=Constants!$B$7,LARGE(AL40:AP40,1)+LARGE(AL40:AP40,2)+LARGE(AL40:AP40,3),"")</f>
        <v/>
      </c>
      <c r="AU40" s="59" t="str">
        <f aca="false">IF(ISBLANK($C40),"",IF($AJ40&lt;&gt;Constants!$B$7,$AJ40,AT40*W40))</f>
        <v/>
      </c>
      <c r="AV40" s="59" t="str">
        <f aca="false">IF(ISBLANK($C40),"",IF($AJ40=Constants!$B$7,IF(ISNUMBER(AU40),RANK(AU40,$AU$8:$AU$507),Constants!$B$14),$AJ40))</f>
        <v/>
      </c>
      <c r="AW40" s="59" t="str">
        <f aca="false">IF(ISBLANK($C40),"",IF($AJ40=Constants!$B$7,IF(ISNUMBER(AV40),COUNTIFS($AK$8:$AK$507,"&lt;"&amp;$AK40)+COUNTIFS($AK$8:$AK$507,$AK40,$AV$8:$AV$507,"&lt;"&amp;$AV40)+1,Constants!$B$14),$AJ40))</f>
        <v/>
      </c>
      <c r="AX40" s="59" t="str">
        <f aca="false">IF(ISBLANK($C40),"",IF($AJ40=Constants!$B$7,LARGE(AL40:AP40,4)*W40,""))</f>
        <v/>
      </c>
      <c r="AY40" s="59" t="str">
        <f aca="false">IF(ISBLANK($C40),"",IF($AJ40=Constants!$B$7,RANK(AX40,$AX$8:$AX$507),$AJ40))</f>
        <v/>
      </c>
      <c r="AZ40" s="59" t="str">
        <f aca="false">IF(ISBLANK($C40),"",IF($AJ40=Constants!$B$7,IF(ISNUMBER(AV40),COUNTIFS($AK$8:$AK$507,"&lt;"&amp;$AK40)+COUNTIFS($AK$8:$AK$507,$AK40,$AV$8:$AV$507,"&lt;"&amp;$AV40)+COUNTIFS($AK$8:$AK$507,$AK40,$AV$8:$AV$507,$AV40,$AY$8:$AY$507,"&lt;"&amp;$AY40)+1,Constants!$B$14),$AJ40))</f>
        <v/>
      </c>
      <c r="BA40" s="59" t="str">
        <f aca="false">IF(ISBLANK($C40),"",IF($AJ40=Constants!$B$7,IF(ISNUMBER(AW40),AW40-AZ40,Constants!$B$14),$AJ40))</f>
        <v/>
      </c>
      <c r="BB40" s="61"/>
      <c r="BC40" s="62" t="str">
        <f aca="false">IF(ISBLANK($C40),"",IF($AJ40&lt;&gt;Constants!$B$7,$AJ40,SMALL(AQ40:AS40,1)&amp;", "&amp;SMALL(AQ40:AS40,2)&amp;", "&amp;SMALL(AQ40:AS40,3)))</f>
        <v/>
      </c>
      <c r="BD40" s="63" t="str">
        <f aca="false">IF(ISBLANK($C40),"",IF($AJ40&lt;&gt;Constants!$B$7,$AJ40,W40))</f>
        <v/>
      </c>
      <c r="BE40" s="64" t="str">
        <f aca="false">IF(ISBLANK($C40),"",IF($AJ40&lt;&gt;Constants!$B$7,$AJ40,AU40))</f>
        <v/>
      </c>
      <c r="BF40" s="65" t="str">
        <f aca="false">IF(ISBLANK($C40),"",IF($AJ40&lt;&gt;Constants!$B$7,$AJ40,AK40))</f>
        <v/>
      </c>
      <c r="BG40" s="63" t="str">
        <f aca="false">IF(ISBLANK($C40),"",BA40)</f>
        <v/>
      </c>
      <c r="BH40" s="63" t="str">
        <f aca="false">IF(ISBLANK($C40),"",AZ40)</f>
        <v/>
      </c>
      <c r="BI40" s="66" t="str">
        <f aca="false">IF(ISBLANK($C40),"",IF(BH40=Constants!$B$4,COUNTA($C$8:$C$507)+2,IF(BH40=Constants!$B$5,COUNTA($C$8:$C$507)+1,IF(BH40=Constants!$B$6,COUNTA($C$8:$C$507),BH40))))</f>
        <v/>
      </c>
      <c r="BJ40" s="5"/>
      <c r="BK40" s="67" t="n">
        <f aca="false">IF(OR(ISNUMBER(BH40),BH40=Constants!$B$4,BH40=Constants!$B$6,BH40=Constants!$B$5),1,0)</f>
        <v>0</v>
      </c>
      <c r="BL40" s="67" t="n">
        <v>33</v>
      </c>
      <c r="BM40" s="67" t="str">
        <f aca="false">IF(ISBLANK($C40),"",IF(ISNUMBER(BI40),BI40+ROW($B40)/1000,""))</f>
        <v/>
      </c>
      <c r="BN40" s="67" t="str">
        <f aca="false">IF(ISNUMBER(BM40),RANK(BM40,$BM$8:$BM$507,1),"")</f>
        <v/>
      </c>
      <c r="BO40" s="67" t="str">
        <f aca="false">IF(ISBLANK($C40),"",$B40)</f>
        <v/>
      </c>
      <c r="BP40" s="67" t="str">
        <f aca="false">IF(ISBLANK($C40),"",$C40)</f>
        <v/>
      </c>
      <c r="BQ40" s="67" t="str">
        <f aca="false">IF(ISBLANK($C40),"",$D40)</f>
        <v/>
      </c>
      <c r="BR40" s="68" t="str">
        <f aca="false">BF40</f>
        <v/>
      </c>
      <c r="BS40" s="69" t="str">
        <f aca="false">BE40</f>
        <v/>
      </c>
      <c r="BT40" s="67" t="str">
        <f aca="false">IF(ISBLANK($C40),"",BH40)</f>
        <v/>
      </c>
      <c r="BU40" s="70" t="str">
        <f aca="false">IF($BL40&gt;$BK$7,"",VLOOKUP($BL40,$BN$8:$BT$507,7,FALSE()))</f>
        <v/>
      </c>
      <c r="BV40" s="71" t="str">
        <f aca="false">IF($BL40&gt;$BK$7,"",VLOOKUP($BL40,$BN$8:$BT$507,2,FALSE()))</f>
        <v/>
      </c>
      <c r="BW40" s="71" t="str">
        <f aca="false">IF($BL40&gt;$BK$7,"",VLOOKUP($BL40,$BN$8:$BT$507,3,FALSE()))</f>
        <v/>
      </c>
      <c r="BX40" s="71" t="str">
        <f aca="false">IF($BL40&gt;$BK$7,"",VLOOKUP($BL40,$BN$8:$BT$507,4,FALSE()))</f>
        <v/>
      </c>
      <c r="BY40" s="71" t="str">
        <f aca="false">IF($BL40&gt;$BK$7,"",VLOOKUP($BL40,$BN$8:$BT$507,5,FALSE()))</f>
        <v/>
      </c>
      <c r="BZ40" s="72" t="str">
        <f aca="false">IF($BL40&gt;$BK$7,"",VLOOKUP($BL40,$BN$8:$BT$507,6,FALSE()))</f>
        <v/>
      </c>
      <c r="CA40" s="48"/>
    </row>
    <row r="41" customFormat="false" ht="15.75" hidden="false" customHeight="false" outlineLevel="0" collapsed="false">
      <c r="A41" s="5"/>
      <c r="B41" s="114"/>
      <c r="C41" s="115"/>
      <c r="D41" s="100"/>
      <c r="E41" s="120"/>
      <c r="F41" s="125"/>
      <c r="G41" s="82"/>
      <c r="H41" s="126"/>
      <c r="I41" s="127"/>
      <c r="J41" s="82"/>
      <c r="K41" s="126"/>
      <c r="L41" s="82"/>
      <c r="M41" s="126"/>
      <c r="N41" s="82"/>
      <c r="O41" s="126"/>
      <c r="P41" s="82"/>
      <c r="Q41" s="126"/>
      <c r="R41" s="82"/>
      <c r="S41" s="120"/>
      <c r="T41" s="86"/>
      <c r="U41" s="87" t="str">
        <f aca="false">IF(ISBLANK($C41),"",IF(E41=Constants!$B$2, TRUE(), IF(E41=Constants!$B$3, FALSE(), TRUE())))</f>
        <v/>
      </c>
      <c r="V41" s="87" t="str">
        <f aca="false">IF(ISBLANK($C41),"",IF(F41=Constants!$B$2, TRUE(), IF(F41=Constants!$B$3, FALSE(), TRUE())))</f>
        <v/>
      </c>
      <c r="W41" s="87" t="str">
        <f aca="false">IF(ISBLANK($C41),"",IF(G41=Constants!$B$15,Constants!$B$8,IF(G41=Constants!$B$16,Constants!$B$9,Constants!$B$10)))</f>
        <v/>
      </c>
      <c r="X41" s="87" t="str">
        <f aca="false">IF(ISBLANK($C41),"",IF(H41=Constants!$B$2, TRUE(), IF(H41=Constants!$B$3, FALSE(), TRUE())))</f>
        <v/>
      </c>
      <c r="Y41" s="87" t="str">
        <f aca="false">IF(ISBLANK($C41),"",IF(I41=Constants!$B$19,Constants!$B$19,Constants!$B$18))</f>
        <v/>
      </c>
      <c r="Z41" s="87" t="str">
        <f aca="false">IF(ISBLANK($C41),"",IF(ISNUMBER(J41),IF(J41&gt;=0,J41,""),""))</f>
        <v/>
      </c>
      <c r="AA41" s="87" t="str">
        <f aca="false">IF(ISBLANK($C41),"",IF(K41=Constants!$B$19,Constants!$B$19,Constants!$B$18))</f>
        <v/>
      </c>
      <c r="AB41" s="87" t="str">
        <f aca="false">IF(ISBLANK($C41),"",IF(ISNUMBER(L41),IF(L41&gt;=0,L41,""),""))</f>
        <v/>
      </c>
      <c r="AC41" s="87" t="str">
        <f aca="false">IF(ISBLANK($C41),"",IF(M41=Constants!$B$19,Constants!$B$19,Constants!$B$18))</f>
        <v/>
      </c>
      <c r="AD41" s="87" t="str">
        <f aca="false">IF(ISBLANK($C41),"",IF(ISNUMBER(N41),IF(N41&gt;=0,N41,""),""))</f>
        <v/>
      </c>
      <c r="AE41" s="87" t="str">
        <f aca="false">IF(ISBLANK($C41),"",IF(O41=Constants!$B$19,Constants!$B$19,Constants!$B$18))</f>
        <v/>
      </c>
      <c r="AF41" s="87" t="str">
        <f aca="false">IF(ISBLANK($C41),"",IF(ISNUMBER(P41),IF(P41&gt;=0,P41,""),""))</f>
        <v/>
      </c>
      <c r="AG41" s="87" t="str">
        <f aca="false">IF(ISBLANK($C41),"",IF(Q41=Constants!$B$19,Constants!$B$19,Constants!$B$18))</f>
        <v/>
      </c>
      <c r="AH41" s="87" t="str">
        <f aca="false">IF(ISBLANK($C41),"",IF(ISNUMBER(R41),IF(R41&gt;=0,R41,""),""))</f>
        <v/>
      </c>
      <c r="AI41" s="87" t="str">
        <f aca="false">IF(ISBLANK($C41),"",IF(S41=Constants!$B$2, TRUE(), IF(S41=Constants!$B$3, FALSE(), FALSE())))</f>
        <v/>
      </c>
      <c r="AJ41" s="87" t="str">
        <f aca="false">IF(ISBLANK($C41),"",IF(AI41,Constants!$B$4,IF(COUNTA(E41:R41)=0,Constants!$B$5,IF(COUNTA(J41,L41,N41,P41,R41)=0,Constants!$B$6,Constants!$B$7))))</f>
        <v/>
      </c>
      <c r="AK41" s="87" t="str">
        <f aca="false">IF(ISBLANK($C41),"",IF($AJ41&lt;&gt;Constants!$B$7,$AJ41,IF(OR(NOT(X41),AND(NOT(U41),COUNTIFS(Y41:AG41,Constants!$B$18,Z41:AH41,"&gt;=0")&gt;0),AND(NOT(V41),COUNTIFS(Y41:AG41,Constants!$B$19,Z41:AH41,"&gt;=0")&gt;0)),Constants!$B$12,Constants!$B$11)))</f>
        <v/>
      </c>
      <c r="AL41" s="87" t="str">
        <f aca="false">IF($AJ41=Constants!$B$7,IF(Z41="",Constants!$B$13,Z41),"")</f>
        <v/>
      </c>
      <c r="AM41" s="87" t="str">
        <f aca="false">IF($AJ41=Constants!$B$7,IF(AB41="",Constants!$B$13,AB41),"")</f>
        <v/>
      </c>
      <c r="AN41" s="87" t="str">
        <f aca="false">IF($AJ41=Constants!$B$7,IF(AD41="",Constants!$B$13,AD41),"")</f>
        <v/>
      </c>
      <c r="AO41" s="87" t="str">
        <f aca="false">IF($AJ41=Constants!$B$7,IF(AF41="",Constants!$B$13,AF41),"")</f>
        <v/>
      </c>
      <c r="AP41" s="87" t="str">
        <f aca="false">IF($AJ41=Constants!$B$7,IF(AH41="",Constants!$B$13,AH41),"")</f>
        <v/>
      </c>
      <c r="AQ41" s="87" t="str">
        <f aca="false">IF($AJ41=Constants!$B$7,IF(SUMPRODUCT(--($AL41:$AP41&gt;AL41))+SUMPRODUCT(--($AL41:AL41=AL41))=1,1,IF(SUMPRODUCT(--($AL41:$AP41&gt;AM41))+SUMPRODUCT(--($AL41:AM41=AM41))=1,2,IF(SUMPRODUCT(--($AL41:$AP41&gt;AN41))+SUMPRODUCT(--($AL41:AN41=AN41))=1,3,IF(SUMPRODUCT(--($AL41:$AP41&gt;AO41))+SUMPRODUCT(--($AL41:AO41=AO41))=1,4,5)))),"")</f>
        <v/>
      </c>
      <c r="AR41" s="87" t="str">
        <f aca="false">IF($AJ41=Constants!$B$7,IF(SUMPRODUCT(--($AL41:$AP41&gt;AL41))+SUMPRODUCT(--($AL41:AL41=AL41))=2,1,IF(SUMPRODUCT(--($AL41:$AP41&gt;AM41))+SUMPRODUCT(--($AL41:AM41=AM41))=2,2,IF(SUMPRODUCT(--($AL41:$AP41&gt;AN41))+SUMPRODUCT(--($AL41:AN41=AN41))=2,3,IF(SUMPRODUCT(--($AL41:$AP41&gt;AO41))+SUMPRODUCT(--($AL41:AO41=AO41))=2,4,5)))),"")</f>
        <v/>
      </c>
      <c r="AS41" s="87" t="str">
        <f aca="false">IF($AJ41=Constants!$B$7,IF(SUMPRODUCT(--($AL41:$AP41&gt;AL41))+SUMPRODUCT(--($AL41:AL41=AL41))=3,1,IF(SUMPRODUCT(--($AL41:$AP41&gt;AM41))+SUMPRODUCT(--($AL41:AM41=AM41))=3,2,IF(SUMPRODUCT(--($AL41:$AP41&gt;AN41))+SUMPRODUCT(--($AL41:AN41=AN41))=3,3,IF(SUMPRODUCT(--($AL41:$AP41&gt;AO41))+SUMPRODUCT(--($AL41:AO41=AO41))=3,4,5)))),"")</f>
        <v/>
      </c>
      <c r="AT41" s="87" t="str">
        <f aca="false">IF($AJ41=Constants!$B$7,LARGE(AL41:AP41,1)+LARGE(AL41:AP41,2)+LARGE(AL41:AP41,3),"")</f>
        <v/>
      </c>
      <c r="AU41" s="87" t="str">
        <f aca="false">IF(ISBLANK($C41),"",IF($AJ41&lt;&gt;Constants!$B$7,$AJ41,AT41*W41))</f>
        <v/>
      </c>
      <c r="AV41" s="87" t="str">
        <f aca="false">IF(ISBLANK($C41),"",IF($AJ41=Constants!$B$7,IF(ISNUMBER(AU41),RANK(AU41,$AU$8:$AU$507),Constants!$B$14),$AJ41))</f>
        <v/>
      </c>
      <c r="AW41" s="87" t="str">
        <f aca="false">IF(ISBLANK($C41),"",IF($AJ41=Constants!$B$7,IF(ISNUMBER(AV41),COUNTIFS($AK$8:$AK$507,"&lt;"&amp;$AK41)+COUNTIFS($AK$8:$AK$507,$AK41,$AV$8:$AV$507,"&lt;"&amp;$AV41)+1,Constants!$B$14),$AJ41))</f>
        <v/>
      </c>
      <c r="AX41" s="87" t="str">
        <f aca="false">IF(ISBLANK($C41),"",IF($AJ41=Constants!$B$7,LARGE(AL41:AP41,4)*W41,""))</f>
        <v/>
      </c>
      <c r="AY41" s="87" t="str">
        <f aca="false">IF(ISBLANK($C41),"",IF($AJ41=Constants!$B$7,RANK(AX41,$AX$8:$AX$507),$AJ41))</f>
        <v/>
      </c>
      <c r="AZ41" s="87" t="str">
        <f aca="false">IF(ISBLANK($C41),"",IF($AJ41=Constants!$B$7,IF(ISNUMBER(AV41),COUNTIFS($AK$8:$AK$507,"&lt;"&amp;$AK41)+COUNTIFS($AK$8:$AK$507,$AK41,$AV$8:$AV$507,"&lt;"&amp;$AV41)+COUNTIFS($AK$8:$AK$507,$AK41,$AV$8:$AV$507,$AV41,$AY$8:$AY$507,"&lt;"&amp;$AY41)+1,Constants!$B$14),$AJ41))</f>
        <v/>
      </c>
      <c r="BA41" s="87" t="str">
        <f aca="false">IF(ISBLANK($C41),"",IF($AJ41=Constants!$B$7,IF(ISNUMBER(AW41),AW41-AZ41,Constants!$B$14),$AJ41))</f>
        <v/>
      </c>
      <c r="BB41" s="88"/>
      <c r="BC41" s="89" t="str">
        <f aca="false">IF(ISBLANK($C41),"",IF($AJ41&lt;&gt;Constants!$B$7,$AJ41,SMALL(AQ41:AS41,1)&amp;", "&amp;SMALL(AQ41:AS41,2)&amp;", "&amp;SMALL(AQ41:AS41,3)))</f>
        <v/>
      </c>
      <c r="BD41" s="90" t="str">
        <f aca="false">IF(ISBLANK($C41),"",IF($AJ41&lt;&gt;Constants!$B$7,$AJ41,W41))</f>
        <v/>
      </c>
      <c r="BE41" s="91" t="str">
        <f aca="false">IF(ISBLANK($C41),"",IF($AJ41&lt;&gt;Constants!$B$7,$AJ41,AU41))</f>
        <v/>
      </c>
      <c r="BF41" s="92" t="str">
        <f aca="false">IF(ISBLANK($C41),"",IF($AJ41&lt;&gt;Constants!$B$7,$AJ41,AK41))</f>
        <v/>
      </c>
      <c r="BG41" s="90" t="str">
        <f aca="false">IF(ISBLANK($C41),"",BA41)</f>
        <v/>
      </c>
      <c r="BH41" s="90" t="str">
        <f aca="false">IF(ISBLANK($C41),"",AZ41)</f>
        <v/>
      </c>
      <c r="BI41" s="93" t="str">
        <f aca="false">IF(ISBLANK($C41),"",IF(BH41=Constants!$B$4,COUNTA($C$8:$C$507)+2,IF(BH41=Constants!$B$5,COUNTA($C$8:$C$507)+1,IF(BH41=Constants!$B$6,COUNTA($C$8:$C$507),BH41))))</f>
        <v/>
      </c>
      <c r="BJ41" s="5"/>
      <c r="BK41" s="94" t="n">
        <f aca="false">IF(OR(ISNUMBER(BH41),BH41=Constants!$B$4,BH41=Constants!$B$6,BH41=Constants!$B$5),1,0)</f>
        <v>0</v>
      </c>
      <c r="BL41" s="94" t="n">
        <v>34</v>
      </c>
      <c r="BM41" s="94" t="str">
        <f aca="false">IF(ISBLANK($C41),"",IF(ISNUMBER(BI41),BI41+ROW($B41)/1000,""))</f>
        <v/>
      </c>
      <c r="BN41" s="94" t="str">
        <f aca="false">IF(ISNUMBER(BM41),RANK(BM41,$BM$8:$BM$507,1),"")</f>
        <v/>
      </c>
      <c r="BO41" s="94" t="str">
        <f aca="false">IF(ISBLANK($C41),"",$B41)</f>
        <v/>
      </c>
      <c r="BP41" s="94" t="str">
        <f aca="false">IF(ISBLANK($C41),"",$C41)</f>
        <v/>
      </c>
      <c r="BQ41" s="94" t="str">
        <f aca="false">IF(ISBLANK($C41),"",$D41)</f>
        <v/>
      </c>
      <c r="BR41" s="95" t="str">
        <f aca="false">BF41</f>
        <v/>
      </c>
      <c r="BS41" s="96" t="str">
        <f aca="false">BE41</f>
        <v/>
      </c>
      <c r="BT41" s="94" t="str">
        <f aca="false">IF(ISBLANK($C41),"",BH41)</f>
        <v/>
      </c>
      <c r="BU41" s="97" t="str">
        <f aca="false">IF($BL41&gt;$BK$7,"",VLOOKUP($BL41,$BN$8:$BT$507,7,FALSE()))</f>
        <v/>
      </c>
      <c r="BV41" s="98" t="str">
        <f aca="false">IF($BL41&gt;$BK$7,"",VLOOKUP($BL41,$BN$8:$BT$507,2,FALSE()))</f>
        <v/>
      </c>
      <c r="BW41" s="98" t="str">
        <f aca="false">IF($BL41&gt;$BK$7,"",VLOOKUP($BL41,$BN$8:$BT$507,3,FALSE()))</f>
        <v/>
      </c>
      <c r="BX41" s="98" t="str">
        <f aca="false">IF($BL41&gt;$BK$7,"",VLOOKUP($BL41,$BN$8:$BT$507,4,FALSE()))</f>
        <v/>
      </c>
      <c r="BY41" s="98" t="str">
        <f aca="false">IF($BL41&gt;$BK$7,"",VLOOKUP($BL41,$BN$8:$BT$507,5,FALSE()))</f>
        <v/>
      </c>
      <c r="BZ41" s="99" t="str">
        <f aca="false">IF($BL41&gt;$BK$7,"",VLOOKUP($BL41,$BN$8:$BT$507,6,FALSE()))</f>
        <v/>
      </c>
      <c r="CA41" s="48"/>
    </row>
    <row r="42" customFormat="false" ht="15.75" hidden="false" customHeight="false" outlineLevel="0" collapsed="false">
      <c r="A42" s="5"/>
      <c r="B42" s="114"/>
      <c r="C42" s="115"/>
      <c r="D42" s="100"/>
      <c r="E42" s="120"/>
      <c r="F42" s="125"/>
      <c r="G42" s="82"/>
      <c r="H42" s="126"/>
      <c r="I42" s="127"/>
      <c r="J42" s="82"/>
      <c r="K42" s="126"/>
      <c r="L42" s="82"/>
      <c r="M42" s="126"/>
      <c r="N42" s="82"/>
      <c r="O42" s="126"/>
      <c r="P42" s="82"/>
      <c r="Q42" s="126"/>
      <c r="R42" s="82"/>
      <c r="S42" s="120"/>
      <c r="T42" s="86"/>
      <c r="U42" s="87" t="str">
        <f aca="false">IF(ISBLANK($C42),"",IF(E42=Constants!$B$2, TRUE(), IF(E42=Constants!$B$3, FALSE(), TRUE())))</f>
        <v/>
      </c>
      <c r="V42" s="87" t="str">
        <f aca="false">IF(ISBLANK($C42),"",IF(F42=Constants!$B$2, TRUE(), IF(F42=Constants!$B$3, FALSE(), TRUE())))</f>
        <v/>
      </c>
      <c r="W42" s="87" t="str">
        <f aca="false">IF(ISBLANK($C42),"",IF(G42=Constants!$B$15,Constants!$B$8,IF(G42=Constants!$B$16,Constants!$B$9,Constants!$B$10)))</f>
        <v/>
      </c>
      <c r="X42" s="87" t="str">
        <f aca="false">IF(ISBLANK($C42),"",IF(H42=Constants!$B$2, TRUE(), IF(H42=Constants!$B$3, FALSE(), TRUE())))</f>
        <v/>
      </c>
      <c r="Y42" s="87" t="str">
        <f aca="false">IF(ISBLANK($C42),"",IF(I42=Constants!$B$19,Constants!$B$19,Constants!$B$18))</f>
        <v/>
      </c>
      <c r="Z42" s="87" t="str">
        <f aca="false">IF(ISBLANK($C42),"",IF(ISNUMBER(J42),IF(J42&gt;=0,J42,""),""))</f>
        <v/>
      </c>
      <c r="AA42" s="87" t="str">
        <f aca="false">IF(ISBLANK($C42),"",IF(K42=Constants!$B$19,Constants!$B$19,Constants!$B$18))</f>
        <v/>
      </c>
      <c r="AB42" s="87" t="str">
        <f aca="false">IF(ISBLANK($C42),"",IF(ISNUMBER(L42),IF(L42&gt;=0,L42,""),""))</f>
        <v/>
      </c>
      <c r="AC42" s="87" t="str">
        <f aca="false">IF(ISBLANK($C42),"",IF(M42=Constants!$B$19,Constants!$B$19,Constants!$B$18))</f>
        <v/>
      </c>
      <c r="AD42" s="87" t="str">
        <f aca="false">IF(ISBLANK($C42),"",IF(ISNUMBER(N42),IF(N42&gt;=0,N42,""),""))</f>
        <v/>
      </c>
      <c r="AE42" s="87" t="str">
        <f aca="false">IF(ISBLANK($C42),"",IF(O42=Constants!$B$19,Constants!$B$19,Constants!$B$18))</f>
        <v/>
      </c>
      <c r="AF42" s="87" t="str">
        <f aca="false">IF(ISBLANK($C42),"",IF(ISNUMBER(P42),IF(P42&gt;=0,P42,""),""))</f>
        <v/>
      </c>
      <c r="AG42" s="87" t="str">
        <f aca="false">IF(ISBLANK($C42),"",IF(Q42=Constants!$B$19,Constants!$B$19,Constants!$B$18))</f>
        <v/>
      </c>
      <c r="AH42" s="87" t="str">
        <f aca="false">IF(ISBLANK($C42),"",IF(ISNUMBER(R42),IF(R42&gt;=0,R42,""),""))</f>
        <v/>
      </c>
      <c r="AI42" s="87" t="str">
        <f aca="false">IF(ISBLANK($C42),"",IF(S42=Constants!$B$2, TRUE(), IF(S42=Constants!$B$3, FALSE(), FALSE())))</f>
        <v/>
      </c>
      <c r="AJ42" s="87" t="str">
        <f aca="false">IF(ISBLANK($C42),"",IF(AI42,Constants!$B$4,IF(COUNTA(E42:R42)=0,Constants!$B$5,IF(COUNTA(J42,L42,N42,P42,R42)=0,Constants!$B$6,Constants!$B$7))))</f>
        <v/>
      </c>
      <c r="AK42" s="87" t="str">
        <f aca="false">IF(ISBLANK($C42),"",IF($AJ42&lt;&gt;Constants!$B$7,$AJ42,IF(OR(NOT(X42),AND(NOT(U42),COUNTIFS(Y42:AG42,Constants!$B$18,Z42:AH42,"&gt;=0")&gt;0),AND(NOT(V42),COUNTIFS(Y42:AG42,Constants!$B$19,Z42:AH42,"&gt;=0")&gt;0)),Constants!$B$12,Constants!$B$11)))</f>
        <v/>
      </c>
      <c r="AL42" s="87" t="str">
        <f aca="false">IF($AJ42=Constants!$B$7,IF(Z42="",Constants!$B$13,Z42),"")</f>
        <v/>
      </c>
      <c r="AM42" s="87" t="str">
        <f aca="false">IF($AJ42=Constants!$B$7,IF(AB42="",Constants!$B$13,AB42),"")</f>
        <v/>
      </c>
      <c r="AN42" s="87" t="str">
        <f aca="false">IF($AJ42=Constants!$B$7,IF(AD42="",Constants!$B$13,AD42),"")</f>
        <v/>
      </c>
      <c r="AO42" s="87" t="str">
        <f aca="false">IF($AJ42=Constants!$B$7,IF(AF42="",Constants!$B$13,AF42),"")</f>
        <v/>
      </c>
      <c r="AP42" s="87" t="str">
        <f aca="false">IF($AJ42=Constants!$B$7,IF(AH42="",Constants!$B$13,AH42),"")</f>
        <v/>
      </c>
      <c r="AQ42" s="87" t="str">
        <f aca="false">IF($AJ42=Constants!$B$7,IF(SUMPRODUCT(--($AL42:$AP42&gt;AL42))+SUMPRODUCT(--($AL42:AL42=AL42))=1,1,IF(SUMPRODUCT(--($AL42:$AP42&gt;AM42))+SUMPRODUCT(--($AL42:AM42=AM42))=1,2,IF(SUMPRODUCT(--($AL42:$AP42&gt;AN42))+SUMPRODUCT(--($AL42:AN42=AN42))=1,3,IF(SUMPRODUCT(--($AL42:$AP42&gt;AO42))+SUMPRODUCT(--($AL42:AO42=AO42))=1,4,5)))),"")</f>
        <v/>
      </c>
      <c r="AR42" s="87" t="str">
        <f aca="false">IF($AJ42=Constants!$B$7,IF(SUMPRODUCT(--($AL42:$AP42&gt;AL42))+SUMPRODUCT(--($AL42:AL42=AL42))=2,1,IF(SUMPRODUCT(--($AL42:$AP42&gt;AM42))+SUMPRODUCT(--($AL42:AM42=AM42))=2,2,IF(SUMPRODUCT(--($AL42:$AP42&gt;AN42))+SUMPRODUCT(--($AL42:AN42=AN42))=2,3,IF(SUMPRODUCT(--($AL42:$AP42&gt;AO42))+SUMPRODUCT(--($AL42:AO42=AO42))=2,4,5)))),"")</f>
        <v/>
      </c>
      <c r="AS42" s="87" t="str">
        <f aca="false">IF($AJ42=Constants!$B$7,IF(SUMPRODUCT(--($AL42:$AP42&gt;AL42))+SUMPRODUCT(--($AL42:AL42=AL42))=3,1,IF(SUMPRODUCT(--($AL42:$AP42&gt;AM42))+SUMPRODUCT(--($AL42:AM42=AM42))=3,2,IF(SUMPRODUCT(--($AL42:$AP42&gt;AN42))+SUMPRODUCT(--($AL42:AN42=AN42))=3,3,IF(SUMPRODUCT(--($AL42:$AP42&gt;AO42))+SUMPRODUCT(--($AL42:AO42=AO42))=3,4,5)))),"")</f>
        <v/>
      </c>
      <c r="AT42" s="87" t="str">
        <f aca="false">IF($AJ42=Constants!$B$7,LARGE(AL42:AP42,1)+LARGE(AL42:AP42,2)+LARGE(AL42:AP42,3),"")</f>
        <v/>
      </c>
      <c r="AU42" s="87" t="str">
        <f aca="false">IF(ISBLANK($C42),"",IF($AJ42&lt;&gt;Constants!$B$7,$AJ42,AT42*W42))</f>
        <v/>
      </c>
      <c r="AV42" s="87" t="str">
        <f aca="false">IF(ISBLANK($C42),"",IF($AJ42=Constants!$B$7,IF(ISNUMBER(AU42),RANK(AU42,$AU$8:$AU$507),Constants!$B$14),$AJ42))</f>
        <v/>
      </c>
      <c r="AW42" s="87" t="str">
        <f aca="false">IF(ISBLANK($C42),"",IF($AJ42=Constants!$B$7,IF(ISNUMBER(AV42),COUNTIFS($AK$8:$AK$507,"&lt;"&amp;$AK42)+COUNTIFS($AK$8:$AK$507,$AK42,$AV$8:$AV$507,"&lt;"&amp;$AV42)+1,Constants!$B$14),$AJ42))</f>
        <v/>
      </c>
      <c r="AX42" s="87" t="str">
        <f aca="false">IF(ISBLANK($C42),"",IF($AJ42=Constants!$B$7,LARGE(AL42:AP42,4)*W42,""))</f>
        <v/>
      </c>
      <c r="AY42" s="87" t="str">
        <f aca="false">IF(ISBLANK($C42),"",IF($AJ42=Constants!$B$7,RANK(AX42,$AX$8:$AX$507),$AJ42))</f>
        <v/>
      </c>
      <c r="AZ42" s="87" t="str">
        <f aca="false">IF(ISBLANK($C42),"",IF($AJ42=Constants!$B$7,IF(ISNUMBER(AV42),COUNTIFS($AK$8:$AK$507,"&lt;"&amp;$AK42)+COUNTIFS($AK$8:$AK$507,$AK42,$AV$8:$AV$507,"&lt;"&amp;$AV42)+COUNTIFS($AK$8:$AK$507,$AK42,$AV$8:$AV$507,$AV42,$AY$8:$AY$507,"&lt;"&amp;$AY42)+1,Constants!$B$14),$AJ42))</f>
        <v/>
      </c>
      <c r="BA42" s="87" t="str">
        <f aca="false">IF(ISBLANK($C42),"",IF($AJ42=Constants!$B$7,IF(ISNUMBER(AW42),AW42-AZ42,Constants!$B$14),$AJ42))</f>
        <v/>
      </c>
      <c r="BB42" s="88"/>
      <c r="BC42" s="89" t="str">
        <f aca="false">IF(ISBLANK($C42),"",IF($AJ42&lt;&gt;Constants!$B$7,$AJ42,SMALL(AQ42:AS42,1)&amp;", "&amp;SMALL(AQ42:AS42,2)&amp;", "&amp;SMALL(AQ42:AS42,3)))</f>
        <v/>
      </c>
      <c r="BD42" s="90" t="str">
        <f aca="false">IF(ISBLANK($C42),"",IF($AJ42&lt;&gt;Constants!$B$7,$AJ42,W42))</f>
        <v/>
      </c>
      <c r="BE42" s="91" t="str">
        <f aca="false">IF(ISBLANK($C42),"",IF($AJ42&lt;&gt;Constants!$B$7,$AJ42,AU42))</f>
        <v/>
      </c>
      <c r="BF42" s="92" t="str">
        <f aca="false">IF(ISBLANK($C42),"",IF($AJ42&lt;&gt;Constants!$B$7,$AJ42,AK42))</f>
        <v/>
      </c>
      <c r="BG42" s="90" t="str">
        <f aca="false">IF(ISBLANK($C42),"",BA42)</f>
        <v/>
      </c>
      <c r="BH42" s="90" t="str">
        <f aca="false">IF(ISBLANK($C42),"",AZ42)</f>
        <v/>
      </c>
      <c r="BI42" s="93" t="str">
        <f aca="false">IF(ISBLANK($C42),"",IF(BH42=Constants!$B$4,COUNTA($C$8:$C$507)+2,IF(BH42=Constants!$B$5,COUNTA($C$8:$C$507)+1,IF(BH42=Constants!$B$6,COUNTA($C$8:$C$507),BH42))))</f>
        <v/>
      </c>
      <c r="BJ42" s="5"/>
      <c r="BK42" s="94" t="n">
        <f aca="false">IF(OR(ISNUMBER(BH42),BH42=Constants!$B$4,BH42=Constants!$B$6,BH42=Constants!$B$5),1,0)</f>
        <v>0</v>
      </c>
      <c r="BL42" s="94" t="n">
        <v>35</v>
      </c>
      <c r="BM42" s="94" t="str">
        <f aca="false">IF(ISBLANK($C42),"",IF(ISNUMBER(BI42),BI42+ROW($B42)/1000,""))</f>
        <v/>
      </c>
      <c r="BN42" s="94" t="str">
        <f aca="false">IF(ISNUMBER(BM42),RANK(BM42,$BM$8:$BM$507,1),"")</f>
        <v/>
      </c>
      <c r="BO42" s="94" t="str">
        <f aca="false">IF(ISBLANK($C42),"",$B42)</f>
        <v/>
      </c>
      <c r="BP42" s="94" t="str">
        <f aca="false">IF(ISBLANK($C42),"",$C42)</f>
        <v/>
      </c>
      <c r="BQ42" s="94" t="str">
        <f aca="false">IF(ISBLANK($C42),"",$D42)</f>
        <v/>
      </c>
      <c r="BR42" s="95" t="str">
        <f aca="false">BF42</f>
        <v/>
      </c>
      <c r="BS42" s="96" t="str">
        <f aca="false">BE42</f>
        <v/>
      </c>
      <c r="BT42" s="94" t="str">
        <f aca="false">IF(ISBLANK($C42),"",BH42)</f>
        <v/>
      </c>
      <c r="BU42" s="97" t="str">
        <f aca="false">IF($BL42&gt;$BK$7,"",VLOOKUP($BL42,$BN$8:$BT$507,7,FALSE()))</f>
        <v/>
      </c>
      <c r="BV42" s="98" t="str">
        <f aca="false">IF($BL42&gt;$BK$7,"",VLOOKUP($BL42,$BN$8:$BT$507,2,FALSE()))</f>
        <v/>
      </c>
      <c r="BW42" s="98" t="str">
        <f aca="false">IF($BL42&gt;$BK$7,"",VLOOKUP($BL42,$BN$8:$BT$507,3,FALSE()))</f>
        <v/>
      </c>
      <c r="BX42" s="98" t="str">
        <f aca="false">IF($BL42&gt;$BK$7,"",VLOOKUP($BL42,$BN$8:$BT$507,4,FALSE()))</f>
        <v/>
      </c>
      <c r="BY42" s="98" t="str">
        <f aca="false">IF($BL42&gt;$BK$7,"",VLOOKUP($BL42,$BN$8:$BT$507,5,FALSE()))</f>
        <v/>
      </c>
      <c r="BZ42" s="99" t="str">
        <f aca="false">IF($BL42&gt;$BK$7,"",VLOOKUP($BL42,$BN$8:$BT$507,6,FALSE()))</f>
        <v/>
      </c>
      <c r="CA42" s="48"/>
    </row>
    <row r="43" customFormat="false" ht="15.75" hidden="false" customHeight="false" outlineLevel="0" collapsed="false">
      <c r="A43" s="5"/>
      <c r="B43" s="114"/>
      <c r="C43" s="115"/>
      <c r="D43" s="100"/>
      <c r="E43" s="120"/>
      <c r="F43" s="125"/>
      <c r="G43" s="82"/>
      <c r="H43" s="126"/>
      <c r="I43" s="127"/>
      <c r="J43" s="82"/>
      <c r="K43" s="126"/>
      <c r="L43" s="82"/>
      <c r="M43" s="126"/>
      <c r="N43" s="82"/>
      <c r="O43" s="126"/>
      <c r="P43" s="82"/>
      <c r="Q43" s="126"/>
      <c r="R43" s="82"/>
      <c r="S43" s="120"/>
      <c r="T43" s="86"/>
      <c r="U43" s="87" t="str">
        <f aca="false">IF(ISBLANK($C43),"",IF(E43=Constants!$B$2, TRUE(), IF(E43=Constants!$B$3, FALSE(), TRUE())))</f>
        <v/>
      </c>
      <c r="V43" s="87" t="str">
        <f aca="false">IF(ISBLANK($C43),"",IF(F43=Constants!$B$2, TRUE(), IF(F43=Constants!$B$3, FALSE(), TRUE())))</f>
        <v/>
      </c>
      <c r="W43" s="87" t="str">
        <f aca="false">IF(ISBLANK($C43),"",IF(G43=Constants!$B$15,Constants!$B$8,IF(G43=Constants!$B$16,Constants!$B$9,Constants!$B$10)))</f>
        <v/>
      </c>
      <c r="X43" s="87" t="str">
        <f aca="false">IF(ISBLANK($C43),"",IF(H43=Constants!$B$2, TRUE(), IF(H43=Constants!$B$3, FALSE(), TRUE())))</f>
        <v/>
      </c>
      <c r="Y43" s="87" t="str">
        <f aca="false">IF(ISBLANK($C43),"",IF(I43=Constants!$B$19,Constants!$B$19,Constants!$B$18))</f>
        <v/>
      </c>
      <c r="Z43" s="87" t="str">
        <f aca="false">IF(ISBLANK($C43),"",IF(ISNUMBER(J43),IF(J43&gt;=0,J43,""),""))</f>
        <v/>
      </c>
      <c r="AA43" s="87" t="str">
        <f aca="false">IF(ISBLANK($C43),"",IF(K43=Constants!$B$19,Constants!$B$19,Constants!$B$18))</f>
        <v/>
      </c>
      <c r="AB43" s="87" t="str">
        <f aca="false">IF(ISBLANK($C43),"",IF(ISNUMBER(L43),IF(L43&gt;=0,L43,""),""))</f>
        <v/>
      </c>
      <c r="AC43" s="87" t="str">
        <f aca="false">IF(ISBLANK($C43),"",IF(M43=Constants!$B$19,Constants!$B$19,Constants!$B$18))</f>
        <v/>
      </c>
      <c r="AD43" s="87" t="str">
        <f aca="false">IF(ISBLANK($C43),"",IF(ISNUMBER(N43),IF(N43&gt;=0,N43,""),""))</f>
        <v/>
      </c>
      <c r="AE43" s="87" t="str">
        <f aca="false">IF(ISBLANK($C43),"",IF(O43=Constants!$B$19,Constants!$B$19,Constants!$B$18))</f>
        <v/>
      </c>
      <c r="AF43" s="87" t="str">
        <f aca="false">IF(ISBLANK($C43),"",IF(ISNUMBER(P43),IF(P43&gt;=0,P43,""),""))</f>
        <v/>
      </c>
      <c r="AG43" s="87" t="str">
        <f aca="false">IF(ISBLANK($C43),"",IF(Q43=Constants!$B$19,Constants!$B$19,Constants!$B$18))</f>
        <v/>
      </c>
      <c r="AH43" s="87" t="str">
        <f aca="false">IF(ISBLANK($C43),"",IF(ISNUMBER(R43),IF(R43&gt;=0,R43,""),""))</f>
        <v/>
      </c>
      <c r="AI43" s="87" t="str">
        <f aca="false">IF(ISBLANK($C43),"",IF(S43=Constants!$B$2, TRUE(), IF(S43=Constants!$B$3, FALSE(), FALSE())))</f>
        <v/>
      </c>
      <c r="AJ43" s="87" t="str">
        <f aca="false">IF(ISBLANK($C43),"",IF(AI43,Constants!$B$4,IF(COUNTA(E43:R43)=0,Constants!$B$5,IF(COUNTA(J43,L43,N43,P43,R43)=0,Constants!$B$6,Constants!$B$7))))</f>
        <v/>
      </c>
      <c r="AK43" s="87" t="str">
        <f aca="false">IF(ISBLANK($C43),"",IF($AJ43&lt;&gt;Constants!$B$7,$AJ43,IF(OR(NOT(X43),AND(NOT(U43),COUNTIFS(Y43:AG43,Constants!$B$18,Z43:AH43,"&gt;=0")&gt;0),AND(NOT(V43),COUNTIFS(Y43:AG43,Constants!$B$19,Z43:AH43,"&gt;=0")&gt;0)),Constants!$B$12,Constants!$B$11)))</f>
        <v/>
      </c>
      <c r="AL43" s="87" t="str">
        <f aca="false">IF($AJ43=Constants!$B$7,IF(Z43="",Constants!$B$13,Z43),"")</f>
        <v/>
      </c>
      <c r="AM43" s="87" t="str">
        <f aca="false">IF($AJ43=Constants!$B$7,IF(AB43="",Constants!$B$13,AB43),"")</f>
        <v/>
      </c>
      <c r="AN43" s="87" t="str">
        <f aca="false">IF($AJ43=Constants!$B$7,IF(AD43="",Constants!$B$13,AD43),"")</f>
        <v/>
      </c>
      <c r="AO43" s="87" t="str">
        <f aca="false">IF($AJ43=Constants!$B$7,IF(AF43="",Constants!$B$13,AF43),"")</f>
        <v/>
      </c>
      <c r="AP43" s="87" t="str">
        <f aca="false">IF($AJ43=Constants!$B$7,IF(AH43="",Constants!$B$13,AH43),"")</f>
        <v/>
      </c>
      <c r="AQ43" s="87" t="str">
        <f aca="false">IF($AJ43=Constants!$B$7,IF(SUMPRODUCT(--($AL43:$AP43&gt;AL43))+SUMPRODUCT(--($AL43:AL43=AL43))=1,1,IF(SUMPRODUCT(--($AL43:$AP43&gt;AM43))+SUMPRODUCT(--($AL43:AM43=AM43))=1,2,IF(SUMPRODUCT(--($AL43:$AP43&gt;AN43))+SUMPRODUCT(--($AL43:AN43=AN43))=1,3,IF(SUMPRODUCT(--($AL43:$AP43&gt;AO43))+SUMPRODUCT(--($AL43:AO43=AO43))=1,4,5)))),"")</f>
        <v/>
      </c>
      <c r="AR43" s="87" t="str">
        <f aca="false">IF($AJ43=Constants!$B$7,IF(SUMPRODUCT(--($AL43:$AP43&gt;AL43))+SUMPRODUCT(--($AL43:AL43=AL43))=2,1,IF(SUMPRODUCT(--($AL43:$AP43&gt;AM43))+SUMPRODUCT(--($AL43:AM43=AM43))=2,2,IF(SUMPRODUCT(--($AL43:$AP43&gt;AN43))+SUMPRODUCT(--($AL43:AN43=AN43))=2,3,IF(SUMPRODUCT(--($AL43:$AP43&gt;AO43))+SUMPRODUCT(--($AL43:AO43=AO43))=2,4,5)))),"")</f>
        <v/>
      </c>
      <c r="AS43" s="87" t="str">
        <f aca="false">IF($AJ43=Constants!$B$7,IF(SUMPRODUCT(--($AL43:$AP43&gt;AL43))+SUMPRODUCT(--($AL43:AL43=AL43))=3,1,IF(SUMPRODUCT(--($AL43:$AP43&gt;AM43))+SUMPRODUCT(--($AL43:AM43=AM43))=3,2,IF(SUMPRODUCT(--($AL43:$AP43&gt;AN43))+SUMPRODUCT(--($AL43:AN43=AN43))=3,3,IF(SUMPRODUCT(--($AL43:$AP43&gt;AO43))+SUMPRODUCT(--($AL43:AO43=AO43))=3,4,5)))),"")</f>
        <v/>
      </c>
      <c r="AT43" s="87" t="str">
        <f aca="false">IF($AJ43=Constants!$B$7,LARGE(AL43:AP43,1)+LARGE(AL43:AP43,2)+LARGE(AL43:AP43,3),"")</f>
        <v/>
      </c>
      <c r="AU43" s="87" t="str">
        <f aca="false">IF(ISBLANK($C43),"",IF($AJ43&lt;&gt;Constants!$B$7,$AJ43,AT43*W43))</f>
        <v/>
      </c>
      <c r="AV43" s="87" t="str">
        <f aca="false">IF(ISBLANK($C43),"",IF($AJ43=Constants!$B$7,IF(ISNUMBER(AU43),RANK(AU43,$AU$8:$AU$507),Constants!$B$14),$AJ43))</f>
        <v/>
      </c>
      <c r="AW43" s="87" t="str">
        <f aca="false">IF(ISBLANK($C43),"",IF($AJ43=Constants!$B$7,IF(ISNUMBER(AV43),COUNTIFS($AK$8:$AK$507,"&lt;"&amp;$AK43)+COUNTIFS($AK$8:$AK$507,$AK43,$AV$8:$AV$507,"&lt;"&amp;$AV43)+1,Constants!$B$14),$AJ43))</f>
        <v/>
      </c>
      <c r="AX43" s="87" t="str">
        <f aca="false">IF(ISBLANK($C43),"",IF($AJ43=Constants!$B$7,LARGE(AL43:AP43,4)*W43,""))</f>
        <v/>
      </c>
      <c r="AY43" s="87" t="str">
        <f aca="false">IF(ISBLANK($C43),"",IF($AJ43=Constants!$B$7,RANK(AX43,$AX$8:$AX$507),$AJ43))</f>
        <v/>
      </c>
      <c r="AZ43" s="87" t="str">
        <f aca="false">IF(ISBLANK($C43),"",IF($AJ43=Constants!$B$7,IF(ISNUMBER(AV43),COUNTIFS($AK$8:$AK$507,"&lt;"&amp;$AK43)+COUNTIFS($AK$8:$AK$507,$AK43,$AV$8:$AV$507,"&lt;"&amp;$AV43)+COUNTIFS($AK$8:$AK$507,$AK43,$AV$8:$AV$507,$AV43,$AY$8:$AY$507,"&lt;"&amp;$AY43)+1,Constants!$B$14),$AJ43))</f>
        <v/>
      </c>
      <c r="BA43" s="87" t="str">
        <f aca="false">IF(ISBLANK($C43),"",IF($AJ43=Constants!$B$7,IF(ISNUMBER(AW43),AW43-AZ43,Constants!$B$14),$AJ43))</f>
        <v/>
      </c>
      <c r="BB43" s="88"/>
      <c r="BC43" s="89" t="str">
        <f aca="false">IF(ISBLANK($C43),"",IF($AJ43&lt;&gt;Constants!$B$7,$AJ43,SMALL(AQ43:AS43,1)&amp;", "&amp;SMALL(AQ43:AS43,2)&amp;", "&amp;SMALL(AQ43:AS43,3)))</f>
        <v/>
      </c>
      <c r="BD43" s="90" t="str">
        <f aca="false">IF(ISBLANK($C43),"",IF($AJ43&lt;&gt;Constants!$B$7,$AJ43,W43))</f>
        <v/>
      </c>
      <c r="BE43" s="91" t="str">
        <f aca="false">IF(ISBLANK($C43),"",IF($AJ43&lt;&gt;Constants!$B$7,$AJ43,AU43))</f>
        <v/>
      </c>
      <c r="BF43" s="92" t="str">
        <f aca="false">IF(ISBLANK($C43),"",IF($AJ43&lt;&gt;Constants!$B$7,$AJ43,AK43))</f>
        <v/>
      </c>
      <c r="BG43" s="90" t="str">
        <f aca="false">IF(ISBLANK($C43),"",BA43)</f>
        <v/>
      </c>
      <c r="BH43" s="90" t="str">
        <f aca="false">IF(ISBLANK($C43),"",AZ43)</f>
        <v/>
      </c>
      <c r="BI43" s="93" t="str">
        <f aca="false">IF(ISBLANK($C43),"",IF(BH43=Constants!$B$4,COUNTA($C$8:$C$507)+2,IF(BH43=Constants!$B$5,COUNTA($C$8:$C$507)+1,IF(BH43=Constants!$B$6,COUNTA($C$8:$C$507),BH43))))</f>
        <v/>
      </c>
      <c r="BJ43" s="5"/>
      <c r="BK43" s="94" t="n">
        <f aca="false">IF(OR(ISNUMBER(BH43),BH43=Constants!$B$4,BH43=Constants!$B$6,BH43=Constants!$B$5),1,0)</f>
        <v>0</v>
      </c>
      <c r="BL43" s="94" t="n">
        <v>36</v>
      </c>
      <c r="BM43" s="94" t="str">
        <f aca="false">IF(ISBLANK($C43),"",IF(ISNUMBER(BI43),BI43+ROW($B43)/1000,""))</f>
        <v/>
      </c>
      <c r="BN43" s="94" t="str">
        <f aca="false">IF(ISNUMBER(BM43),RANK(BM43,$BM$8:$BM$507,1),"")</f>
        <v/>
      </c>
      <c r="BO43" s="94" t="str">
        <f aca="false">IF(ISBLANK($C43),"",$B43)</f>
        <v/>
      </c>
      <c r="BP43" s="94" t="str">
        <f aca="false">IF(ISBLANK($C43),"",$C43)</f>
        <v/>
      </c>
      <c r="BQ43" s="94" t="str">
        <f aca="false">IF(ISBLANK($C43),"",$D43)</f>
        <v/>
      </c>
      <c r="BR43" s="95" t="str">
        <f aca="false">BF43</f>
        <v/>
      </c>
      <c r="BS43" s="96" t="str">
        <f aca="false">BE43</f>
        <v/>
      </c>
      <c r="BT43" s="94" t="str">
        <f aca="false">IF(ISBLANK($C43),"",BH43)</f>
        <v/>
      </c>
      <c r="BU43" s="97" t="str">
        <f aca="false">IF($BL43&gt;$BK$7,"",VLOOKUP($BL43,$BN$8:$BT$507,7,FALSE()))</f>
        <v/>
      </c>
      <c r="BV43" s="98" t="str">
        <f aca="false">IF($BL43&gt;$BK$7,"",VLOOKUP($BL43,$BN$8:$BT$507,2,FALSE()))</f>
        <v/>
      </c>
      <c r="BW43" s="98" t="str">
        <f aca="false">IF($BL43&gt;$BK$7,"",VLOOKUP($BL43,$BN$8:$BT$507,3,FALSE()))</f>
        <v/>
      </c>
      <c r="BX43" s="98" t="str">
        <f aca="false">IF($BL43&gt;$BK$7,"",VLOOKUP($BL43,$BN$8:$BT$507,4,FALSE()))</f>
        <v/>
      </c>
      <c r="BY43" s="98" t="str">
        <f aca="false">IF($BL43&gt;$BK$7,"",VLOOKUP($BL43,$BN$8:$BT$507,5,FALSE()))</f>
        <v/>
      </c>
      <c r="BZ43" s="99" t="str">
        <f aca="false">IF($BL43&gt;$BK$7,"",VLOOKUP($BL43,$BN$8:$BT$507,6,FALSE()))</f>
        <v/>
      </c>
      <c r="CA43" s="48"/>
    </row>
    <row r="44" customFormat="false" ht="15.75" hidden="false" customHeight="false" outlineLevel="0" collapsed="false">
      <c r="A44" s="5"/>
      <c r="B44" s="121"/>
      <c r="C44" s="50"/>
      <c r="D44" s="51"/>
      <c r="E44" s="74"/>
      <c r="F44" s="122"/>
      <c r="G44" s="54"/>
      <c r="H44" s="123"/>
      <c r="I44" s="124"/>
      <c r="J44" s="54"/>
      <c r="K44" s="123"/>
      <c r="L44" s="54"/>
      <c r="M44" s="123"/>
      <c r="N44" s="54"/>
      <c r="O44" s="123"/>
      <c r="P44" s="54"/>
      <c r="Q44" s="123"/>
      <c r="R44" s="54"/>
      <c r="S44" s="74"/>
      <c r="T44" s="58"/>
      <c r="U44" s="59" t="str">
        <f aca="false">IF(ISBLANK($C44),"",IF(E44=Constants!$B$2, TRUE(), IF(E44=Constants!$B$3, FALSE(), TRUE())))</f>
        <v/>
      </c>
      <c r="V44" s="59" t="str">
        <f aca="false">IF(ISBLANK($C44),"",IF(F44=Constants!$B$2, TRUE(), IF(F44=Constants!$B$3, FALSE(), TRUE())))</f>
        <v/>
      </c>
      <c r="W44" s="59" t="str">
        <f aca="false">IF(ISBLANK($C44),"",IF(G44=Constants!$B$15,Constants!$B$8,IF(G44=Constants!$B$16,Constants!$B$9,Constants!$B$10)))</f>
        <v/>
      </c>
      <c r="X44" s="59" t="str">
        <f aca="false">IF(ISBLANK($C44),"",IF(H44=Constants!$B$2, TRUE(), IF(H44=Constants!$B$3, FALSE(), TRUE())))</f>
        <v/>
      </c>
      <c r="Y44" s="59" t="str">
        <f aca="false">IF(ISBLANK($C44),"",IF(I44=Constants!$B$19,Constants!$B$19,Constants!$B$18))</f>
        <v/>
      </c>
      <c r="Z44" s="59" t="str">
        <f aca="false">IF(ISBLANK($C44),"",IF(ISNUMBER(J44),IF(J44&gt;=0,J44,""),""))</f>
        <v/>
      </c>
      <c r="AA44" s="59" t="str">
        <f aca="false">IF(ISBLANK($C44),"",IF(K44=Constants!$B$19,Constants!$B$19,Constants!$B$18))</f>
        <v/>
      </c>
      <c r="AB44" s="59" t="str">
        <f aca="false">IF(ISBLANK($C44),"",IF(ISNUMBER(L44),IF(L44&gt;=0,L44,""),""))</f>
        <v/>
      </c>
      <c r="AC44" s="59" t="str">
        <f aca="false">IF(ISBLANK($C44),"",IF(M44=Constants!$B$19,Constants!$B$19,Constants!$B$18))</f>
        <v/>
      </c>
      <c r="AD44" s="59" t="str">
        <f aca="false">IF(ISBLANK($C44),"",IF(ISNUMBER(N44),IF(N44&gt;=0,N44,""),""))</f>
        <v/>
      </c>
      <c r="AE44" s="59" t="str">
        <f aca="false">IF(ISBLANK($C44),"",IF(O44=Constants!$B$19,Constants!$B$19,Constants!$B$18))</f>
        <v/>
      </c>
      <c r="AF44" s="59" t="str">
        <f aca="false">IF(ISBLANK($C44),"",IF(ISNUMBER(P44),IF(P44&gt;=0,P44,""),""))</f>
        <v/>
      </c>
      <c r="AG44" s="59" t="str">
        <f aca="false">IF(ISBLANK($C44),"",IF(Q44=Constants!$B$19,Constants!$B$19,Constants!$B$18))</f>
        <v/>
      </c>
      <c r="AH44" s="59" t="str">
        <f aca="false">IF(ISBLANK($C44),"",IF(ISNUMBER(R44),IF(R44&gt;=0,R44,""),""))</f>
        <v/>
      </c>
      <c r="AI44" s="59" t="str">
        <f aca="false">IF(ISBLANK($C44),"",IF(S44=Constants!$B$2, TRUE(), IF(S44=Constants!$B$3, FALSE(), FALSE())))</f>
        <v/>
      </c>
      <c r="AJ44" s="59" t="str">
        <f aca="false">IF(ISBLANK($C44),"",IF(AI44,Constants!$B$4,IF(COUNTA(E44:R44)=0,Constants!$B$5,IF(COUNTA(J44,L44,N44,P44,R44)=0,Constants!$B$6,Constants!$B$7))))</f>
        <v/>
      </c>
      <c r="AK44" s="59" t="str">
        <f aca="false">IF(ISBLANK($C44),"",IF($AJ44&lt;&gt;Constants!$B$7,$AJ44,IF(OR(NOT(X44),AND(NOT(U44),COUNTIFS(Y44:AG44,Constants!$B$18,Z44:AH44,"&gt;=0")&gt;0),AND(NOT(V44),COUNTIFS(Y44:AG44,Constants!$B$19,Z44:AH44,"&gt;=0")&gt;0)),Constants!$B$12,Constants!$B$11)))</f>
        <v/>
      </c>
      <c r="AL44" s="59" t="str">
        <f aca="false">IF($AJ44=Constants!$B$7,IF(Z44="",Constants!$B$13,Z44),"")</f>
        <v/>
      </c>
      <c r="AM44" s="59" t="str">
        <f aca="false">IF($AJ44=Constants!$B$7,IF(AB44="",Constants!$B$13,AB44),"")</f>
        <v/>
      </c>
      <c r="AN44" s="59" t="str">
        <f aca="false">IF($AJ44=Constants!$B$7,IF(AD44="",Constants!$B$13,AD44),"")</f>
        <v/>
      </c>
      <c r="AO44" s="59" t="str">
        <f aca="false">IF($AJ44=Constants!$B$7,IF(AF44="",Constants!$B$13,AF44),"")</f>
        <v/>
      </c>
      <c r="AP44" s="59" t="str">
        <f aca="false">IF($AJ44=Constants!$B$7,IF(AH44="",Constants!$B$13,AH44),"")</f>
        <v/>
      </c>
      <c r="AQ44" s="59" t="str">
        <f aca="false">IF($AJ44=Constants!$B$7,IF(SUMPRODUCT(--($AL44:$AP44&gt;AL44))+SUMPRODUCT(--($AL44:AL44=AL44))=1,1,IF(SUMPRODUCT(--($AL44:$AP44&gt;AM44))+SUMPRODUCT(--($AL44:AM44=AM44))=1,2,IF(SUMPRODUCT(--($AL44:$AP44&gt;AN44))+SUMPRODUCT(--($AL44:AN44=AN44))=1,3,IF(SUMPRODUCT(--($AL44:$AP44&gt;AO44))+SUMPRODUCT(--($AL44:AO44=AO44))=1,4,5)))),"")</f>
        <v/>
      </c>
      <c r="AR44" s="59" t="str">
        <f aca="false">IF($AJ44=Constants!$B$7,IF(SUMPRODUCT(--($AL44:$AP44&gt;AL44))+SUMPRODUCT(--($AL44:AL44=AL44))=2,1,IF(SUMPRODUCT(--($AL44:$AP44&gt;AM44))+SUMPRODUCT(--($AL44:AM44=AM44))=2,2,IF(SUMPRODUCT(--($AL44:$AP44&gt;AN44))+SUMPRODUCT(--($AL44:AN44=AN44))=2,3,IF(SUMPRODUCT(--($AL44:$AP44&gt;AO44))+SUMPRODUCT(--($AL44:AO44=AO44))=2,4,5)))),"")</f>
        <v/>
      </c>
      <c r="AS44" s="59" t="str">
        <f aca="false">IF($AJ44=Constants!$B$7,IF(SUMPRODUCT(--($AL44:$AP44&gt;AL44))+SUMPRODUCT(--($AL44:AL44=AL44))=3,1,IF(SUMPRODUCT(--($AL44:$AP44&gt;AM44))+SUMPRODUCT(--($AL44:AM44=AM44))=3,2,IF(SUMPRODUCT(--($AL44:$AP44&gt;AN44))+SUMPRODUCT(--($AL44:AN44=AN44))=3,3,IF(SUMPRODUCT(--($AL44:$AP44&gt;AO44))+SUMPRODUCT(--($AL44:AO44=AO44))=3,4,5)))),"")</f>
        <v/>
      </c>
      <c r="AT44" s="59" t="str">
        <f aca="false">IF($AJ44=Constants!$B$7,LARGE(AL44:AP44,1)+LARGE(AL44:AP44,2)+LARGE(AL44:AP44,3),"")</f>
        <v/>
      </c>
      <c r="AU44" s="59" t="str">
        <f aca="false">IF(ISBLANK($C44),"",IF($AJ44&lt;&gt;Constants!$B$7,$AJ44,AT44*W44))</f>
        <v/>
      </c>
      <c r="AV44" s="59" t="str">
        <f aca="false">IF(ISBLANK($C44),"",IF($AJ44=Constants!$B$7,IF(ISNUMBER(AU44),RANK(AU44,$AU$8:$AU$507),Constants!$B$14),$AJ44))</f>
        <v/>
      </c>
      <c r="AW44" s="59" t="str">
        <f aca="false">IF(ISBLANK($C44),"",IF($AJ44=Constants!$B$7,IF(ISNUMBER(AV44),COUNTIFS($AK$8:$AK$507,"&lt;"&amp;$AK44)+COUNTIFS($AK$8:$AK$507,$AK44,$AV$8:$AV$507,"&lt;"&amp;$AV44)+1,Constants!$B$14),$AJ44))</f>
        <v/>
      </c>
      <c r="AX44" s="59" t="str">
        <f aca="false">IF(ISBLANK($C44),"",IF($AJ44=Constants!$B$7,LARGE(AL44:AP44,4)*W44,""))</f>
        <v/>
      </c>
      <c r="AY44" s="59" t="str">
        <f aca="false">IF(ISBLANK($C44),"",IF($AJ44=Constants!$B$7,RANK(AX44,$AX$8:$AX$507),$AJ44))</f>
        <v/>
      </c>
      <c r="AZ44" s="59" t="str">
        <f aca="false">IF(ISBLANK($C44),"",IF($AJ44=Constants!$B$7,IF(ISNUMBER(AV44),COUNTIFS($AK$8:$AK$507,"&lt;"&amp;$AK44)+COUNTIFS($AK$8:$AK$507,$AK44,$AV$8:$AV$507,"&lt;"&amp;$AV44)+COUNTIFS($AK$8:$AK$507,$AK44,$AV$8:$AV$507,$AV44,$AY$8:$AY$507,"&lt;"&amp;$AY44)+1,Constants!$B$14),$AJ44))</f>
        <v/>
      </c>
      <c r="BA44" s="59" t="str">
        <f aca="false">IF(ISBLANK($C44),"",IF($AJ44=Constants!$B$7,IF(ISNUMBER(AW44),AW44-AZ44,Constants!$B$14),$AJ44))</f>
        <v/>
      </c>
      <c r="BB44" s="61"/>
      <c r="BC44" s="62" t="str">
        <f aca="false">IF(ISBLANK($C44),"",IF($AJ44&lt;&gt;Constants!$B$7,$AJ44,SMALL(AQ44:AS44,1)&amp;", "&amp;SMALL(AQ44:AS44,2)&amp;", "&amp;SMALL(AQ44:AS44,3)))</f>
        <v/>
      </c>
      <c r="BD44" s="63" t="str">
        <f aca="false">IF(ISBLANK($C44),"",IF($AJ44&lt;&gt;Constants!$B$7,$AJ44,W44))</f>
        <v/>
      </c>
      <c r="BE44" s="64" t="str">
        <f aca="false">IF(ISBLANK($C44),"",IF($AJ44&lt;&gt;Constants!$B$7,$AJ44,AU44))</f>
        <v/>
      </c>
      <c r="BF44" s="65" t="str">
        <f aca="false">IF(ISBLANK($C44),"",IF($AJ44&lt;&gt;Constants!$B$7,$AJ44,AK44))</f>
        <v/>
      </c>
      <c r="BG44" s="63" t="str">
        <f aca="false">IF(ISBLANK($C44),"",BA44)</f>
        <v/>
      </c>
      <c r="BH44" s="63" t="str">
        <f aca="false">IF(ISBLANK($C44),"",AZ44)</f>
        <v/>
      </c>
      <c r="BI44" s="66" t="str">
        <f aca="false">IF(ISBLANK($C44),"",IF(BH44=Constants!$B$4,COUNTA($C$8:$C$507)+2,IF(BH44=Constants!$B$5,COUNTA($C$8:$C$507)+1,IF(BH44=Constants!$B$6,COUNTA($C$8:$C$507),BH44))))</f>
        <v/>
      </c>
      <c r="BJ44" s="5"/>
      <c r="BK44" s="67" t="n">
        <f aca="false">IF(OR(ISNUMBER(BH44),BH44=Constants!$B$4,BH44=Constants!$B$6,BH44=Constants!$B$5),1,0)</f>
        <v>0</v>
      </c>
      <c r="BL44" s="67" t="n">
        <v>37</v>
      </c>
      <c r="BM44" s="67" t="str">
        <f aca="false">IF(ISBLANK($C44),"",IF(ISNUMBER(BI44),BI44+ROW($B44)/1000,""))</f>
        <v/>
      </c>
      <c r="BN44" s="67" t="str">
        <f aca="false">IF(ISNUMBER(BM44),RANK(BM44,$BM$8:$BM$507,1),"")</f>
        <v/>
      </c>
      <c r="BO44" s="67" t="str">
        <f aca="false">IF(ISBLANK($C44),"",$B44)</f>
        <v/>
      </c>
      <c r="BP44" s="67" t="str">
        <f aca="false">IF(ISBLANK($C44),"",$C44)</f>
        <v/>
      </c>
      <c r="BQ44" s="67" t="str">
        <f aca="false">IF(ISBLANK($C44),"",$D44)</f>
        <v/>
      </c>
      <c r="BR44" s="68" t="str">
        <f aca="false">BF44</f>
        <v/>
      </c>
      <c r="BS44" s="69" t="str">
        <f aca="false">BE44</f>
        <v/>
      </c>
      <c r="BT44" s="67" t="str">
        <f aca="false">IF(ISBLANK($C44),"",BH44)</f>
        <v/>
      </c>
      <c r="BU44" s="70" t="str">
        <f aca="false">IF($BL44&gt;$BK$7,"",VLOOKUP($BL44,$BN$8:$BT$507,7,FALSE()))</f>
        <v/>
      </c>
      <c r="BV44" s="71" t="str">
        <f aca="false">IF($BL44&gt;$BK$7,"",VLOOKUP($BL44,$BN$8:$BT$507,2,FALSE()))</f>
        <v/>
      </c>
      <c r="BW44" s="71" t="str">
        <f aca="false">IF($BL44&gt;$BK$7,"",VLOOKUP($BL44,$BN$8:$BT$507,3,FALSE()))</f>
        <v/>
      </c>
      <c r="BX44" s="71" t="str">
        <f aca="false">IF($BL44&gt;$BK$7,"",VLOOKUP($BL44,$BN$8:$BT$507,4,FALSE()))</f>
        <v/>
      </c>
      <c r="BY44" s="71" t="str">
        <f aca="false">IF($BL44&gt;$BK$7,"",VLOOKUP($BL44,$BN$8:$BT$507,5,FALSE()))</f>
        <v/>
      </c>
      <c r="BZ44" s="72" t="str">
        <f aca="false">IF($BL44&gt;$BK$7,"",VLOOKUP($BL44,$BN$8:$BT$507,6,FALSE()))</f>
        <v/>
      </c>
      <c r="CA44" s="48"/>
    </row>
    <row r="45" customFormat="false" ht="15.75" hidden="false" customHeight="false" outlineLevel="0" collapsed="false">
      <c r="A45" s="5"/>
      <c r="B45" s="121"/>
      <c r="C45" s="50"/>
      <c r="D45" s="51"/>
      <c r="E45" s="74"/>
      <c r="F45" s="122"/>
      <c r="G45" s="54"/>
      <c r="H45" s="123"/>
      <c r="I45" s="124"/>
      <c r="J45" s="54"/>
      <c r="K45" s="123"/>
      <c r="L45" s="54"/>
      <c r="M45" s="123"/>
      <c r="N45" s="54"/>
      <c r="O45" s="123"/>
      <c r="P45" s="54"/>
      <c r="Q45" s="123"/>
      <c r="R45" s="54"/>
      <c r="S45" s="74"/>
      <c r="T45" s="58"/>
      <c r="U45" s="59" t="str">
        <f aca="false">IF(ISBLANK($C45),"",IF(E45=Constants!$B$2, TRUE(), IF(E45=Constants!$B$3, FALSE(), TRUE())))</f>
        <v/>
      </c>
      <c r="V45" s="59" t="str">
        <f aca="false">IF(ISBLANK($C45),"",IF(F45=Constants!$B$2, TRUE(), IF(F45=Constants!$B$3, FALSE(), TRUE())))</f>
        <v/>
      </c>
      <c r="W45" s="59" t="str">
        <f aca="false">IF(ISBLANK($C45),"",IF(G45=Constants!$B$15,Constants!$B$8,IF(G45=Constants!$B$16,Constants!$B$9,Constants!$B$10)))</f>
        <v/>
      </c>
      <c r="X45" s="59" t="str">
        <f aca="false">IF(ISBLANK($C45),"",IF(H45=Constants!$B$2, TRUE(), IF(H45=Constants!$B$3, FALSE(), TRUE())))</f>
        <v/>
      </c>
      <c r="Y45" s="59" t="str">
        <f aca="false">IF(ISBLANK($C45),"",IF(I45=Constants!$B$19,Constants!$B$19,Constants!$B$18))</f>
        <v/>
      </c>
      <c r="Z45" s="59" t="str">
        <f aca="false">IF(ISBLANK($C45),"",IF(ISNUMBER(J45),IF(J45&gt;=0,J45,""),""))</f>
        <v/>
      </c>
      <c r="AA45" s="59" t="str">
        <f aca="false">IF(ISBLANK($C45),"",IF(K45=Constants!$B$19,Constants!$B$19,Constants!$B$18))</f>
        <v/>
      </c>
      <c r="AB45" s="59" t="str">
        <f aca="false">IF(ISBLANK($C45),"",IF(ISNUMBER(L45),IF(L45&gt;=0,L45,""),""))</f>
        <v/>
      </c>
      <c r="AC45" s="59" t="str">
        <f aca="false">IF(ISBLANK($C45),"",IF(M45=Constants!$B$19,Constants!$B$19,Constants!$B$18))</f>
        <v/>
      </c>
      <c r="AD45" s="59" t="str">
        <f aca="false">IF(ISBLANK($C45),"",IF(ISNUMBER(N45),IF(N45&gt;=0,N45,""),""))</f>
        <v/>
      </c>
      <c r="AE45" s="59" t="str">
        <f aca="false">IF(ISBLANK($C45),"",IF(O45=Constants!$B$19,Constants!$B$19,Constants!$B$18))</f>
        <v/>
      </c>
      <c r="AF45" s="59" t="str">
        <f aca="false">IF(ISBLANK($C45),"",IF(ISNUMBER(P45),IF(P45&gt;=0,P45,""),""))</f>
        <v/>
      </c>
      <c r="AG45" s="59" t="str">
        <f aca="false">IF(ISBLANK($C45),"",IF(Q45=Constants!$B$19,Constants!$B$19,Constants!$B$18))</f>
        <v/>
      </c>
      <c r="AH45" s="59" t="str">
        <f aca="false">IF(ISBLANK($C45),"",IF(ISNUMBER(R45),IF(R45&gt;=0,R45,""),""))</f>
        <v/>
      </c>
      <c r="AI45" s="59" t="str">
        <f aca="false">IF(ISBLANK($C45),"",IF(S45=Constants!$B$2, TRUE(), IF(S45=Constants!$B$3, FALSE(), FALSE())))</f>
        <v/>
      </c>
      <c r="AJ45" s="59" t="str">
        <f aca="false">IF(ISBLANK($C45),"",IF(AI45,Constants!$B$4,IF(COUNTA(E45:R45)=0,Constants!$B$5,IF(COUNTA(J45,L45,N45,P45,R45)=0,Constants!$B$6,Constants!$B$7))))</f>
        <v/>
      </c>
      <c r="AK45" s="59" t="str">
        <f aca="false">IF(ISBLANK($C45),"",IF($AJ45&lt;&gt;Constants!$B$7,$AJ45,IF(OR(NOT(X45),AND(NOT(U45),COUNTIFS(Y45:AG45,Constants!$B$18,Z45:AH45,"&gt;=0")&gt;0),AND(NOT(V45),COUNTIFS(Y45:AG45,Constants!$B$19,Z45:AH45,"&gt;=0")&gt;0)),Constants!$B$12,Constants!$B$11)))</f>
        <v/>
      </c>
      <c r="AL45" s="59" t="str">
        <f aca="false">IF($AJ45=Constants!$B$7,IF(Z45="",Constants!$B$13,Z45),"")</f>
        <v/>
      </c>
      <c r="AM45" s="59" t="str">
        <f aca="false">IF($AJ45=Constants!$B$7,IF(AB45="",Constants!$B$13,AB45),"")</f>
        <v/>
      </c>
      <c r="AN45" s="59" t="str">
        <f aca="false">IF($AJ45=Constants!$B$7,IF(AD45="",Constants!$B$13,AD45),"")</f>
        <v/>
      </c>
      <c r="AO45" s="59" t="str">
        <f aca="false">IF($AJ45=Constants!$B$7,IF(AF45="",Constants!$B$13,AF45),"")</f>
        <v/>
      </c>
      <c r="AP45" s="59" t="str">
        <f aca="false">IF($AJ45=Constants!$B$7,IF(AH45="",Constants!$B$13,AH45),"")</f>
        <v/>
      </c>
      <c r="AQ45" s="59" t="str">
        <f aca="false">IF($AJ45=Constants!$B$7,IF(SUMPRODUCT(--($AL45:$AP45&gt;AL45))+SUMPRODUCT(--($AL45:AL45=AL45))=1,1,IF(SUMPRODUCT(--($AL45:$AP45&gt;AM45))+SUMPRODUCT(--($AL45:AM45=AM45))=1,2,IF(SUMPRODUCT(--($AL45:$AP45&gt;AN45))+SUMPRODUCT(--($AL45:AN45=AN45))=1,3,IF(SUMPRODUCT(--($AL45:$AP45&gt;AO45))+SUMPRODUCT(--($AL45:AO45=AO45))=1,4,5)))),"")</f>
        <v/>
      </c>
      <c r="AR45" s="59" t="str">
        <f aca="false">IF($AJ45=Constants!$B$7,IF(SUMPRODUCT(--($AL45:$AP45&gt;AL45))+SUMPRODUCT(--($AL45:AL45=AL45))=2,1,IF(SUMPRODUCT(--($AL45:$AP45&gt;AM45))+SUMPRODUCT(--($AL45:AM45=AM45))=2,2,IF(SUMPRODUCT(--($AL45:$AP45&gt;AN45))+SUMPRODUCT(--($AL45:AN45=AN45))=2,3,IF(SUMPRODUCT(--($AL45:$AP45&gt;AO45))+SUMPRODUCT(--($AL45:AO45=AO45))=2,4,5)))),"")</f>
        <v/>
      </c>
      <c r="AS45" s="59" t="str">
        <f aca="false">IF($AJ45=Constants!$B$7,IF(SUMPRODUCT(--($AL45:$AP45&gt;AL45))+SUMPRODUCT(--($AL45:AL45=AL45))=3,1,IF(SUMPRODUCT(--($AL45:$AP45&gt;AM45))+SUMPRODUCT(--($AL45:AM45=AM45))=3,2,IF(SUMPRODUCT(--($AL45:$AP45&gt;AN45))+SUMPRODUCT(--($AL45:AN45=AN45))=3,3,IF(SUMPRODUCT(--($AL45:$AP45&gt;AO45))+SUMPRODUCT(--($AL45:AO45=AO45))=3,4,5)))),"")</f>
        <v/>
      </c>
      <c r="AT45" s="59" t="str">
        <f aca="false">IF($AJ45=Constants!$B$7,LARGE(AL45:AP45,1)+LARGE(AL45:AP45,2)+LARGE(AL45:AP45,3),"")</f>
        <v/>
      </c>
      <c r="AU45" s="59" t="str">
        <f aca="false">IF(ISBLANK($C45),"",IF($AJ45&lt;&gt;Constants!$B$7,$AJ45,AT45*W45))</f>
        <v/>
      </c>
      <c r="AV45" s="59" t="str">
        <f aca="false">IF(ISBLANK($C45),"",IF($AJ45=Constants!$B$7,IF(ISNUMBER(AU45),RANK(AU45,$AU$8:$AU$507),Constants!$B$14),$AJ45))</f>
        <v/>
      </c>
      <c r="AW45" s="59" t="str">
        <f aca="false">IF(ISBLANK($C45),"",IF($AJ45=Constants!$B$7,IF(ISNUMBER(AV45),COUNTIFS($AK$8:$AK$507,"&lt;"&amp;$AK45)+COUNTIFS($AK$8:$AK$507,$AK45,$AV$8:$AV$507,"&lt;"&amp;$AV45)+1,Constants!$B$14),$AJ45))</f>
        <v/>
      </c>
      <c r="AX45" s="59" t="str">
        <f aca="false">IF(ISBLANK($C45),"",IF($AJ45=Constants!$B$7,LARGE(AL45:AP45,4)*W45,""))</f>
        <v/>
      </c>
      <c r="AY45" s="59" t="str">
        <f aca="false">IF(ISBLANK($C45),"",IF($AJ45=Constants!$B$7,RANK(AX45,$AX$8:$AX$507),$AJ45))</f>
        <v/>
      </c>
      <c r="AZ45" s="59" t="str">
        <f aca="false">IF(ISBLANK($C45),"",IF($AJ45=Constants!$B$7,IF(ISNUMBER(AV45),COUNTIFS($AK$8:$AK$507,"&lt;"&amp;$AK45)+COUNTIFS($AK$8:$AK$507,$AK45,$AV$8:$AV$507,"&lt;"&amp;$AV45)+COUNTIFS($AK$8:$AK$507,$AK45,$AV$8:$AV$507,$AV45,$AY$8:$AY$507,"&lt;"&amp;$AY45)+1,Constants!$B$14),$AJ45))</f>
        <v/>
      </c>
      <c r="BA45" s="59" t="str">
        <f aca="false">IF(ISBLANK($C45),"",IF($AJ45=Constants!$B$7,IF(ISNUMBER(AW45),AW45-AZ45,Constants!$B$14),$AJ45))</f>
        <v/>
      </c>
      <c r="BB45" s="61"/>
      <c r="BC45" s="62" t="str">
        <f aca="false">IF(ISBLANK($C45),"",IF($AJ45&lt;&gt;Constants!$B$7,$AJ45,SMALL(AQ45:AS45,1)&amp;", "&amp;SMALL(AQ45:AS45,2)&amp;", "&amp;SMALL(AQ45:AS45,3)))</f>
        <v/>
      </c>
      <c r="BD45" s="63" t="str">
        <f aca="false">IF(ISBLANK($C45),"",IF($AJ45&lt;&gt;Constants!$B$7,$AJ45,W45))</f>
        <v/>
      </c>
      <c r="BE45" s="64" t="str">
        <f aca="false">IF(ISBLANK($C45),"",IF($AJ45&lt;&gt;Constants!$B$7,$AJ45,AU45))</f>
        <v/>
      </c>
      <c r="BF45" s="65" t="str">
        <f aca="false">IF(ISBLANK($C45),"",IF($AJ45&lt;&gt;Constants!$B$7,$AJ45,AK45))</f>
        <v/>
      </c>
      <c r="BG45" s="63" t="str">
        <f aca="false">IF(ISBLANK($C45),"",BA45)</f>
        <v/>
      </c>
      <c r="BH45" s="63" t="str">
        <f aca="false">IF(ISBLANK($C45),"",AZ45)</f>
        <v/>
      </c>
      <c r="BI45" s="66" t="str">
        <f aca="false">IF(ISBLANK($C45),"",IF(BH45=Constants!$B$4,COUNTA($C$8:$C$507)+2,IF(BH45=Constants!$B$5,COUNTA($C$8:$C$507)+1,IF(BH45=Constants!$B$6,COUNTA($C$8:$C$507),BH45))))</f>
        <v/>
      </c>
      <c r="BJ45" s="5"/>
      <c r="BK45" s="67" t="n">
        <f aca="false">IF(OR(ISNUMBER(BH45),BH45=Constants!$B$4,BH45=Constants!$B$6,BH45=Constants!$B$5),1,0)</f>
        <v>0</v>
      </c>
      <c r="BL45" s="67" t="n">
        <v>38</v>
      </c>
      <c r="BM45" s="67" t="str">
        <f aca="false">IF(ISBLANK($C45),"",IF(ISNUMBER(BI45),BI45+ROW($B45)/1000,""))</f>
        <v/>
      </c>
      <c r="BN45" s="67" t="str">
        <f aca="false">IF(ISNUMBER(BM45),RANK(BM45,$BM$8:$BM$507,1),"")</f>
        <v/>
      </c>
      <c r="BO45" s="67" t="str">
        <f aca="false">IF(ISBLANK($C45),"",$B45)</f>
        <v/>
      </c>
      <c r="BP45" s="67" t="str">
        <f aca="false">IF(ISBLANK($C45),"",$C45)</f>
        <v/>
      </c>
      <c r="BQ45" s="67" t="str">
        <f aca="false">IF(ISBLANK($C45),"",$D45)</f>
        <v/>
      </c>
      <c r="BR45" s="68" t="str">
        <f aca="false">BF45</f>
        <v/>
      </c>
      <c r="BS45" s="69" t="str">
        <f aca="false">BE45</f>
        <v/>
      </c>
      <c r="BT45" s="67" t="str">
        <f aca="false">IF(ISBLANK($C45),"",BH45)</f>
        <v/>
      </c>
      <c r="BU45" s="70" t="str">
        <f aca="false">IF($BL45&gt;$BK$7,"",VLOOKUP($BL45,$BN$8:$BT$507,7,FALSE()))</f>
        <v/>
      </c>
      <c r="BV45" s="71" t="str">
        <f aca="false">IF($BL45&gt;$BK$7,"",VLOOKUP($BL45,$BN$8:$BT$507,2,FALSE()))</f>
        <v/>
      </c>
      <c r="BW45" s="71" t="str">
        <f aca="false">IF($BL45&gt;$BK$7,"",VLOOKUP($BL45,$BN$8:$BT$507,3,FALSE()))</f>
        <v/>
      </c>
      <c r="BX45" s="71" t="str">
        <f aca="false">IF($BL45&gt;$BK$7,"",VLOOKUP($BL45,$BN$8:$BT$507,4,FALSE()))</f>
        <v/>
      </c>
      <c r="BY45" s="71" t="str">
        <f aca="false">IF($BL45&gt;$BK$7,"",VLOOKUP($BL45,$BN$8:$BT$507,5,FALSE()))</f>
        <v/>
      </c>
      <c r="BZ45" s="72" t="str">
        <f aca="false">IF($BL45&gt;$BK$7,"",VLOOKUP($BL45,$BN$8:$BT$507,6,FALSE()))</f>
        <v/>
      </c>
      <c r="CA45" s="48"/>
    </row>
    <row r="46" customFormat="false" ht="15.75" hidden="false" customHeight="false" outlineLevel="0" collapsed="false">
      <c r="A46" s="5"/>
      <c r="B46" s="121"/>
      <c r="C46" s="50"/>
      <c r="D46" s="51"/>
      <c r="E46" s="74"/>
      <c r="F46" s="122"/>
      <c r="G46" s="54"/>
      <c r="H46" s="123"/>
      <c r="I46" s="124"/>
      <c r="J46" s="54"/>
      <c r="K46" s="123"/>
      <c r="L46" s="54"/>
      <c r="M46" s="123"/>
      <c r="N46" s="54"/>
      <c r="O46" s="123"/>
      <c r="P46" s="54"/>
      <c r="Q46" s="123"/>
      <c r="R46" s="54"/>
      <c r="S46" s="74"/>
      <c r="T46" s="58"/>
      <c r="U46" s="59" t="str">
        <f aca="false">IF(ISBLANK($C46),"",IF(E46=Constants!$B$2, TRUE(), IF(E46=Constants!$B$3, FALSE(), TRUE())))</f>
        <v/>
      </c>
      <c r="V46" s="59" t="str">
        <f aca="false">IF(ISBLANK($C46),"",IF(F46=Constants!$B$2, TRUE(), IF(F46=Constants!$B$3, FALSE(), TRUE())))</f>
        <v/>
      </c>
      <c r="W46" s="59" t="str">
        <f aca="false">IF(ISBLANK($C46),"",IF(G46=Constants!$B$15,Constants!$B$8,IF(G46=Constants!$B$16,Constants!$B$9,Constants!$B$10)))</f>
        <v/>
      </c>
      <c r="X46" s="59" t="str">
        <f aca="false">IF(ISBLANK($C46),"",IF(H46=Constants!$B$2, TRUE(), IF(H46=Constants!$B$3, FALSE(), TRUE())))</f>
        <v/>
      </c>
      <c r="Y46" s="59" t="str">
        <f aca="false">IF(ISBLANK($C46),"",IF(I46=Constants!$B$19,Constants!$B$19,Constants!$B$18))</f>
        <v/>
      </c>
      <c r="Z46" s="59" t="str">
        <f aca="false">IF(ISBLANK($C46),"",IF(ISNUMBER(J46),IF(J46&gt;=0,J46,""),""))</f>
        <v/>
      </c>
      <c r="AA46" s="59" t="str">
        <f aca="false">IF(ISBLANK($C46),"",IF(K46=Constants!$B$19,Constants!$B$19,Constants!$B$18))</f>
        <v/>
      </c>
      <c r="AB46" s="59" t="str">
        <f aca="false">IF(ISBLANK($C46),"",IF(ISNUMBER(L46),IF(L46&gt;=0,L46,""),""))</f>
        <v/>
      </c>
      <c r="AC46" s="59" t="str">
        <f aca="false">IF(ISBLANK($C46),"",IF(M46=Constants!$B$19,Constants!$B$19,Constants!$B$18))</f>
        <v/>
      </c>
      <c r="AD46" s="59" t="str">
        <f aca="false">IF(ISBLANK($C46),"",IF(ISNUMBER(N46),IF(N46&gt;=0,N46,""),""))</f>
        <v/>
      </c>
      <c r="AE46" s="59" t="str">
        <f aca="false">IF(ISBLANK($C46),"",IF(O46=Constants!$B$19,Constants!$B$19,Constants!$B$18))</f>
        <v/>
      </c>
      <c r="AF46" s="59" t="str">
        <f aca="false">IF(ISBLANK($C46),"",IF(ISNUMBER(P46),IF(P46&gt;=0,P46,""),""))</f>
        <v/>
      </c>
      <c r="AG46" s="59" t="str">
        <f aca="false">IF(ISBLANK($C46),"",IF(Q46=Constants!$B$19,Constants!$B$19,Constants!$B$18))</f>
        <v/>
      </c>
      <c r="AH46" s="59" t="str">
        <f aca="false">IF(ISBLANK($C46),"",IF(ISNUMBER(R46),IF(R46&gt;=0,R46,""),""))</f>
        <v/>
      </c>
      <c r="AI46" s="59" t="str">
        <f aca="false">IF(ISBLANK($C46),"",IF(S46=Constants!$B$2, TRUE(), IF(S46=Constants!$B$3, FALSE(), FALSE())))</f>
        <v/>
      </c>
      <c r="AJ46" s="59" t="str">
        <f aca="false">IF(ISBLANK($C46),"",IF(AI46,Constants!$B$4,IF(COUNTA(E46:R46)=0,Constants!$B$5,IF(COUNTA(J46,L46,N46,P46,R46)=0,Constants!$B$6,Constants!$B$7))))</f>
        <v/>
      </c>
      <c r="AK46" s="59" t="str">
        <f aca="false">IF(ISBLANK($C46),"",IF($AJ46&lt;&gt;Constants!$B$7,$AJ46,IF(OR(NOT(X46),AND(NOT(U46),COUNTIFS(Y46:AG46,Constants!$B$18,Z46:AH46,"&gt;=0")&gt;0),AND(NOT(V46),COUNTIFS(Y46:AG46,Constants!$B$19,Z46:AH46,"&gt;=0")&gt;0)),Constants!$B$12,Constants!$B$11)))</f>
        <v/>
      </c>
      <c r="AL46" s="59" t="str">
        <f aca="false">IF($AJ46=Constants!$B$7,IF(Z46="",Constants!$B$13,Z46),"")</f>
        <v/>
      </c>
      <c r="AM46" s="59" t="str">
        <f aca="false">IF($AJ46=Constants!$B$7,IF(AB46="",Constants!$B$13,AB46),"")</f>
        <v/>
      </c>
      <c r="AN46" s="59" t="str">
        <f aca="false">IF($AJ46=Constants!$B$7,IF(AD46="",Constants!$B$13,AD46),"")</f>
        <v/>
      </c>
      <c r="AO46" s="59" t="str">
        <f aca="false">IF($AJ46=Constants!$B$7,IF(AF46="",Constants!$B$13,AF46),"")</f>
        <v/>
      </c>
      <c r="AP46" s="59" t="str">
        <f aca="false">IF($AJ46=Constants!$B$7,IF(AH46="",Constants!$B$13,AH46),"")</f>
        <v/>
      </c>
      <c r="AQ46" s="59" t="str">
        <f aca="false">IF($AJ46=Constants!$B$7,IF(SUMPRODUCT(--($AL46:$AP46&gt;AL46))+SUMPRODUCT(--($AL46:AL46=AL46))=1,1,IF(SUMPRODUCT(--($AL46:$AP46&gt;AM46))+SUMPRODUCT(--($AL46:AM46=AM46))=1,2,IF(SUMPRODUCT(--($AL46:$AP46&gt;AN46))+SUMPRODUCT(--($AL46:AN46=AN46))=1,3,IF(SUMPRODUCT(--($AL46:$AP46&gt;AO46))+SUMPRODUCT(--($AL46:AO46=AO46))=1,4,5)))),"")</f>
        <v/>
      </c>
      <c r="AR46" s="59" t="str">
        <f aca="false">IF($AJ46=Constants!$B$7,IF(SUMPRODUCT(--($AL46:$AP46&gt;AL46))+SUMPRODUCT(--($AL46:AL46=AL46))=2,1,IF(SUMPRODUCT(--($AL46:$AP46&gt;AM46))+SUMPRODUCT(--($AL46:AM46=AM46))=2,2,IF(SUMPRODUCT(--($AL46:$AP46&gt;AN46))+SUMPRODUCT(--($AL46:AN46=AN46))=2,3,IF(SUMPRODUCT(--($AL46:$AP46&gt;AO46))+SUMPRODUCT(--($AL46:AO46=AO46))=2,4,5)))),"")</f>
        <v/>
      </c>
      <c r="AS46" s="59" t="str">
        <f aca="false">IF($AJ46=Constants!$B$7,IF(SUMPRODUCT(--($AL46:$AP46&gt;AL46))+SUMPRODUCT(--($AL46:AL46=AL46))=3,1,IF(SUMPRODUCT(--($AL46:$AP46&gt;AM46))+SUMPRODUCT(--($AL46:AM46=AM46))=3,2,IF(SUMPRODUCT(--($AL46:$AP46&gt;AN46))+SUMPRODUCT(--($AL46:AN46=AN46))=3,3,IF(SUMPRODUCT(--($AL46:$AP46&gt;AO46))+SUMPRODUCT(--($AL46:AO46=AO46))=3,4,5)))),"")</f>
        <v/>
      </c>
      <c r="AT46" s="59" t="str">
        <f aca="false">IF($AJ46=Constants!$B$7,LARGE(AL46:AP46,1)+LARGE(AL46:AP46,2)+LARGE(AL46:AP46,3),"")</f>
        <v/>
      </c>
      <c r="AU46" s="59" t="str">
        <f aca="false">IF(ISBLANK($C46),"",IF($AJ46&lt;&gt;Constants!$B$7,$AJ46,AT46*W46))</f>
        <v/>
      </c>
      <c r="AV46" s="59" t="str">
        <f aca="false">IF(ISBLANK($C46),"",IF($AJ46=Constants!$B$7,IF(ISNUMBER(AU46),RANK(AU46,$AU$8:$AU$507),Constants!$B$14),$AJ46))</f>
        <v/>
      </c>
      <c r="AW46" s="59" t="str">
        <f aca="false">IF(ISBLANK($C46),"",IF($AJ46=Constants!$B$7,IF(ISNUMBER(AV46),COUNTIFS($AK$8:$AK$507,"&lt;"&amp;$AK46)+COUNTIFS($AK$8:$AK$507,$AK46,$AV$8:$AV$507,"&lt;"&amp;$AV46)+1,Constants!$B$14),$AJ46))</f>
        <v/>
      </c>
      <c r="AX46" s="59" t="str">
        <f aca="false">IF(ISBLANK($C46),"",IF($AJ46=Constants!$B$7,LARGE(AL46:AP46,4)*W46,""))</f>
        <v/>
      </c>
      <c r="AY46" s="59" t="str">
        <f aca="false">IF(ISBLANK($C46),"",IF($AJ46=Constants!$B$7,RANK(AX46,$AX$8:$AX$507),$AJ46))</f>
        <v/>
      </c>
      <c r="AZ46" s="59" t="str">
        <f aca="false">IF(ISBLANK($C46),"",IF($AJ46=Constants!$B$7,IF(ISNUMBER(AV46),COUNTIFS($AK$8:$AK$507,"&lt;"&amp;$AK46)+COUNTIFS($AK$8:$AK$507,$AK46,$AV$8:$AV$507,"&lt;"&amp;$AV46)+COUNTIFS($AK$8:$AK$507,$AK46,$AV$8:$AV$507,$AV46,$AY$8:$AY$507,"&lt;"&amp;$AY46)+1,Constants!$B$14),$AJ46))</f>
        <v/>
      </c>
      <c r="BA46" s="59" t="str">
        <f aca="false">IF(ISBLANK($C46),"",IF($AJ46=Constants!$B$7,IF(ISNUMBER(AW46),AW46-AZ46,Constants!$B$14),$AJ46))</f>
        <v/>
      </c>
      <c r="BB46" s="61"/>
      <c r="BC46" s="62" t="str">
        <f aca="false">IF(ISBLANK($C46),"",IF($AJ46&lt;&gt;Constants!$B$7,$AJ46,SMALL(AQ46:AS46,1)&amp;", "&amp;SMALL(AQ46:AS46,2)&amp;", "&amp;SMALL(AQ46:AS46,3)))</f>
        <v/>
      </c>
      <c r="BD46" s="63" t="str">
        <f aca="false">IF(ISBLANK($C46),"",IF($AJ46&lt;&gt;Constants!$B$7,$AJ46,W46))</f>
        <v/>
      </c>
      <c r="BE46" s="64" t="str">
        <f aca="false">IF(ISBLANK($C46),"",IF($AJ46&lt;&gt;Constants!$B$7,$AJ46,AU46))</f>
        <v/>
      </c>
      <c r="BF46" s="65" t="str">
        <f aca="false">IF(ISBLANK($C46),"",IF($AJ46&lt;&gt;Constants!$B$7,$AJ46,AK46))</f>
        <v/>
      </c>
      <c r="BG46" s="63" t="str">
        <f aca="false">IF(ISBLANK($C46),"",BA46)</f>
        <v/>
      </c>
      <c r="BH46" s="63" t="str">
        <f aca="false">IF(ISBLANK($C46),"",AZ46)</f>
        <v/>
      </c>
      <c r="BI46" s="66" t="str">
        <f aca="false">IF(ISBLANK($C46),"",IF(BH46=Constants!$B$4,COUNTA($C$8:$C$507)+2,IF(BH46=Constants!$B$5,COUNTA($C$8:$C$507)+1,IF(BH46=Constants!$B$6,COUNTA($C$8:$C$507),BH46))))</f>
        <v/>
      </c>
      <c r="BJ46" s="5"/>
      <c r="BK46" s="67" t="n">
        <f aca="false">IF(OR(ISNUMBER(BH46),BH46=Constants!$B$4,BH46=Constants!$B$6,BH46=Constants!$B$5),1,0)</f>
        <v>0</v>
      </c>
      <c r="BL46" s="67" t="n">
        <v>39</v>
      </c>
      <c r="BM46" s="67" t="str">
        <f aca="false">IF(ISBLANK($C46),"",IF(ISNUMBER(BI46),BI46+ROW($B46)/1000,""))</f>
        <v/>
      </c>
      <c r="BN46" s="67" t="str">
        <f aca="false">IF(ISNUMBER(BM46),RANK(BM46,$BM$8:$BM$507,1),"")</f>
        <v/>
      </c>
      <c r="BO46" s="67" t="str">
        <f aca="false">IF(ISBLANK($C46),"",$B46)</f>
        <v/>
      </c>
      <c r="BP46" s="67" t="str">
        <f aca="false">IF(ISBLANK($C46),"",$C46)</f>
        <v/>
      </c>
      <c r="BQ46" s="67" t="str">
        <f aca="false">IF(ISBLANK($C46),"",$D46)</f>
        <v/>
      </c>
      <c r="BR46" s="68" t="str">
        <f aca="false">BF46</f>
        <v/>
      </c>
      <c r="BS46" s="69" t="str">
        <f aca="false">BE46</f>
        <v/>
      </c>
      <c r="BT46" s="67" t="str">
        <f aca="false">IF(ISBLANK($C46),"",BH46)</f>
        <v/>
      </c>
      <c r="BU46" s="70" t="str">
        <f aca="false">IF($BL46&gt;$BK$7,"",VLOOKUP($BL46,$BN$8:$BT$507,7,FALSE()))</f>
        <v/>
      </c>
      <c r="BV46" s="71" t="str">
        <f aca="false">IF($BL46&gt;$BK$7,"",VLOOKUP($BL46,$BN$8:$BT$507,2,FALSE()))</f>
        <v/>
      </c>
      <c r="BW46" s="71" t="str">
        <f aca="false">IF($BL46&gt;$BK$7,"",VLOOKUP($BL46,$BN$8:$BT$507,3,FALSE()))</f>
        <v/>
      </c>
      <c r="BX46" s="71" t="str">
        <f aca="false">IF($BL46&gt;$BK$7,"",VLOOKUP($BL46,$BN$8:$BT$507,4,FALSE()))</f>
        <v/>
      </c>
      <c r="BY46" s="71" t="str">
        <f aca="false">IF($BL46&gt;$BK$7,"",VLOOKUP($BL46,$BN$8:$BT$507,5,FALSE()))</f>
        <v/>
      </c>
      <c r="BZ46" s="72" t="str">
        <f aca="false">IF($BL46&gt;$BK$7,"",VLOOKUP($BL46,$BN$8:$BT$507,6,FALSE()))</f>
        <v/>
      </c>
      <c r="CA46" s="48"/>
    </row>
    <row r="47" customFormat="false" ht="15.75" hidden="false" customHeight="false" outlineLevel="0" collapsed="false">
      <c r="A47" s="5"/>
      <c r="B47" s="114"/>
      <c r="C47" s="115"/>
      <c r="D47" s="100"/>
      <c r="E47" s="120"/>
      <c r="F47" s="125"/>
      <c r="G47" s="82"/>
      <c r="H47" s="126"/>
      <c r="I47" s="127"/>
      <c r="J47" s="82"/>
      <c r="K47" s="126"/>
      <c r="L47" s="82"/>
      <c r="M47" s="126"/>
      <c r="N47" s="82"/>
      <c r="O47" s="126"/>
      <c r="P47" s="82"/>
      <c r="Q47" s="126"/>
      <c r="R47" s="82"/>
      <c r="S47" s="120"/>
      <c r="T47" s="86"/>
      <c r="U47" s="87" t="str">
        <f aca="false">IF(ISBLANK($C47),"",IF(E47=Constants!$B$2, TRUE(), IF(E47=Constants!$B$3, FALSE(), TRUE())))</f>
        <v/>
      </c>
      <c r="V47" s="87" t="str">
        <f aca="false">IF(ISBLANK($C47),"",IF(F47=Constants!$B$2, TRUE(), IF(F47=Constants!$B$3, FALSE(), TRUE())))</f>
        <v/>
      </c>
      <c r="W47" s="87" t="str">
        <f aca="false">IF(ISBLANK($C47),"",IF(G47=Constants!$B$15,Constants!$B$8,IF(G47=Constants!$B$16,Constants!$B$9,Constants!$B$10)))</f>
        <v/>
      </c>
      <c r="X47" s="87" t="str">
        <f aca="false">IF(ISBLANK($C47),"",IF(H47=Constants!$B$2, TRUE(), IF(H47=Constants!$B$3, FALSE(), TRUE())))</f>
        <v/>
      </c>
      <c r="Y47" s="87" t="str">
        <f aca="false">IF(ISBLANK($C47),"",IF(I47=Constants!$B$19,Constants!$B$19,Constants!$B$18))</f>
        <v/>
      </c>
      <c r="Z47" s="87" t="str">
        <f aca="false">IF(ISBLANK($C47),"",IF(ISNUMBER(J47),IF(J47&gt;=0,J47,""),""))</f>
        <v/>
      </c>
      <c r="AA47" s="87" t="str">
        <f aca="false">IF(ISBLANK($C47),"",IF(K47=Constants!$B$19,Constants!$B$19,Constants!$B$18))</f>
        <v/>
      </c>
      <c r="AB47" s="87" t="str">
        <f aca="false">IF(ISBLANK($C47),"",IF(ISNUMBER(L47),IF(L47&gt;=0,L47,""),""))</f>
        <v/>
      </c>
      <c r="AC47" s="87" t="str">
        <f aca="false">IF(ISBLANK($C47),"",IF(M47=Constants!$B$19,Constants!$B$19,Constants!$B$18))</f>
        <v/>
      </c>
      <c r="AD47" s="87" t="str">
        <f aca="false">IF(ISBLANK($C47),"",IF(ISNUMBER(N47),IF(N47&gt;=0,N47,""),""))</f>
        <v/>
      </c>
      <c r="AE47" s="87" t="str">
        <f aca="false">IF(ISBLANK($C47),"",IF(O47=Constants!$B$19,Constants!$B$19,Constants!$B$18))</f>
        <v/>
      </c>
      <c r="AF47" s="87" t="str">
        <f aca="false">IF(ISBLANK($C47),"",IF(ISNUMBER(P47),IF(P47&gt;=0,P47,""),""))</f>
        <v/>
      </c>
      <c r="AG47" s="87" t="str">
        <f aca="false">IF(ISBLANK($C47),"",IF(Q47=Constants!$B$19,Constants!$B$19,Constants!$B$18))</f>
        <v/>
      </c>
      <c r="AH47" s="87" t="str">
        <f aca="false">IF(ISBLANK($C47),"",IF(ISNUMBER(R47),IF(R47&gt;=0,R47,""),""))</f>
        <v/>
      </c>
      <c r="AI47" s="87" t="str">
        <f aca="false">IF(ISBLANK($C47),"",IF(S47=Constants!$B$2, TRUE(), IF(S47=Constants!$B$3, FALSE(), FALSE())))</f>
        <v/>
      </c>
      <c r="AJ47" s="87" t="str">
        <f aca="false">IF(ISBLANK($C47),"",IF(AI47,Constants!$B$4,IF(COUNTA(E47:R47)=0,Constants!$B$5,IF(COUNTA(J47,L47,N47,P47,R47)=0,Constants!$B$6,Constants!$B$7))))</f>
        <v/>
      </c>
      <c r="AK47" s="87" t="str">
        <f aca="false">IF(ISBLANK($C47),"",IF($AJ47&lt;&gt;Constants!$B$7,$AJ47,IF(OR(NOT(X47),AND(NOT(U47),COUNTIFS(Y47:AG47,Constants!$B$18,Z47:AH47,"&gt;=0")&gt;0),AND(NOT(V47),COUNTIFS(Y47:AG47,Constants!$B$19,Z47:AH47,"&gt;=0")&gt;0)),Constants!$B$12,Constants!$B$11)))</f>
        <v/>
      </c>
      <c r="AL47" s="87" t="str">
        <f aca="false">IF($AJ47=Constants!$B$7,IF(Z47="",Constants!$B$13,Z47),"")</f>
        <v/>
      </c>
      <c r="AM47" s="87" t="str">
        <f aca="false">IF($AJ47=Constants!$B$7,IF(AB47="",Constants!$B$13,AB47),"")</f>
        <v/>
      </c>
      <c r="AN47" s="87" t="str">
        <f aca="false">IF($AJ47=Constants!$B$7,IF(AD47="",Constants!$B$13,AD47),"")</f>
        <v/>
      </c>
      <c r="AO47" s="87" t="str">
        <f aca="false">IF($AJ47=Constants!$B$7,IF(AF47="",Constants!$B$13,AF47),"")</f>
        <v/>
      </c>
      <c r="AP47" s="87" t="str">
        <f aca="false">IF($AJ47=Constants!$B$7,IF(AH47="",Constants!$B$13,AH47),"")</f>
        <v/>
      </c>
      <c r="AQ47" s="87" t="str">
        <f aca="false">IF($AJ47=Constants!$B$7,IF(SUMPRODUCT(--($AL47:$AP47&gt;AL47))+SUMPRODUCT(--($AL47:AL47=AL47))=1,1,IF(SUMPRODUCT(--($AL47:$AP47&gt;AM47))+SUMPRODUCT(--($AL47:AM47=AM47))=1,2,IF(SUMPRODUCT(--($AL47:$AP47&gt;AN47))+SUMPRODUCT(--($AL47:AN47=AN47))=1,3,IF(SUMPRODUCT(--($AL47:$AP47&gt;AO47))+SUMPRODUCT(--($AL47:AO47=AO47))=1,4,5)))),"")</f>
        <v/>
      </c>
      <c r="AR47" s="87" t="str">
        <f aca="false">IF($AJ47=Constants!$B$7,IF(SUMPRODUCT(--($AL47:$AP47&gt;AL47))+SUMPRODUCT(--($AL47:AL47=AL47))=2,1,IF(SUMPRODUCT(--($AL47:$AP47&gt;AM47))+SUMPRODUCT(--($AL47:AM47=AM47))=2,2,IF(SUMPRODUCT(--($AL47:$AP47&gt;AN47))+SUMPRODUCT(--($AL47:AN47=AN47))=2,3,IF(SUMPRODUCT(--($AL47:$AP47&gt;AO47))+SUMPRODUCT(--($AL47:AO47=AO47))=2,4,5)))),"")</f>
        <v/>
      </c>
      <c r="AS47" s="87" t="str">
        <f aca="false">IF($AJ47=Constants!$B$7,IF(SUMPRODUCT(--($AL47:$AP47&gt;AL47))+SUMPRODUCT(--($AL47:AL47=AL47))=3,1,IF(SUMPRODUCT(--($AL47:$AP47&gt;AM47))+SUMPRODUCT(--($AL47:AM47=AM47))=3,2,IF(SUMPRODUCT(--($AL47:$AP47&gt;AN47))+SUMPRODUCT(--($AL47:AN47=AN47))=3,3,IF(SUMPRODUCT(--($AL47:$AP47&gt;AO47))+SUMPRODUCT(--($AL47:AO47=AO47))=3,4,5)))),"")</f>
        <v/>
      </c>
      <c r="AT47" s="87" t="str">
        <f aca="false">IF($AJ47=Constants!$B$7,LARGE(AL47:AP47,1)+LARGE(AL47:AP47,2)+LARGE(AL47:AP47,3),"")</f>
        <v/>
      </c>
      <c r="AU47" s="87" t="str">
        <f aca="false">IF(ISBLANK($C47),"",IF($AJ47&lt;&gt;Constants!$B$7,$AJ47,AT47*W47))</f>
        <v/>
      </c>
      <c r="AV47" s="87" t="str">
        <f aca="false">IF(ISBLANK($C47),"",IF($AJ47=Constants!$B$7,IF(ISNUMBER(AU47),RANK(AU47,$AU$8:$AU$507),Constants!$B$14),$AJ47))</f>
        <v/>
      </c>
      <c r="AW47" s="87" t="str">
        <f aca="false">IF(ISBLANK($C47),"",IF($AJ47=Constants!$B$7,IF(ISNUMBER(AV47),COUNTIFS($AK$8:$AK$507,"&lt;"&amp;$AK47)+COUNTIFS($AK$8:$AK$507,$AK47,$AV$8:$AV$507,"&lt;"&amp;$AV47)+1,Constants!$B$14),$AJ47))</f>
        <v/>
      </c>
      <c r="AX47" s="87" t="str">
        <f aca="false">IF(ISBLANK($C47),"",IF($AJ47=Constants!$B$7,LARGE(AL47:AP47,4)*W47,""))</f>
        <v/>
      </c>
      <c r="AY47" s="87" t="str">
        <f aca="false">IF(ISBLANK($C47),"",IF($AJ47=Constants!$B$7,RANK(AX47,$AX$8:$AX$507),$AJ47))</f>
        <v/>
      </c>
      <c r="AZ47" s="87" t="str">
        <f aca="false">IF(ISBLANK($C47),"",IF($AJ47=Constants!$B$7,IF(ISNUMBER(AV47),COUNTIFS($AK$8:$AK$507,"&lt;"&amp;$AK47)+COUNTIFS($AK$8:$AK$507,$AK47,$AV$8:$AV$507,"&lt;"&amp;$AV47)+COUNTIFS($AK$8:$AK$507,$AK47,$AV$8:$AV$507,$AV47,$AY$8:$AY$507,"&lt;"&amp;$AY47)+1,Constants!$B$14),$AJ47))</f>
        <v/>
      </c>
      <c r="BA47" s="87" t="str">
        <f aca="false">IF(ISBLANK($C47),"",IF($AJ47=Constants!$B$7,IF(ISNUMBER(AW47),AW47-AZ47,Constants!$B$14),$AJ47))</f>
        <v/>
      </c>
      <c r="BB47" s="88"/>
      <c r="BC47" s="89" t="str">
        <f aca="false">IF(ISBLANK($C47),"",IF($AJ47&lt;&gt;Constants!$B$7,$AJ47,SMALL(AQ47:AS47,1)&amp;", "&amp;SMALL(AQ47:AS47,2)&amp;", "&amp;SMALL(AQ47:AS47,3)))</f>
        <v/>
      </c>
      <c r="BD47" s="90" t="str">
        <f aca="false">IF(ISBLANK($C47),"",IF($AJ47&lt;&gt;Constants!$B$7,$AJ47,W47))</f>
        <v/>
      </c>
      <c r="BE47" s="91" t="str">
        <f aca="false">IF(ISBLANK($C47),"",IF($AJ47&lt;&gt;Constants!$B$7,$AJ47,AU47))</f>
        <v/>
      </c>
      <c r="BF47" s="92" t="str">
        <f aca="false">IF(ISBLANK($C47),"",IF($AJ47&lt;&gt;Constants!$B$7,$AJ47,AK47))</f>
        <v/>
      </c>
      <c r="BG47" s="90" t="str">
        <f aca="false">IF(ISBLANK($C47),"",BA47)</f>
        <v/>
      </c>
      <c r="BH47" s="90" t="str">
        <f aca="false">IF(ISBLANK($C47),"",AZ47)</f>
        <v/>
      </c>
      <c r="BI47" s="93" t="str">
        <f aca="false">IF(ISBLANK($C47),"",IF(BH47=Constants!$B$4,COUNTA($C$8:$C$507)+2,IF(BH47=Constants!$B$5,COUNTA($C$8:$C$507)+1,IF(BH47=Constants!$B$6,COUNTA($C$8:$C$507),BH47))))</f>
        <v/>
      </c>
      <c r="BJ47" s="5"/>
      <c r="BK47" s="94" t="n">
        <f aca="false">IF(OR(ISNUMBER(BH47),BH47=Constants!$B$4,BH47=Constants!$B$6,BH47=Constants!$B$5),1,0)</f>
        <v>0</v>
      </c>
      <c r="BL47" s="94" t="n">
        <v>40</v>
      </c>
      <c r="BM47" s="94" t="str">
        <f aca="false">IF(ISBLANK($C47),"",IF(ISNUMBER(BI47),BI47+ROW($B47)/1000,""))</f>
        <v/>
      </c>
      <c r="BN47" s="94" t="str">
        <f aca="false">IF(ISNUMBER(BM47),RANK(BM47,$BM$8:$BM$507,1),"")</f>
        <v/>
      </c>
      <c r="BO47" s="94" t="str">
        <f aca="false">IF(ISBLANK($C47),"",$B47)</f>
        <v/>
      </c>
      <c r="BP47" s="94" t="str">
        <f aca="false">IF(ISBLANK($C47),"",$C47)</f>
        <v/>
      </c>
      <c r="BQ47" s="94" t="str">
        <f aca="false">IF(ISBLANK($C47),"",$D47)</f>
        <v/>
      </c>
      <c r="BR47" s="95" t="str">
        <f aca="false">BF47</f>
        <v/>
      </c>
      <c r="BS47" s="96" t="str">
        <f aca="false">BE47</f>
        <v/>
      </c>
      <c r="BT47" s="94" t="str">
        <f aca="false">IF(ISBLANK($C47),"",BH47)</f>
        <v/>
      </c>
      <c r="BU47" s="97" t="str">
        <f aca="false">IF($BL47&gt;$BK$7,"",VLOOKUP($BL47,$BN$8:$BT$507,7,FALSE()))</f>
        <v/>
      </c>
      <c r="BV47" s="98" t="str">
        <f aca="false">IF($BL47&gt;$BK$7,"",VLOOKUP($BL47,$BN$8:$BT$507,2,FALSE()))</f>
        <v/>
      </c>
      <c r="BW47" s="98" t="str">
        <f aca="false">IF($BL47&gt;$BK$7,"",VLOOKUP($BL47,$BN$8:$BT$507,3,FALSE()))</f>
        <v/>
      </c>
      <c r="BX47" s="98" t="str">
        <f aca="false">IF($BL47&gt;$BK$7,"",VLOOKUP($BL47,$BN$8:$BT$507,4,FALSE()))</f>
        <v/>
      </c>
      <c r="BY47" s="98" t="str">
        <f aca="false">IF($BL47&gt;$BK$7,"",VLOOKUP($BL47,$BN$8:$BT$507,5,FALSE()))</f>
        <v/>
      </c>
      <c r="BZ47" s="99" t="str">
        <f aca="false">IF($BL47&gt;$BK$7,"",VLOOKUP($BL47,$BN$8:$BT$507,6,FALSE()))</f>
        <v/>
      </c>
      <c r="CA47" s="48"/>
    </row>
    <row r="48" customFormat="false" ht="15.75" hidden="false" customHeight="false" outlineLevel="0" collapsed="false">
      <c r="A48" s="5"/>
      <c r="B48" s="114"/>
      <c r="C48" s="115"/>
      <c r="D48" s="100"/>
      <c r="E48" s="120"/>
      <c r="F48" s="125"/>
      <c r="G48" s="82"/>
      <c r="H48" s="126"/>
      <c r="I48" s="127"/>
      <c r="J48" s="82"/>
      <c r="K48" s="126"/>
      <c r="L48" s="82"/>
      <c r="M48" s="126"/>
      <c r="N48" s="82"/>
      <c r="O48" s="126"/>
      <c r="P48" s="82"/>
      <c r="Q48" s="126"/>
      <c r="R48" s="82"/>
      <c r="S48" s="120"/>
      <c r="T48" s="86"/>
      <c r="U48" s="87" t="str">
        <f aca="false">IF(ISBLANK($C48),"",IF(E48=Constants!$B$2, TRUE(), IF(E48=Constants!$B$3, FALSE(), TRUE())))</f>
        <v/>
      </c>
      <c r="V48" s="87" t="str">
        <f aca="false">IF(ISBLANK($C48),"",IF(F48=Constants!$B$2, TRUE(), IF(F48=Constants!$B$3, FALSE(), TRUE())))</f>
        <v/>
      </c>
      <c r="W48" s="87" t="str">
        <f aca="false">IF(ISBLANK($C48),"",IF(G48=Constants!$B$15,Constants!$B$8,IF(G48=Constants!$B$16,Constants!$B$9,Constants!$B$10)))</f>
        <v/>
      </c>
      <c r="X48" s="87" t="str">
        <f aca="false">IF(ISBLANK($C48),"",IF(H48=Constants!$B$2, TRUE(), IF(H48=Constants!$B$3, FALSE(), TRUE())))</f>
        <v/>
      </c>
      <c r="Y48" s="87" t="str">
        <f aca="false">IF(ISBLANK($C48),"",IF(I48=Constants!$B$19,Constants!$B$19,Constants!$B$18))</f>
        <v/>
      </c>
      <c r="Z48" s="87" t="str">
        <f aca="false">IF(ISBLANK($C48),"",IF(ISNUMBER(J48),IF(J48&gt;=0,J48,""),""))</f>
        <v/>
      </c>
      <c r="AA48" s="87" t="str">
        <f aca="false">IF(ISBLANK($C48),"",IF(K48=Constants!$B$19,Constants!$B$19,Constants!$B$18))</f>
        <v/>
      </c>
      <c r="AB48" s="87" t="str">
        <f aca="false">IF(ISBLANK($C48),"",IF(ISNUMBER(L48),IF(L48&gt;=0,L48,""),""))</f>
        <v/>
      </c>
      <c r="AC48" s="87" t="str">
        <f aca="false">IF(ISBLANK($C48),"",IF(M48=Constants!$B$19,Constants!$B$19,Constants!$B$18))</f>
        <v/>
      </c>
      <c r="AD48" s="87" t="str">
        <f aca="false">IF(ISBLANK($C48),"",IF(ISNUMBER(N48),IF(N48&gt;=0,N48,""),""))</f>
        <v/>
      </c>
      <c r="AE48" s="87" t="str">
        <f aca="false">IF(ISBLANK($C48),"",IF(O48=Constants!$B$19,Constants!$B$19,Constants!$B$18))</f>
        <v/>
      </c>
      <c r="AF48" s="87" t="str">
        <f aca="false">IF(ISBLANK($C48),"",IF(ISNUMBER(P48),IF(P48&gt;=0,P48,""),""))</f>
        <v/>
      </c>
      <c r="AG48" s="87" t="str">
        <f aca="false">IF(ISBLANK($C48),"",IF(Q48=Constants!$B$19,Constants!$B$19,Constants!$B$18))</f>
        <v/>
      </c>
      <c r="AH48" s="87" t="str">
        <f aca="false">IF(ISBLANK($C48),"",IF(ISNUMBER(R48),IF(R48&gt;=0,R48,""),""))</f>
        <v/>
      </c>
      <c r="AI48" s="87" t="str">
        <f aca="false">IF(ISBLANK($C48),"",IF(S48=Constants!$B$2, TRUE(), IF(S48=Constants!$B$3, FALSE(), FALSE())))</f>
        <v/>
      </c>
      <c r="AJ48" s="87" t="str">
        <f aca="false">IF(ISBLANK($C48),"",IF(AI48,Constants!$B$4,IF(COUNTA(E48:R48)=0,Constants!$B$5,IF(COUNTA(J48,L48,N48,P48,R48)=0,Constants!$B$6,Constants!$B$7))))</f>
        <v/>
      </c>
      <c r="AK48" s="87" t="str">
        <f aca="false">IF(ISBLANK($C48),"",IF($AJ48&lt;&gt;Constants!$B$7,$AJ48,IF(OR(NOT(X48),AND(NOT(U48),COUNTIFS(Y48:AG48,Constants!$B$18,Z48:AH48,"&gt;=0")&gt;0),AND(NOT(V48),COUNTIFS(Y48:AG48,Constants!$B$19,Z48:AH48,"&gt;=0")&gt;0)),Constants!$B$12,Constants!$B$11)))</f>
        <v/>
      </c>
      <c r="AL48" s="87" t="str">
        <f aca="false">IF($AJ48=Constants!$B$7,IF(Z48="",Constants!$B$13,Z48),"")</f>
        <v/>
      </c>
      <c r="AM48" s="87" t="str">
        <f aca="false">IF($AJ48=Constants!$B$7,IF(AB48="",Constants!$B$13,AB48),"")</f>
        <v/>
      </c>
      <c r="AN48" s="87" t="str">
        <f aca="false">IF($AJ48=Constants!$B$7,IF(AD48="",Constants!$B$13,AD48),"")</f>
        <v/>
      </c>
      <c r="AO48" s="87" t="str">
        <f aca="false">IF($AJ48=Constants!$B$7,IF(AF48="",Constants!$B$13,AF48),"")</f>
        <v/>
      </c>
      <c r="AP48" s="87" t="str">
        <f aca="false">IF($AJ48=Constants!$B$7,IF(AH48="",Constants!$B$13,AH48),"")</f>
        <v/>
      </c>
      <c r="AQ48" s="87" t="str">
        <f aca="false">IF($AJ48=Constants!$B$7,IF(SUMPRODUCT(--($AL48:$AP48&gt;AL48))+SUMPRODUCT(--($AL48:AL48=AL48))=1,1,IF(SUMPRODUCT(--($AL48:$AP48&gt;AM48))+SUMPRODUCT(--($AL48:AM48=AM48))=1,2,IF(SUMPRODUCT(--($AL48:$AP48&gt;AN48))+SUMPRODUCT(--($AL48:AN48=AN48))=1,3,IF(SUMPRODUCT(--($AL48:$AP48&gt;AO48))+SUMPRODUCT(--($AL48:AO48=AO48))=1,4,5)))),"")</f>
        <v/>
      </c>
      <c r="AR48" s="87" t="str">
        <f aca="false">IF($AJ48=Constants!$B$7,IF(SUMPRODUCT(--($AL48:$AP48&gt;AL48))+SUMPRODUCT(--($AL48:AL48=AL48))=2,1,IF(SUMPRODUCT(--($AL48:$AP48&gt;AM48))+SUMPRODUCT(--($AL48:AM48=AM48))=2,2,IF(SUMPRODUCT(--($AL48:$AP48&gt;AN48))+SUMPRODUCT(--($AL48:AN48=AN48))=2,3,IF(SUMPRODUCT(--($AL48:$AP48&gt;AO48))+SUMPRODUCT(--($AL48:AO48=AO48))=2,4,5)))),"")</f>
        <v/>
      </c>
      <c r="AS48" s="87" t="str">
        <f aca="false">IF($AJ48=Constants!$B$7,IF(SUMPRODUCT(--($AL48:$AP48&gt;AL48))+SUMPRODUCT(--($AL48:AL48=AL48))=3,1,IF(SUMPRODUCT(--($AL48:$AP48&gt;AM48))+SUMPRODUCT(--($AL48:AM48=AM48))=3,2,IF(SUMPRODUCT(--($AL48:$AP48&gt;AN48))+SUMPRODUCT(--($AL48:AN48=AN48))=3,3,IF(SUMPRODUCT(--($AL48:$AP48&gt;AO48))+SUMPRODUCT(--($AL48:AO48=AO48))=3,4,5)))),"")</f>
        <v/>
      </c>
      <c r="AT48" s="87" t="str">
        <f aca="false">IF($AJ48=Constants!$B$7,LARGE(AL48:AP48,1)+LARGE(AL48:AP48,2)+LARGE(AL48:AP48,3),"")</f>
        <v/>
      </c>
      <c r="AU48" s="87" t="str">
        <f aca="false">IF(ISBLANK($C48),"",IF($AJ48&lt;&gt;Constants!$B$7,$AJ48,AT48*W48))</f>
        <v/>
      </c>
      <c r="AV48" s="87" t="str">
        <f aca="false">IF(ISBLANK($C48),"",IF($AJ48=Constants!$B$7,IF(ISNUMBER(AU48),RANK(AU48,$AU$8:$AU$507),Constants!$B$14),$AJ48))</f>
        <v/>
      </c>
      <c r="AW48" s="87" t="str">
        <f aca="false">IF(ISBLANK($C48),"",IF($AJ48=Constants!$B$7,IF(ISNUMBER(AV48),COUNTIFS($AK$8:$AK$507,"&lt;"&amp;$AK48)+COUNTIFS($AK$8:$AK$507,$AK48,$AV$8:$AV$507,"&lt;"&amp;$AV48)+1,Constants!$B$14),$AJ48))</f>
        <v/>
      </c>
      <c r="AX48" s="87" t="str">
        <f aca="false">IF(ISBLANK($C48),"",IF($AJ48=Constants!$B$7,LARGE(AL48:AP48,4)*W48,""))</f>
        <v/>
      </c>
      <c r="AY48" s="87" t="str">
        <f aca="false">IF(ISBLANK($C48),"",IF($AJ48=Constants!$B$7,RANK(AX48,$AX$8:$AX$507),$AJ48))</f>
        <v/>
      </c>
      <c r="AZ48" s="87" t="str">
        <f aca="false">IF(ISBLANK($C48),"",IF($AJ48=Constants!$B$7,IF(ISNUMBER(AV48),COUNTIFS($AK$8:$AK$507,"&lt;"&amp;$AK48)+COUNTIFS($AK$8:$AK$507,$AK48,$AV$8:$AV$507,"&lt;"&amp;$AV48)+COUNTIFS($AK$8:$AK$507,$AK48,$AV$8:$AV$507,$AV48,$AY$8:$AY$507,"&lt;"&amp;$AY48)+1,Constants!$B$14),$AJ48))</f>
        <v/>
      </c>
      <c r="BA48" s="87" t="str">
        <f aca="false">IF(ISBLANK($C48),"",IF($AJ48=Constants!$B$7,IF(ISNUMBER(AW48),AW48-AZ48,Constants!$B$14),$AJ48))</f>
        <v/>
      </c>
      <c r="BB48" s="88"/>
      <c r="BC48" s="89" t="str">
        <f aca="false">IF(ISBLANK($C48),"",IF($AJ48&lt;&gt;Constants!$B$7,$AJ48,SMALL(AQ48:AS48,1)&amp;", "&amp;SMALL(AQ48:AS48,2)&amp;", "&amp;SMALL(AQ48:AS48,3)))</f>
        <v/>
      </c>
      <c r="BD48" s="90" t="str">
        <f aca="false">IF(ISBLANK($C48),"",IF($AJ48&lt;&gt;Constants!$B$7,$AJ48,W48))</f>
        <v/>
      </c>
      <c r="BE48" s="91" t="str">
        <f aca="false">IF(ISBLANK($C48),"",IF($AJ48&lt;&gt;Constants!$B$7,$AJ48,AU48))</f>
        <v/>
      </c>
      <c r="BF48" s="92" t="str">
        <f aca="false">IF(ISBLANK($C48),"",IF($AJ48&lt;&gt;Constants!$B$7,$AJ48,AK48))</f>
        <v/>
      </c>
      <c r="BG48" s="90" t="str">
        <f aca="false">IF(ISBLANK($C48),"",BA48)</f>
        <v/>
      </c>
      <c r="BH48" s="90" t="str">
        <f aca="false">IF(ISBLANK($C48),"",AZ48)</f>
        <v/>
      </c>
      <c r="BI48" s="93" t="str">
        <f aca="false">IF(ISBLANK($C48),"",IF(BH48=Constants!$B$4,COUNTA($C$8:$C$507)+2,IF(BH48=Constants!$B$5,COUNTA($C$8:$C$507)+1,IF(BH48=Constants!$B$6,COUNTA($C$8:$C$507),BH48))))</f>
        <v/>
      </c>
      <c r="BJ48" s="5"/>
      <c r="BK48" s="94" t="n">
        <f aca="false">IF(OR(ISNUMBER(BH48),BH48=Constants!$B$4,BH48=Constants!$B$6,BH48=Constants!$B$5),1,0)</f>
        <v>0</v>
      </c>
      <c r="BL48" s="94" t="n">
        <v>41</v>
      </c>
      <c r="BM48" s="94" t="str">
        <f aca="false">IF(ISBLANK($C48),"",IF(ISNUMBER(BI48),BI48+ROW($B48)/1000,""))</f>
        <v/>
      </c>
      <c r="BN48" s="94" t="str">
        <f aca="false">IF(ISNUMBER(BM48),RANK(BM48,$BM$8:$BM$507,1),"")</f>
        <v/>
      </c>
      <c r="BO48" s="94" t="str">
        <f aca="false">IF(ISBLANK($C48),"",$B48)</f>
        <v/>
      </c>
      <c r="BP48" s="94" t="str">
        <f aca="false">IF(ISBLANK($C48),"",$C48)</f>
        <v/>
      </c>
      <c r="BQ48" s="94" t="str">
        <f aca="false">IF(ISBLANK($C48),"",$D48)</f>
        <v/>
      </c>
      <c r="BR48" s="95" t="str">
        <f aca="false">BF48</f>
        <v/>
      </c>
      <c r="BS48" s="96" t="str">
        <f aca="false">BE48</f>
        <v/>
      </c>
      <c r="BT48" s="94" t="str">
        <f aca="false">IF(ISBLANK($C48),"",BH48)</f>
        <v/>
      </c>
      <c r="BU48" s="97" t="str">
        <f aca="false">IF($BL48&gt;$BK$7,"",VLOOKUP($BL48,$BN$8:$BT$507,7,FALSE()))</f>
        <v/>
      </c>
      <c r="BV48" s="98" t="str">
        <f aca="false">IF($BL48&gt;$BK$7,"",VLOOKUP($BL48,$BN$8:$BT$507,2,FALSE()))</f>
        <v/>
      </c>
      <c r="BW48" s="98" t="str">
        <f aca="false">IF($BL48&gt;$BK$7,"",VLOOKUP($BL48,$BN$8:$BT$507,3,FALSE()))</f>
        <v/>
      </c>
      <c r="BX48" s="98" t="str">
        <f aca="false">IF($BL48&gt;$BK$7,"",VLOOKUP($BL48,$BN$8:$BT$507,4,FALSE()))</f>
        <v/>
      </c>
      <c r="BY48" s="98" t="str">
        <f aca="false">IF($BL48&gt;$BK$7,"",VLOOKUP($BL48,$BN$8:$BT$507,5,FALSE()))</f>
        <v/>
      </c>
      <c r="BZ48" s="99" t="str">
        <f aca="false">IF($BL48&gt;$BK$7,"",VLOOKUP($BL48,$BN$8:$BT$507,6,FALSE()))</f>
        <v/>
      </c>
      <c r="CA48" s="48"/>
    </row>
    <row r="49" customFormat="false" ht="15.75" hidden="false" customHeight="false" outlineLevel="0" collapsed="false">
      <c r="A49" s="5"/>
      <c r="B49" s="114"/>
      <c r="C49" s="115"/>
      <c r="D49" s="100"/>
      <c r="E49" s="120"/>
      <c r="F49" s="125"/>
      <c r="G49" s="82"/>
      <c r="H49" s="126"/>
      <c r="I49" s="127"/>
      <c r="J49" s="82"/>
      <c r="K49" s="126"/>
      <c r="L49" s="82"/>
      <c r="M49" s="126"/>
      <c r="N49" s="82"/>
      <c r="O49" s="126"/>
      <c r="P49" s="82"/>
      <c r="Q49" s="126"/>
      <c r="R49" s="82"/>
      <c r="S49" s="120"/>
      <c r="T49" s="86"/>
      <c r="U49" s="87" t="str">
        <f aca="false">IF(ISBLANK($C49),"",IF(E49=Constants!$B$2, TRUE(), IF(E49=Constants!$B$3, FALSE(), TRUE())))</f>
        <v/>
      </c>
      <c r="V49" s="87" t="str">
        <f aca="false">IF(ISBLANK($C49),"",IF(F49=Constants!$B$2, TRUE(), IF(F49=Constants!$B$3, FALSE(), TRUE())))</f>
        <v/>
      </c>
      <c r="W49" s="87" t="str">
        <f aca="false">IF(ISBLANK($C49),"",IF(G49=Constants!$B$15,Constants!$B$8,IF(G49=Constants!$B$16,Constants!$B$9,Constants!$B$10)))</f>
        <v/>
      </c>
      <c r="X49" s="87" t="str">
        <f aca="false">IF(ISBLANK($C49),"",IF(H49=Constants!$B$2, TRUE(), IF(H49=Constants!$B$3, FALSE(), TRUE())))</f>
        <v/>
      </c>
      <c r="Y49" s="87" t="str">
        <f aca="false">IF(ISBLANK($C49),"",IF(I49=Constants!$B$19,Constants!$B$19,Constants!$B$18))</f>
        <v/>
      </c>
      <c r="Z49" s="87" t="str">
        <f aca="false">IF(ISBLANK($C49),"",IF(ISNUMBER(J49),IF(J49&gt;=0,J49,""),""))</f>
        <v/>
      </c>
      <c r="AA49" s="87" t="str">
        <f aca="false">IF(ISBLANK($C49),"",IF(K49=Constants!$B$19,Constants!$B$19,Constants!$B$18))</f>
        <v/>
      </c>
      <c r="AB49" s="87" t="str">
        <f aca="false">IF(ISBLANK($C49),"",IF(ISNUMBER(L49),IF(L49&gt;=0,L49,""),""))</f>
        <v/>
      </c>
      <c r="AC49" s="87" t="str">
        <f aca="false">IF(ISBLANK($C49),"",IF(M49=Constants!$B$19,Constants!$B$19,Constants!$B$18))</f>
        <v/>
      </c>
      <c r="AD49" s="87" t="str">
        <f aca="false">IF(ISBLANK($C49),"",IF(ISNUMBER(N49),IF(N49&gt;=0,N49,""),""))</f>
        <v/>
      </c>
      <c r="AE49" s="87" t="str">
        <f aca="false">IF(ISBLANK($C49),"",IF(O49=Constants!$B$19,Constants!$B$19,Constants!$B$18))</f>
        <v/>
      </c>
      <c r="AF49" s="87" t="str">
        <f aca="false">IF(ISBLANK($C49),"",IF(ISNUMBER(P49),IF(P49&gt;=0,P49,""),""))</f>
        <v/>
      </c>
      <c r="AG49" s="87" t="str">
        <f aca="false">IF(ISBLANK($C49),"",IF(Q49=Constants!$B$19,Constants!$B$19,Constants!$B$18))</f>
        <v/>
      </c>
      <c r="AH49" s="87" t="str">
        <f aca="false">IF(ISBLANK($C49),"",IF(ISNUMBER(R49),IF(R49&gt;=0,R49,""),""))</f>
        <v/>
      </c>
      <c r="AI49" s="87" t="str">
        <f aca="false">IF(ISBLANK($C49),"",IF(S49=Constants!$B$2, TRUE(), IF(S49=Constants!$B$3, FALSE(), FALSE())))</f>
        <v/>
      </c>
      <c r="AJ49" s="87" t="str">
        <f aca="false">IF(ISBLANK($C49),"",IF(AI49,Constants!$B$4,IF(COUNTA(E49:R49)=0,Constants!$B$5,IF(COUNTA(J49,L49,N49,P49,R49)=0,Constants!$B$6,Constants!$B$7))))</f>
        <v/>
      </c>
      <c r="AK49" s="87" t="str">
        <f aca="false">IF(ISBLANK($C49),"",IF($AJ49&lt;&gt;Constants!$B$7,$AJ49,IF(OR(NOT(X49),AND(NOT(U49),COUNTIFS(Y49:AG49,Constants!$B$18,Z49:AH49,"&gt;=0")&gt;0),AND(NOT(V49),COUNTIFS(Y49:AG49,Constants!$B$19,Z49:AH49,"&gt;=0")&gt;0)),Constants!$B$12,Constants!$B$11)))</f>
        <v/>
      </c>
      <c r="AL49" s="87" t="str">
        <f aca="false">IF($AJ49=Constants!$B$7,IF(Z49="",Constants!$B$13,Z49),"")</f>
        <v/>
      </c>
      <c r="AM49" s="87" t="str">
        <f aca="false">IF($AJ49=Constants!$B$7,IF(AB49="",Constants!$B$13,AB49),"")</f>
        <v/>
      </c>
      <c r="AN49" s="87" t="str">
        <f aca="false">IF($AJ49=Constants!$B$7,IF(AD49="",Constants!$B$13,AD49),"")</f>
        <v/>
      </c>
      <c r="AO49" s="87" t="str">
        <f aca="false">IF($AJ49=Constants!$B$7,IF(AF49="",Constants!$B$13,AF49),"")</f>
        <v/>
      </c>
      <c r="AP49" s="87" t="str">
        <f aca="false">IF($AJ49=Constants!$B$7,IF(AH49="",Constants!$B$13,AH49),"")</f>
        <v/>
      </c>
      <c r="AQ49" s="87" t="str">
        <f aca="false">IF($AJ49=Constants!$B$7,IF(SUMPRODUCT(--($AL49:$AP49&gt;AL49))+SUMPRODUCT(--($AL49:AL49=AL49))=1,1,IF(SUMPRODUCT(--($AL49:$AP49&gt;AM49))+SUMPRODUCT(--($AL49:AM49=AM49))=1,2,IF(SUMPRODUCT(--($AL49:$AP49&gt;AN49))+SUMPRODUCT(--($AL49:AN49=AN49))=1,3,IF(SUMPRODUCT(--($AL49:$AP49&gt;AO49))+SUMPRODUCT(--($AL49:AO49=AO49))=1,4,5)))),"")</f>
        <v/>
      </c>
      <c r="AR49" s="87" t="str">
        <f aca="false">IF($AJ49=Constants!$B$7,IF(SUMPRODUCT(--($AL49:$AP49&gt;AL49))+SUMPRODUCT(--($AL49:AL49=AL49))=2,1,IF(SUMPRODUCT(--($AL49:$AP49&gt;AM49))+SUMPRODUCT(--($AL49:AM49=AM49))=2,2,IF(SUMPRODUCT(--($AL49:$AP49&gt;AN49))+SUMPRODUCT(--($AL49:AN49=AN49))=2,3,IF(SUMPRODUCT(--($AL49:$AP49&gt;AO49))+SUMPRODUCT(--($AL49:AO49=AO49))=2,4,5)))),"")</f>
        <v/>
      </c>
      <c r="AS49" s="87" t="str">
        <f aca="false">IF($AJ49=Constants!$B$7,IF(SUMPRODUCT(--($AL49:$AP49&gt;AL49))+SUMPRODUCT(--($AL49:AL49=AL49))=3,1,IF(SUMPRODUCT(--($AL49:$AP49&gt;AM49))+SUMPRODUCT(--($AL49:AM49=AM49))=3,2,IF(SUMPRODUCT(--($AL49:$AP49&gt;AN49))+SUMPRODUCT(--($AL49:AN49=AN49))=3,3,IF(SUMPRODUCT(--($AL49:$AP49&gt;AO49))+SUMPRODUCT(--($AL49:AO49=AO49))=3,4,5)))),"")</f>
        <v/>
      </c>
      <c r="AT49" s="87" t="str">
        <f aca="false">IF($AJ49=Constants!$B$7,LARGE(AL49:AP49,1)+LARGE(AL49:AP49,2)+LARGE(AL49:AP49,3),"")</f>
        <v/>
      </c>
      <c r="AU49" s="87" t="str">
        <f aca="false">IF(ISBLANK($C49),"",IF($AJ49&lt;&gt;Constants!$B$7,$AJ49,AT49*W49))</f>
        <v/>
      </c>
      <c r="AV49" s="87" t="str">
        <f aca="false">IF(ISBLANK($C49),"",IF($AJ49=Constants!$B$7,IF(ISNUMBER(AU49),RANK(AU49,$AU$8:$AU$507),Constants!$B$14),$AJ49))</f>
        <v/>
      </c>
      <c r="AW49" s="87" t="str">
        <f aca="false">IF(ISBLANK($C49),"",IF($AJ49=Constants!$B$7,IF(ISNUMBER(AV49),COUNTIFS($AK$8:$AK$507,"&lt;"&amp;$AK49)+COUNTIFS($AK$8:$AK$507,$AK49,$AV$8:$AV$507,"&lt;"&amp;$AV49)+1,Constants!$B$14),$AJ49))</f>
        <v/>
      </c>
      <c r="AX49" s="87" t="str">
        <f aca="false">IF(ISBLANK($C49),"",IF($AJ49=Constants!$B$7,LARGE(AL49:AP49,4)*W49,""))</f>
        <v/>
      </c>
      <c r="AY49" s="87" t="str">
        <f aca="false">IF(ISBLANK($C49),"",IF($AJ49=Constants!$B$7,RANK(AX49,$AX$8:$AX$507),$AJ49))</f>
        <v/>
      </c>
      <c r="AZ49" s="87" t="str">
        <f aca="false">IF(ISBLANK($C49),"",IF($AJ49=Constants!$B$7,IF(ISNUMBER(AV49),COUNTIFS($AK$8:$AK$507,"&lt;"&amp;$AK49)+COUNTIFS($AK$8:$AK$507,$AK49,$AV$8:$AV$507,"&lt;"&amp;$AV49)+COUNTIFS($AK$8:$AK$507,$AK49,$AV$8:$AV$507,$AV49,$AY$8:$AY$507,"&lt;"&amp;$AY49)+1,Constants!$B$14),$AJ49))</f>
        <v/>
      </c>
      <c r="BA49" s="87" t="str">
        <f aca="false">IF(ISBLANK($C49),"",IF($AJ49=Constants!$B$7,IF(ISNUMBER(AW49),AW49-AZ49,Constants!$B$14),$AJ49))</f>
        <v/>
      </c>
      <c r="BB49" s="88"/>
      <c r="BC49" s="89" t="str">
        <f aca="false">IF(ISBLANK($C49),"",IF($AJ49&lt;&gt;Constants!$B$7,$AJ49,SMALL(AQ49:AS49,1)&amp;", "&amp;SMALL(AQ49:AS49,2)&amp;", "&amp;SMALL(AQ49:AS49,3)))</f>
        <v/>
      </c>
      <c r="BD49" s="90" t="str">
        <f aca="false">IF(ISBLANK($C49),"",IF($AJ49&lt;&gt;Constants!$B$7,$AJ49,W49))</f>
        <v/>
      </c>
      <c r="BE49" s="91" t="str">
        <f aca="false">IF(ISBLANK($C49),"",IF($AJ49&lt;&gt;Constants!$B$7,$AJ49,AU49))</f>
        <v/>
      </c>
      <c r="BF49" s="92" t="str">
        <f aca="false">IF(ISBLANK($C49),"",IF($AJ49&lt;&gt;Constants!$B$7,$AJ49,AK49))</f>
        <v/>
      </c>
      <c r="BG49" s="90" t="str">
        <f aca="false">IF(ISBLANK($C49),"",BA49)</f>
        <v/>
      </c>
      <c r="BH49" s="90" t="str">
        <f aca="false">IF(ISBLANK($C49),"",AZ49)</f>
        <v/>
      </c>
      <c r="BI49" s="93" t="str">
        <f aca="false">IF(ISBLANK($C49),"",IF(BH49=Constants!$B$4,COUNTA($C$8:$C$507)+2,IF(BH49=Constants!$B$5,COUNTA($C$8:$C$507)+1,IF(BH49=Constants!$B$6,COUNTA($C$8:$C$507),BH49))))</f>
        <v/>
      </c>
      <c r="BJ49" s="5"/>
      <c r="BK49" s="94" t="n">
        <f aca="false">IF(OR(ISNUMBER(BH49),BH49=Constants!$B$4,BH49=Constants!$B$6,BH49=Constants!$B$5),1,0)</f>
        <v>0</v>
      </c>
      <c r="BL49" s="94" t="n">
        <v>42</v>
      </c>
      <c r="BM49" s="94" t="str">
        <f aca="false">IF(ISBLANK($C49),"",IF(ISNUMBER(BI49),BI49+ROW($B49)/1000,""))</f>
        <v/>
      </c>
      <c r="BN49" s="94" t="str">
        <f aca="false">IF(ISNUMBER(BM49),RANK(BM49,$BM$8:$BM$507,1),"")</f>
        <v/>
      </c>
      <c r="BO49" s="94" t="str">
        <f aca="false">IF(ISBLANK($C49),"",$B49)</f>
        <v/>
      </c>
      <c r="BP49" s="94" t="str">
        <f aca="false">IF(ISBLANK($C49),"",$C49)</f>
        <v/>
      </c>
      <c r="BQ49" s="94" t="str">
        <f aca="false">IF(ISBLANK($C49),"",$D49)</f>
        <v/>
      </c>
      <c r="BR49" s="95" t="str">
        <f aca="false">BF49</f>
        <v/>
      </c>
      <c r="BS49" s="96" t="str">
        <f aca="false">BE49</f>
        <v/>
      </c>
      <c r="BT49" s="94" t="str">
        <f aca="false">IF(ISBLANK($C49),"",BH49)</f>
        <v/>
      </c>
      <c r="BU49" s="97" t="str">
        <f aca="false">IF($BL49&gt;$BK$7,"",VLOOKUP($BL49,$BN$8:$BT$507,7,FALSE()))</f>
        <v/>
      </c>
      <c r="BV49" s="98" t="str">
        <f aca="false">IF($BL49&gt;$BK$7,"",VLOOKUP($BL49,$BN$8:$BT$507,2,FALSE()))</f>
        <v/>
      </c>
      <c r="BW49" s="98" t="str">
        <f aca="false">IF($BL49&gt;$BK$7,"",VLOOKUP($BL49,$BN$8:$BT$507,3,FALSE()))</f>
        <v/>
      </c>
      <c r="BX49" s="98" t="str">
        <f aca="false">IF($BL49&gt;$BK$7,"",VLOOKUP($BL49,$BN$8:$BT$507,4,FALSE()))</f>
        <v/>
      </c>
      <c r="BY49" s="98" t="str">
        <f aca="false">IF($BL49&gt;$BK$7,"",VLOOKUP($BL49,$BN$8:$BT$507,5,FALSE()))</f>
        <v/>
      </c>
      <c r="BZ49" s="99" t="str">
        <f aca="false">IF($BL49&gt;$BK$7,"",VLOOKUP($BL49,$BN$8:$BT$507,6,FALSE()))</f>
        <v/>
      </c>
      <c r="CA49" s="48"/>
    </row>
    <row r="50" customFormat="false" ht="15.75" hidden="false" customHeight="false" outlineLevel="0" collapsed="false">
      <c r="A50" s="5"/>
      <c r="B50" s="121"/>
      <c r="C50" s="50"/>
      <c r="D50" s="51"/>
      <c r="E50" s="74"/>
      <c r="F50" s="122"/>
      <c r="G50" s="54"/>
      <c r="H50" s="123"/>
      <c r="I50" s="124"/>
      <c r="J50" s="54"/>
      <c r="K50" s="123"/>
      <c r="L50" s="54"/>
      <c r="M50" s="123"/>
      <c r="N50" s="54"/>
      <c r="O50" s="123"/>
      <c r="P50" s="54"/>
      <c r="Q50" s="123"/>
      <c r="R50" s="54"/>
      <c r="S50" s="74"/>
      <c r="T50" s="58"/>
      <c r="U50" s="59" t="str">
        <f aca="false">IF(ISBLANK($C50),"",IF(E50=Constants!$B$2, TRUE(), IF(E50=Constants!$B$3, FALSE(), TRUE())))</f>
        <v/>
      </c>
      <c r="V50" s="59" t="str">
        <f aca="false">IF(ISBLANK($C50),"",IF(F50=Constants!$B$2, TRUE(), IF(F50=Constants!$B$3, FALSE(), TRUE())))</f>
        <v/>
      </c>
      <c r="W50" s="59" t="str">
        <f aca="false">IF(ISBLANK($C50),"",IF(G50=Constants!$B$15,Constants!$B$8,IF(G50=Constants!$B$16,Constants!$B$9,Constants!$B$10)))</f>
        <v/>
      </c>
      <c r="X50" s="59" t="str">
        <f aca="false">IF(ISBLANK($C50),"",IF(H50=Constants!$B$2, TRUE(), IF(H50=Constants!$B$3, FALSE(), TRUE())))</f>
        <v/>
      </c>
      <c r="Y50" s="59" t="str">
        <f aca="false">IF(ISBLANK($C50),"",IF(I50=Constants!$B$19,Constants!$B$19,Constants!$B$18))</f>
        <v/>
      </c>
      <c r="Z50" s="59" t="str">
        <f aca="false">IF(ISBLANK($C50),"",IF(ISNUMBER(J50),IF(J50&gt;=0,J50,""),""))</f>
        <v/>
      </c>
      <c r="AA50" s="59" t="str">
        <f aca="false">IF(ISBLANK($C50),"",IF(K50=Constants!$B$19,Constants!$B$19,Constants!$B$18))</f>
        <v/>
      </c>
      <c r="AB50" s="59" t="str">
        <f aca="false">IF(ISBLANK($C50),"",IF(ISNUMBER(L50),IF(L50&gt;=0,L50,""),""))</f>
        <v/>
      </c>
      <c r="AC50" s="59" t="str">
        <f aca="false">IF(ISBLANK($C50),"",IF(M50=Constants!$B$19,Constants!$B$19,Constants!$B$18))</f>
        <v/>
      </c>
      <c r="AD50" s="59" t="str">
        <f aca="false">IF(ISBLANK($C50),"",IF(ISNUMBER(N50),IF(N50&gt;=0,N50,""),""))</f>
        <v/>
      </c>
      <c r="AE50" s="59" t="str">
        <f aca="false">IF(ISBLANK($C50),"",IF(O50=Constants!$B$19,Constants!$B$19,Constants!$B$18))</f>
        <v/>
      </c>
      <c r="AF50" s="59" t="str">
        <f aca="false">IF(ISBLANK($C50),"",IF(ISNUMBER(P50),IF(P50&gt;=0,P50,""),""))</f>
        <v/>
      </c>
      <c r="AG50" s="59" t="str">
        <f aca="false">IF(ISBLANK($C50),"",IF(Q50=Constants!$B$19,Constants!$B$19,Constants!$B$18))</f>
        <v/>
      </c>
      <c r="AH50" s="59" t="str">
        <f aca="false">IF(ISBLANK($C50),"",IF(ISNUMBER(R50),IF(R50&gt;=0,R50,""),""))</f>
        <v/>
      </c>
      <c r="AI50" s="59" t="str">
        <f aca="false">IF(ISBLANK($C50),"",IF(S50=Constants!$B$2, TRUE(), IF(S50=Constants!$B$3, FALSE(), FALSE())))</f>
        <v/>
      </c>
      <c r="AJ50" s="59" t="str">
        <f aca="false">IF(ISBLANK($C50),"",IF(AI50,Constants!$B$4,IF(COUNTA(E50:R50)=0,Constants!$B$5,IF(COUNTA(J50,L50,N50,P50,R50)=0,Constants!$B$6,Constants!$B$7))))</f>
        <v/>
      </c>
      <c r="AK50" s="59" t="str">
        <f aca="false">IF(ISBLANK($C50),"",IF($AJ50&lt;&gt;Constants!$B$7,$AJ50,IF(OR(NOT(X50),AND(NOT(U50),COUNTIFS(Y50:AG50,Constants!$B$18,Z50:AH50,"&gt;=0")&gt;0),AND(NOT(V50),COUNTIFS(Y50:AG50,Constants!$B$19,Z50:AH50,"&gt;=0")&gt;0)),Constants!$B$12,Constants!$B$11)))</f>
        <v/>
      </c>
      <c r="AL50" s="59" t="str">
        <f aca="false">IF($AJ50=Constants!$B$7,IF(Z50="",Constants!$B$13,Z50),"")</f>
        <v/>
      </c>
      <c r="AM50" s="59" t="str">
        <f aca="false">IF($AJ50=Constants!$B$7,IF(AB50="",Constants!$B$13,AB50),"")</f>
        <v/>
      </c>
      <c r="AN50" s="59" t="str">
        <f aca="false">IF($AJ50=Constants!$B$7,IF(AD50="",Constants!$B$13,AD50),"")</f>
        <v/>
      </c>
      <c r="AO50" s="59" t="str">
        <f aca="false">IF($AJ50=Constants!$B$7,IF(AF50="",Constants!$B$13,AF50),"")</f>
        <v/>
      </c>
      <c r="AP50" s="59" t="str">
        <f aca="false">IF($AJ50=Constants!$B$7,IF(AH50="",Constants!$B$13,AH50),"")</f>
        <v/>
      </c>
      <c r="AQ50" s="59" t="str">
        <f aca="false">IF($AJ50=Constants!$B$7,IF(SUMPRODUCT(--($AL50:$AP50&gt;AL50))+SUMPRODUCT(--($AL50:AL50=AL50))=1,1,IF(SUMPRODUCT(--($AL50:$AP50&gt;AM50))+SUMPRODUCT(--($AL50:AM50=AM50))=1,2,IF(SUMPRODUCT(--($AL50:$AP50&gt;AN50))+SUMPRODUCT(--($AL50:AN50=AN50))=1,3,IF(SUMPRODUCT(--($AL50:$AP50&gt;AO50))+SUMPRODUCT(--($AL50:AO50=AO50))=1,4,5)))),"")</f>
        <v/>
      </c>
      <c r="AR50" s="59" t="str">
        <f aca="false">IF($AJ50=Constants!$B$7,IF(SUMPRODUCT(--($AL50:$AP50&gt;AL50))+SUMPRODUCT(--($AL50:AL50=AL50))=2,1,IF(SUMPRODUCT(--($AL50:$AP50&gt;AM50))+SUMPRODUCT(--($AL50:AM50=AM50))=2,2,IF(SUMPRODUCT(--($AL50:$AP50&gt;AN50))+SUMPRODUCT(--($AL50:AN50=AN50))=2,3,IF(SUMPRODUCT(--($AL50:$AP50&gt;AO50))+SUMPRODUCT(--($AL50:AO50=AO50))=2,4,5)))),"")</f>
        <v/>
      </c>
      <c r="AS50" s="59" t="str">
        <f aca="false">IF($AJ50=Constants!$B$7,IF(SUMPRODUCT(--($AL50:$AP50&gt;AL50))+SUMPRODUCT(--($AL50:AL50=AL50))=3,1,IF(SUMPRODUCT(--($AL50:$AP50&gt;AM50))+SUMPRODUCT(--($AL50:AM50=AM50))=3,2,IF(SUMPRODUCT(--($AL50:$AP50&gt;AN50))+SUMPRODUCT(--($AL50:AN50=AN50))=3,3,IF(SUMPRODUCT(--($AL50:$AP50&gt;AO50))+SUMPRODUCT(--($AL50:AO50=AO50))=3,4,5)))),"")</f>
        <v/>
      </c>
      <c r="AT50" s="59" t="str">
        <f aca="false">IF($AJ50=Constants!$B$7,LARGE(AL50:AP50,1)+LARGE(AL50:AP50,2)+LARGE(AL50:AP50,3),"")</f>
        <v/>
      </c>
      <c r="AU50" s="59" t="str">
        <f aca="false">IF(ISBLANK($C50),"",IF($AJ50&lt;&gt;Constants!$B$7,$AJ50,AT50*W50))</f>
        <v/>
      </c>
      <c r="AV50" s="59" t="str">
        <f aca="false">IF(ISBLANK($C50),"",IF($AJ50=Constants!$B$7,IF(ISNUMBER(AU50),RANK(AU50,$AU$8:$AU$507),Constants!$B$14),$AJ50))</f>
        <v/>
      </c>
      <c r="AW50" s="59" t="str">
        <f aca="false">IF(ISBLANK($C50),"",IF($AJ50=Constants!$B$7,IF(ISNUMBER(AV50),COUNTIFS($AK$8:$AK$507,"&lt;"&amp;$AK50)+COUNTIFS($AK$8:$AK$507,$AK50,$AV$8:$AV$507,"&lt;"&amp;$AV50)+1,Constants!$B$14),$AJ50))</f>
        <v/>
      </c>
      <c r="AX50" s="59" t="str">
        <f aca="false">IF(ISBLANK($C50),"",IF($AJ50=Constants!$B$7,LARGE(AL50:AP50,4)*W50,""))</f>
        <v/>
      </c>
      <c r="AY50" s="59" t="str">
        <f aca="false">IF(ISBLANK($C50),"",IF($AJ50=Constants!$B$7,RANK(AX50,$AX$8:$AX$507),$AJ50))</f>
        <v/>
      </c>
      <c r="AZ50" s="59" t="str">
        <f aca="false">IF(ISBLANK($C50),"",IF($AJ50=Constants!$B$7,IF(ISNUMBER(AV50),COUNTIFS($AK$8:$AK$507,"&lt;"&amp;$AK50)+COUNTIFS($AK$8:$AK$507,$AK50,$AV$8:$AV$507,"&lt;"&amp;$AV50)+COUNTIFS($AK$8:$AK$507,$AK50,$AV$8:$AV$507,$AV50,$AY$8:$AY$507,"&lt;"&amp;$AY50)+1,Constants!$B$14),$AJ50))</f>
        <v/>
      </c>
      <c r="BA50" s="59" t="str">
        <f aca="false">IF(ISBLANK($C50),"",IF($AJ50=Constants!$B$7,IF(ISNUMBER(AW50),AW50-AZ50,Constants!$B$14),$AJ50))</f>
        <v/>
      </c>
      <c r="BB50" s="61"/>
      <c r="BC50" s="62" t="str">
        <f aca="false">IF(ISBLANK($C50),"",IF($AJ50&lt;&gt;Constants!$B$7,$AJ50,SMALL(AQ50:AS50,1)&amp;", "&amp;SMALL(AQ50:AS50,2)&amp;", "&amp;SMALL(AQ50:AS50,3)))</f>
        <v/>
      </c>
      <c r="BD50" s="63" t="str">
        <f aca="false">IF(ISBLANK($C50),"",IF($AJ50&lt;&gt;Constants!$B$7,$AJ50,W50))</f>
        <v/>
      </c>
      <c r="BE50" s="64" t="str">
        <f aca="false">IF(ISBLANK($C50),"",IF($AJ50&lt;&gt;Constants!$B$7,$AJ50,AU50))</f>
        <v/>
      </c>
      <c r="BF50" s="65" t="str">
        <f aca="false">IF(ISBLANK($C50),"",IF($AJ50&lt;&gt;Constants!$B$7,$AJ50,AK50))</f>
        <v/>
      </c>
      <c r="BG50" s="63" t="str">
        <f aca="false">IF(ISBLANK($C50),"",BA50)</f>
        <v/>
      </c>
      <c r="BH50" s="63" t="str">
        <f aca="false">IF(ISBLANK($C50),"",AZ50)</f>
        <v/>
      </c>
      <c r="BI50" s="66" t="str">
        <f aca="false">IF(ISBLANK($C50),"",IF(BH50=Constants!$B$4,COUNTA($C$8:$C$507)+2,IF(BH50=Constants!$B$5,COUNTA($C$8:$C$507)+1,IF(BH50=Constants!$B$6,COUNTA($C$8:$C$507),BH50))))</f>
        <v/>
      </c>
      <c r="BJ50" s="5"/>
      <c r="BK50" s="67" t="n">
        <f aca="false">IF(OR(ISNUMBER(BH50),BH50=Constants!$B$4,BH50=Constants!$B$6,BH50=Constants!$B$5),1,0)</f>
        <v>0</v>
      </c>
      <c r="BL50" s="67" t="n">
        <v>43</v>
      </c>
      <c r="BM50" s="67" t="str">
        <f aca="false">IF(ISBLANK($C50),"",IF(ISNUMBER(BI50),BI50+ROW($B50)/1000,""))</f>
        <v/>
      </c>
      <c r="BN50" s="67" t="str">
        <f aca="false">IF(ISNUMBER(BM50),RANK(BM50,$BM$8:$BM$507,1),"")</f>
        <v/>
      </c>
      <c r="BO50" s="67" t="str">
        <f aca="false">IF(ISBLANK($C50),"",$B50)</f>
        <v/>
      </c>
      <c r="BP50" s="67" t="str">
        <f aca="false">IF(ISBLANK($C50),"",$C50)</f>
        <v/>
      </c>
      <c r="BQ50" s="67" t="str">
        <f aca="false">IF(ISBLANK($C50),"",$D50)</f>
        <v/>
      </c>
      <c r="BR50" s="68" t="str">
        <f aca="false">BF50</f>
        <v/>
      </c>
      <c r="BS50" s="69" t="str">
        <f aca="false">BE50</f>
        <v/>
      </c>
      <c r="BT50" s="67" t="str">
        <f aca="false">IF(ISBLANK($C50),"",BH50)</f>
        <v/>
      </c>
      <c r="BU50" s="70" t="str">
        <f aca="false">IF($BL50&gt;$BK$7,"",VLOOKUP($BL50,$BN$8:$BT$507,7,FALSE()))</f>
        <v/>
      </c>
      <c r="BV50" s="71" t="str">
        <f aca="false">IF($BL50&gt;$BK$7,"",VLOOKUP($BL50,$BN$8:$BT$507,2,FALSE()))</f>
        <v/>
      </c>
      <c r="BW50" s="71" t="str">
        <f aca="false">IF($BL50&gt;$BK$7,"",VLOOKUP($BL50,$BN$8:$BT$507,3,FALSE()))</f>
        <v/>
      </c>
      <c r="BX50" s="71" t="str">
        <f aca="false">IF($BL50&gt;$BK$7,"",VLOOKUP($BL50,$BN$8:$BT$507,4,FALSE()))</f>
        <v/>
      </c>
      <c r="BY50" s="71" t="str">
        <f aca="false">IF($BL50&gt;$BK$7,"",VLOOKUP($BL50,$BN$8:$BT$507,5,FALSE()))</f>
        <v/>
      </c>
      <c r="BZ50" s="72" t="str">
        <f aca="false">IF($BL50&gt;$BK$7,"",VLOOKUP($BL50,$BN$8:$BT$507,6,FALSE()))</f>
        <v/>
      </c>
      <c r="CA50" s="48"/>
    </row>
    <row r="51" customFormat="false" ht="15.75" hidden="false" customHeight="false" outlineLevel="0" collapsed="false">
      <c r="A51" s="5"/>
      <c r="B51" s="121"/>
      <c r="C51" s="50"/>
      <c r="D51" s="51"/>
      <c r="E51" s="74"/>
      <c r="F51" s="122"/>
      <c r="G51" s="54"/>
      <c r="H51" s="123"/>
      <c r="I51" s="124"/>
      <c r="J51" s="54"/>
      <c r="K51" s="123"/>
      <c r="L51" s="54"/>
      <c r="M51" s="123"/>
      <c r="N51" s="54"/>
      <c r="O51" s="123"/>
      <c r="P51" s="54"/>
      <c r="Q51" s="123"/>
      <c r="R51" s="54"/>
      <c r="S51" s="74"/>
      <c r="T51" s="58"/>
      <c r="U51" s="59" t="str">
        <f aca="false">IF(ISBLANK($C51),"",IF(E51=Constants!$B$2, TRUE(), IF(E51=Constants!$B$3, FALSE(), TRUE())))</f>
        <v/>
      </c>
      <c r="V51" s="59" t="str">
        <f aca="false">IF(ISBLANK($C51),"",IF(F51=Constants!$B$2, TRUE(), IF(F51=Constants!$B$3, FALSE(), TRUE())))</f>
        <v/>
      </c>
      <c r="W51" s="59" t="str">
        <f aca="false">IF(ISBLANK($C51),"",IF(G51=Constants!$B$15,Constants!$B$8,IF(G51=Constants!$B$16,Constants!$B$9,Constants!$B$10)))</f>
        <v/>
      </c>
      <c r="X51" s="59" t="str">
        <f aca="false">IF(ISBLANK($C51),"",IF(H51=Constants!$B$2, TRUE(), IF(H51=Constants!$B$3, FALSE(), TRUE())))</f>
        <v/>
      </c>
      <c r="Y51" s="59" t="str">
        <f aca="false">IF(ISBLANK($C51),"",IF(I51=Constants!$B$19,Constants!$B$19,Constants!$B$18))</f>
        <v/>
      </c>
      <c r="Z51" s="59" t="str">
        <f aca="false">IF(ISBLANK($C51),"",IF(ISNUMBER(J51),IF(J51&gt;=0,J51,""),""))</f>
        <v/>
      </c>
      <c r="AA51" s="59" t="str">
        <f aca="false">IF(ISBLANK($C51),"",IF(K51=Constants!$B$19,Constants!$B$19,Constants!$B$18))</f>
        <v/>
      </c>
      <c r="AB51" s="59" t="str">
        <f aca="false">IF(ISBLANK($C51),"",IF(ISNUMBER(L51),IF(L51&gt;=0,L51,""),""))</f>
        <v/>
      </c>
      <c r="AC51" s="59" t="str">
        <f aca="false">IF(ISBLANK($C51),"",IF(M51=Constants!$B$19,Constants!$B$19,Constants!$B$18))</f>
        <v/>
      </c>
      <c r="AD51" s="59" t="str">
        <f aca="false">IF(ISBLANK($C51),"",IF(ISNUMBER(N51),IF(N51&gt;=0,N51,""),""))</f>
        <v/>
      </c>
      <c r="AE51" s="59" t="str">
        <f aca="false">IF(ISBLANK($C51),"",IF(O51=Constants!$B$19,Constants!$B$19,Constants!$B$18))</f>
        <v/>
      </c>
      <c r="AF51" s="59" t="str">
        <f aca="false">IF(ISBLANK($C51),"",IF(ISNUMBER(P51),IF(P51&gt;=0,P51,""),""))</f>
        <v/>
      </c>
      <c r="AG51" s="59" t="str">
        <f aca="false">IF(ISBLANK($C51),"",IF(Q51=Constants!$B$19,Constants!$B$19,Constants!$B$18))</f>
        <v/>
      </c>
      <c r="AH51" s="59" t="str">
        <f aca="false">IF(ISBLANK($C51),"",IF(ISNUMBER(R51),IF(R51&gt;=0,R51,""),""))</f>
        <v/>
      </c>
      <c r="AI51" s="59" t="str">
        <f aca="false">IF(ISBLANK($C51),"",IF(S51=Constants!$B$2, TRUE(), IF(S51=Constants!$B$3, FALSE(), FALSE())))</f>
        <v/>
      </c>
      <c r="AJ51" s="59" t="str">
        <f aca="false">IF(ISBLANK($C51),"",IF(AI51,Constants!$B$4,IF(COUNTA(E51:R51)=0,Constants!$B$5,IF(COUNTA(J51,L51,N51,P51,R51)=0,Constants!$B$6,Constants!$B$7))))</f>
        <v/>
      </c>
      <c r="AK51" s="59" t="str">
        <f aca="false">IF(ISBLANK($C51),"",IF($AJ51&lt;&gt;Constants!$B$7,$AJ51,IF(OR(NOT(X51),AND(NOT(U51),COUNTIFS(Y51:AG51,Constants!$B$18,Z51:AH51,"&gt;=0")&gt;0),AND(NOT(V51),COUNTIFS(Y51:AG51,Constants!$B$19,Z51:AH51,"&gt;=0")&gt;0)),Constants!$B$12,Constants!$B$11)))</f>
        <v/>
      </c>
      <c r="AL51" s="59" t="str">
        <f aca="false">IF($AJ51=Constants!$B$7,IF(Z51="",Constants!$B$13,Z51),"")</f>
        <v/>
      </c>
      <c r="AM51" s="59" t="str">
        <f aca="false">IF($AJ51=Constants!$B$7,IF(AB51="",Constants!$B$13,AB51),"")</f>
        <v/>
      </c>
      <c r="AN51" s="59" t="str">
        <f aca="false">IF($AJ51=Constants!$B$7,IF(AD51="",Constants!$B$13,AD51),"")</f>
        <v/>
      </c>
      <c r="AO51" s="59" t="str">
        <f aca="false">IF($AJ51=Constants!$B$7,IF(AF51="",Constants!$B$13,AF51),"")</f>
        <v/>
      </c>
      <c r="AP51" s="59" t="str">
        <f aca="false">IF($AJ51=Constants!$B$7,IF(AH51="",Constants!$B$13,AH51),"")</f>
        <v/>
      </c>
      <c r="AQ51" s="59" t="str">
        <f aca="false">IF($AJ51=Constants!$B$7,IF(SUMPRODUCT(--($AL51:$AP51&gt;AL51))+SUMPRODUCT(--($AL51:AL51=AL51))=1,1,IF(SUMPRODUCT(--($AL51:$AP51&gt;AM51))+SUMPRODUCT(--($AL51:AM51=AM51))=1,2,IF(SUMPRODUCT(--($AL51:$AP51&gt;AN51))+SUMPRODUCT(--($AL51:AN51=AN51))=1,3,IF(SUMPRODUCT(--($AL51:$AP51&gt;AO51))+SUMPRODUCT(--($AL51:AO51=AO51))=1,4,5)))),"")</f>
        <v/>
      </c>
      <c r="AR51" s="59" t="str">
        <f aca="false">IF($AJ51=Constants!$B$7,IF(SUMPRODUCT(--($AL51:$AP51&gt;AL51))+SUMPRODUCT(--($AL51:AL51=AL51))=2,1,IF(SUMPRODUCT(--($AL51:$AP51&gt;AM51))+SUMPRODUCT(--($AL51:AM51=AM51))=2,2,IF(SUMPRODUCT(--($AL51:$AP51&gt;AN51))+SUMPRODUCT(--($AL51:AN51=AN51))=2,3,IF(SUMPRODUCT(--($AL51:$AP51&gt;AO51))+SUMPRODUCT(--($AL51:AO51=AO51))=2,4,5)))),"")</f>
        <v/>
      </c>
      <c r="AS51" s="59" t="str">
        <f aca="false">IF($AJ51=Constants!$B$7,IF(SUMPRODUCT(--($AL51:$AP51&gt;AL51))+SUMPRODUCT(--($AL51:AL51=AL51))=3,1,IF(SUMPRODUCT(--($AL51:$AP51&gt;AM51))+SUMPRODUCT(--($AL51:AM51=AM51))=3,2,IF(SUMPRODUCT(--($AL51:$AP51&gt;AN51))+SUMPRODUCT(--($AL51:AN51=AN51))=3,3,IF(SUMPRODUCT(--($AL51:$AP51&gt;AO51))+SUMPRODUCT(--($AL51:AO51=AO51))=3,4,5)))),"")</f>
        <v/>
      </c>
      <c r="AT51" s="59" t="str">
        <f aca="false">IF($AJ51=Constants!$B$7,LARGE(AL51:AP51,1)+LARGE(AL51:AP51,2)+LARGE(AL51:AP51,3),"")</f>
        <v/>
      </c>
      <c r="AU51" s="59" t="str">
        <f aca="false">IF(ISBLANK($C51),"",IF($AJ51&lt;&gt;Constants!$B$7,$AJ51,AT51*W51))</f>
        <v/>
      </c>
      <c r="AV51" s="59" t="str">
        <f aca="false">IF(ISBLANK($C51),"",IF($AJ51=Constants!$B$7,IF(ISNUMBER(AU51),RANK(AU51,$AU$8:$AU$507),Constants!$B$14),$AJ51))</f>
        <v/>
      </c>
      <c r="AW51" s="59" t="str">
        <f aca="false">IF(ISBLANK($C51),"",IF($AJ51=Constants!$B$7,IF(ISNUMBER(AV51),COUNTIFS($AK$8:$AK$507,"&lt;"&amp;$AK51)+COUNTIFS($AK$8:$AK$507,$AK51,$AV$8:$AV$507,"&lt;"&amp;$AV51)+1,Constants!$B$14),$AJ51))</f>
        <v/>
      </c>
      <c r="AX51" s="59" t="str">
        <f aca="false">IF(ISBLANK($C51),"",IF($AJ51=Constants!$B$7,LARGE(AL51:AP51,4)*W51,""))</f>
        <v/>
      </c>
      <c r="AY51" s="59" t="str">
        <f aca="false">IF(ISBLANK($C51),"",IF($AJ51=Constants!$B$7,RANK(AX51,$AX$8:$AX$507),$AJ51))</f>
        <v/>
      </c>
      <c r="AZ51" s="59" t="str">
        <f aca="false">IF(ISBLANK($C51),"",IF($AJ51=Constants!$B$7,IF(ISNUMBER(AV51),COUNTIFS($AK$8:$AK$507,"&lt;"&amp;$AK51)+COUNTIFS($AK$8:$AK$507,$AK51,$AV$8:$AV$507,"&lt;"&amp;$AV51)+COUNTIFS($AK$8:$AK$507,$AK51,$AV$8:$AV$507,$AV51,$AY$8:$AY$507,"&lt;"&amp;$AY51)+1,Constants!$B$14),$AJ51))</f>
        <v/>
      </c>
      <c r="BA51" s="59" t="str">
        <f aca="false">IF(ISBLANK($C51),"",IF($AJ51=Constants!$B$7,IF(ISNUMBER(AW51),AW51-AZ51,Constants!$B$14),$AJ51))</f>
        <v/>
      </c>
      <c r="BB51" s="61"/>
      <c r="BC51" s="62" t="str">
        <f aca="false">IF(ISBLANK($C51),"",IF($AJ51&lt;&gt;Constants!$B$7,$AJ51,SMALL(AQ51:AS51,1)&amp;", "&amp;SMALL(AQ51:AS51,2)&amp;", "&amp;SMALL(AQ51:AS51,3)))</f>
        <v/>
      </c>
      <c r="BD51" s="63" t="str">
        <f aca="false">IF(ISBLANK($C51),"",IF($AJ51&lt;&gt;Constants!$B$7,$AJ51,W51))</f>
        <v/>
      </c>
      <c r="BE51" s="64" t="str">
        <f aca="false">IF(ISBLANK($C51),"",IF($AJ51&lt;&gt;Constants!$B$7,$AJ51,AU51))</f>
        <v/>
      </c>
      <c r="BF51" s="65" t="str">
        <f aca="false">IF(ISBLANK($C51),"",IF($AJ51&lt;&gt;Constants!$B$7,$AJ51,AK51))</f>
        <v/>
      </c>
      <c r="BG51" s="63" t="str">
        <f aca="false">IF(ISBLANK($C51),"",BA51)</f>
        <v/>
      </c>
      <c r="BH51" s="63" t="str">
        <f aca="false">IF(ISBLANK($C51),"",AZ51)</f>
        <v/>
      </c>
      <c r="BI51" s="66" t="str">
        <f aca="false">IF(ISBLANK($C51),"",IF(BH51=Constants!$B$4,COUNTA($C$8:$C$507)+2,IF(BH51=Constants!$B$5,COUNTA($C$8:$C$507)+1,IF(BH51=Constants!$B$6,COUNTA($C$8:$C$507),BH51))))</f>
        <v/>
      </c>
      <c r="BJ51" s="5"/>
      <c r="BK51" s="67" t="n">
        <f aca="false">IF(OR(ISNUMBER(BH51),BH51=Constants!$B$4,BH51=Constants!$B$6,BH51=Constants!$B$5),1,0)</f>
        <v>0</v>
      </c>
      <c r="BL51" s="67" t="n">
        <v>44</v>
      </c>
      <c r="BM51" s="67" t="str">
        <f aca="false">IF(ISBLANK($C51),"",IF(ISNUMBER(BI51),BI51+ROW($B51)/1000,""))</f>
        <v/>
      </c>
      <c r="BN51" s="67" t="str">
        <f aca="false">IF(ISNUMBER(BM51),RANK(BM51,$BM$8:$BM$507,1),"")</f>
        <v/>
      </c>
      <c r="BO51" s="67" t="str">
        <f aca="false">IF(ISBLANK($C51),"",$B51)</f>
        <v/>
      </c>
      <c r="BP51" s="67" t="str">
        <f aca="false">IF(ISBLANK($C51),"",$C51)</f>
        <v/>
      </c>
      <c r="BQ51" s="67" t="str">
        <f aca="false">IF(ISBLANK($C51),"",$D51)</f>
        <v/>
      </c>
      <c r="BR51" s="68" t="str">
        <f aca="false">BF51</f>
        <v/>
      </c>
      <c r="BS51" s="69" t="str">
        <f aca="false">BE51</f>
        <v/>
      </c>
      <c r="BT51" s="67" t="str">
        <f aca="false">IF(ISBLANK($C51),"",BH51)</f>
        <v/>
      </c>
      <c r="BU51" s="70" t="str">
        <f aca="false">IF($BL51&gt;$BK$7,"",VLOOKUP($BL51,$BN$8:$BT$507,7,FALSE()))</f>
        <v/>
      </c>
      <c r="BV51" s="71" t="str">
        <f aca="false">IF($BL51&gt;$BK$7,"",VLOOKUP($BL51,$BN$8:$BT$507,2,FALSE()))</f>
        <v/>
      </c>
      <c r="BW51" s="71" t="str">
        <f aca="false">IF($BL51&gt;$BK$7,"",VLOOKUP($BL51,$BN$8:$BT$507,3,FALSE()))</f>
        <v/>
      </c>
      <c r="BX51" s="71" t="str">
        <f aca="false">IF($BL51&gt;$BK$7,"",VLOOKUP($BL51,$BN$8:$BT$507,4,FALSE()))</f>
        <v/>
      </c>
      <c r="BY51" s="71" t="str">
        <f aca="false">IF($BL51&gt;$BK$7,"",VLOOKUP($BL51,$BN$8:$BT$507,5,FALSE()))</f>
        <v/>
      </c>
      <c r="BZ51" s="72" t="str">
        <f aca="false">IF($BL51&gt;$BK$7,"",VLOOKUP($BL51,$BN$8:$BT$507,6,FALSE()))</f>
        <v/>
      </c>
      <c r="CA51" s="48"/>
    </row>
    <row r="52" customFormat="false" ht="15.75" hidden="false" customHeight="false" outlineLevel="0" collapsed="false">
      <c r="A52" s="5"/>
      <c r="B52" s="121"/>
      <c r="C52" s="50"/>
      <c r="D52" s="51"/>
      <c r="E52" s="74"/>
      <c r="F52" s="122"/>
      <c r="G52" s="54"/>
      <c r="H52" s="123"/>
      <c r="I52" s="124"/>
      <c r="J52" s="54"/>
      <c r="K52" s="123"/>
      <c r="L52" s="54"/>
      <c r="M52" s="123"/>
      <c r="N52" s="54"/>
      <c r="O52" s="123"/>
      <c r="P52" s="54"/>
      <c r="Q52" s="123"/>
      <c r="R52" s="54"/>
      <c r="S52" s="74"/>
      <c r="T52" s="58"/>
      <c r="U52" s="59" t="str">
        <f aca="false">IF(ISBLANK($C52),"",IF(E52=Constants!$B$2, TRUE(), IF(E52=Constants!$B$3, FALSE(), TRUE())))</f>
        <v/>
      </c>
      <c r="V52" s="59" t="str">
        <f aca="false">IF(ISBLANK($C52),"",IF(F52=Constants!$B$2, TRUE(), IF(F52=Constants!$B$3, FALSE(), TRUE())))</f>
        <v/>
      </c>
      <c r="W52" s="59" t="str">
        <f aca="false">IF(ISBLANK($C52),"",IF(G52=Constants!$B$15,Constants!$B$8,IF(G52=Constants!$B$16,Constants!$B$9,Constants!$B$10)))</f>
        <v/>
      </c>
      <c r="X52" s="59" t="str">
        <f aca="false">IF(ISBLANK($C52),"",IF(H52=Constants!$B$2, TRUE(), IF(H52=Constants!$B$3, FALSE(), TRUE())))</f>
        <v/>
      </c>
      <c r="Y52" s="59" t="str">
        <f aca="false">IF(ISBLANK($C52),"",IF(I52=Constants!$B$19,Constants!$B$19,Constants!$B$18))</f>
        <v/>
      </c>
      <c r="Z52" s="59" t="str">
        <f aca="false">IF(ISBLANK($C52),"",IF(ISNUMBER(J52),IF(J52&gt;=0,J52,""),""))</f>
        <v/>
      </c>
      <c r="AA52" s="59" t="str">
        <f aca="false">IF(ISBLANK($C52),"",IF(K52=Constants!$B$19,Constants!$B$19,Constants!$B$18))</f>
        <v/>
      </c>
      <c r="AB52" s="59" t="str">
        <f aca="false">IF(ISBLANK($C52),"",IF(ISNUMBER(L52),IF(L52&gt;=0,L52,""),""))</f>
        <v/>
      </c>
      <c r="AC52" s="59" t="str">
        <f aca="false">IF(ISBLANK($C52),"",IF(M52=Constants!$B$19,Constants!$B$19,Constants!$B$18))</f>
        <v/>
      </c>
      <c r="AD52" s="59" t="str">
        <f aca="false">IF(ISBLANK($C52),"",IF(ISNUMBER(N52),IF(N52&gt;=0,N52,""),""))</f>
        <v/>
      </c>
      <c r="AE52" s="59" t="str">
        <f aca="false">IF(ISBLANK($C52),"",IF(O52=Constants!$B$19,Constants!$B$19,Constants!$B$18))</f>
        <v/>
      </c>
      <c r="AF52" s="59" t="str">
        <f aca="false">IF(ISBLANK($C52),"",IF(ISNUMBER(P52),IF(P52&gt;=0,P52,""),""))</f>
        <v/>
      </c>
      <c r="AG52" s="59" t="str">
        <f aca="false">IF(ISBLANK($C52),"",IF(Q52=Constants!$B$19,Constants!$B$19,Constants!$B$18))</f>
        <v/>
      </c>
      <c r="AH52" s="59" t="str">
        <f aca="false">IF(ISBLANK($C52),"",IF(ISNUMBER(R52),IF(R52&gt;=0,R52,""),""))</f>
        <v/>
      </c>
      <c r="AI52" s="59" t="str">
        <f aca="false">IF(ISBLANK($C52),"",IF(S52=Constants!$B$2, TRUE(), IF(S52=Constants!$B$3, FALSE(), FALSE())))</f>
        <v/>
      </c>
      <c r="AJ52" s="59" t="str">
        <f aca="false">IF(ISBLANK($C52),"",IF(AI52,Constants!$B$4,IF(COUNTA(E52:R52)=0,Constants!$B$5,IF(COUNTA(J52,L52,N52,P52,R52)=0,Constants!$B$6,Constants!$B$7))))</f>
        <v/>
      </c>
      <c r="AK52" s="59" t="str">
        <f aca="false">IF(ISBLANK($C52),"",IF($AJ52&lt;&gt;Constants!$B$7,$AJ52,IF(OR(NOT(X52),AND(NOT(U52),COUNTIFS(Y52:AG52,Constants!$B$18,Z52:AH52,"&gt;=0")&gt;0),AND(NOT(V52),COUNTIFS(Y52:AG52,Constants!$B$19,Z52:AH52,"&gt;=0")&gt;0)),Constants!$B$12,Constants!$B$11)))</f>
        <v/>
      </c>
      <c r="AL52" s="59" t="str">
        <f aca="false">IF($AJ52=Constants!$B$7,IF(Z52="",Constants!$B$13,Z52),"")</f>
        <v/>
      </c>
      <c r="AM52" s="59" t="str">
        <f aca="false">IF($AJ52=Constants!$B$7,IF(AB52="",Constants!$B$13,AB52),"")</f>
        <v/>
      </c>
      <c r="AN52" s="59" t="str">
        <f aca="false">IF($AJ52=Constants!$B$7,IF(AD52="",Constants!$B$13,AD52),"")</f>
        <v/>
      </c>
      <c r="AO52" s="59" t="str">
        <f aca="false">IF($AJ52=Constants!$B$7,IF(AF52="",Constants!$B$13,AF52),"")</f>
        <v/>
      </c>
      <c r="AP52" s="59" t="str">
        <f aca="false">IF($AJ52=Constants!$B$7,IF(AH52="",Constants!$B$13,AH52),"")</f>
        <v/>
      </c>
      <c r="AQ52" s="59" t="str">
        <f aca="false">IF($AJ52=Constants!$B$7,IF(SUMPRODUCT(--($AL52:$AP52&gt;AL52))+SUMPRODUCT(--($AL52:AL52=AL52))=1,1,IF(SUMPRODUCT(--($AL52:$AP52&gt;AM52))+SUMPRODUCT(--($AL52:AM52=AM52))=1,2,IF(SUMPRODUCT(--($AL52:$AP52&gt;AN52))+SUMPRODUCT(--($AL52:AN52=AN52))=1,3,IF(SUMPRODUCT(--($AL52:$AP52&gt;AO52))+SUMPRODUCT(--($AL52:AO52=AO52))=1,4,5)))),"")</f>
        <v/>
      </c>
      <c r="AR52" s="59" t="str">
        <f aca="false">IF($AJ52=Constants!$B$7,IF(SUMPRODUCT(--($AL52:$AP52&gt;AL52))+SUMPRODUCT(--($AL52:AL52=AL52))=2,1,IF(SUMPRODUCT(--($AL52:$AP52&gt;AM52))+SUMPRODUCT(--($AL52:AM52=AM52))=2,2,IF(SUMPRODUCT(--($AL52:$AP52&gt;AN52))+SUMPRODUCT(--($AL52:AN52=AN52))=2,3,IF(SUMPRODUCT(--($AL52:$AP52&gt;AO52))+SUMPRODUCT(--($AL52:AO52=AO52))=2,4,5)))),"")</f>
        <v/>
      </c>
      <c r="AS52" s="59" t="str">
        <f aca="false">IF($AJ52=Constants!$B$7,IF(SUMPRODUCT(--($AL52:$AP52&gt;AL52))+SUMPRODUCT(--($AL52:AL52=AL52))=3,1,IF(SUMPRODUCT(--($AL52:$AP52&gt;AM52))+SUMPRODUCT(--($AL52:AM52=AM52))=3,2,IF(SUMPRODUCT(--($AL52:$AP52&gt;AN52))+SUMPRODUCT(--($AL52:AN52=AN52))=3,3,IF(SUMPRODUCT(--($AL52:$AP52&gt;AO52))+SUMPRODUCT(--($AL52:AO52=AO52))=3,4,5)))),"")</f>
        <v/>
      </c>
      <c r="AT52" s="59" t="str">
        <f aca="false">IF($AJ52=Constants!$B$7,LARGE(AL52:AP52,1)+LARGE(AL52:AP52,2)+LARGE(AL52:AP52,3),"")</f>
        <v/>
      </c>
      <c r="AU52" s="59" t="str">
        <f aca="false">IF(ISBLANK($C52),"",IF($AJ52&lt;&gt;Constants!$B$7,$AJ52,AT52*W52))</f>
        <v/>
      </c>
      <c r="AV52" s="59" t="str">
        <f aca="false">IF(ISBLANK($C52),"",IF($AJ52=Constants!$B$7,IF(ISNUMBER(AU52),RANK(AU52,$AU$8:$AU$507),Constants!$B$14),$AJ52))</f>
        <v/>
      </c>
      <c r="AW52" s="59" t="str">
        <f aca="false">IF(ISBLANK($C52),"",IF($AJ52=Constants!$B$7,IF(ISNUMBER(AV52),COUNTIFS($AK$8:$AK$507,"&lt;"&amp;$AK52)+COUNTIFS($AK$8:$AK$507,$AK52,$AV$8:$AV$507,"&lt;"&amp;$AV52)+1,Constants!$B$14),$AJ52))</f>
        <v/>
      </c>
      <c r="AX52" s="59" t="str">
        <f aca="false">IF(ISBLANK($C52),"",IF($AJ52=Constants!$B$7,LARGE(AL52:AP52,4)*W52,""))</f>
        <v/>
      </c>
      <c r="AY52" s="59" t="str">
        <f aca="false">IF(ISBLANK($C52),"",IF($AJ52=Constants!$B$7,RANK(AX52,$AX$8:$AX$507),$AJ52))</f>
        <v/>
      </c>
      <c r="AZ52" s="59" t="str">
        <f aca="false">IF(ISBLANK($C52),"",IF($AJ52=Constants!$B$7,IF(ISNUMBER(AV52),COUNTIFS($AK$8:$AK$507,"&lt;"&amp;$AK52)+COUNTIFS($AK$8:$AK$507,$AK52,$AV$8:$AV$507,"&lt;"&amp;$AV52)+COUNTIFS($AK$8:$AK$507,$AK52,$AV$8:$AV$507,$AV52,$AY$8:$AY$507,"&lt;"&amp;$AY52)+1,Constants!$B$14),$AJ52))</f>
        <v/>
      </c>
      <c r="BA52" s="59" t="str">
        <f aca="false">IF(ISBLANK($C52),"",IF($AJ52=Constants!$B$7,IF(ISNUMBER(AW52),AW52-AZ52,Constants!$B$14),$AJ52))</f>
        <v/>
      </c>
      <c r="BB52" s="61"/>
      <c r="BC52" s="62" t="str">
        <f aca="false">IF(ISBLANK($C52),"",IF($AJ52&lt;&gt;Constants!$B$7,$AJ52,SMALL(AQ52:AS52,1)&amp;", "&amp;SMALL(AQ52:AS52,2)&amp;", "&amp;SMALL(AQ52:AS52,3)))</f>
        <v/>
      </c>
      <c r="BD52" s="63" t="str">
        <f aca="false">IF(ISBLANK($C52),"",IF($AJ52&lt;&gt;Constants!$B$7,$AJ52,W52))</f>
        <v/>
      </c>
      <c r="BE52" s="64" t="str">
        <f aca="false">IF(ISBLANK($C52),"",IF($AJ52&lt;&gt;Constants!$B$7,$AJ52,AU52))</f>
        <v/>
      </c>
      <c r="BF52" s="65" t="str">
        <f aca="false">IF(ISBLANK($C52),"",IF($AJ52&lt;&gt;Constants!$B$7,$AJ52,AK52))</f>
        <v/>
      </c>
      <c r="BG52" s="63" t="str">
        <f aca="false">IF(ISBLANK($C52),"",BA52)</f>
        <v/>
      </c>
      <c r="BH52" s="63" t="str">
        <f aca="false">IF(ISBLANK($C52),"",AZ52)</f>
        <v/>
      </c>
      <c r="BI52" s="66" t="str">
        <f aca="false">IF(ISBLANK($C52),"",IF(BH52=Constants!$B$4,COUNTA($C$8:$C$507)+2,IF(BH52=Constants!$B$5,COUNTA($C$8:$C$507)+1,IF(BH52=Constants!$B$6,COUNTA($C$8:$C$507),BH52))))</f>
        <v/>
      </c>
      <c r="BJ52" s="5"/>
      <c r="BK52" s="67" t="n">
        <f aca="false">IF(OR(ISNUMBER(BH52),BH52=Constants!$B$4,BH52=Constants!$B$6,BH52=Constants!$B$5),1,0)</f>
        <v>0</v>
      </c>
      <c r="BL52" s="67" t="n">
        <v>45</v>
      </c>
      <c r="BM52" s="67" t="str">
        <f aca="false">IF(ISBLANK($C52),"",IF(ISNUMBER(BI52),BI52+ROW($B52)/1000,""))</f>
        <v/>
      </c>
      <c r="BN52" s="67" t="str">
        <f aca="false">IF(ISNUMBER(BM52),RANK(BM52,$BM$8:$BM$507,1),"")</f>
        <v/>
      </c>
      <c r="BO52" s="67" t="str">
        <f aca="false">IF(ISBLANK($C52),"",$B52)</f>
        <v/>
      </c>
      <c r="BP52" s="67" t="str">
        <f aca="false">IF(ISBLANK($C52),"",$C52)</f>
        <v/>
      </c>
      <c r="BQ52" s="67" t="str">
        <f aca="false">IF(ISBLANK($C52),"",$D52)</f>
        <v/>
      </c>
      <c r="BR52" s="68" t="str">
        <f aca="false">BF52</f>
        <v/>
      </c>
      <c r="BS52" s="69" t="str">
        <f aca="false">BE52</f>
        <v/>
      </c>
      <c r="BT52" s="67" t="str">
        <f aca="false">IF(ISBLANK($C52),"",BH52)</f>
        <v/>
      </c>
      <c r="BU52" s="70" t="str">
        <f aca="false">IF($BL52&gt;$BK$7,"",VLOOKUP($BL52,$BN$8:$BT$507,7,FALSE()))</f>
        <v/>
      </c>
      <c r="BV52" s="71" t="str">
        <f aca="false">IF($BL52&gt;$BK$7,"",VLOOKUP($BL52,$BN$8:$BT$507,2,FALSE()))</f>
        <v/>
      </c>
      <c r="BW52" s="71" t="str">
        <f aca="false">IF($BL52&gt;$BK$7,"",VLOOKUP($BL52,$BN$8:$BT$507,3,FALSE()))</f>
        <v/>
      </c>
      <c r="BX52" s="71" t="str">
        <f aca="false">IF($BL52&gt;$BK$7,"",VLOOKUP($BL52,$BN$8:$BT$507,4,FALSE()))</f>
        <v/>
      </c>
      <c r="BY52" s="71" t="str">
        <f aca="false">IF($BL52&gt;$BK$7,"",VLOOKUP($BL52,$BN$8:$BT$507,5,FALSE()))</f>
        <v/>
      </c>
      <c r="BZ52" s="72" t="str">
        <f aca="false">IF($BL52&gt;$BK$7,"",VLOOKUP($BL52,$BN$8:$BT$507,6,FALSE()))</f>
        <v/>
      </c>
      <c r="CA52" s="48"/>
    </row>
    <row r="53" customFormat="false" ht="15.75" hidden="false" customHeight="false" outlineLevel="0" collapsed="false">
      <c r="A53" s="5"/>
      <c r="B53" s="114"/>
      <c r="C53" s="115"/>
      <c r="D53" s="100"/>
      <c r="E53" s="120"/>
      <c r="F53" s="125"/>
      <c r="G53" s="82"/>
      <c r="H53" s="126"/>
      <c r="I53" s="127"/>
      <c r="J53" s="82"/>
      <c r="K53" s="126"/>
      <c r="L53" s="82"/>
      <c r="M53" s="126"/>
      <c r="N53" s="82"/>
      <c r="O53" s="126"/>
      <c r="P53" s="82"/>
      <c r="Q53" s="126"/>
      <c r="R53" s="82"/>
      <c r="S53" s="120"/>
      <c r="T53" s="86"/>
      <c r="U53" s="87" t="str">
        <f aca="false">IF(ISBLANK($C53),"",IF(E53=Constants!$B$2, TRUE(), IF(E53=Constants!$B$3, FALSE(), TRUE())))</f>
        <v/>
      </c>
      <c r="V53" s="87" t="str">
        <f aca="false">IF(ISBLANK($C53),"",IF(F53=Constants!$B$2, TRUE(), IF(F53=Constants!$B$3, FALSE(), TRUE())))</f>
        <v/>
      </c>
      <c r="W53" s="87" t="str">
        <f aca="false">IF(ISBLANK($C53),"",IF(G53=Constants!$B$15,Constants!$B$8,IF(G53=Constants!$B$16,Constants!$B$9,Constants!$B$10)))</f>
        <v/>
      </c>
      <c r="X53" s="87" t="str">
        <f aca="false">IF(ISBLANK($C53),"",IF(H53=Constants!$B$2, TRUE(), IF(H53=Constants!$B$3, FALSE(), TRUE())))</f>
        <v/>
      </c>
      <c r="Y53" s="87" t="str">
        <f aca="false">IF(ISBLANK($C53),"",IF(I53=Constants!$B$19,Constants!$B$19,Constants!$B$18))</f>
        <v/>
      </c>
      <c r="Z53" s="87" t="str">
        <f aca="false">IF(ISBLANK($C53),"",IF(ISNUMBER(J53),IF(J53&gt;=0,J53,""),""))</f>
        <v/>
      </c>
      <c r="AA53" s="87" t="str">
        <f aca="false">IF(ISBLANK($C53),"",IF(K53=Constants!$B$19,Constants!$B$19,Constants!$B$18))</f>
        <v/>
      </c>
      <c r="AB53" s="87" t="str">
        <f aca="false">IF(ISBLANK($C53),"",IF(ISNUMBER(L53),IF(L53&gt;=0,L53,""),""))</f>
        <v/>
      </c>
      <c r="AC53" s="87" t="str">
        <f aca="false">IF(ISBLANK($C53),"",IF(M53=Constants!$B$19,Constants!$B$19,Constants!$B$18))</f>
        <v/>
      </c>
      <c r="AD53" s="87" t="str">
        <f aca="false">IF(ISBLANK($C53),"",IF(ISNUMBER(N53),IF(N53&gt;=0,N53,""),""))</f>
        <v/>
      </c>
      <c r="AE53" s="87" t="str">
        <f aca="false">IF(ISBLANK($C53),"",IF(O53=Constants!$B$19,Constants!$B$19,Constants!$B$18))</f>
        <v/>
      </c>
      <c r="AF53" s="87" t="str">
        <f aca="false">IF(ISBLANK($C53),"",IF(ISNUMBER(P53),IF(P53&gt;=0,P53,""),""))</f>
        <v/>
      </c>
      <c r="AG53" s="87" t="str">
        <f aca="false">IF(ISBLANK($C53),"",IF(Q53=Constants!$B$19,Constants!$B$19,Constants!$B$18))</f>
        <v/>
      </c>
      <c r="AH53" s="87" t="str">
        <f aca="false">IF(ISBLANK($C53),"",IF(ISNUMBER(R53),IF(R53&gt;=0,R53,""),""))</f>
        <v/>
      </c>
      <c r="AI53" s="87" t="str">
        <f aca="false">IF(ISBLANK($C53),"",IF(S53=Constants!$B$2, TRUE(), IF(S53=Constants!$B$3, FALSE(), FALSE())))</f>
        <v/>
      </c>
      <c r="AJ53" s="87" t="str">
        <f aca="false">IF(ISBLANK($C53),"",IF(AI53,Constants!$B$4,IF(COUNTA(E53:R53)=0,Constants!$B$5,IF(COUNTA(J53,L53,N53,P53,R53)=0,Constants!$B$6,Constants!$B$7))))</f>
        <v/>
      </c>
      <c r="AK53" s="87" t="str">
        <f aca="false">IF(ISBLANK($C53),"",IF($AJ53&lt;&gt;Constants!$B$7,$AJ53,IF(OR(NOT(X53),AND(NOT(U53),COUNTIFS(Y53:AG53,Constants!$B$18,Z53:AH53,"&gt;=0")&gt;0),AND(NOT(V53),COUNTIFS(Y53:AG53,Constants!$B$19,Z53:AH53,"&gt;=0")&gt;0)),Constants!$B$12,Constants!$B$11)))</f>
        <v/>
      </c>
      <c r="AL53" s="87" t="str">
        <f aca="false">IF($AJ53=Constants!$B$7,IF(Z53="",Constants!$B$13,Z53),"")</f>
        <v/>
      </c>
      <c r="AM53" s="87" t="str">
        <f aca="false">IF($AJ53=Constants!$B$7,IF(AB53="",Constants!$B$13,AB53),"")</f>
        <v/>
      </c>
      <c r="AN53" s="87" t="str">
        <f aca="false">IF($AJ53=Constants!$B$7,IF(AD53="",Constants!$B$13,AD53),"")</f>
        <v/>
      </c>
      <c r="AO53" s="87" t="str">
        <f aca="false">IF($AJ53=Constants!$B$7,IF(AF53="",Constants!$B$13,AF53),"")</f>
        <v/>
      </c>
      <c r="AP53" s="87" t="str">
        <f aca="false">IF($AJ53=Constants!$B$7,IF(AH53="",Constants!$B$13,AH53),"")</f>
        <v/>
      </c>
      <c r="AQ53" s="87" t="str">
        <f aca="false">IF($AJ53=Constants!$B$7,IF(SUMPRODUCT(--($AL53:$AP53&gt;AL53))+SUMPRODUCT(--($AL53:AL53=AL53))=1,1,IF(SUMPRODUCT(--($AL53:$AP53&gt;AM53))+SUMPRODUCT(--($AL53:AM53=AM53))=1,2,IF(SUMPRODUCT(--($AL53:$AP53&gt;AN53))+SUMPRODUCT(--($AL53:AN53=AN53))=1,3,IF(SUMPRODUCT(--($AL53:$AP53&gt;AO53))+SUMPRODUCT(--($AL53:AO53=AO53))=1,4,5)))),"")</f>
        <v/>
      </c>
      <c r="AR53" s="87" t="str">
        <f aca="false">IF($AJ53=Constants!$B$7,IF(SUMPRODUCT(--($AL53:$AP53&gt;AL53))+SUMPRODUCT(--($AL53:AL53=AL53))=2,1,IF(SUMPRODUCT(--($AL53:$AP53&gt;AM53))+SUMPRODUCT(--($AL53:AM53=AM53))=2,2,IF(SUMPRODUCT(--($AL53:$AP53&gt;AN53))+SUMPRODUCT(--($AL53:AN53=AN53))=2,3,IF(SUMPRODUCT(--($AL53:$AP53&gt;AO53))+SUMPRODUCT(--($AL53:AO53=AO53))=2,4,5)))),"")</f>
        <v/>
      </c>
      <c r="AS53" s="87" t="str">
        <f aca="false">IF($AJ53=Constants!$B$7,IF(SUMPRODUCT(--($AL53:$AP53&gt;AL53))+SUMPRODUCT(--($AL53:AL53=AL53))=3,1,IF(SUMPRODUCT(--($AL53:$AP53&gt;AM53))+SUMPRODUCT(--($AL53:AM53=AM53))=3,2,IF(SUMPRODUCT(--($AL53:$AP53&gt;AN53))+SUMPRODUCT(--($AL53:AN53=AN53))=3,3,IF(SUMPRODUCT(--($AL53:$AP53&gt;AO53))+SUMPRODUCT(--($AL53:AO53=AO53))=3,4,5)))),"")</f>
        <v/>
      </c>
      <c r="AT53" s="87" t="str">
        <f aca="false">IF($AJ53=Constants!$B$7,LARGE(AL53:AP53,1)+LARGE(AL53:AP53,2)+LARGE(AL53:AP53,3),"")</f>
        <v/>
      </c>
      <c r="AU53" s="87" t="str">
        <f aca="false">IF(ISBLANK($C53),"",IF($AJ53&lt;&gt;Constants!$B$7,$AJ53,AT53*W53))</f>
        <v/>
      </c>
      <c r="AV53" s="87" t="str">
        <f aca="false">IF(ISBLANK($C53),"",IF($AJ53=Constants!$B$7,IF(ISNUMBER(AU53),RANK(AU53,$AU$8:$AU$507),Constants!$B$14),$AJ53))</f>
        <v/>
      </c>
      <c r="AW53" s="87" t="str">
        <f aca="false">IF(ISBLANK($C53),"",IF($AJ53=Constants!$B$7,IF(ISNUMBER(AV53),COUNTIFS($AK$8:$AK$507,"&lt;"&amp;$AK53)+COUNTIFS($AK$8:$AK$507,$AK53,$AV$8:$AV$507,"&lt;"&amp;$AV53)+1,Constants!$B$14),$AJ53))</f>
        <v/>
      </c>
      <c r="AX53" s="87" t="str">
        <f aca="false">IF(ISBLANK($C53),"",IF($AJ53=Constants!$B$7,LARGE(AL53:AP53,4)*W53,""))</f>
        <v/>
      </c>
      <c r="AY53" s="87" t="str">
        <f aca="false">IF(ISBLANK($C53),"",IF($AJ53=Constants!$B$7,RANK(AX53,$AX$8:$AX$507),$AJ53))</f>
        <v/>
      </c>
      <c r="AZ53" s="87" t="str">
        <f aca="false">IF(ISBLANK($C53),"",IF($AJ53=Constants!$B$7,IF(ISNUMBER(AV53),COUNTIFS($AK$8:$AK$507,"&lt;"&amp;$AK53)+COUNTIFS($AK$8:$AK$507,$AK53,$AV$8:$AV$507,"&lt;"&amp;$AV53)+COUNTIFS($AK$8:$AK$507,$AK53,$AV$8:$AV$507,$AV53,$AY$8:$AY$507,"&lt;"&amp;$AY53)+1,Constants!$B$14),$AJ53))</f>
        <v/>
      </c>
      <c r="BA53" s="87" t="str">
        <f aca="false">IF(ISBLANK($C53),"",IF($AJ53=Constants!$B$7,IF(ISNUMBER(AW53),AW53-AZ53,Constants!$B$14),$AJ53))</f>
        <v/>
      </c>
      <c r="BB53" s="88"/>
      <c r="BC53" s="89" t="str">
        <f aca="false">IF(ISBLANK($C53),"",IF($AJ53&lt;&gt;Constants!$B$7,$AJ53,SMALL(AQ53:AS53,1)&amp;", "&amp;SMALL(AQ53:AS53,2)&amp;", "&amp;SMALL(AQ53:AS53,3)))</f>
        <v/>
      </c>
      <c r="BD53" s="90" t="str">
        <f aca="false">IF(ISBLANK($C53),"",IF($AJ53&lt;&gt;Constants!$B$7,$AJ53,W53))</f>
        <v/>
      </c>
      <c r="BE53" s="91" t="str">
        <f aca="false">IF(ISBLANK($C53),"",IF($AJ53&lt;&gt;Constants!$B$7,$AJ53,AU53))</f>
        <v/>
      </c>
      <c r="BF53" s="92" t="str">
        <f aca="false">IF(ISBLANK($C53),"",IF($AJ53&lt;&gt;Constants!$B$7,$AJ53,AK53))</f>
        <v/>
      </c>
      <c r="BG53" s="90" t="str">
        <f aca="false">IF(ISBLANK($C53),"",BA53)</f>
        <v/>
      </c>
      <c r="BH53" s="90" t="str">
        <f aca="false">IF(ISBLANK($C53),"",AZ53)</f>
        <v/>
      </c>
      <c r="BI53" s="93" t="str">
        <f aca="false">IF(ISBLANK($C53),"",IF(BH53=Constants!$B$4,COUNTA($C$8:$C$507)+2,IF(BH53=Constants!$B$5,COUNTA($C$8:$C$507)+1,IF(BH53=Constants!$B$6,COUNTA($C$8:$C$507),BH53))))</f>
        <v/>
      </c>
      <c r="BJ53" s="5"/>
      <c r="BK53" s="94" t="n">
        <f aca="false">IF(OR(ISNUMBER(BH53),BH53=Constants!$B$4,BH53=Constants!$B$6,BH53=Constants!$B$5),1,0)</f>
        <v>0</v>
      </c>
      <c r="BL53" s="94" t="n">
        <v>46</v>
      </c>
      <c r="BM53" s="94" t="str">
        <f aca="false">IF(ISBLANK($C53),"",IF(ISNUMBER(BI53),BI53+ROW($B53)/1000,""))</f>
        <v/>
      </c>
      <c r="BN53" s="94" t="str">
        <f aca="false">IF(ISNUMBER(BM53),RANK(BM53,$BM$8:$BM$507,1),"")</f>
        <v/>
      </c>
      <c r="BO53" s="94" t="str">
        <f aca="false">IF(ISBLANK($C53),"",$B53)</f>
        <v/>
      </c>
      <c r="BP53" s="94" t="str">
        <f aca="false">IF(ISBLANK($C53),"",$C53)</f>
        <v/>
      </c>
      <c r="BQ53" s="94" t="str">
        <f aca="false">IF(ISBLANK($C53),"",$D53)</f>
        <v/>
      </c>
      <c r="BR53" s="95" t="str">
        <f aca="false">BF53</f>
        <v/>
      </c>
      <c r="BS53" s="96" t="str">
        <f aca="false">BE53</f>
        <v/>
      </c>
      <c r="BT53" s="94" t="str">
        <f aca="false">IF(ISBLANK($C53),"",BH53)</f>
        <v/>
      </c>
      <c r="BU53" s="97" t="str">
        <f aca="false">IF($BL53&gt;$BK$7,"",VLOOKUP($BL53,$BN$8:$BT$507,7,FALSE()))</f>
        <v/>
      </c>
      <c r="BV53" s="98" t="str">
        <f aca="false">IF($BL53&gt;$BK$7,"",VLOOKUP($BL53,$BN$8:$BT$507,2,FALSE()))</f>
        <v/>
      </c>
      <c r="BW53" s="98" t="str">
        <f aca="false">IF($BL53&gt;$BK$7,"",VLOOKUP($BL53,$BN$8:$BT$507,3,FALSE()))</f>
        <v/>
      </c>
      <c r="BX53" s="98" t="str">
        <f aca="false">IF($BL53&gt;$BK$7,"",VLOOKUP($BL53,$BN$8:$BT$507,4,FALSE()))</f>
        <v/>
      </c>
      <c r="BY53" s="98" t="str">
        <f aca="false">IF($BL53&gt;$BK$7,"",VLOOKUP($BL53,$BN$8:$BT$507,5,FALSE()))</f>
        <v/>
      </c>
      <c r="BZ53" s="99" t="str">
        <f aca="false">IF($BL53&gt;$BK$7,"",VLOOKUP($BL53,$BN$8:$BT$507,6,FALSE()))</f>
        <v/>
      </c>
      <c r="CA53" s="48"/>
    </row>
    <row r="54" customFormat="false" ht="15.75" hidden="false" customHeight="false" outlineLevel="0" collapsed="false">
      <c r="A54" s="5"/>
      <c r="B54" s="114"/>
      <c r="C54" s="115"/>
      <c r="D54" s="100"/>
      <c r="E54" s="120"/>
      <c r="F54" s="125"/>
      <c r="G54" s="82"/>
      <c r="H54" s="126"/>
      <c r="I54" s="127"/>
      <c r="J54" s="82"/>
      <c r="K54" s="126"/>
      <c r="L54" s="82"/>
      <c r="M54" s="126"/>
      <c r="N54" s="82"/>
      <c r="O54" s="126"/>
      <c r="P54" s="82"/>
      <c r="Q54" s="126"/>
      <c r="R54" s="82"/>
      <c r="S54" s="120"/>
      <c r="T54" s="86"/>
      <c r="U54" s="87" t="str">
        <f aca="false">IF(ISBLANK($C54),"",IF(E54=Constants!$B$2, TRUE(), IF(E54=Constants!$B$3, FALSE(), TRUE())))</f>
        <v/>
      </c>
      <c r="V54" s="87" t="str">
        <f aca="false">IF(ISBLANK($C54),"",IF(F54=Constants!$B$2, TRUE(), IF(F54=Constants!$B$3, FALSE(), TRUE())))</f>
        <v/>
      </c>
      <c r="W54" s="87" t="str">
        <f aca="false">IF(ISBLANK($C54),"",IF(G54=Constants!$B$15,Constants!$B$8,IF(G54=Constants!$B$16,Constants!$B$9,Constants!$B$10)))</f>
        <v/>
      </c>
      <c r="X54" s="87" t="str">
        <f aca="false">IF(ISBLANK($C54),"",IF(H54=Constants!$B$2, TRUE(), IF(H54=Constants!$B$3, FALSE(), TRUE())))</f>
        <v/>
      </c>
      <c r="Y54" s="87" t="str">
        <f aca="false">IF(ISBLANK($C54),"",IF(I54=Constants!$B$19,Constants!$B$19,Constants!$B$18))</f>
        <v/>
      </c>
      <c r="Z54" s="87" t="str">
        <f aca="false">IF(ISBLANK($C54),"",IF(ISNUMBER(J54),IF(J54&gt;=0,J54,""),""))</f>
        <v/>
      </c>
      <c r="AA54" s="87" t="str">
        <f aca="false">IF(ISBLANK($C54),"",IF(K54=Constants!$B$19,Constants!$B$19,Constants!$B$18))</f>
        <v/>
      </c>
      <c r="AB54" s="87" t="str">
        <f aca="false">IF(ISBLANK($C54),"",IF(ISNUMBER(L54),IF(L54&gt;=0,L54,""),""))</f>
        <v/>
      </c>
      <c r="AC54" s="87" t="str">
        <f aca="false">IF(ISBLANK($C54),"",IF(M54=Constants!$B$19,Constants!$B$19,Constants!$B$18))</f>
        <v/>
      </c>
      <c r="AD54" s="87" t="str">
        <f aca="false">IF(ISBLANK($C54),"",IF(ISNUMBER(N54),IF(N54&gt;=0,N54,""),""))</f>
        <v/>
      </c>
      <c r="AE54" s="87" t="str">
        <f aca="false">IF(ISBLANK($C54),"",IF(O54=Constants!$B$19,Constants!$B$19,Constants!$B$18))</f>
        <v/>
      </c>
      <c r="AF54" s="87" t="str">
        <f aca="false">IF(ISBLANK($C54),"",IF(ISNUMBER(P54),IF(P54&gt;=0,P54,""),""))</f>
        <v/>
      </c>
      <c r="AG54" s="87" t="str">
        <f aca="false">IF(ISBLANK($C54),"",IF(Q54=Constants!$B$19,Constants!$B$19,Constants!$B$18))</f>
        <v/>
      </c>
      <c r="AH54" s="87" t="str">
        <f aca="false">IF(ISBLANK($C54),"",IF(ISNUMBER(R54),IF(R54&gt;=0,R54,""),""))</f>
        <v/>
      </c>
      <c r="AI54" s="87" t="str">
        <f aca="false">IF(ISBLANK($C54),"",IF(S54=Constants!$B$2, TRUE(), IF(S54=Constants!$B$3, FALSE(), FALSE())))</f>
        <v/>
      </c>
      <c r="AJ54" s="87" t="str">
        <f aca="false">IF(ISBLANK($C54),"",IF(AI54,Constants!$B$4,IF(COUNTA(E54:R54)=0,Constants!$B$5,IF(COUNTA(J54,L54,N54,P54,R54)=0,Constants!$B$6,Constants!$B$7))))</f>
        <v/>
      </c>
      <c r="AK54" s="87" t="str">
        <f aca="false">IF(ISBLANK($C54),"",IF($AJ54&lt;&gt;Constants!$B$7,$AJ54,IF(OR(NOT(X54),AND(NOT(U54),COUNTIFS(Y54:AG54,Constants!$B$18,Z54:AH54,"&gt;=0")&gt;0),AND(NOT(V54),COUNTIFS(Y54:AG54,Constants!$B$19,Z54:AH54,"&gt;=0")&gt;0)),Constants!$B$12,Constants!$B$11)))</f>
        <v/>
      </c>
      <c r="AL54" s="87" t="str">
        <f aca="false">IF($AJ54=Constants!$B$7,IF(Z54="",Constants!$B$13,Z54),"")</f>
        <v/>
      </c>
      <c r="AM54" s="87" t="str">
        <f aca="false">IF($AJ54=Constants!$B$7,IF(AB54="",Constants!$B$13,AB54),"")</f>
        <v/>
      </c>
      <c r="AN54" s="87" t="str">
        <f aca="false">IF($AJ54=Constants!$B$7,IF(AD54="",Constants!$B$13,AD54),"")</f>
        <v/>
      </c>
      <c r="AO54" s="87" t="str">
        <f aca="false">IF($AJ54=Constants!$B$7,IF(AF54="",Constants!$B$13,AF54),"")</f>
        <v/>
      </c>
      <c r="AP54" s="87" t="str">
        <f aca="false">IF($AJ54=Constants!$B$7,IF(AH54="",Constants!$B$13,AH54),"")</f>
        <v/>
      </c>
      <c r="AQ54" s="87" t="str">
        <f aca="false">IF($AJ54=Constants!$B$7,IF(SUMPRODUCT(--($AL54:$AP54&gt;AL54))+SUMPRODUCT(--($AL54:AL54=AL54))=1,1,IF(SUMPRODUCT(--($AL54:$AP54&gt;AM54))+SUMPRODUCT(--($AL54:AM54=AM54))=1,2,IF(SUMPRODUCT(--($AL54:$AP54&gt;AN54))+SUMPRODUCT(--($AL54:AN54=AN54))=1,3,IF(SUMPRODUCT(--($AL54:$AP54&gt;AO54))+SUMPRODUCT(--($AL54:AO54=AO54))=1,4,5)))),"")</f>
        <v/>
      </c>
      <c r="AR54" s="87" t="str">
        <f aca="false">IF($AJ54=Constants!$B$7,IF(SUMPRODUCT(--($AL54:$AP54&gt;AL54))+SUMPRODUCT(--($AL54:AL54=AL54))=2,1,IF(SUMPRODUCT(--($AL54:$AP54&gt;AM54))+SUMPRODUCT(--($AL54:AM54=AM54))=2,2,IF(SUMPRODUCT(--($AL54:$AP54&gt;AN54))+SUMPRODUCT(--($AL54:AN54=AN54))=2,3,IF(SUMPRODUCT(--($AL54:$AP54&gt;AO54))+SUMPRODUCT(--($AL54:AO54=AO54))=2,4,5)))),"")</f>
        <v/>
      </c>
      <c r="AS54" s="87" t="str">
        <f aca="false">IF($AJ54=Constants!$B$7,IF(SUMPRODUCT(--($AL54:$AP54&gt;AL54))+SUMPRODUCT(--($AL54:AL54=AL54))=3,1,IF(SUMPRODUCT(--($AL54:$AP54&gt;AM54))+SUMPRODUCT(--($AL54:AM54=AM54))=3,2,IF(SUMPRODUCT(--($AL54:$AP54&gt;AN54))+SUMPRODUCT(--($AL54:AN54=AN54))=3,3,IF(SUMPRODUCT(--($AL54:$AP54&gt;AO54))+SUMPRODUCT(--($AL54:AO54=AO54))=3,4,5)))),"")</f>
        <v/>
      </c>
      <c r="AT54" s="87" t="str">
        <f aca="false">IF($AJ54=Constants!$B$7,LARGE(AL54:AP54,1)+LARGE(AL54:AP54,2)+LARGE(AL54:AP54,3),"")</f>
        <v/>
      </c>
      <c r="AU54" s="87" t="str">
        <f aca="false">IF(ISBLANK($C54),"",IF($AJ54&lt;&gt;Constants!$B$7,$AJ54,AT54*W54))</f>
        <v/>
      </c>
      <c r="AV54" s="87" t="str">
        <f aca="false">IF(ISBLANK($C54),"",IF($AJ54=Constants!$B$7,IF(ISNUMBER(AU54),RANK(AU54,$AU$8:$AU$507),Constants!$B$14),$AJ54))</f>
        <v/>
      </c>
      <c r="AW54" s="87" t="str">
        <f aca="false">IF(ISBLANK($C54),"",IF($AJ54=Constants!$B$7,IF(ISNUMBER(AV54),COUNTIFS($AK$8:$AK$507,"&lt;"&amp;$AK54)+COUNTIFS($AK$8:$AK$507,$AK54,$AV$8:$AV$507,"&lt;"&amp;$AV54)+1,Constants!$B$14),$AJ54))</f>
        <v/>
      </c>
      <c r="AX54" s="87" t="str">
        <f aca="false">IF(ISBLANK($C54),"",IF($AJ54=Constants!$B$7,LARGE(AL54:AP54,4)*W54,""))</f>
        <v/>
      </c>
      <c r="AY54" s="87" t="str">
        <f aca="false">IF(ISBLANK($C54),"",IF($AJ54=Constants!$B$7,RANK(AX54,$AX$8:$AX$507),$AJ54))</f>
        <v/>
      </c>
      <c r="AZ54" s="87" t="str">
        <f aca="false">IF(ISBLANK($C54),"",IF($AJ54=Constants!$B$7,IF(ISNUMBER(AV54),COUNTIFS($AK$8:$AK$507,"&lt;"&amp;$AK54)+COUNTIFS($AK$8:$AK$507,$AK54,$AV$8:$AV$507,"&lt;"&amp;$AV54)+COUNTIFS($AK$8:$AK$507,$AK54,$AV$8:$AV$507,$AV54,$AY$8:$AY$507,"&lt;"&amp;$AY54)+1,Constants!$B$14),$AJ54))</f>
        <v/>
      </c>
      <c r="BA54" s="87" t="str">
        <f aca="false">IF(ISBLANK($C54),"",IF($AJ54=Constants!$B$7,IF(ISNUMBER(AW54),AW54-AZ54,Constants!$B$14),$AJ54))</f>
        <v/>
      </c>
      <c r="BB54" s="88"/>
      <c r="BC54" s="89" t="str">
        <f aca="false">IF(ISBLANK($C54),"",IF($AJ54&lt;&gt;Constants!$B$7,$AJ54,SMALL(AQ54:AS54,1)&amp;", "&amp;SMALL(AQ54:AS54,2)&amp;", "&amp;SMALL(AQ54:AS54,3)))</f>
        <v/>
      </c>
      <c r="BD54" s="90" t="str">
        <f aca="false">IF(ISBLANK($C54),"",IF($AJ54&lt;&gt;Constants!$B$7,$AJ54,W54))</f>
        <v/>
      </c>
      <c r="BE54" s="91" t="str">
        <f aca="false">IF(ISBLANK($C54),"",IF($AJ54&lt;&gt;Constants!$B$7,$AJ54,AU54))</f>
        <v/>
      </c>
      <c r="BF54" s="92" t="str">
        <f aca="false">IF(ISBLANK($C54),"",IF($AJ54&lt;&gt;Constants!$B$7,$AJ54,AK54))</f>
        <v/>
      </c>
      <c r="BG54" s="90" t="str">
        <f aca="false">IF(ISBLANK($C54),"",BA54)</f>
        <v/>
      </c>
      <c r="BH54" s="90" t="str">
        <f aca="false">IF(ISBLANK($C54),"",AZ54)</f>
        <v/>
      </c>
      <c r="BI54" s="93" t="str">
        <f aca="false">IF(ISBLANK($C54),"",IF(BH54=Constants!$B$4,COUNTA($C$8:$C$507)+2,IF(BH54=Constants!$B$5,COUNTA($C$8:$C$507)+1,IF(BH54=Constants!$B$6,COUNTA($C$8:$C$507),BH54))))</f>
        <v/>
      </c>
      <c r="BJ54" s="5"/>
      <c r="BK54" s="94" t="n">
        <f aca="false">IF(OR(ISNUMBER(BH54),BH54=Constants!$B$4,BH54=Constants!$B$6,BH54=Constants!$B$5),1,0)</f>
        <v>0</v>
      </c>
      <c r="BL54" s="94" t="n">
        <v>47</v>
      </c>
      <c r="BM54" s="94" t="str">
        <f aca="false">IF(ISBLANK($C54),"",IF(ISNUMBER(BI54),BI54+ROW($B54)/1000,""))</f>
        <v/>
      </c>
      <c r="BN54" s="94" t="str">
        <f aca="false">IF(ISNUMBER(BM54),RANK(BM54,$BM$8:$BM$507,1),"")</f>
        <v/>
      </c>
      <c r="BO54" s="94" t="str">
        <f aca="false">IF(ISBLANK($C54),"",$B54)</f>
        <v/>
      </c>
      <c r="BP54" s="94" t="str">
        <f aca="false">IF(ISBLANK($C54),"",$C54)</f>
        <v/>
      </c>
      <c r="BQ54" s="94" t="str">
        <f aca="false">IF(ISBLANK($C54),"",$D54)</f>
        <v/>
      </c>
      <c r="BR54" s="95" t="str">
        <f aca="false">BF54</f>
        <v/>
      </c>
      <c r="BS54" s="96" t="str">
        <f aca="false">BE54</f>
        <v/>
      </c>
      <c r="BT54" s="94" t="str">
        <f aca="false">IF(ISBLANK($C54),"",BH54)</f>
        <v/>
      </c>
      <c r="BU54" s="97" t="str">
        <f aca="false">IF($BL54&gt;$BK$7,"",VLOOKUP($BL54,$BN$8:$BT$507,7,FALSE()))</f>
        <v/>
      </c>
      <c r="BV54" s="98" t="str">
        <f aca="false">IF($BL54&gt;$BK$7,"",VLOOKUP($BL54,$BN$8:$BT$507,2,FALSE()))</f>
        <v/>
      </c>
      <c r="BW54" s="98" t="str">
        <f aca="false">IF($BL54&gt;$BK$7,"",VLOOKUP($BL54,$BN$8:$BT$507,3,FALSE()))</f>
        <v/>
      </c>
      <c r="BX54" s="98" t="str">
        <f aca="false">IF($BL54&gt;$BK$7,"",VLOOKUP($BL54,$BN$8:$BT$507,4,FALSE()))</f>
        <v/>
      </c>
      <c r="BY54" s="98" t="str">
        <f aca="false">IF($BL54&gt;$BK$7,"",VLOOKUP($BL54,$BN$8:$BT$507,5,FALSE()))</f>
        <v/>
      </c>
      <c r="BZ54" s="99" t="str">
        <f aca="false">IF($BL54&gt;$BK$7,"",VLOOKUP($BL54,$BN$8:$BT$507,6,FALSE()))</f>
        <v/>
      </c>
      <c r="CA54" s="48"/>
    </row>
    <row r="55" customFormat="false" ht="15.75" hidden="false" customHeight="false" outlineLevel="0" collapsed="false">
      <c r="A55" s="5"/>
      <c r="B55" s="114"/>
      <c r="C55" s="115"/>
      <c r="D55" s="100"/>
      <c r="E55" s="120"/>
      <c r="F55" s="125"/>
      <c r="G55" s="82"/>
      <c r="H55" s="126"/>
      <c r="I55" s="127"/>
      <c r="J55" s="82"/>
      <c r="K55" s="126"/>
      <c r="L55" s="82"/>
      <c r="M55" s="126"/>
      <c r="N55" s="82"/>
      <c r="O55" s="126"/>
      <c r="P55" s="82"/>
      <c r="Q55" s="126"/>
      <c r="R55" s="82"/>
      <c r="S55" s="120"/>
      <c r="T55" s="86"/>
      <c r="U55" s="87" t="str">
        <f aca="false">IF(ISBLANK($C55),"",IF(E55=Constants!$B$2, TRUE(), IF(E55=Constants!$B$3, FALSE(), TRUE())))</f>
        <v/>
      </c>
      <c r="V55" s="87" t="str">
        <f aca="false">IF(ISBLANK($C55),"",IF(F55=Constants!$B$2, TRUE(), IF(F55=Constants!$B$3, FALSE(), TRUE())))</f>
        <v/>
      </c>
      <c r="W55" s="87" t="str">
        <f aca="false">IF(ISBLANK($C55),"",IF(G55=Constants!$B$15,Constants!$B$8,IF(G55=Constants!$B$16,Constants!$B$9,Constants!$B$10)))</f>
        <v/>
      </c>
      <c r="X55" s="87" t="str">
        <f aca="false">IF(ISBLANK($C55),"",IF(H55=Constants!$B$2, TRUE(), IF(H55=Constants!$B$3, FALSE(), TRUE())))</f>
        <v/>
      </c>
      <c r="Y55" s="87" t="str">
        <f aca="false">IF(ISBLANK($C55),"",IF(I55=Constants!$B$19,Constants!$B$19,Constants!$B$18))</f>
        <v/>
      </c>
      <c r="Z55" s="87" t="str">
        <f aca="false">IF(ISBLANK($C55),"",IF(ISNUMBER(J55),IF(J55&gt;=0,J55,""),""))</f>
        <v/>
      </c>
      <c r="AA55" s="87" t="str">
        <f aca="false">IF(ISBLANK($C55),"",IF(K55=Constants!$B$19,Constants!$B$19,Constants!$B$18))</f>
        <v/>
      </c>
      <c r="AB55" s="87" t="str">
        <f aca="false">IF(ISBLANK($C55),"",IF(ISNUMBER(L55),IF(L55&gt;=0,L55,""),""))</f>
        <v/>
      </c>
      <c r="AC55" s="87" t="str">
        <f aca="false">IF(ISBLANK($C55),"",IF(M55=Constants!$B$19,Constants!$B$19,Constants!$B$18))</f>
        <v/>
      </c>
      <c r="AD55" s="87" t="str">
        <f aca="false">IF(ISBLANK($C55),"",IF(ISNUMBER(N55),IF(N55&gt;=0,N55,""),""))</f>
        <v/>
      </c>
      <c r="AE55" s="87" t="str">
        <f aca="false">IF(ISBLANK($C55),"",IF(O55=Constants!$B$19,Constants!$B$19,Constants!$B$18))</f>
        <v/>
      </c>
      <c r="AF55" s="87" t="str">
        <f aca="false">IF(ISBLANK($C55),"",IF(ISNUMBER(P55),IF(P55&gt;=0,P55,""),""))</f>
        <v/>
      </c>
      <c r="AG55" s="87" t="str">
        <f aca="false">IF(ISBLANK($C55),"",IF(Q55=Constants!$B$19,Constants!$B$19,Constants!$B$18))</f>
        <v/>
      </c>
      <c r="AH55" s="87" t="str">
        <f aca="false">IF(ISBLANK($C55),"",IF(ISNUMBER(R55),IF(R55&gt;=0,R55,""),""))</f>
        <v/>
      </c>
      <c r="AI55" s="87" t="str">
        <f aca="false">IF(ISBLANK($C55),"",IF(S55=Constants!$B$2, TRUE(), IF(S55=Constants!$B$3, FALSE(), FALSE())))</f>
        <v/>
      </c>
      <c r="AJ55" s="87" t="str">
        <f aca="false">IF(ISBLANK($C55),"",IF(AI55,Constants!$B$4,IF(COUNTA(E55:R55)=0,Constants!$B$5,IF(COUNTA(J55,L55,N55,P55,R55)=0,Constants!$B$6,Constants!$B$7))))</f>
        <v/>
      </c>
      <c r="AK55" s="87" t="str">
        <f aca="false">IF(ISBLANK($C55),"",IF($AJ55&lt;&gt;Constants!$B$7,$AJ55,IF(OR(NOT(X55),AND(NOT(U55),COUNTIFS(Y55:AG55,Constants!$B$18,Z55:AH55,"&gt;=0")&gt;0),AND(NOT(V55),COUNTIFS(Y55:AG55,Constants!$B$19,Z55:AH55,"&gt;=0")&gt;0)),Constants!$B$12,Constants!$B$11)))</f>
        <v/>
      </c>
      <c r="AL55" s="87" t="str">
        <f aca="false">IF($AJ55=Constants!$B$7,IF(Z55="",Constants!$B$13,Z55),"")</f>
        <v/>
      </c>
      <c r="AM55" s="87" t="str">
        <f aca="false">IF($AJ55=Constants!$B$7,IF(AB55="",Constants!$B$13,AB55),"")</f>
        <v/>
      </c>
      <c r="AN55" s="87" t="str">
        <f aca="false">IF($AJ55=Constants!$B$7,IF(AD55="",Constants!$B$13,AD55),"")</f>
        <v/>
      </c>
      <c r="AO55" s="87" t="str">
        <f aca="false">IF($AJ55=Constants!$B$7,IF(AF55="",Constants!$B$13,AF55),"")</f>
        <v/>
      </c>
      <c r="AP55" s="87" t="str">
        <f aca="false">IF($AJ55=Constants!$B$7,IF(AH55="",Constants!$B$13,AH55),"")</f>
        <v/>
      </c>
      <c r="AQ55" s="87" t="str">
        <f aca="false">IF($AJ55=Constants!$B$7,IF(SUMPRODUCT(--($AL55:$AP55&gt;AL55))+SUMPRODUCT(--($AL55:AL55=AL55))=1,1,IF(SUMPRODUCT(--($AL55:$AP55&gt;AM55))+SUMPRODUCT(--($AL55:AM55=AM55))=1,2,IF(SUMPRODUCT(--($AL55:$AP55&gt;AN55))+SUMPRODUCT(--($AL55:AN55=AN55))=1,3,IF(SUMPRODUCT(--($AL55:$AP55&gt;AO55))+SUMPRODUCT(--($AL55:AO55=AO55))=1,4,5)))),"")</f>
        <v/>
      </c>
      <c r="AR55" s="87" t="str">
        <f aca="false">IF($AJ55=Constants!$B$7,IF(SUMPRODUCT(--($AL55:$AP55&gt;AL55))+SUMPRODUCT(--($AL55:AL55=AL55))=2,1,IF(SUMPRODUCT(--($AL55:$AP55&gt;AM55))+SUMPRODUCT(--($AL55:AM55=AM55))=2,2,IF(SUMPRODUCT(--($AL55:$AP55&gt;AN55))+SUMPRODUCT(--($AL55:AN55=AN55))=2,3,IF(SUMPRODUCT(--($AL55:$AP55&gt;AO55))+SUMPRODUCT(--($AL55:AO55=AO55))=2,4,5)))),"")</f>
        <v/>
      </c>
      <c r="AS55" s="87" t="str">
        <f aca="false">IF($AJ55=Constants!$B$7,IF(SUMPRODUCT(--($AL55:$AP55&gt;AL55))+SUMPRODUCT(--($AL55:AL55=AL55))=3,1,IF(SUMPRODUCT(--($AL55:$AP55&gt;AM55))+SUMPRODUCT(--($AL55:AM55=AM55))=3,2,IF(SUMPRODUCT(--($AL55:$AP55&gt;AN55))+SUMPRODUCT(--($AL55:AN55=AN55))=3,3,IF(SUMPRODUCT(--($AL55:$AP55&gt;AO55))+SUMPRODUCT(--($AL55:AO55=AO55))=3,4,5)))),"")</f>
        <v/>
      </c>
      <c r="AT55" s="87" t="str">
        <f aca="false">IF($AJ55=Constants!$B$7,LARGE(AL55:AP55,1)+LARGE(AL55:AP55,2)+LARGE(AL55:AP55,3),"")</f>
        <v/>
      </c>
      <c r="AU55" s="87" t="str">
        <f aca="false">IF(ISBLANK($C55),"",IF($AJ55&lt;&gt;Constants!$B$7,$AJ55,AT55*W55))</f>
        <v/>
      </c>
      <c r="AV55" s="87" t="str">
        <f aca="false">IF(ISBLANK($C55),"",IF($AJ55=Constants!$B$7,IF(ISNUMBER(AU55),RANK(AU55,$AU$8:$AU$507),Constants!$B$14),$AJ55))</f>
        <v/>
      </c>
      <c r="AW55" s="87" t="str">
        <f aca="false">IF(ISBLANK($C55),"",IF($AJ55=Constants!$B$7,IF(ISNUMBER(AV55),COUNTIFS($AK$8:$AK$507,"&lt;"&amp;$AK55)+COUNTIFS($AK$8:$AK$507,$AK55,$AV$8:$AV$507,"&lt;"&amp;$AV55)+1,Constants!$B$14),$AJ55))</f>
        <v/>
      </c>
      <c r="AX55" s="87" t="str">
        <f aca="false">IF(ISBLANK($C55),"",IF($AJ55=Constants!$B$7,LARGE(AL55:AP55,4)*W55,""))</f>
        <v/>
      </c>
      <c r="AY55" s="87" t="str">
        <f aca="false">IF(ISBLANK($C55),"",IF($AJ55=Constants!$B$7,RANK(AX55,$AX$8:$AX$507),$AJ55))</f>
        <v/>
      </c>
      <c r="AZ55" s="87" t="str">
        <f aca="false">IF(ISBLANK($C55),"",IF($AJ55=Constants!$B$7,IF(ISNUMBER(AV55),COUNTIFS($AK$8:$AK$507,"&lt;"&amp;$AK55)+COUNTIFS($AK$8:$AK$507,$AK55,$AV$8:$AV$507,"&lt;"&amp;$AV55)+COUNTIFS($AK$8:$AK$507,$AK55,$AV$8:$AV$507,$AV55,$AY$8:$AY$507,"&lt;"&amp;$AY55)+1,Constants!$B$14),$AJ55))</f>
        <v/>
      </c>
      <c r="BA55" s="87" t="str">
        <f aca="false">IF(ISBLANK($C55),"",IF($AJ55=Constants!$B$7,IF(ISNUMBER(AW55),AW55-AZ55,Constants!$B$14),$AJ55))</f>
        <v/>
      </c>
      <c r="BB55" s="88"/>
      <c r="BC55" s="89" t="str">
        <f aca="false">IF(ISBLANK($C55),"",IF($AJ55&lt;&gt;Constants!$B$7,$AJ55,SMALL(AQ55:AS55,1)&amp;", "&amp;SMALL(AQ55:AS55,2)&amp;", "&amp;SMALL(AQ55:AS55,3)))</f>
        <v/>
      </c>
      <c r="BD55" s="90" t="str">
        <f aca="false">IF(ISBLANK($C55),"",IF($AJ55&lt;&gt;Constants!$B$7,$AJ55,W55))</f>
        <v/>
      </c>
      <c r="BE55" s="91" t="str">
        <f aca="false">IF(ISBLANK($C55),"",IF($AJ55&lt;&gt;Constants!$B$7,$AJ55,AU55))</f>
        <v/>
      </c>
      <c r="BF55" s="92" t="str">
        <f aca="false">IF(ISBLANK($C55),"",IF($AJ55&lt;&gt;Constants!$B$7,$AJ55,AK55))</f>
        <v/>
      </c>
      <c r="BG55" s="90" t="str">
        <f aca="false">IF(ISBLANK($C55),"",BA55)</f>
        <v/>
      </c>
      <c r="BH55" s="90" t="str">
        <f aca="false">IF(ISBLANK($C55),"",AZ55)</f>
        <v/>
      </c>
      <c r="BI55" s="93" t="str">
        <f aca="false">IF(ISBLANK($C55),"",IF(BH55=Constants!$B$4,COUNTA($C$8:$C$507)+2,IF(BH55=Constants!$B$5,COUNTA($C$8:$C$507)+1,IF(BH55=Constants!$B$6,COUNTA($C$8:$C$507),BH55))))</f>
        <v/>
      </c>
      <c r="BJ55" s="5"/>
      <c r="BK55" s="94" t="n">
        <f aca="false">IF(OR(ISNUMBER(BH55),BH55=Constants!$B$4,BH55=Constants!$B$6,BH55=Constants!$B$5),1,0)</f>
        <v>0</v>
      </c>
      <c r="BL55" s="94" t="n">
        <v>48</v>
      </c>
      <c r="BM55" s="94" t="str">
        <f aca="false">IF(ISBLANK($C55),"",IF(ISNUMBER(BI55),BI55+ROW($B55)/1000,""))</f>
        <v/>
      </c>
      <c r="BN55" s="94" t="str">
        <f aca="false">IF(ISNUMBER(BM55),RANK(BM55,$BM$8:$BM$507,1),"")</f>
        <v/>
      </c>
      <c r="BO55" s="94" t="str">
        <f aca="false">IF(ISBLANK($C55),"",$B55)</f>
        <v/>
      </c>
      <c r="BP55" s="94" t="str">
        <f aca="false">IF(ISBLANK($C55),"",$C55)</f>
        <v/>
      </c>
      <c r="BQ55" s="94" t="str">
        <f aca="false">IF(ISBLANK($C55),"",$D55)</f>
        <v/>
      </c>
      <c r="BR55" s="95" t="str">
        <f aca="false">BF55</f>
        <v/>
      </c>
      <c r="BS55" s="96" t="str">
        <f aca="false">BE55</f>
        <v/>
      </c>
      <c r="BT55" s="94" t="str">
        <f aca="false">IF(ISBLANK($C55),"",BH55)</f>
        <v/>
      </c>
      <c r="BU55" s="97" t="str">
        <f aca="false">IF($BL55&gt;$BK$7,"",VLOOKUP($BL55,$BN$8:$BT$507,7,FALSE()))</f>
        <v/>
      </c>
      <c r="BV55" s="98" t="str">
        <f aca="false">IF($BL55&gt;$BK$7,"",VLOOKUP($BL55,$BN$8:$BT$507,2,FALSE()))</f>
        <v/>
      </c>
      <c r="BW55" s="98" t="str">
        <f aca="false">IF($BL55&gt;$BK$7,"",VLOOKUP($BL55,$BN$8:$BT$507,3,FALSE()))</f>
        <v/>
      </c>
      <c r="BX55" s="98" t="str">
        <f aca="false">IF($BL55&gt;$BK$7,"",VLOOKUP($BL55,$BN$8:$BT$507,4,FALSE()))</f>
        <v/>
      </c>
      <c r="BY55" s="98" t="str">
        <f aca="false">IF($BL55&gt;$BK$7,"",VLOOKUP($BL55,$BN$8:$BT$507,5,FALSE()))</f>
        <v/>
      </c>
      <c r="BZ55" s="99" t="str">
        <f aca="false">IF($BL55&gt;$BK$7,"",VLOOKUP($BL55,$BN$8:$BT$507,6,FALSE()))</f>
        <v/>
      </c>
      <c r="CA55" s="48"/>
    </row>
    <row r="56" customFormat="false" ht="15.75" hidden="false" customHeight="false" outlineLevel="0" collapsed="false">
      <c r="A56" s="5"/>
      <c r="B56" s="121"/>
      <c r="C56" s="50"/>
      <c r="D56" s="51"/>
      <c r="E56" s="74"/>
      <c r="F56" s="122"/>
      <c r="G56" s="54"/>
      <c r="H56" s="123"/>
      <c r="I56" s="124"/>
      <c r="J56" s="54"/>
      <c r="K56" s="123"/>
      <c r="L56" s="54"/>
      <c r="M56" s="123"/>
      <c r="N56" s="54"/>
      <c r="O56" s="123"/>
      <c r="P56" s="54"/>
      <c r="Q56" s="123"/>
      <c r="R56" s="54"/>
      <c r="S56" s="74"/>
      <c r="T56" s="58"/>
      <c r="U56" s="59" t="str">
        <f aca="false">IF(ISBLANK($C56),"",IF(E56=Constants!$B$2, TRUE(), IF(E56=Constants!$B$3, FALSE(), TRUE())))</f>
        <v/>
      </c>
      <c r="V56" s="59" t="str">
        <f aca="false">IF(ISBLANK($C56),"",IF(F56=Constants!$B$2, TRUE(), IF(F56=Constants!$B$3, FALSE(), TRUE())))</f>
        <v/>
      </c>
      <c r="W56" s="59" t="str">
        <f aca="false">IF(ISBLANK($C56),"",IF(G56=Constants!$B$15,Constants!$B$8,IF(G56=Constants!$B$16,Constants!$B$9,Constants!$B$10)))</f>
        <v/>
      </c>
      <c r="X56" s="59" t="str">
        <f aca="false">IF(ISBLANK($C56),"",IF(H56=Constants!$B$2, TRUE(), IF(H56=Constants!$B$3, FALSE(), TRUE())))</f>
        <v/>
      </c>
      <c r="Y56" s="59" t="str">
        <f aca="false">IF(ISBLANK($C56),"",IF(I56=Constants!$B$19,Constants!$B$19,Constants!$B$18))</f>
        <v/>
      </c>
      <c r="Z56" s="59" t="str">
        <f aca="false">IF(ISBLANK($C56),"",IF(ISNUMBER(J56),IF(J56&gt;=0,J56,""),""))</f>
        <v/>
      </c>
      <c r="AA56" s="59" t="str">
        <f aca="false">IF(ISBLANK($C56),"",IF(K56=Constants!$B$19,Constants!$B$19,Constants!$B$18))</f>
        <v/>
      </c>
      <c r="AB56" s="59" t="str">
        <f aca="false">IF(ISBLANK($C56),"",IF(ISNUMBER(L56),IF(L56&gt;=0,L56,""),""))</f>
        <v/>
      </c>
      <c r="AC56" s="59" t="str">
        <f aca="false">IF(ISBLANK($C56),"",IF(M56=Constants!$B$19,Constants!$B$19,Constants!$B$18))</f>
        <v/>
      </c>
      <c r="AD56" s="59" t="str">
        <f aca="false">IF(ISBLANK($C56),"",IF(ISNUMBER(N56),IF(N56&gt;=0,N56,""),""))</f>
        <v/>
      </c>
      <c r="AE56" s="59" t="str">
        <f aca="false">IF(ISBLANK($C56),"",IF(O56=Constants!$B$19,Constants!$B$19,Constants!$B$18))</f>
        <v/>
      </c>
      <c r="AF56" s="59" t="str">
        <f aca="false">IF(ISBLANK($C56),"",IF(ISNUMBER(P56),IF(P56&gt;=0,P56,""),""))</f>
        <v/>
      </c>
      <c r="AG56" s="59" t="str">
        <f aca="false">IF(ISBLANK($C56),"",IF(Q56=Constants!$B$19,Constants!$B$19,Constants!$B$18))</f>
        <v/>
      </c>
      <c r="AH56" s="59" t="str">
        <f aca="false">IF(ISBLANK($C56),"",IF(ISNUMBER(R56),IF(R56&gt;=0,R56,""),""))</f>
        <v/>
      </c>
      <c r="AI56" s="59" t="str">
        <f aca="false">IF(ISBLANK($C56),"",IF(S56=Constants!$B$2, TRUE(), IF(S56=Constants!$B$3, FALSE(), FALSE())))</f>
        <v/>
      </c>
      <c r="AJ56" s="59" t="str">
        <f aca="false">IF(ISBLANK($C56),"",IF(AI56,Constants!$B$4,IF(COUNTA(E56:R56)=0,Constants!$B$5,IF(COUNTA(J56,L56,N56,P56,R56)=0,Constants!$B$6,Constants!$B$7))))</f>
        <v/>
      </c>
      <c r="AK56" s="59" t="str">
        <f aca="false">IF(ISBLANK($C56),"",IF($AJ56&lt;&gt;Constants!$B$7,$AJ56,IF(OR(NOT(X56),AND(NOT(U56),COUNTIFS(Y56:AG56,Constants!$B$18,Z56:AH56,"&gt;=0")&gt;0),AND(NOT(V56),COUNTIFS(Y56:AG56,Constants!$B$19,Z56:AH56,"&gt;=0")&gt;0)),Constants!$B$12,Constants!$B$11)))</f>
        <v/>
      </c>
      <c r="AL56" s="59" t="str">
        <f aca="false">IF($AJ56=Constants!$B$7,IF(Z56="",Constants!$B$13,Z56),"")</f>
        <v/>
      </c>
      <c r="AM56" s="59" t="str">
        <f aca="false">IF($AJ56=Constants!$B$7,IF(AB56="",Constants!$B$13,AB56),"")</f>
        <v/>
      </c>
      <c r="AN56" s="59" t="str">
        <f aca="false">IF($AJ56=Constants!$B$7,IF(AD56="",Constants!$B$13,AD56),"")</f>
        <v/>
      </c>
      <c r="AO56" s="59" t="str">
        <f aca="false">IF($AJ56=Constants!$B$7,IF(AF56="",Constants!$B$13,AF56),"")</f>
        <v/>
      </c>
      <c r="AP56" s="59" t="str">
        <f aca="false">IF($AJ56=Constants!$B$7,IF(AH56="",Constants!$B$13,AH56),"")</f>
        <v/>
      </c>
      <c r="AQ56" s="59" t="str">
        <f aca="false">IF($AJ56=Constants!$B$7,IF(SUMPRODUCT(--($AL56:$AP56&gt;AL56))+SUMPRODUCT(--($AL56:AL56=AL56))=1,1,IF(SUMPRODUCT(--($AL56:$AP56&gt;AM56))+SUMPRODUCT(--($AL56:AM56=AM56))=1,2,IF(SUMPRODUCT(--($AL56:$AP56&gt;AN56))+SUMPRODUCT(--($AL56:AN56=AN56))=1,3,IF(SUMPRODUCT(--($AL56:$AP56&gt;AO56))+SUMPRODUCT(--($AL56:AO56=AO56))=1,4,5)))),"")</f>
        <v/>
      </c>
      <c r="AR56" s="59" t="str">
        <f aca="false">IF($AJ56=Constants!$B$7,IF(SUMPRODUCT(--($AL56:$AP56&gt;AL56))+SUMPRODUCT(--($AL56:AL56=AL56))=2,1,IF(SUMPRODUCT(--($AL56:$AP56&gt;AM56))+SUMPRODUCT(--($AL56:AM56=AM56))=2,2,IF(SUMPRODUCT(--($AL56:$AP56&gt;AN56))+SUMPRODUCT(--($AL56:AN56=AN56))=2,3,IF(SUMPRODUCT(--($AL56:$AP56&gt;AO56))+SUMPRODUCT(--($AL56:AO56=AO56))=2,4,5)))),"")</f>
        <v/>
      </c>
      <c r="AS56" s="59" t="str">
        <f aca="false">IF($AJ56=Constants!$B$7,IF(SUMPRODUCT(--($AL56:$AP56&gt;AL56))+SUMPRODUCT(--($AL56:AL56=AL56))=3,1,IF(SUMPRODUCT(--($AL56:$AP56&gt;AM56))+SUMPRODUCT(--($AL56:AM56=AM56))=3,2,IF(SUMPRODUCT(--($AL56:$AP56&gt;AN56))+SUMPRODUCT(--($AL56:AN56=AN56))=3,3,IF(SUMPRODUCT(--($AL56:$AP56&gt;AO56))+SUMPRODUCT(--($AL56:AO56=AO56))=3,4,5)))),"")</f>
        <v/>
      </c>
      <c r="AT56" s="59" t="str">
        <f aca="false">IF($AJ56=Constants!$B$7,LARGE(AL56:AP56,1)+LARGE(AL56:AP56,2)+LARGE(AL56:AP56,3),"")</f>
        <v/>
      </c>
      <c r="AU56" s="59" t="str">
        <f aca="false">IF(ISBLANK($C56),"",IF($AJ56&lt;&gt;Constants!$B$7,$AJ56,AT56*W56))</f>
        <v/>
      </c>
      <c r="AV56" s="59" t="str">
        <f aca="false">IF(ISBLANK($C56),"",IF($AJ56=Constants!$B$7,IF(ISNUMBER(AU56),RANK(AU56,$AU$8:$AU$507),Constants!$B$14),$AJ56))</f>
        <v/>
      </c>
      <c r="AW56" s="59" t="str">
        <f aca="false">IF(ISBLANK($C56),"",IF($AJ56=Constants!$B$7,IF(ISNUMBER(AV56),COUNTIFS($AK$8:$AK$507,"&lt;"&amp;$AK56)+COUNTIFS($AK$8:$AK$507,$AK56,$AV$8:$AV$507,"&lt;"&amp;$AV56)+1,Constants!$B$14),$AJ56))</f>
        <v/>
      </c>
      <c r="AX56" s="59" t="str">
        <f aca="false">IF(ISBLANK($C56),"",IF($AJ56=Constants!$B$7,LARGE(AL56:AP56,4)*W56,""))</f>
        <v/>
      </c>
      <c r="AY56" s="59" t="str">
        <f aca="false">IF(ISBLANK($C56),"",IF($AJ56=Constants!$B$7,RANK(AX56,$AX$8:$AX$507),$AJ56))</f>
        <v/>
      </c>
      <c r="AZ56" s="59" t="str">
        <f aca="false">IF(ISBLANK($C56),"",IF($AJ56=Constants!$B$7,IF(ISNUMBER(AV56),COUNTIFS($AK$8:$AK$507,"&lt;"&amp;$AK56)+COUNTIFS($AK$8:$AK$507,$AK56,$AV$8:$AV$507,"&lt;"&amp;$AV56)+COUNTIFS($AK$8:$AK$507,$AK56,$AV$8:$AV$507,$AV56,$AY$8:$AY$507,"&lt;"&amp;$AY56)+1,Constants!$B$14),$AJ56))</f>
        <v/>
      </c>
      <c r="BA56" s="59" t="str">
        <f aca="false">IF(ISBLANK($C56),"",IF($AJ56=Constants!$B$7,IF(ISNUMBER(AW56),AW56-AZ56,Constants!$B$14),$AJ56))</f>
        <v/>
      </c>
      <c r="BB56" s="61"/>
      <c r="BC56" s="62" t="str">
        <f aca="false">IF(ISBLANK($C56),"",IF($AJ56&lt;&gt;Constants!$B$7,$AJ56,SMALL(AQ56:AS56,1)&amp;", "&amp;SMALL(AQ56:AS56,2)&amp;", "&amp;SMALL(AQ56:AS56,3)))</f>
        <v/>
      </c>
      <c r="BD56" s="63" t="str">
        <f aca="false">IF(ISBLANK($C56),"",IF($AJ56&lt;&gt;Constants!$B$7,$AJ56,W56))</f>
        <v/>
      </c>
      <c r="BE56" s="64" t="str">
        <f aca="false">IF(ISBLANK($C56),"",IF($AJ56&lt;&gt;Constants!$B$7,$AJ56,AU56))</f>
        <v/>
      </c>
      <c r="BF56" s="65" t="str">
        <f aca="false">IF(ISBLANK($C56),"",IF($AJ56&lt;&gt;Constants!$B$7,$AJ56,AK56))</f>
        <v/>
      </c>
      <c r="BG56" s="63" t="str">
        <f aca="false">IF(ISBLANK($C56),"",BA56)</f>
        <v/>
      </c>
      <c r="BH56" s="63" t="str">
        <f aca="false">IF(ISBLANK($C56),"",AZ56)</f>
        <v/>
      </c>
      <c r="BI56" s="66" t="str">
        <f aca="false">IF(ISBLANK($C56),"",IF(BH56=Constants!$B$4,COUNTA($C$8:$C$507)+2,IF(BH56=Constants!$B$5,COUNTA($C$8:$C$507)+1,IF(BH56=Constants!$B$6,COUNTA($C$8:$C$507),BH56))))</f>
        <v/>
      </c>
      <c r="BJ56" s="5"/>
      <c r="BK56" s="67" t="n">
        <f aca="false">IF(OR(ISNUMBER(BH56),BH56=Constants!$B$4,BH56=Constants!$B$6,BH56=Constants!$B$5),1,0)</f>
        <v>0</v>
      </c>
      <c r="BL56" s="67" t="n">
        <v>49</v>
      </c>
      <c r="BM56" s="67" t="str">
        <f aca="false">IF(ISBLANK($C56),"",IF(ISNUMBER(BI56),BI56+ROW($B56)/1000,""))</f>
        <v/>
      </c>
      <c r="BN56" s="67" t="str">
        <f aca="false">IF(ISNUMBER(BM56),RANK(BM56,$BM$8:$BM$507,1),"")</f>
        <v/>
      </c>
      <c r="BO56" s="67" t="str">
        <f aca="false">IF(ISBLANK($C56),"",$B56)</f>
        <v/>
      </c>
      <c r="BP56" s="67" t="str">
        <f aca="false">IF(ISBLANK($C56),"",$C56)</f>
        <v/>
      </c>
      <c r="BQ56" s="67" t="str">
        <f aca="false">IF(ISBLANK($C56),"",$D56)</f>
        <v/>
      </c>
      <c r="BR56" s="68" t="str">
        <f aca="false">BF56</f>
        <v/>
      </c>
      <c r="BS56" s="69" t="str">
        <f aca="false">BE56</f>
        <v/>
      </c>
      <c r="BT56" s="67" t="str">
        <f aca="false">IF(ISBLANK($C56),"",BH56)</f>
        <v/>
      </c>
      <c r="BU56" s="70" t="str">
        <f aca="false">IF($BL56&gt;$BK$7,"",VLOOKUP($BL56,$BN$8:$BT$507,7,FALSE()))</f>
        <v/>
      </c>
      <c r="BV56" s="71" t="str">
        <f aca="false">IF($BL56&gt;$BK$7,"",VLOOKUP($BL56,$BN$8:$BT$507,2,FALSE()))</f>
        <v/>
      </c>
      <c r="BW56" s="71" t="str">
        <f aca="false">IF($BL56&gt;$BK$7,"",VLOOKUP($BL56,$BN$8:$BT$507,3,FALSE()))</f>
        <v/>
      </c>
      <c r="BX56" s="71" t="str">
        <f aca="false">IF($BL56&gt;$BK$7,"",VLOOKUP($BL56,$BN$8:$BT$507,4,FALSE()))</f>
        <v/>
      </c>
      <c r="BY56" s="71" t="str">
        <f aca="false">IF($BL56&gt;$BK$7,"",VLOOKUP($BL56,$BN$8:$BT$507,5,FALSE()))</f>
        <v/>
      </c>
      <c r="BZ56" s="72" t="str">
        <f aca="false">IF($BL56&gt;$BK$7,"",VLOOKUP($BL56,$BN$8:$BT$507,6,FALSE()))</f>
        <v/>
      </c>
      <c r="CA56" s="48"/>
    </row>
    <row r="57" customFormat="false" ht="15.75" hidden="false" customHeight="false" outlineLevel="0" collapsed="false">
      <c r="A57" s="5"/>
      <c r="B57" s="121"/>
      <c r="C57" s="50"/>
      <c r="D57" s="51"/>
      <c r="E57" s="74"/>
      <c r="F57" s="122"/>
      <c r="G57" s="54"/>
      <c r="H57" s="123"/>
      <c r="I57" s="124"/>
      <c r="J57" s="54"/>
      <c r="K57" s="123"/>
      <c r="L57" s="54"/>
      <c r="M57" s="123"/>
      <c r="N57" s="54"/>
      <c r="O57" s="123"/>
      <c r="P57" s="54"/>
      <c r="Q57" s="123"/>
      <c r="R57" s="54"/>
      <c r="S57" s="74"/>
      <c r="T57" s="58"/>
      <c r="U57" s="59" t="str">
        <f aca="false">IF(ISBLANK($C57),"",IF(E57=Constants!$B$2, TRUE(), IF(E57=Constants!$B$3, FALSE(), TRUE())))</f>
        <v/>
      </c>
      <c r="V57" s="59" t="str">
        <f aca="false">IF(ISBLANK($C57),"",IF(F57=Constants!$B$2, TRUE(), IF(F57=Constants!$B$3, FALSE(), TRUE())))</f>
        <v/>
      </c>
      <c r="W57" s="59" t="str">
        <f aca="false">IF(ISBLANK($C57),"",IF(G57=Constants!$B$15,Constants!$B$8,IF(G57=Constants!$B$16,Constants!$B$9,Constants!$B$10)))</f>
        <v/>
      </c>
      <c r="X57" s="59" t="str">
        <f aca="false">IF(ISBLANK($C57),"",IF(H57=Constants!$B$2, TRUE(), IF(H57=Constants!$B$3, FALSE(), TRUE())))</f>
        <v/>
      </c>
      <c r="Y57" s="59" t="str">
        <f aca="false">IF(ISBLANK($C57),"",IF(I57=Constants!$B$19,Constants!$B$19,Constants!$B$18))</f>
        <v/>
      </c>
      <c r="Z57" s="59" t="str">
        <f aca="false">IF(ISBLANK($C57),"",IF(ISNUMBER(J57),IF(J57&gt;=0,J57,""),""))</f>
        <v/>
      </c>
      <c r="AA57" s="59" t="str">
        <f aca="false">IF(ISBLANK($C57),"",IF(K57=Constants!$B$19,Constants!$B$19,Constants!$B$18))</f>
        <v/>
      </c>
      <c r="AB57" s="59" t="str">
        <f aca="false">IF(ISBLANK($C57),"",IF(ISNUMBER(L57),IF(L57&gt;=0,L57,""),""))</f>
        <v/>
      </c>
      <c r="AC57" s="59" t="str">
        <f aca="false">IF(ISBLANK($C57),"",IF(M57=Constants!$B$19,Constants!$B$19,Constants!$B$18))</f>
        <v/>
      </c>
      <c r="AD57" s="59" t="str">
        <f aca="false">IF(ISBLANK($C57),"",IF(ISNUMBER(N57),IF(N57&gt;=0,N57,""),""))</f>
        <v/>
      </c>
      <c r="AE57" s="59" t="str">
        <f aca="false">IF(ISBLANK($C57),"",IF(O57=Constants!$B$19,Constants!$B$19,Constants!$B$18))</f>
        <v/>
      </c>
      <c r="AF57" s="59" t="str">
        <f aca="false">IF(ISBLANK($C57),"",IF(ISNUMBER(P57),IF(P57&gt;=0,P57,""),""))</f>
        <v/>
      </c>
      <c r="AG57" s="59" t="str">
        <f aca="false">IF(ISBLANK($C57),"",IF(Q57=Constants!$B$19,Constants!$B$19,Constants!$B$18))</f>
        <v/>
      </c>
      <c r="AH57" s="59" t="str">
        <f aca="false">IF(ISBLANK($C57),"",IF(ISNUMBER(R57),IF(R57&gt;=0,R57,""),""))</f>
        <v/>
      </c>
      <c r="AI57" s="59" t="str">
        <f aca="false">IF(ISBLANK($C57),"",IF(S57=Constants!$B$2, TRUE(), IF(S57=Constants!$B$3, FALSE(), FALSE())))</f>
        <v/>
      </c>
      <c r="AJ57" s="59" t="str">
        <f aca="false">IF(ISBLANK($C57),"",IF(AI57,Constants!$B$4,IF(COUNTA(E57:R57)=0,Constants!$B$5,IF(COUNTA(J57,L57,N57,P57,R57)=0,Constants!$B$6,Constants!$B$7))))</f>
        <v/>
      </c>
      <c r="AK57" s="59" t="str">
        <f aca="false">IF(ISBLANK($C57),"",IF($AJ57&lt;&gt;Constants!$B$7,$AJ57,IF(OR(NOT(X57),AND(NOT(U57),COUNTIFS(Y57:AG57,Constants!$B$18,Z57:AH57,"&gt;=0")&gt;0),AND(NOT(V57),COUNTIFS(Y57:AG57,Constants!$B$19,Z57:AH57,"&gt;=0")&gt;0)),Constants!$B$12,Constants!$B$11)))</f>
        <v/>
      </c>
      <c r="AL57" s="59" t="str">
        <f aca="false">IF($AJ57=Constants!$B$7,IF(Z57="",Constants!$B$13,Z57),"")</f>
        <v/>
      </c>
      <c r="AM57" s="59" t="str">
        <f aca="false">IF($AJ57=Constants!$B$7,IF(AB57="",Constants!$B$13,AB57),"")</f>
        <v/>
      </c>
      <c r="AN57" s="59" t="str">
        <f aca="false">IF($AJ57=Constants!$B$7,IF(AD57="",Constants!$B$13,AD57),"")</f>
        <v/>
      </c>
      <c r="AO57" s="59" t="str">
        <f aca="false">IF($AJ57=Constants!$B$7,IF(AF57="",Constants!$B$13,AF57),"")</f>
        <v/>
      </c>
      <c r="AP57" s="59" t="str">
        <f aca="false">IF($AJ57=Constants!$B$7,IF(AH57="",Constants!$B$13,AH57),"")</f>
        <v/>
      </c>
      <c r="AQ57" s="59" t="str">
        <f aca="false">IF($AJ57=Constants!$B$7,IF(SUMPRODUCT(--($AL57:$AP57&gt;AL57))+SUMPRODUCT(--($AL57:AL57=AL57))=1,1,IF(SUMPRODUCT(--($AL57:$AP57&gt;AM57))+SUMPRODUCT(--($AL57:AM57=AM57))=1,2,IF(SUMPRODUCT(--($AL57:$AP57&gt;AN57))+SUMPRODUCT(--($AL57:AN57=AN57))=1,3,IF(SUMPRODUCT(--($AL57:$AP57&gt;AO57))+SUMPRODUCT(--($AL57:AO57=AO57))=1,4,5)))),"")</f>
        <v/>
      </c>
      <c r="AR57" s="59" t="str">
        <f aca="false">IF($AJ57=Constants!$B$7,IF(SUMPRODUCT(--($AL57:$AP57&gt;AL57))+SUMPRODUCT(--($AL57:AL57=AL57))=2,1,IF(SUMPRODUCT(--($AL57:$AP57&gt;AM57))+SUMPRODUCT(--($AL57:AM57=AM57))=2,2,IF(SUMPRODUCT(--($AL57:$AP57&gt;AN57))+SUMPRODUCT(--($AL57:AN57=AN57))=2,3,IF(SUMPRODUCT(--($AL57:$AP57&gt;AO57))+SUMPRODUCT(--($AL57:AO57=AO57))=2,4,5)))),"")</f>
        <v/>
      </c>
      <c r="AS57" s="59" t="str">
        <f aca="false">IF($AJ57=Constants!$B$7,IF(SUMPRODUCT(--($AL57:$AP57&gt;AL57))+SUMPRODUCT(--($AL57:AL57=AL57))=3,1,IF(SUMPRODUCT(--($AL57:$AP57&gt;AM57))+SUMPRODUCT(--($AL57:AM57=AM57))=3,2,IF(SUMPRODUCT(--($AL57:$AP57&gt;AN57))+SUMPRODUCT(--($AL57:AN57=AN57))=3,3,IF(SUMPRODUCT(--($AL57:$AP57&gt;AO57))+SUMPRODUCT(--($AL57:AO57=AO57))=3,4,5)))),"")</f>
        <v/>
      </c>
      <c r="AT57" s="59" t="str">
        <f aca="false">IF($AJ57=Constants!$B$7,LARGE(AL57:AP57,1)+LARGE(AL57:AP57,2)+LARGE(AL57:AP57,3),"")</f>
        <v/>
      </c>
      <c r="AU57" s="59" t="str">
        <f aca="false">IF(ISBLANK($C57),"",IF($AJ57&lt;&gt;Constants!$B$7,$AJ57,AT57*W57))</f>
        <v/>
      </c>
      <c r="AV57" s="59" t="str">
        <f aca="false">IF(ISBLANK($C57),"",IF($AJ57=Constants!$B$7,IF(ISNUMBER(AU57),RANK(AU57,$AU$8:$AU$507),Constants!$B$14),$AJ57))</f>
        <v/>
      </c>
      <c r="AW57" s="59" t="str">
        <f aca="false">IF(ISBLANK($C57),"",IF($AJ57=Constants!$B$7,IF(ISNUMBER(AV57),COUNTIFS($AK$8:$AK$507,"&lt;"&amp;$AK57)+COUNTIFS($AK$8:$AK$507,$AK57,$AV$8:$AV$507,"&lt;"&amp;$AV57)+1,Constants!$B$14),$AJ57))</f>
        <v/>
      </c>
      <c r="AX57" s="59" t="str">
        <f aca="false">IF(ISBLANK($C57),"",IF($AJ57=Constants!$B$7,LARGE(AL57:AP57,4)*W57,""))</f>
        <v/>
      </c>
      <c r="AY57" s="59" t="str">
        <f aca="false">IF(ISBLANK($C57),"",IF($AJ57=Constants!$B$7,RANK(AX57,$AX$8:$AX$507),$AJ57))</f>
        <v/>
      </c>
      <c r="AZ57" s="59" t="str">
        <f aca="false">IF(ISBLANK($C57),"",IF($AJ57=Constants!$B$7,IF(ISNUMBER(AV57),COUNTIFS($AK$8:$AK$507,"&lt;"&amp;$AK57)+COUNTIFS($AK$8:$AK$507,$AK57,$AV$8:$AV$507,"&lt;"&amp;$AV57)+COUNTIFS($AK$8:$AK$507,$AK57,$AV$8:$AV$507,$AV57,$AY$8:$AY$507,"&lt;"&amp;$AY57)+1,Constants!$B$14),$AJ57))</f>
        <v/>
      </c>
      <c r="BA57" s="59" t="str">
        <f aca="false">IF(ISBLANK($C57),"",IF($AJ57=Constants!$B$7,IF(ISNUMBER(AW57),AW57-AZ57,Constants!$B$14),$AJ57))</f>
        <v/>
      </c>
      <c r="BB57" s="61"/>
      <c r="BC57" s="62" t="str">
        <f aca="false">IF(ISBLANK($C57),"",IF($AJ57&lt;&gt;Constants!$B$7,$AJ57,SMALL(AQ57:AS57,1)&amp;", "&amp;SMALL(AQ57:AS57,2)&amp;", "&amp;SMALL(AQ57:AS57,3)))</f>
        <v/>
      </c>
      <c r="BD57" s="63" t="str">
        <f aca="false">IF(ISBLANK($C57),"",IF($AJ57&lt;&gt;Constants!$B$7,$AJ57,W57))</f>
        <v/>
      </c>
      <c r="BE57" s="64" t="str">
        <f aca="false">IF(ISBLANK($C57),"",IF($AJ57&lt;&gt;Constants!$B$7,$AJ57,AU57))</f>
        <v/>
      </c>
      <c r="BF57" s="65" t="str">
        <f aca="false">IF(ISBLANK($C57),"",IF($AJ57&lt;&gt;Constants!$B$7,$AJ57,AK57))</f>
        <v/>
      </c>
      <c r="BG57" s="63" t="str">
        <f aca="false">IF(ISBLANK($C57),"",BA57)</f>
        <v/>
      </c>
      <c r="BH57" s="63" t="str">
        <f aca="false">IF(ISBLANK($C57),"",AZ57)</f>
        <v/>
      </c>
      <c r="BI57" s="66" t="str">
        <f aca="false">IF(ISBLANK($C57),"",IF(BH57=Constants!$B$4,COUNTA($C$8:$C$507)+2,IF(BH57=Constants!$B$5,COUNTA($C$8:$C$507)+1,IF(BH57=Constants!$B$6,COUNTA($C$8:$C$507),BH57))))</f>
        <v/>
      </c>
      <c r="BJ57" s="5"/>
      <c r="BK57" s="67" t="n">
        <f aca="false">IF(OR(ISNUMBER(BH57),BH57=Constants!$B$4,BH57=Constants!$B$6,BH57=Constants!$B$5),1,0)</f>
        <v>0</v>
      </c>
      <c r="BL57" s="67" t="n">
        <v>50</v>
      </c>
      <c r="BM57" s="67" t="str">
        <f aca="false">IF(ISBLANK($C57),"",IF(ISNUMBER(BI57),BI57+ROW($B57)/1000,""))</f>
        <v/>
      </c>
      <c r="BN57" s="67" t="str">
        <f aca="false">IF(ISNUMBER(BM57),RANK(BM57,$BM$8:$BM$507,1),"")</f>
        <v/>
      </c>
      <c r="BO57" s="67" t="str">
        <f aca="false">IF(ISBLANK($C57),"",$B57)</f>
        <v/>
      </c>
      <c r="BP57" s="67" t="str">
        <f aca="false">IF(ISBLANK($C57),"",$C57)</f>
        <v/>
      </c>
      <c r="BQ57" s="67" t="str">
        <f aca="false">IF(ISBLANK($C57),"",$D57)</f>
        <v/>
      </c>
      <c r="BR57" s="68" t="str">
        <f aca="false">BF57</f>
        <v/>
      </c>
      <c r="BS57" s="69" t="str">
        <f aca="false">BE57</f>
        <v/>
      </c>
      <c r="BT57" s="67" t="str">
        <f aca="false">IF(ISBLANK($C57),"",BH57)</f>
        <v/>
      </c>
      <c r="BU57" s="70" t="str">
        <f aca="false">IF($BL57&gt;$BK$7,"",VLOOKUP($BL57,$BN$8:$BT$507,7,FALSE()))</f>
        <v/>
      </c>
      <c r="BV57" s="71" t="str">
        <f aca="false">IF($BL57&gt;$BK$7,"",VLOOKUP($BL57,$BN$8:$BT$507,2,FALSE()))</f>
        <v/>
      </c>
      <c r="BW57" s="71" t="str">
        <f aca="false">IF($BL57&gt;$BK$7,"",VLOOKUP($BL57,$BN$8:$BT$507,3,FALSE()))</f>
        <v/>
      </c>
      <c r="BX57" s="71" t="str">
        <f aca="false">IF($BL57&gt;$BK$7,"",VLOOKUP($BL57,$BN$8:$BT$507,4,FALSE()))</f>
        <v/>
      </c>
      <c r="BY57" s="71" t="str">
        <f aca="false">IF($BL57&gt;$BK$7,"",VLOOKUP($BL57,$BN$8:$BT$507,5,FALSE()))</f>
        <v/>
      </c>
      <c r="BZ57" s="72" t="str">
        <f aca="false">IF($BL57&gt;$BK$7,"",VLOOKUP($BL57,$BN$8:$BT$507,6,FALSE()))</f>
        <v/>
      </c>
      <c r="CA57" s="48"/>
    </row>
    <row r="58" customFormat="false" ht="15.75" hidden="false" customHeight="false" outlineLevel="0" collapsed="false">
      <c r="A58" s="5"/>
      <c r="B58" s="121"/>
      <c r="C58" s="50"/>
      <c r="D58" s="51"/>
      <c r="E58" s="74"/>
      <c r="F58" s="122"/>
      <c r="G58" s="54"/>
      <c r="H58" s="123"/>
      <c r="I58" s="124"/>
      <c r="J58" s="54"/>
      <c r="K58" s="123"/>
      <c r="L58" s="54"/>
      <c r="M58" s="123"/>
      <c r="N58" s="54"/>
      <c r="O58" s="123"/>
      <c r="P58" s="54"/>
      <c r="Q58" s="123"/>
      <c r="R58" s="54"/>
      <c r="S58" s="74"/>
      <c r="T58" s="58"/>
      <c r="U58" s="59" t="str">
        <f aca="false">IF(ISBLANK($C58),"",IF(E58=Constants!$B$2, TRUE(), IF(E58=Constants!$B$3, FALSE(), TRUE())))</f>
        <v/>
      </c>
      <c r="V58" s="59" t="str">
        <f aca="false">IF(ISBLANK($C58),"",IF(F58=Constants!$B$2, TRUE(), IF(F58=Constants!$B$3, FALSE(), TRUE())))</f>
        <v/>
      </c>
      <c r="W58" s="59" t="str">
        <f aca="false">IF(ISBLANK($C58),"",IF(G58=Constants!$B$15,Constants!$B$8,IF(G58=Constants!$B$16,Constants!$B$9,Constants!$B$10)))</f>
        <v/>
      </c>
      <c r="X58" s="59" t="str">
        <f aca="false">IF(ISBLANK($C58),"",IF(H58=Constants!$B$2, TRUE(), IF(H58=Constants!$B$3, FALSE(), TRUE())))</f>
        <v/>
      </c>
      <c r="Y58" s="59" t="str">
        <f aca="false">IF(ISBLANK($C58),"",IF(I58=Constants!$B$19,Constants!$B$19,Constants!$B$18))</f>
        <v/>
      </c>
      <c r="Z58" s="59" t="str">
        <f aca="false">IF(ISBLANK($C58),"",IF(ISNUMBER(J58),IF(J58&gt;=0,J58,""),""))</f>
        <v/>
      </c>
      <c r="AA58" s="59" t="str">
        <f aca="false">IF(ISBLANK($C58),"",IF(K58=Constants!$B$19,Constants!$B$19,Constants!$B$18))</f>
        <v/>
      </c>
      <c r="AB58" s="59" t="str">
        <f aca="false">IF(ISBLANK($C58),"",IF(ISNUMBER(L58),IF(L58&gt;=0,L58,""),""))</f>
        <v/>
      </c>
      <c r="AC58" s="59" t="str">
        <f aca="false">IF(ISBLANK($C58),"",IF(M58=Constants!$B$19,Constants!$B$19,Constants!$B$18))</f>
        <v/>
      </c>
      <c r="AD58" s="59" t="str">
        <f aca="false">IF(ISBLANK($C58),"",IF(ISNUMBER(N58),IF(N58&gt;=0,N58,""),""))</f>
        <v/>
      </c>
      <c r="AE58" s="59" t="str">
        <f aca="false">IF(ISBLANK($C58),"",IF(O58=Constants!$B$19,Constants!$B$19,Constants!$B$18))</f>
        <v/>
      </c>
      <c r="AF58" s="59" t="str">
        <f aca="false">IF(ISBLANK($C58),"",IF(ISNUMBER(P58),IF(P58&gt;=0,P58,""),""))</f>
        <v/>
      </c>
      <c r="AG58" s="59" t="str">
        <f aca="false">IF(ISBLANK($C58),"",IF(Q58=Constants!$B$19,Constants!$B$19,Constants!$B$18))</f>
        <v/>
      </c>
      <c r="AH58" s="59" t="str">
        <f aca="false">IF(ISBLANK($C58),"",IF(ISNUMBER(R58),IF(R58&gt;=0,R58,""),""))</f>
        <v/>
      </c>
      <c r="AI58" s="59" t="str">
        <f aca="false">IF(ISBLANK($C58),"",IF(S58=Constants!$B$2, TRUE(), IF(S58=Constants!$B$3, FALSE(), FALSE())))</f>
        <v/>
      </c>
      <c r="AJ58" s="59" t="str">
        <f aca="false">IF(ISBLANK($C58),"",IF(AI58,Constants!$B$4,IF(COUNTA(E58:R58)=0,Constants!$B$5,IF(COUNTA(J58,L58,N58,P58,R58)=0,Constants!$B$6,Constants!$B$7))))</f>
        <v/>
      </c>
      <c r="AK58" s="59" t="str">
        <f aca="false">IF(ISBLANK($C58),"",IF($AJ58&lt;&gt;Constants!$B$7,$AJ58,IF(OR(NOT(X58),AND(NOT(U58),COUNTIFS(Y58:AG58,Constants!$B$18,Z58:AH58,"&gt;=0")&gt;0),AND(NOT(V58),COUNTIFS(Y58:AG58,Constants!$B$19,Z58:AH58,"&gt;=0")&gt;0)),Constants!$B$12,Constants!$B$11)))</f>
        <v/>
      </c>
      <c r="AL58" s="59" t="str">
        <f aca="false">IF($AJ58=Constants!$B$7,IF(Z58="",Constants!$B$13,Z58),"")</f>
        <v/>
      </c>
      <c r="AM58" s="59" t="str">
        <f aca="false">IF($AJ58=Constants!$B$7,IF(AB58="",Constants!$B$13,AB58),"")</f>
        <v/>
      </c>
      <c r="AN58" s="59" t="str">
        <f aca="false">IF($AJ58=Constants!$B$7,IF(AD58="",Constants!$B$13,AD58),"")</f>
        <v/>
      </c>
      <c r="AO58" s="59" t="str">
        <f aca="false">IF($AJ58=Constants!$B$7,IF(AF58="",Constants!$B$13,AF58),"")</f>
        <v/>
      </c>
      <c r="AP58" s="59" t="str">
        <f aca="false">IF($AJ58=Constants!$B$7,IF(AH58="",Constants!$B$13,AH58),"")</f>
        <v/>
      </c>
      <c r="AQ58" s="59" t="str">
        <f aca="false">IF($AJ58=Constants!$B$7,IF(SUMPRODUCT(--($AL58:$AP58&gt;AL58))+SUMPRODUCT(--($AL58:AL58=AL58))=1,1,IF(SUMPRODUCT(--($AL58:$AP58&gt;AM58))+SUMPRODUCT(--($AL58:AM58=AM58))=1,2,IF(SUMPRODUCT(--($AL58:$AP58&gt;AN58))+SUMPRODUCT(--($AL58:AN58=AN58))=1,3,IF(SUMPRODUCT(--($AL58:$AP58&gt;AO58))+SUMPRODUCT(--($AL58:AO58=AO58))=1,4,5)))),"")</f>
        <v/>
      </c>
      <c r="AR58" s="59" t="str">
        <f aca="false">IF($AJ58=Constants!$B$7,IF(SUMPRODUCT(--($AL58:$AP58&gt;AL58))+SUMPRODUCT(--($AL58:AL58=AL58))=2,1,IF(SUMPRODUCT(--($AL58:$AP58&gt;AM58))+SUMPRODUCT(--($AL58:AM58=AM58))=2,2,IF(SUMPRODUCT(--($AL58:$AP58&gt;AN58))+SUMPRODUCT(--($AL58:AN58=AN58))=2,3,IF(SUMPRODUCT(--($AL58:$AP58&gt;AO58))+SUMPRODUCT(--($AL58:AO58=AO58))=2,4,5)))),"")</f>
        <v/>
      </c>
      <c r="AS58" s="59" t="str">
        <f aca="false">IF($AJ58=Constants!$B$7,IF(SUMPRODUCT(--($AL58:$AP58&gt;AL58))+SUMPRODUCT(--($AL58:AL58=AL58))=3,1,IF(SUMPRODUCT(--($AL58:$AP58&gt;AM58))+SUMPRODUCT(--($AL58:AM58=AM58))=3,2,IF(SUMPRODUCT(--($AL58:$AP58&gt;AN58))+SUMPRODUCT(--($AL58:AN58=AN58))=3,3,IF(SUMPRODUCT(--($AL58:$AP58&gt;AO58))+SUMPRODUCT(--($AL58:AO58=AO58))=3,4,5)))),"")</f>
        <v/>
      </c>
      <c r="AT58" s="59" t="str">
        <f aca="false">IF($AJ58=Constants!$B$7,LARGE(AL58:AP58,1)+LARGE(AL58:AP58,2)+LARGE(AL58:AP58,3),"")</f>
        <v/>
      </c>
      <c r="AU58" s="59" t="str">
        <f aca="false">IF(ISBLANK($C58),"",IF($AJ58&lt;&gt;Constants!$B$7,$AJ58,AT58*W58))</f>
        <v/>
      </c>
      <c r="AV58" s="59" t="str">
        <f aca="false">IF(ISBLANK($C58),"",IF($AJ58=Constants!$B$7,IF(ISNUMBER(AU58),RANK(AU58,$AU$8:$AU$507),Constants!$B$14),$AJ58))</f>
        <v/>
      </c>
      <c r="AW58" s="59" t="str">
        <f aca="false">IF(ISBLANK($C58),"",IF($AJ58=Constants!$B$7,IF(ISNUMBER(AV58),COUNTIFS($AK$8:$AK$507,"&lt;"&amp;$AK58)+COUNTIFS($AK$8:$AK$507,$AK58,$AV$8:$AV$507,"&lt;"&amp;$AV58)+1,Constants!$B$14),$AJ58))</f>
        <v/>
      </c>
      <c r="AX58" s="59" t="str">
        <f aca="false">IF(ISBLANK($C58),"",IF($AJ58=Constants!$B$7,LARGE(AL58:AP58,4)*W58,""))</f>
        <v/>
      </c>
      <c r="AY58" s="59" t="str">
        <f aca="false">IF(ISBLANK($C58),"",IF($AJ58=Constants!$B$7,RANK(AX58,$AX$8:$AX$507),$AJ58))</f>
        <v/>
      </c>
      <c r="AZ58" s="59" t="str">
        <f aca="false">IF(ISBLANK($C58),"",IF($AJ58=Constants!$B$7,IF(ISNUMBER(AV58),COUNTIFS($AK$8:$AK$507,"&lt;"&amp;$AK58)+COUNTIFS($AK$8:$AK$507,$AK58,$AV$8:$AV$507,"&lt;"&amp;$AV58)+COUNTIFS($AK$8:$AK$507,$AK58,$AV$8:$AV$507,$AV58,$AY$8:$AY$507,"&lt;"&amp;$AY58)+1,Constants!$B$14),$AJ58))</f>
        <v/>
      </c>
      <c r="BA58" s="59" t="str">
        <f aca="false">IF(ISBLANK($C58),"",IF($AJ58=Constants!$B$7,IF(ISNUMBER(AW58),AW58-AZ58,Constants!$B$14),$AJ58))</f>
        <v/>
      </c>
      <c r="BB58" s="61"/>
      <c r="BC58" s="62" t="str">
        <f aca="false">IF(ISBLANK($C58),"",IF($AJ58&lt;&gt;Constants!$B$7,$AJ58,SMALL(AQ58:AS58,1)&amp;", "&amp;SMALL(AQ58:AS58,2)&amp;", "&amp;SMALL(AQ58:AS58,3)))</f>
        <v/>
      </c>
      <c r="BD58" s="63" t="str">
        <f aca="false">IF(ISBLANK($C58),"",IF($AJ58&lt;&gt;Constants!$B$7,$AJ58,W58))</f>
        <v/>
      </c>
      <c r="BE58" s="64" t="str">
        <f aca="false">IF(ISBLANK($C58),"",IF($AJ58&lt;&gt;Constants!$B$7,$AJ58,AU58))</f>
        <v/>
      </c>
      <c r="BF58" s="65" t="str">
        <f aca="false">IF(ISBLANK($C58),"",IF($AJ58&lt;&gt;Constants!$B$7,$AJ58,AK58))</f>
        <v/>
      </c>
      <c r="BG58" s="63" t="str">
        <f aca="false">IF(ISBLANK($C58),"",BA58)</f>
        <v/>
      </c>
      <c r="BH58" s="63" t="str">
        <f aca="false">IF(ISBLANK($C58),"",AZ58)</f>
        <v/>
      </c>
      <c r="BI58" s="66" t="str">
        <f aca="false">IF(ISBLANK($C58),"",IF(BH58=Constants!$B$4,COUNTA($C$8:$C$507)+2,IF(BH58=Constants!$B$5,COUNTA($C$8:$C$507)+1,IF(BH58=Constants!$B$6,COUNTA($C$8:$C$507),BH58))))</f>
        <v/>
      </c>
      <c r="BJ58" s="5"/>
      <c r="BK58" s="67" t="n">
        <f aca="false">IF(OR(ISNUMBER(BH58),BH58=Constants!$B$4,BH58=Constants!$B$6,BH58=Constants!$B$5),1,0)</f>
        <v>0</v>
      </c>
      <c r="BL58" s="67" t="n">
        <v>51</v>
      </c>
      <c r="BM58" s="67" t="str">
        <f aca="false">IF(ISBLANK($C58),"",IF(ISNUMBER(BI58),BI58+ROW($B58)/1000,""))</f>
        <v/>
      </c>
      <c r="BN58" s="67" t="str">
        <f aca="false">IF(ISNUMBER(BM58),RANK(BM58,$BM$8:$BM$507,1),"")</f>
        <v/>
      </c>
      <c r="BO58" s="67" t="str">
        <f aca="false">IF(ISBLANK($C58),"",$B58)</f>
        <v/>
      </c>
      <c r="BP58" s="67" t="str">
        <f aca="false">IF(ISBLANK($C58),"",$C58)</f>
        <v/>
      </c>
      <c r="BQ58" s="67" t="str">
        <f aca="false">IF(ISBLANK($C58),"",$D58)</f>
        <v/>
      </c>
      <c r="BR58" s="68" t="str">
        <f aca="false">BF58</f>
        <v/>
      </c>
      <c r="BS58" s="69" t="str">
        <f aca="false">BE58</f>
        <v/>
      </c>
      <c r="BT58" s="67" t="str">
        <f aca="false">IF(ISBLANK($C58),"",BH58)</f>
        <v/>
      </c>
      <c r="BU58" s="70" t="str">
        <f aca="false">IF($BL58&gt;$BK$7,"",VLOOKUP($BL58,$BN$8:$BT$507,7,FALSE()))</f>
        <v/>
      </c>
      <c r="BV58" s="71" t="str">
        <f aca="false">IF($BL58&gt;$BK$7,"",VLOOKUP($BL58,$BN$8:$BT$507,2,FALSE()))</f>
        <v/>
      </c>
      <c r="BW58" s="71" t="str">
        <f aca="false">IF($BL58&gt;$BK$7,"",VLOOKUP($BL58,$BN$8:$BT$507,3,FALSE()))</f>
        <v/>
      </c>
      <c r="BX58" s="71" t="str">
        <f aca="false">IF($BL58&gt;$BK$7,"",VLOOKUP($BL58,$BN$8:$BT$507,4,FALSE()))</f>
        <v/>
      </c>
      <c r="BY58" s="71" t="str">
        <f aca="false">IF($BL58&gt;$BK$7,"",VLOOKUP($BL58,$BN$8:$BT$507,5,FALSE()))</f>
        <v/>
      </c>
      <c r="BZ58" s="72" t="str">
        <f aca="false">IF($BL58&gt;$BK$7,"",VLOOKUP($BL58,$BN$8:$BT$507,6,FALSE()))</f>
        <v/>
      </c>
      <c r="CA58" s="48"/>
    </row>
    <row r="59" customFormat="false" ht="15.75" hidden="false" customHeight="false" outlineLevel="0" collapsed="false">
      <c r="A59" s="5"/>
      <c r="B59" s="114"/>
      <c r="C59" s="115"/>
      <c r="D59" s="100"/>
      <c r="E59" s="120"/>
      <c r="F59" s="125"/>
      <c r="G59" s="82"/>
      <c r="H59" s="126"/>
      <c r="I59" s="127"/>
      <c r="J59" s="82"/>
      <c r="K59" s="126"/>
      <c r="L59" s="82"/>
      <c r="M59" s="126"/>
      <c r="N59" s="82"/>
      <c r="O59" s="126"/>
      <c r="P59" s="82"/>
      <c r="Q59" s="126"/>
      <c r="R59" s="82"/>
      <c r="S59" s="120"/>
      <c r="T59" s="86"/>
      <c r="U59" s="87" t="str">
        <f aca="false">IF(ISBLANK($C59),"",IF(E59=Constants!$B$2, TRUE(), IF(E59=Constants!$B$3, FALSE(), TRUE())))</f>
        <v/>
      </c>
      <c r="V59" s="87" t="str">
        <f aca="false">IF(ISBLANK($C59),"",IF(F59=Constants!$B$2, TRUE(), IF(F59=Constants!$B$3, FALSE(), TRUE())))</f>
        <v/>
      </c>
      <c r="W59" s="87" t="str">
        <f aca="false">IF(ISBLANK($C59),"",IF(G59=Constants!$B$15,Constants!$B$8,IF(G59=Constants!$B$16,Constants!$B$9,Constants!$B$10)))</f>
        <v/>
      </c>
      <c r="X59" s="87" t="str">
        <f aca="false">IF(ISBLANK($C59),"",IF(H59=Constants!$B$2, TRUE(), IF(H59=Constants!$B$3, FALSE(), TRUE())))</f>
        <v/>
      </c>
      <c r="Y59" s="87" t="str">
        <f aca="false">IF(ISBLANK($C59),"",IF(I59=Constants!$B$19,Constants!$B$19,Constants!$B$18))</f>
        <v/>
      </c>
      <c r="Z59" s="87" t="str">
        <f aca="false">IF(ISBLANK($C59),"",IF(ISNUMBER(J59),IF(J59&gt;=0,J59,""),""))</f>
        <v/>
      </c>
      <c r="AA59" s="87" t="str">
        <f aca="false">IF(ISBLANK($C59),"",IF(K59=Constants!$B$19,Constants!$B$19,Constants!$B$18))</f>
        <v/>
      </c>
      <c r="AB59" s="87" t="str">
        <f aca="false">IF(ISBLANK($C59),"",IF(ISNUMBER(L59),IF(L59&gt;=0,L59,""),""))</f>
        <v/>
      </c>
      <c r="AC59" s="87" t="str">
        <f aca="false">IF(ISBLANK($C59),"",IF(M59=Constants!$B$19,Constants!$B$19,Constants!$B$18))</f>
        <v/>
      </c>
      <c r="AD59" s="87" t="str">
        <f aca="false">IF(ISBLANK($C59),"",IF(ISNUMBER(N59),IF(N59&gt;=0,N59,""),""))</f>
        <v/>
      </c>
      <c r="AE59" s="87" t="str">
        <f aca="false">IF(ISBLANK($C59),"",IF(O59=Constants!$B$19,Constants!$B$19,Constants!$B$18))</f>
        <v/>
      </c>
      <c r="AF59" s="87" t="str">
        <f aca="false">IF(ISBLANK($C59),"",IF(ISNUMBER(P59),IF(P59&gt;=0,P59,""),""))</f>
        <v/>
      </c>
      <c r="AG59" s="87" t="str">
        <f aca="false">IF(ISBLANK($C59),"",IF(Q59=Constants!$B$19,Constants!$B$19,Constants!$B$18))</f>
        <v/>
      </c>
      <c r="AH59" s="87" t="str">
        <f aca="false">IF(ISBLANK($C59),"",IF(ISNUMBER(R59),IF(R59&gt;=0,R59,""),""))</f>
        <v/>
      </c>
      <c r="AI59" s="87" t="str">
        <f aca="false">IF(ISBLANK($C59),"",IF(S59=Constants!$B$2, TRUE(), IF(S59=Constants!$B$3, FALSE(), FALSE())))</f>
        <v/>
      </c>
      <c r="AJ59" s="87" t="str">
        <f aca="false">IF(ISBLANK($C59),"",IF(AI59,Constants!$B$4,IF(COUNTA(E59:R59)=0,Constants!$B$5,IF(COUNTA(J59,L59,N59,P59,R59)=0,Constants!$B$6,Constants!$B$7))))</f>
        <v/>
      </c>
      <c r="AK59" s="87" t="str">
        <f aca="false">IF(ISBLANK($C59),"",IF($AJ59&lt;&gt;Constants!$B$7,$AJ59,IF(OR(NOT(X59),AND(NOT(U59),COUNTIFS(Y59:AG59,Constants!$B$18,Z59:AH59,"&gt;=0")&gt;0),AND(NOT(V59),COUNTIFS(Y59:AG59,Constants!$B$19,Z59:AH59,"&gt;=0")&gt;0)),Constants!$B$12,Constants!$B$11)))</f>
        <v/>
      </c>
      <c r="AL59" s="87" t="str">
        <f aca="false">IF($AJ59=Constants!$B$7,IF(Z59="",Constants!$B$13,Z59),"")</f>
        <v/>
      </c>
      <c r="AM59" s="87" t="str">
        <f aca="false">IF($AJ59=Constants!$B$7,IF(AB59="",Constants!$B$13,AB59),"")</f>
        <v/>
      </c>
      <c r="AN59" s="87" t="str">
        <f aca="false">IF($AJ59=Constants!$B$7,IF(AD59="",Constants!$B$13,AD59),"")</f>
        <v/>
      </c>
      <c r="AO59" s="87" t="str">
        <f aca="false">IF($AJ59=Constants!$B$7,IF(AF59="",Constants!$B$13,AF59),"")</f>
        <v/>
      </c>
      <c r="AP59" s="87" t="str">
        <f aca="false">IF($AJ59=Constants!$B$7,IF(AH59="",Constants!$B$13,AH59),"")</f>
        <v/>
      </c>
      <c r="AQ59" s="87" t="str">
        <f aca="false">IF($AJ59=Constants!$B$7,IF(SUMPRODUCT(--($AL59:$AP59&gt;AL59))+SUMPRODUCT(--($AL59:AL59=AL59))=1,1,IF(SUMPRODUCT(--($AL59:$AP59&gt;AM59))+SUMPRODUCT(--($AL59:AM59=AM59))=1,2,IF(SUMPRODUCT(--($AL59:$AP59&gt;AN59))+SUMPRODUCT(--($AL59:AN59=AN59))=1,3,IF(SUMPRODUCT(--($AL59:$AP59&gt;AO59))+SUMPRODUCT(--($AL59:AO59=AO59))=1,4,5)))),"")</f>
        <v/>
      </c>
      <c r="AR59" s="87" t="str">
        <f aca="false">IF($AJ59=Constants!$B$7,IF(SUMPRODUCT(--($AL59:$AP59&gt;AL59))+SUMPRODUCT(--($AL59:AL59=AL59))=2,1,IF(SUMPRODUCT(--($AL59:$AP59&gt;AM59))+SUMPRODUCT(--($AL59:AM59=AM59))=2,2,IF(SUMPRODUCT(--($AL59:$AP59&gt;AN59))+SUMPRODUCT(--($AL59:AN59=AN59))=2,3,IF(SUMPRODUCT(--($AL59:$AP59&gt;AO59))+SUMPRODUCT(--($AL59:AO59=AO59))=2,4,5)))),"")</f>
        <v/>
      </c>
      <c r="AS59" s="87" t="str">
        <f aca="false">IF($AJ59=Constants!$B$7,IF(SUMPRODUCT(--($AL59:$AP59&gt;AL59))+SUMPRODUCT(--($AL59:AL59=AL59))=3,1,IF(SUMPRODUCT(--($AL59:$AP59&gt;AM59))+SUMPRODUCT(--($AL59:AM59=AM59))=3,2,IF(SUMPRODUCT(--($AL59:$AP59&gt;AN59))+SUMPRODUCT(--($AL59:AN59=AN59))=3,3,IF(SUMPRODUCT(--($AL59:$AP59&gt;AO59))+SUMPRODUCT(--($AL59:AO59=AO59))=3,4,5)))),"")</f>
        <v/>
      </c>
      <c r="AT59" s="87" t="str">
        <f aca="false">IF($AJ59=Constants!$B$7,LARGE(AL59:AP59,1)+LARGE(AL59:AP59,2)+LARGE(AL59:AP59,3),"")</f>
        <v/>
      </c>
      <c r="AU59" s="87" t="str">
        <f aca="false">IF(ISBLANK($C59),"",IF($AJ59&lt;&gt;Constants!$B$7,$AJ59,AT59*W59))</f>
        <v/>
      </c>
      <c r="AV59" s="87" t="str">
        <f aca="false">IF(ISBLANK($C59),"",IF($AJ59=Constants!$B$7,IF(ISNUMBER(AU59),RANK(AU59,$AU$8:$AU$507),Constants!$B$14),$AJ59))</f>
        <v/>
      </c>
      <c r="AW59" s="87" t="str">
        <f aca="false">IF(ISBLANK($C59),"",IF($AJ59=Constants!$B$7,IF(ISNUMBER(AV59),COUNTIFS($AK$8:$AK$507,"&lt;"&amp;$AK59)+COUNTIFS($AK$8:$AK$507,$AK59,$AV$8:$AV$507,"&lt;"&amp;$AV59)+1,Constants!$B$14),$AJ59))</f>
        <v/>
      </c>
      <c r="AX59" s="87" t="str">
        <f aca="false">IF(ISBLANK($C59),"",IF($AJ59=Constants!$B$7,LARGE(AL59:AP59,4)*W59,""))</f>
        <v/>
      </c>
      <c r="AY59" s="87" t="str">
        <f aca="false">IF(ISBLANK($C59),"",IF($AJ59=Constants!$B$7,RANK(AX59,$AX$8:$AX$507),$AJ59))</f>
        <v/>
      </c>
      <c r="AZ59" s="87" t="str">
        <f aca="false">IF(ISBLANK($C59),"",IF($AJ59=Constants!$B$7,IF(ISNUMBER(AV59),COUNTIFS($AK$8:$AK$507,"&lt;"&amp;$AK59)+COUNTIFS($AK$8:$AK$507,$AK59,$AV$8:$AV$507,"&lt;"&amp;$AV59)+COUNTIFS($AK$8:$AK$507,$AK59,$AV$8:$AV$507,$AV59,$AY$8:$AY$507,"&lt;"&amp;$AY59)+1,Constants!$B$14),$AJ59))</f>
        <v/>
      </c>
      <c r="BA59" s="87" t="str">
        <f aca="false">IF(ISBLANK($C59),"",IF($AJ59=Constants!$B$7,IF(ISNUMBER(AW59),AW59-AZ59,Constants!$B$14),$AJ59))</f>
        <v/>
      </c>
      <c r="BB59" s="88"/>
      <c r="BC59" s="89" t="str">
        <f aca="false">IF(ISBLANK($C59),"",IF($AJ59&lt;&gt;Constants!$B$7,$AJ59,SMALL(AQ59:AS59,1)&amp;", "&amp;SMALL(AQ59:AS59,2)&amp;", "&amp;SMALL(AQ59:AS59,3)))</f>
        <v/>
      </c>
      <c r="BD59" s="90" t="str">
        <f aca="false">IF(ISBLANK($C59),"",IF($AJ59&lt;&gt;Constants!$B$7,$AJ59,W59))</f>
        <v/>
      </c>
      <c r="BE59" s="91" t="str">
        <f aca="false">IF(ISBLANK($C59),"",IF($AJ59&lt;&gt;Constants!$B$7,$AJ59,AU59))</f>
        <v/>
      </c>
      <c r="BF59" s="92" t="str">
        <f aca="false">IF(ISBLANK($C59),"",IF($AJ59&lt;&gt;Constants!$B$7,$AJ59,AK59))</f>
        <v/>
      </c>
      <c r="BG59" s="90" t="str">
        <f aca="false">IF(ISBLANK($C59),"",BA59)</f>
        <v/>
      </c>
      <c r="BH59" s="90" t="str">
        <f aca="false">IF(ISBLANK($C59),"",AZ59)</f>
        <v/>
      </c>
      <c r="BI59" s="93" t="str">
        <f aca="false">IF(ISBLANK($C59),"",IF(BH59=Constants!$B$4,COUNTA($C$8:$C$507)+2,IF(BH59=Constants!$B$5,COUNTA($C$8:$C$507)+1,IF(BH59=Constants!$B$6,COUNTA($C$8:$C$507),BH59))))</f>
        <v/>
      </c>
      <c r="BJ59" s="5"/>
      <c r="BK59" s="94" t="n">
        <f aca="false">IF(OR(ISNUMBER(BH59),BH59=Constants!$B$4,BH59=Constants!$B$6,BH59=Constants!$B$5),1,0)</f>
        <v>0</v>
      </c>
      <c r="BL59" s="94" t="n">
        <v>52</v>
      </c>
      <c r="BM59" s="94" t="str">
        <f aca="false">IF(ISBLANK($C59),"",IF(ISNUMBER(BI59),BI59+ROW($B59)/1000,""))</f>
        <v/>
      </c>
      <c r="BN59" s="94" t="str">
        <f aca="false">IF(ISNUMBER(BM59),RANK(BM59,$BM$8:$BM$507,1),"")</f>
        <v/>
      </c>
      <c r="BO59" s="94" t="str">
        <f aca="false">IF(ISBLANK($C59),"",$B59)</f>
        <v/>
      </c>
      <c r="BP59" s="94" t="str">
        <f aca="false">IF(ISBLANK($C59),"",$C59)</f>
        <v/>
      </c>
      <c r="BQ59" s="94" t="str">
        <f aca="false">IF(ISBLANK($C59),"",$D59)</f>
        <v/>
      </c>
      <c r="BR59" s="95" t="str">
        <f aca="false">BF59</f>
        <v/>
      </c>
      <c r="BS59" s="96" t="str">
        <f aca="false">BE59</f>
        <v/>
      </c>
      <c r="BT59" s="94" t="str">
        <f aca="false">IF(ISBLANK($C59),"",BH59)</f>
        <v/>
      </c>
      <c r="BU59" s="97" t="str">
        <f aca="false">IF($BL59&gt;$BK$7,"",VLOOKUP($BL59,$BN$8:$BT$507,7,FALSE()))</f>
        <v/>
      </c>
      <c r="BV59" s="98" t="str">
        <f aca="false">IF($BL59&gt;$BK$7,"",VLOOKUP($BL59,$BN$8:$BT$507,2,FALSE()))</f>
        <v/>
      </c>
      <c r="BW59" s="98" t="str">
        <f aca="false">IF($BL59&gt;$BK$7,"",VLOOKUP($BL59,$BN$8:$BT$507,3,FALSE()))</f>
        <v/>
      </c>
      <c r="BX59" s="98" t="str">
        <f aca="false">IF($BL59&gt;$BK$7,"",VLOOKUP($BL59,$BN$8:$BT$507,4,FALSE()))</f>
        <v/>
      </c>
      <c r="BY59" s="98" t="str">
        <f aca="false">IF($BL59&gt;$BK$7,"",VLOOKUP($BL59,$BN$8:$BT$507,5,FALSE()))</f>
        <v/>
      </c>
      <c r="BZ59" s="99" t="str">
        <f aca="false">IF($BL59&gt;$BK$7,"",VLOOKUP($BL59,$BN$8:$BT$507,6,FALSE()))</f>
        <v/>
      </c>
      <c r="CA59" s="48"/>
    </row>
    <row r="60" customFormat="false" ht="15.75" hidden="false" customHeight="false" outlineLevel="0" collapsed="false">
      <c r="A60" s="5"/>
      <c r="B60" s="114"/>
      <c r="C60" s="115"/>
      <c r="D60" s="100"/>
      <c r="E60" s="120"/>
      <c r="F60" s="125"/>
      <c r="G60" s="82"/>
      <c r="H60" s="126"/>
      <c r="I60" s="127"/>
      <c r="J60" s="82"/>
      <c r="K60" s="126"/>
      <c r="L60" s="82"/>
      <c r="M60" s="126"/>
      <c r="N60" s="82"/>
      <c r="O60" s="126"/>
      <c r="P60" s="82"/>
      <c r="Q60" s="126"/>
      <c r="R60" s="82"/>
      <c r="S60" s="120"/>
      <c r="T60" s="86"/>
      <c r="U60" s="87" t="str">
        <f aca="false">IF(ISBLANK($C60),"",IF(E60=Constants!$B$2, TRUE(), IF(E60=Constants!$B$3, FALSE(), TRUE())))</f>
        <v/>
      </c>
      <c r="V60" s="87" t="str">
        <f aca="false">IF(ISBLANK($C60),"",IF(F60=Constants!$B$2, TRUE(), IF(F60=Constants!$B$3, FALSE(), TRUE())))</f>
        <v/>
      </c>
      <c r="W60" s="87" t="str">
        <f aca="false">IF(ISBLANK($C60),"",IF(G60=Constants!$B$15,Constants!$B$8,IF(G60=Constants!$B$16,Constants!$B$9,Constants!$B$10)))</f>
        <v/>
      </c>
      <c r="X60" s="87" t="str">
        <f aca="false">IF(ISBLANK($C60),"",IF(H60=Constants!$B$2, TRUE(), IF(H60=Constants!$B$3, FALSE(), TRUE())))</f>
        <v/>
      </c>
      <c r="Y60" s="87" t="str">
        <f aca="false">IF(ISBLANK($C60),"",IF(I60=Constants!$B$19,Constants!$B$19,Constants!$B$18))</f>
        <v/>
      </c>
      <c r="Z60" s="87" t="str">
        <f aca="false">IF(ISBLANK($C60),"",IF(ISNUMBER(J60),IF(J60&gt;=0,J60,""),""))</f>
        <v/>
      </c>
      <c r="AA60" s="87" t="str">
        <f aca="false">IF(ISBLANK($C60),"",IF(K60=Constants!$B$19,Constants!$B$19,Constants!$B$18))</f>
        <v/>
      </c>
      <c r="AB60" s="87" t="str">
        <f aca="false">IF(ISBLANK($C60),"",IF(ISNUMBER(L60),IF(L60&gt;=0,L60,""),""))</f>
        <v/>
      </c>
      <c r="AC60" s="87" t="str">
        <f aca="false">IF(ISBLANK($C60),"",IF(M60=Constants!$B$19,Constants!$B$19,Constants!$B$18))</f>
        <v/>
      </c>
      <c r="AD60" s="87" t="str">
        <f aca="false">IF(ISBLANK($C60),"",IF(ISNUMBER(N60),IF(N60&gt;=0,N60,""),""))</f>
        <v/>
      </c>
      <c r="AE60" s="87" t="str">
        <f aca="false">IF(ISBLANK($C60),"",IF(O60=Constants!$B$19,Constants!$B$19,Constants!$B$18))</f>
        <v/>
      </c>
      <c r="AF60" s="87" t="str">
        <f aca="false">IF(ISBLANK($C60),"",IF(ISNUMBER(P60),IF(P60&gt;=0,P60,""),""))</f>
        <v/>
      </c>
      <c r="AG60" s="87" t="str">
        <f aca="false">IF(ISBLANK($C60),"",IF(Q60=Constants!$B$19,Constants!$B$19,Constants!$B$18))</f>
        <v/>
      </c>
      <c r="AH60" s="87" t="str">
        <f aca="false">IF(ISBLANK($C60),"",IF(ISNUMBER(R60),IF(R60&gt;=0,R60,""),""))</f>
        <v/>
      </c>
      <c r="AI60" s="87" t="str">
        <f aca="false">IF(ISBLANK($C60),"",IF(S60=Constants!$B$2, TRUE(), IF(S60=Constants!$B$3, FALSE(), FALSE())))</f>
        <v/>
      </c>
      <c r="AJ60" s="87" t="str">
        <f aca="false">IF(ISBLANK($C60),"",IF(AI60,Constants!$B$4,IF(COUNTA(E60:R60)=0,Constants!$B$5,IF(COUNTA(J60,L60,N60,P60,R60)=0,Constants!$B$6,Constants!$B$7))))</f>
        <v/>
      </c>
      <c r="AK60" s="87" t="str">
        <f aca="false">IF(ISBLANK($C60),"",IF($AJ60&lt;&gt;Constants!$B$7,$AJ60,IF(OR(NOT(X60),AND(NOT(U60),COUNTIFS(Y60:AG60,Constants!$B$18,Z60:AH60,"&gt;=0")&gt;0),AND(NOT(V60),COUNTIFS(Y60:AG60,Constants!$B$19,Z60:AH60,"&gt;=0")&gt;0)),Constants!$B$12,Constants!$B$11)))</f>
        <v/>
      </c>
      <c r="AL60" s="87" t="str">
        <f aca="false">IF($AJ60=Constants!$B$7,IF(Z60="",Constants!$B$13,Z60),"")</f>
        <v/>
      </c>
      <c r="AM60" s="87" t="str">
        <f aca="false">IF($AJ60=Constants!$B$7,IF(AB60="",Constants!$B$13,AB60),"")</f>
        <v/>
      </c>
      <c r="AN60" s="87" t="str">
        <f aca="false">IF($AJ60=Constants!$B$7,IF(AD60="",Constants!$B$13,AD60),"")</f>
        <v/>
      </c>
      <c r="AO60" s="87" t="str">
        <f aca="false">IF($AJ60=Constants!$B$7,IF(AF60="",Constants!$B$13,AF60),"")</f>
        <v/>
      </c>
      <c r="AP60" s="87" t="str">
        <f aca="false">IF($AJ60=Constants!$B$7,IF(AH60="",Constants!$B$13,AH60),"")</f>
        <v/>
      </c>
      <c r="AQ60" s="87" t="str">
        <f aca="false">IF($AJ60=Constants!$B$7,IF(SUMPRODUCT(--($AL60:$AP60&gt;AL60))+SUMPRODUCT(--($AL60:AL60=AL60))=1,1,IF(SUMPRODUCT(--($AL60:$AP60&gt;AM60))+SUMPRODUCT(--($AL60:AM60=AM60))=1,2,IF(SUMPRODUCT(--($AL60:$AP60&gt;AN60))+SUMPRODUCT(--($AL60:AN60=AN60))=1,3,IF(SUMPRODUCT(--($AL60:$AP60&gt;AO60))+SUMPRODUCT(--($AL60:AO60=AO60))=1,4,5)))),"")</f>
        <v/>
      </c>
      <c r="AR60" s="87" t="str">
        <f aca="false">IF($AJ60=Constants!$B$7,IF(SUMPRODUCT(--($AL60:$AP60&gt;AL60))+SUMPRODUCT(--($AL60:AL60=AL60))=2,1,IF(SUMPRODUCT(--($AL60:$AP60&gt;AM60))+SUMPRODUCT(--($AL60:AM60=AM60))=2,2,IF(SUMPRODUCT(--($AL60:$AP60&gt;AN60))+SUMPRODUCT(--($AL60:AN60=AN60))=2,3,IF(SUMPRODUCT(--($AL60:$AP60&gt;AO60))+SUMPRODUCT(--($AL60:AO60=AO60))=2,4,5)))),"")</f>
        <v/>
      </c>
      <c r="AS60" s="87" t="str">
        <f aca="false">IF($AJ60=Constants!$B$7,IF(SUMPRODUCT(--($AL60:$AP60&gt;AL60))+SUMPRODUCT(--($AL60:AL60=AL60))=3,1,IF(SUMPRODUCT(--($AL60:$AP60&gt;AM60))+SUMPRODUCT(--($AL60:AM60=AM60))=3,2,IF(SUMPRODUCT(--($AL60:$AP60&gt;AN60))+SUMPRODUCT(--($AL60:AN60=AN60))=3,3,IF(SUMPRODUCT(--($AL60:$AP60&gt;AO60))+SUMPRODUCT(--($AL60:AO60=AO60))=3,4,5)))),"")</f>
        <v/>
      </c>
      <c r="AT60" s="87" t="str">
        <f aca="false">IF($AJ60=Constants!$B$7,LARGE(AL60:AP60,1)+LARGE(AL60:AP60,2)+LARGE(AL60:AP60,3),"")</f>
        <v/>
      </c>
      <c r="AU60" s="87" t="str">
        <f aca="false">IF(ISBLANK($C60),"",IF($AJ60&lt;&gt;Constants!$B$7,$AJ60,AT60*W60))</f>
        <v/>
      </c>
      <c r="AV60" s="87" t="str">
        <f aca="false">IF(ISBLANK($C60),"",IF($AJ60=Constants!$B$7,IF(ISNUMBER(AU60),RANK(AU60,$AU$8:$AU$507),Constants!$B$14),$AJ60))</f>
        <v/>
      </c>
      <c r="AW60" s="87" t="str">
        <f aca="false">IF(ISBLANK($C60),"",IF($AJ60=Constants!$B$7,IF(ISNUMBER(AV60),COUNTIFS($AK$8:$AK$507,"&lt;"&amp;$AK60)+COUNTIFS($AK$8:$AK$507,$AK60,$AV$8:$AV$507,"&lt;"&amp;$AV60)+1,Constants!$B$14),$AJ60))</f>
        <v/>
      </c>
      <c r="AX60" s="87" t="str">
        <f aca="false">IF(ISBLANK($C60),"",IF($AJ60=Constants!$B$7,LARGE(AL60:AP60,4)*W60,""))</f>
        <v/>
      </c>
      <c r="AY60" s="87" t="str">
        <f aca="false">IF(ISBLANK($C60),"",IF($AJ60=Constants!$B$7,RANK(AX60,$AX$8:$AX$507),$AJ60))</f>
        <v/>
      </c>
      <c r="AZ60" s="87" t="str">
        <f aca="false">IF(ISBLANK($C60),"",IF($AJ60=Constants!$B$7,IF(ISNUMBER(AV60),COUNTIFS($AK$8:$AK$507,"&lt;"&amp;$AK60)+COUNTIFS($AK$8:$AK$507,$AK60,$AV$8:$AV$507,"&lt;"&amp;$AV60)+COUNTIFS($AK$8:$AK$507,$AK60,$AV$8:$AV$507,$AV60,$AY$8:$AY$507,"&lt;"&amp;$AY60)+1,Constants!$B$14),$AJ60))</f>
        <v/>
      </c>
      <c r="BA60" s="87" t="str">
        <f aca="false">IF(ISBLANK($C60),"",IF($AJ60=Constants!$B$7,IF(ISNUMBER(AW60),AW60-AZ60,Constants!$B$14),$AJ60))</f>
        <v/>
      </c>
      <c r="BB60" s="88"/>
      <c r="BC60" s="89" t="str">
        <f aca="false">IF(ISBLANK($C60),"",IF($AJ60&lt;&gt;Constants!$B$7,$AJ60,SMALL(AQ60:AS60,1)&amp;", "&amp;SMALL(AQ60:AS60,2)&amp;", "&amp;SMALL(AQ60:AS60,3)))</f>
        <v/>
      </c>
      <c r="BD60" s="90" t="str">
        <f aca="false">IF(ISBLANK($C60),"",IF($AJ60&lt;&gt;Constants!$B$7,$AJ60,W60))</f>
        <v/>
      </c>
      <c r="BE60" s="91" t="str">
        <f aca="false">IF(ISBLANK($C60),"",IF($AJ60&lt;&gt;Constants!$B$7,$AJ60,AU60))</f>
        <v/>
      </c>
      <c r="BF60" s="92" t="str">
        <f aca="false">IF(ISBLANK($C60),"",IF($AJ60&lt;&gt;Constants!$B$7,$AJ60,AK60))</f>
        <v/>
      </c>
      <c r="BG60" s="90" t="str">
        <f aca="false">IF(ISBLANK($C60),"",BA60)</f>
        <v/>
      </c>
      <c r="BH60" s="90" t="str">
        <f aca="false">IF(ISBLANK($C60),"",AZ60)</f>
        <v/>
      </c>
      <c r="BI60" s="93" t="str">
        <f aca="false">IF(ISBLANK($C60),"",IF(BH60=Constants!$B$4,COUNTA($C$8:$C$507)+2,IF(BH60=Constants!$B$5,COUNTA($C$8:$C$507)+1,IF(BH60=Constants!$B$6,COUNTA($C$8:$C$507),BH60))))</f>
        <v/>
      </c>
      <c r="BJ60" s="5"/>
      <c r="BK60" s="94" t="n">
        <f aca="false">IF(OR(ISNUMBER(BH60),BH60=Constants!$B$4,BH60=Constants!$B$6,BH60=Constants!$B$5),1,0)</f>
        <v>0</v>
      </c>
      <c r="BL60" s="94" t="n">
        <v>53</v>
      </c>
      <c r="BM60" s="94" t="str">
        <f aca="false">IF(ISBLANK($C60),"",IF(ISNUMBER(BI60),BI60+ROW($B60)/1000,""))</f>
        <v/>
      </c>
      <c r="BN60" s="94" t="str">
        <f aca="false">IF(ISNUMBER(BM60),RANK(BM60,$BM$8:$BM$507,1),"")</f>
        <v/>
      </c>
      <c r="BO60" s="94" t="str">
        <f aca="false">IF(ISBLANK($C60),"",$B60)</f>
        <v/>
      </c>
      <c r="BP60" s="94" t="str">
        <f aca="false">IF(ISBLANK($C60),"",$C60)</f>
        <v/>
      </c>
      <c r="BQ60" s="94" t="str">
        <f aca="false">IF(ISBLANK($C60),"",$D60)</f>
        <v/>
      </c>
      <c r="BR60" s="95" t="str">
        <f aca="false">BF60</f>
        <v/>
      </c>
      <c r="BS60" s="96" t="str">
        <f aca="false">BE60</f>
        <v/>
      </c>
      <c r="BT60" s="94" t="str">
        <f aca="false">IF(ISBLANK($C60),"",BH60)</f>
        <v/>
      </c>
      <c r="BU60" s="97" t="str">
        <f aca="false">IF($BL60&gt;$BK$7,"",VLOOKUP($BL60,$BN$8:$BT$507,7,FALSE()))</f>
        <v/>
      </c>
      <c r="BV60" s="98" t="str">
        <f aca="false">IF($BL60&gt;$BK$7,"",VLOOKUP($BL60,$BN$8:$BT$507,2,FALSE()))</f>
        <v/>
      </c>
      <c r="BW60" s="98" t="str">
        <f aca="false">IF($BL60&gt;$BK$7,"",VLOOKUP($BL60,$BN$8:$BT$507,3,FALSE()))</f>
        <v/>
      </c>
      <c r="BX60" s="98" t="str">
        <f aca="false">IF($BL60&gt;$BK$7,"",VLOOKUP($BL60,$BN$8:$BT$507,4,FALSE()))</f>
        <v/>
      </c>
      <c r="BY60" s="98" t="str">
        <f aca="false">IF($BL60&gt;$BK$7,"",VLOOKUP($BL60,$BN$8:$BT$507,5,FALSE()))</f>
        <v/>
      </c>
      <c r="BZ60" s="99" t="str">
        <f aca="false">IF($BL60&gt;$BK$7,"",VLOOKUP($BL60,$BN$8:$BT$507,6,FALSE()))</f>
        <v/>
      </c>
      <c r="CA60" s="48"/>
    </row>
    <row r="61" customFormat="false" ht="15.75" hidden="false" customHeight="false" outlineLevel="0" collapsed="false">
      <c r="A61" s="5"/>
      <c r="B61" s="114"/>
      <c r="C61" s="115"/>
      <c r="D61" s="100"/>
      <c r="E61" s="120"/>
      <c r="F61" s="125"/>
      <c r="G61" s="82"/>
      <c r="H61" s="126"/>
      <c r="I61" s="127"/>
      <c r="J61" s="82"/>
      <c r="K61" s="126"/>
      <c r="L61" s="82"/>
      <c r="M61" s="126"/>
      <c r="N61" s="82"/>
      <c r="O61" s="126"/>
      <c r="P61" s="82"/>
      <c r="Q61" s="126"/>
      <c r="R61" s="82"/>
      <c r="S61" s="120"/>
      <c r="T61" s="86"/>
      <c r="U61" s="87" t="str">
        <f aca="false">IF(ISBLANK($C61),"",IF(E61=Constants!$B$2, TRUE(), IF(E61=Constants!$B$3, FALSE(), TRUE())))</f>
        <v/>
      </c>
      <c r="V61" s="87" t="str">
        <f aca="false">IF(ISBLANK($C61),"",IF(F61=Constants!$B$2, TRUE(), IF(F61=Constants!$B$3, FALSE(), TRUE())))</f>
        <v/>
      </c>
      <c r="W61" s="87" t="str">
        <f aca="false">IF(ISBLANK($C61),"",IF(G61=Constants!$B$15,Constants!$B$8,IF(G61=Constants!$B$16,Constants!$B$9,Constants!$B$10)))</f>
        <v/>
      </c>
      <c r="X61" s="87" t="str">
        <f aca="false">IF(ISBLANK($C61),"",IF(H61=Constants!$B$2, TRUE(), IF(H61=Constants!$B$3, FALSE(), TRUE())))</f>
        <v/>
      </c>
      <c r="Y61" s="87" t="str">
        <f aca="false">IF(ISBLANK($C61),"",IF(I61=Constants!$B$19,Constants!$B$19,Constants!$B$18))</f>
        <v/>
      </c>
      <c r="Z61" s="87" t="str">
        <f aca="false">IF(ISBLANK($C61),"",IF(ISNUMBER(J61),IF(J61&gt;=0,J61,""),""))</f>
        <v/>
      </c>
      <c r="AA61" s="87" t="str">
        <f aca="false">IF(ISBLANK($C61),"",IF(K61=Constants!$B$19,Constants!$B$19,Constants!$B$18))</f>
        <v/>
      </c>
      <c r="AB61" s="87" t="str">
        <f aca="false">IF(ISBLANK($C61),"",IF(ISNUMBER(L61),IF(L61&gt;=0,L61,""),""))</f>
        <v/>
      </c>
      <c r="AC61" s="87" t="str">
        <f aca="false">IF(ISBLANK($C61),"",IF(M61=Constants!$B$19,Constants!$B$19,Constants!$B$18))</f>
        <v/>
      </c>
      <c r="AD61" s="87" t="str">
        <f aca="false">IF(ISBLANK($C61),"",IF(ISNUMBER(N61),IF(N61&gt;=0,N61,""),""))</f>
        <v/>
      </c>
      <c r="AE61" s="87" t="str">
        <f aca="false">IF(ISBLANK($C61),"",IF(O61=Constants!$B$19,Constants!$B$19,Constants!$B$18))</f>
        <v/>
      </c>
      <c r="AF61" s="87" t="str">
        <f aca="false">IF(ISBLANK($C61),"",IF(ISNUMBER(P61),IF(P61&gt;=0,P61,""),""))</f>
        <v/>
      </c>
      <c r="AG61" s="87" t="str">
        <f aca="false">IF(ISBLANK($C61),"",IF(Q61=Constants!$B$19,Constants!$B$19,Constants!$B$18))</f>
        <v/>
      </c>
      <c r="AH61" s="87" t="str">
        <f aca="false">IF(ISBLANK($C61),"",IF(ISNUMBER(R61),IF(R61&gt;=0,R61,""),""))</f>
        <v/>
      </c>
      <c r="AI61" s="87" t="str">
        <f aca="false">IF(ISBLANK($C61),"",IF(S61=Constants!$B$2, TRUE(), IF(S61=Constants!$B$3, FALSE(), FALSE())))</f>
        <v/>
      </c>
      <c r="AJ61" s="87" t="str">
        <f aca="false">IF(ISBLANK($C61),"",IF(AI61,Constants!$B$4,IF(COUNTA(E61:R61)=0,Constants!$B$5,IF(COUNTA(J61,L61,N61,P61,R61)=0,Constants!$B$6,Constants!$B$7))))</f>
        <v/>
      </c>
      <c r="AK61" s="87" t="str">
        <f aca="false">IF(ISBLANK($C61),"",IF($AJ61&lt;&gt;Constants!$B$7,$AJ61,IF(OR(NOT(X61),AND(NOT(U61),COUNTIFS(Y61:AG61,Constants!$B$18,Z61:AH61,"&gt;=0")&gt;0),AND(NOT(V61),COUNTIFS(Y61:AG61,Constants!$B$19,Z61:AH61,"&gt;=0")&gt;0)),Constants!$B$12,Constants!$B$11)))</f>
        <v/>
      </c>
      <c r="AL61" s="87" t="str">
        <f aca="false">IF($AJ61=Constants!$B$7,IF(Z61="",Constants!$B$13,Z61),"")</f>
        <v/>
      </c>
      <c r="AM61" s="87" t="str">
        <f aca="false">IF($AJ61=Constants!$B$7,IF(AB61="",Constants!$B$13,AB61),"")</f>
        <v/>
      </c>
      <c r="AN61" s="87" t="str">
        <f aca="false">IF($AJ61=Constants!$B$7,IF(AD61="",Constants!$B$13,AD61),"")</f>
        <v/>
      </c>
      <c r="AO61" s="87" t="str">
        <f aca="false">IF($AJ61=Constants!$B$7,IF(AF61="",Constants!$B$13,AF61),"")</f>
        <v/>
      </c>
      <c r="AP61" s="87" t="str">
        <f aca="false">IF($AJ61=Constants!$B$7,IF(AH61="",Constants!$B$13,AH61),"")</f>
        <v/>
      </c>
      <c r="AQ61" s="87" t="str">
        <f aca="false">IF($AJ61=Constants!$B$7,IF(SUMPRODUCT(--($AL61:$AP61&gt;AL61))+SUMPRODUCT(--($AL61:AL61=AL61))=1,1,IF(SUMPRODUCT(--($AL61:$AP61&gt;AM61))+SUMPRODUCT(--($AL61:AM61=AM61))=1,2,IF(SUMPRODUCT(--($AL61:$AP61&gt;AN61))+SUMPRODUCT(--($AL61:AN61=AN61))=1,3,IF(SUMPRODUCT(--($AL61:$AP61&gt;AO61))+SUMPRODUCT(--($AL61:AO61=AO61))=1,4,5)))),"")</f>
        <v/>
      </c>
      <c r="AR61" s="87" t="str">
        <f aca="false">IF($AJ61=Constants!$B$7,IF(SUMPRODUCT(--($AL61:$AP61&gt;AL61))+SUMPRODUCT(--($AL61:AL61=AL61))=2,1,IF(SUMPRODUCT(--($AL61:$AP61&gt;AM61))+SUMPRODUCT(--($AL61:AM61=AM61))=2,2,IF(SUMPRODUCT(--($AL61:$AP61&gt;AN61))+SUMPRODUCT(--($AL61:AN61=AN61))=2,3,IF(SUMPRODUCT(--($AL61:$AP61&gt;AO61))+SUMPRODUCT(--($AL61:AO61=AO61))=2,4,5)))),"")</f>
        <v/>
      </c>
      <c r="AS61" s="87" t="str">
        <f aca="false">IF($AJ61=Constants!$B$7,IF(SUMPRODUCT(--($AL61:$AP61&gt;AL61))+SUMPRODUCT(--($AL61:AL61=AL61))=3,1,IF(SUMPRODUCT(--($AL61:$AP61&gt;AM61))+SUMPRODUCT(--($AL61:AM61=AM61))=3,2,IF(SUMPRODUCT(--($AL61:$AP61&gt;AN61))+SUMPRODUCT(--($AL61:AN61=AN61))=3,3,IF(SUMPRODUCT(--($AL61:$AP61&gt;AO61))+SUMPRODUCT(--($AL61:AO61=AO61))=3,4,5)))),"")</f>
        <v/>
      </c>
      <c r="AT61" s="87" t="str">
        <f aca="false">IF($AJ61=Constants!$B$7,LARGE(AL61:AP61,1)+LARGE(AL61:AP61,2)+LARGE(AL61:AP61,3),"")</f>
        <v/>
      </c>
      <c r="AU61" s="87" t="str">
        <f aca="false">IF(ISBLANK($C61),"",IF($AJ61&lt;&gt;Constants!$B$7,$AJ61,AT61*W61))</f>
        <v/>
      </c>
      <c r="AV61" s="87" t="str">
        <f aca="false">IF(ISBLANK($C61),"",IF($AJ61=Constants!$B$7,IF(ISNUMBER(AU61),RANK(AU61,$AU$8:$AU$507),Constants!$B$14),$AJ61))</f>
        <v/>
      </c>
      <c r="AW61" s="87" t="str">
        <f aca="false">IF(ISBLANK($C61),"",IF($AJ61=Constants!$B$7,IF(ISNUMBER(AV61),COUNTIFS($AK$8:$AK$507,"&lt;"&amp;$AK61)+COUNTIFS($AK$8:$AK$507,$AK61,$AV$8:$AV$507,"&lt;"&amp;$AV61)+1,Constants!$B$14),$AJ61))</f>
        <v/>
      </c>
      <c r="AX61" s="87" t="str">
        <f aca="false">IF(ISBLANK($C61),"",IF($AJ61=Constants!$B$7,LARGE(AL61:AP61,4)*W61,""))</f>
        <v/>
      </c>
      <c r="AY61" s="87" t="str">
        <f aca="false">IF(ISBLANK($C61),"",IF($AJ61=Constants!$B$7,RANK(AX61,$AX$8:$AX$507),$AJ61))</f>
        <v/>
      </c>
      <c r="AZ61" s="87" t="str">
        <f aca="false">IF(ISBLANK($C61),"",IF($AJ61=Constants!$B$7,IF(ISNUMBER(AV61),COUNTIFS($AK$8:$AK$507,"&lt;"&amp;$AK61)+COUNTIFS($AK$8:$AK$507,$AK61,$AV$8:$AV$507,"&lt;"&amp;$AV61)+COUNTIFS($AK$8:$AK$507,$AK61,$AV$8:$AV$507,$AV61,$AY$8:$AY$507,"&lt;"&amp;$AY61)+1,Constants!$B$14),$AJ61))</f>
        <v/>
      </c>
      <c r="BA61" s="87" t="str">
        <f aca="false">IF(ISBLANK($C61),"",IF($AJ61=Constants!$B$7,IF(ISNUMBER(AW61),AW61-AZ61,Constants!$B$14),$AJ61))</f>
        <v/>
      </c>
      <c r="BB61" s="88"/>
      <c r="BC61" s="89" t="str">
        <f aca="false">IF(ISBLANK($C61),"",IF($AJ61&lt;&gt;Constants!$B$7,$AJ61,SMALL(AQ61:AS61,1)&amp;", "&amp;SMALL(AQ61:AS61,2)&amp;", "&amp;SMALL(AQ61:AS61,3)))</f>
        <v/>
      </c>
      <c r="BD61" s="90" t="str">
        <f aca="false">IF(ISBLANK($C61),"",IF($AJ61&lt;&gt;Constants!$B$7,$AJ61,W61))</f>
        <v/>
      </c>
      <c r="BE61" s="91" t="str">
        <f aca="false">IF(ISBLANK($C61),"",IF($AJ61&lt;&gt;Constants!$B$7,$AJ61,AU61))</f>
        <v/>
      </c>
      <c r="BF61" s="92" t="str">
        <f aca="false">IF(ISBLANK($C61),"",IF($AJ61&lt;&gt;Constants!$B$7,$AJ61,AK61))</f>
        <v/>
      </c>
      <c r="BG61" s="90" t="str">
        <f aca="false">IF(ISBLANK($C61),"",BA61)</f>
        <v/>
      </c>
      <c r="BH61" s="90" t="str">
        <f aca="false">IF(ISBLANK($C61),"",AZ61)</f>
        <v/>
      </c>
      <c r="BI61" s="93" t="str">
        <f aca="false">IF(ISBLANK($C61),"",IF(BH61=Constants!$B$4,COUNTA($C$8:$C$507)+2,IF(BH61=Constants!$B$5,COUNTA($C$8:$C$507)+1,IF(BH61=Constants!$B$6,COUNTA($C$8:$C$507),BH61))))</f>
        <v/>
      </c>
      <c r="BJ61" s="5"/>
      <c r="BK61" s="94" t="n">
        <f aca="false">IF(OR(ISNUMBER(BH61),BH61=Constants!$B$4,BH61=Constants!$B$6,BH61=Constants!$B$5),1,0)</f>
        <v>0</v>
      </c>
      <c r="BL61" s="94" t="n">
        <v>54</v>
      </c>
      <c r="BM61" s="94" t="str">
        <f aca="false">IF(ISBLANK($C61),"",IF(ISNUMBER(BI61),BI61+ROW($B61)/1000,""))</f>
        <v/>
      </c>
      <c r="BN61" s="94" t="str">
        <f aca="false">IF(ISNUMBER(BM61),RANK(BM61,$BM$8:$BM$507,1),"")</f>
        <v/>
      </c>
      <c r="BO61" s="94" t="str">
        <f aca="false">IF(ISBLANK($C61),"",$B61)</f>
        <v/>
      </c>
      <c r="BP61" s="94" t="str">
        <f aca="false">IF(ISBLANK($C61),"",$C61)</f>
        <v/>
      </c>
      <c r="BQ61" s="94" t="str">
        <f aca="false">IF(ISBLANK($C61),"",$D61)</f>
        <v/>
      </c>
      <c r="BR61" s="95" t="str">
        <f aca="false">BF61</f>
        <v/>
      </c>
      <c r="BS61" s="96" t="str">
        <f aca="false">BE61</f>
        <v/>
      </c>
      <c r="BT61" s="94" t="str">
        <f aca="false">IF(ISBLANK($C61),"",BH61)</f>
        <v/>
      </c>
      <c r="BU61" s="97" t="str">
        <f aca="false">IF($BL61&gt;$BK$7,"",VLOOKUP($BL61,$BN$8:$BT$507,7,FALSE()))</f>
        <v/>
      </c>
      <c r="BV61" s="98" t="str">
        <f aca="false">IF($BL61&gt;$BK$7,"",VLOOKUP($BL61,$BN$8:$BT$507,2,FALSE()))</f>
        <v/>
      </c>
      <c r="BW61" s="98" t="str">
        <f aca="false">IF($BL61&gt;$BK$7,"",VLOOKUP($BL61,$BN$8:$BT$507,3,FALSE()))</f>
        <v/>
      </c>
      <c r="BX61" s="98" t="str">
        <f aca="false">IF($BL61&gt;$BK$7,"",VLOOKUP($BL61,$BN$8:$BT$507,4,FALSE()))</f>
        <v/>
      </c>
      <c r="BY61" s="98" t="str">
        <f aca="false">IF($BL61&gt;$BK$7,"",VLOOKUP($BL61,$BN$8:$BT$507,5,FALSE()))</f>
        <v/>
      </c>
      <c r="BZ61" s="99" t="str">
        <f aca="false">IF($BL61&gt;$BK$7,"",VLOOKUP($BL61,$BN$8:$BT$507,6,FALSE()))</f>
        <v/>
      </c>
      <c r="CA61" s="48"/>
    </row>
    <row r="62" customFormat="false" ht="15.75" hidden="false" customHeight="false" outlineLevel="0" collapsed="false">
      <c r="A62" s="5"/>
      <c r="B62" s="121"/>
      <c r="C62" s="50"/>
      <c r="D62" s="51"/>
      <c r="E62" s="74"/>
      <c r="F62" s="122"/>
      <c r="G62" s="54"/>
      <c r="H62" s="123"/>
      <c r="I62" s="124"/>
      <c r="J62" s="54"/>
      <c r="K62" s="123"/>
      <c r="L62" s="54"/>
      <c r="M62" s="123"/>
      <c r="N62" s="54"/>
      <c r="O62" s="123"/>
      <c r="P62" s="54"/>
      <c r="Q62" s="123"/>
      <c r="R62" s="54"/>
      <c r="S62" s="74"/>
      <c r="T62" s="58"/>
      <c r="U62" s="59" t="str">
        <f aca="false">IF(ISBLANK($C62),"",IF(E62=Constants!$B$2, TRUE(), IF(E62=Constants!$B$3, FALSE(), TRUE())))</f>
        <v/>
      </c>
      <c r="V62" s="59" t="str">
        <f aca="false">IF(ISBLANK($C62),"",IF(F62=Constants!$B$2, TRUE(), IF(F62=Constants!$B$3, FALSE(), TRUE())))</f>
        <v/>
      </c>
      <c r="W62" s="59" t="str">
        <f aca="false">IF(ISBLANK($C62),"",IF(G62=Constants!$B$15,Constants!$B$8,IF(G62=Constants!$B$16,Constants!$B$9,Constants!$B$10)))</f>
        <v/>
      </c>
      <c r="X62" s="59" t="str">
        <f aca="false">IF(ISBLANK($C62),"",IF(H62=Constants!$B$2, TRUE(), IF(H62=Constants!$B$3, FALSE(), TRUE())))</f>
        <v/>
      </c>
      <c r="Y62" s="59" t="str">
        <f aca="false">IF(ISBLANK($C62),"",IF(I62=Constants!$B$19,Constants!$B$19,Constants!$B$18))</f>
        <v/>
      </c>
      <c r="Z62" s="59" t="str">
        <f aca="false">IF(ISBLANK($C62),"",IF(ISNUMBER(J62),IF(J62&gt;=0,J62,""),""))</f>
        <v/>
      </c>
      <c r="AA62" s="59" t="str">
        <f aca="false">IF(ISBLANK($C62),"",IF(K62=Constants!$B$19,Constants!$B$19,Constants!$B$18))</f>
        <v/>
      </c>
      <c r="AB62" s="59" t="str">
        <f aca="false">IF(ISBLANK($C62),"",IF(ISNUMBER(L62),IF(L62&gt;=0,L62,""),""))</f>
        <v/>
      </c>
      <c r="AC62" s="59" t="str">
        <f aca="false">IF(ISBLANK($C62),"",IF(M62=Constants!$B$19,Constants!$B$19,Constants!$B$18))</f>
        <v/>
      </c>
      <c r="AD62" s="59" t="str">
        <f aca="false">IF(ISBLANK($C62),"",IF(ISNUMBER(N62),IF(N62&gt;=0,N62,""),""))</f>
        <v/>
      </c>
      <c r="AE62" s="59" t="str">
        <f aca="false">IF(ISBLANK($C62),"",IF(O62=Constants!$B$19,Constants!$B$19,Constants!$B$18))</f>
        <v/>
      </c>
      <c r="AF62" s="59" t="str">
        <f aca="false">IF(ISBLANK($C62),"",IF(ISNUMBER(P62),IF(P62&gt;=0,P62,""),""))</f>
        <v/>
      </c>
      <c r="AG62" s="59" t="str">
        <f aca="false">IF(ISBLANK($C62),"",IF(Q62=Constants!$B$19,Constants!$B$19,Constants!$B$18))</f>
        <v/>
      </c>
      <c r="AH62" s="59" t="str">
        <f aca="false">IF(ISBLANK($C62),"",IF(ISNUMBER(R62),IF(R62&gt;=0,R62,""),""))</f>
        <v/>
      </c>
      <c r="AI62" s="59" t="str">
        <f aca="false">IF(ISBLANK($C62),"",IF(S62=Constants!$B$2, TRUE(), IF(S62=Constants!$B$3, FALSE(), FALSE())))</f>
        <v/>
      </c>
      <c r="AJ62" s="59" t="str">
        <f aca="false">IF(ISBLANK($C62),"",IF(AI62,Constants!$B$4,IF(COUNTA(E62:R62)=0,Constants!$B$5,IF(COUNTA(J62,L62,N62,P62,R62)=0,Constants!$B$6,Constants!$B$7))))</f>
        <v/>
      </c>
      <c r="AK62" s="59" t="str">
        <f aca="false">IF(ISBLANK($C62),"",IF($AJ62&lt;&gt;Constants!$B$7,$AJ62,IF(OR(NOT(X62),AND(NOT(U62),COUNTIFS(Y62:AG62,Constants!$B$18,Z62:AH62,"&gt;=0")&gt;0),AND(NOT(V62),COUNTIFS(Y62:AG62,Constants!$B$19,Z62:AH62,"&gt;=0")&gt;0)),Constants!$B$12,Constants!$B$11)))</f>
        <v/>
      </c>
      <c r="AL62" s="59" t="str">
        <f aca="false">IF($AJ62=Constants!$B$7,IF(Z62="",Constants!$B$13,Z62),"")</f>
        <v/>
      </c>
      <c r="AM62" s="59" t="str">
        <f aca="false">IF($AJ62=Constants!$B$7,IF(AB62="",Constants!$B$13,AB62),"")</f>
        <v/>
      </c>
      <c r="AN62" s="59" t="str">
        <f aca="false">IF($AJ62=Constants!$B$7,IF(AD62="",Constants!$B$13,AD62),"")</f>
        <v/>
      </c>
      <c r="AO62" s="59" t="str">
        <f aca="false">IF($AJ62=Constants!$B$7,IF(AF62="",Constants!$B$13,AF62),"")</f>
        <v/>
      </c>
      <c r="AP62" s="59" t="str">
        <f aca="false">IF($AJ62=Constants!$B$7,IF(AH62="",Constants!$B$13,AH62),"")</f>
        <v/>
      </c>
      <c r="AQ62" s="59" t="str">
        <f aca="false">IF($AJ62=Constants!$B$7,IF(SUMPRODUCT(--($AL62:$AP62&gt;AL62))+SUMPRODUCT(--($AL62:AL62=AL62))=1,1,IF(SUMPRODUCT(--($AL62:$AP62&gt;AM62))+SUMPRODUCT(--($AL62:AM62=AM62))=1,2,IF(SUMPRODUCT(--($AL62:$AP62&gt;AN62))+SUMPRODUCT(--($AL62:AN62=AN62))=1,3,IF(SUMPRODUCT(--($AL62:$AP62&gt;AO62))+SUMPRODUCT(--($AL62:AO62=AO62))=1,4,5)))),"")</f>
        <v/>
      </c>
      <c r="AR62" s="59" t="str">
        <f aca="false">IF($AJ62=Constants!$B$7,IF(SUMPRODUCT(--($AL62:$AP62&gt;AL62))+SUMPRODUCT(--($AL62:AL62=AL62))=2,1,IF(SUMPRODUCT(--($AL62:$AP62&gt;AM62))+SUMPRODUCT(--($AL62:AM62=AM62))=2,2,IF(SUMPRODUCT(--($AL62:$AP62&gt;AN62))+SUMPRODUCT(--($AL62:AN62=AN62))=2,3,IF(SUMPRODUCT(--($AL62:$AP62&gt;AO62))+SUMPRODUCT(--($AL62:AO62=AO62))=2,4,5)))),"")</f>
        <v/>
      </c>
      <c r="AS62" s="59" t="str">
        <f aca="false">IF($AJ62=Constants!$B$7,IF(SUMPRODUCT(--($AL62:$AP62&gt;AL62))+SUMPRODUCT(--($AL62:AL62=AL62))=3,1,IF(SUMPRODUCT(--($AL62:$AP62&gt;AM62))+SUMPRODUCT(--($AL62:AM62=AM62))=3,2,IF(SUMPRODUCT(--($AL62:$AP62&gt;AN62))+SUMPRODUCT(--($AL62:AN62=AN62))=3,3,IF(SUMPRODUCT(--($AL62:$AP62&gt;AO62))+SUMPRODUCT(--($AL62:AO62=AO62))=3,4,5)))),"")</f>
        <v/>
      </c>
      <c r="AT62" s="59" t="str">
        <f aca="false">IF($AJ62=Constants!$B$7,LARGE(AL62:AP62,1)+LARGE(AL62:AP62,2)+LARGE(AL62:AP62,3),"")</f>
        <v/>
      </c>
      <c r="AU62" s="59" t="str">
        <f aca="false">IF(ISBLANK($C62),"",IF($AJ62&lt;&gt;Constants!$B$7,$AJ62,AT62*W62))</f>
        <v/>
      </c>
      <c r="AV62" s="59" t="str">
        <f aca="false">IF(ISBLANK($C62),"",IF($AJ62=Constants!$B$7,IF(ISNUMBER(AU62),RANK(AU62,$AU$8:$AU$507),Constants!$B$14),$AJ62))</f>
        <v/>
      </c>
      <c r="AW62" s="59" t="str">
        <f aca="false">IF(ISBLANK($C62),"",IF($AJ62=Constants!$B$7,IF(ISNUMBER(AV62),COUNTIFS($AK$8:$AK$507,"&lt;"&amp;$AK62)+COUNTIFS($AK$8:$AK$507,$AK62,$AV$8:$AV$507,"&lt;"&amp;$AV62)+1,Constants!$B$14),$AJ62))</f>
        <v/>
      </c>
      <c r="AX62" s="59" t="str">
        <f aca="false">IF(ISBLANK($C62),"",IF($AJ62=Constants!$B$7,LARGE(AL62:AP62,4)*W62,""))</f>
        <v/>
      </c>
      <c r="AY62" s="59" t="str">
        <f aca="false">IF(ISBLANK($C62),"",IF($AJ62=Constants!$B$7,RANK(AX62,$AX$8:$AX$507),$AJ62))</f>
        <v/>
      </c>
      <c r="AZ62" s="59" t="str">
        <f aca="false">IF(ISBLANK($C62),"",IF($AJ62=Constants!$B$7,IF(ISNUMBER(AV62),COUNTIFS($AK$8:$AK$507,"&lt;"&amp;$AK62)+COUNTIFS($AK$8:$AK$507,$AK62,$AV$8:$AV$507,"&lt;"&amp;$AV62)+COUNTIFS($AK$8:$AK$507,$AK62,$AV$8:$AV$507,$AV62,$AY$8:$AY$507,"&lt;"&amp;$AY62)+1,Constants!$B$14),$AJ62))</f>
        <v/>
      </c>
      <c r="BA62" s="59" t="str">
        <f aca="false">IF(ISBLANK($C62),"",IF($AJ62=Constants!$B$7,IF(ISNUMBER(AW62),AW62-AZ62,Constants!$B$14),$AJ62))</f>
        <v/>
      </c>
      <c r="BB62" s="61"/>
      <c r="BC62" s="62" t="str">
        <f aca="false">IF(ISBLANK($C62),"",IF($AJ62&lt;&gt;Constants!$B$7,$AJ62,SMALL(AQ62:AS62,1)&amp;", "&amp;SMALL(AQ62:AS62,2)&amp;", "&amp;SMALL(AQ62:AS62,3)))</f>
        <v/>
      </c>
      <c r="BD62" s="63" t="str">
        <f aca="false">IF(ISBLANK($C62),"",IF($AJ62&lt;&gt;Constants!$B$7,$AJ62,W62))</f>
        <v/>
      </c>
      <c r="BE62" s="64" t="str">
        <f aca="false">IF(ISBLANK($C62),"",IF($AJ62&lt;&gt;Constants!$B$7,$AJ62,AU62))</f>
        <v/>
      </c>
      <c r="BF62" s="65" t="str">
        <f aca="false">IF(ISBLANK($C62),"",IF($AJ62&lt;&gt;Constants!$B$7,$AJ62,AK62))</f>
        <v/>
      </c>
      <c r="BG62" s="63" t="str">
        <f aca="false">IF(ISBLANK($C62),"",BA62)</f>
        <v/>
      </c>
      <c r="BH62" s="63" t="str">
        <f aca="false">IF(ISBLANK($C62),"",AZ62)</f>
        <v/>
      </c>
      <c r="BI62" s="66" t="str">
        <f aca="false">IF(ISBLANK($C62),"",IF(BH62=Constants!$B$4,COUNTA($C$8:$C$507)+2,IF(BH62=Constants!$B$5,COUNTA($C$8:$C$507)+1,IF(BH62=Constants!$B$6,COUNTA($C$8:$C$507),BH62))))</f>
        <v/>
      </c>
      <c r="BJ62" s="5"/>
      <c r="BK62" s="67" t="n">
        <f aca="false">IF(OR(ISNUMBER(BH62),BH62=Constants!$B$4,BH62=Constants!$B$6,BH62=Constants!$B$5),1,0)</f>
        <v>0</v>
      </c>
      <c r="BL62" s="67" t="n">
        <v>55</v>
      </c>
      <c r="BM62" s="67" t="str">
        <f aca="false">IF(ISBLANK($C62),"",IF(ISNUMBER(BI62),BI62+ROW($B62)/1000,""))</f>
        <v/>
      </c>
      <c r="BN62" s="67" t="str">
        <f aca="false">IF(ISNUMBER(BM62),RANK(BM62,$BM$8:$BM$507,1),"")</f>
        <v/>
      </c>
      <c r="BO62" s="67" t="str">
        <f aca="false">IF(ISBLANK($C62),"",$B62)</f>
        <v/>
      </c>
      <c r="BP62" s="67" t="str">
        <f aca="false">IF(ISBLANK($C62),"",$C62)</f>
        <v/>
      </c>
      <c r="BQ62" s="67" t="str">
        <f aca="false">IF(ISBLANK($C62),"",$D62)</f>
        <v/>
      </c>
      <c r="BR62" s="68" t="str">
        <f aca="false">BF62</f>
        <v/>
      </c>
      <c r="BS62" s="69" t="str">
        <f aca="false">BE62</f>
        <v/>
      </c>
      <c r="BT62" s="67" t="str">
        <f aca="false">IF(ISBLANK($C62),"",BH62)</f>
        <v/>
      </c>
      <c r="BU62" s="70" t="str">
        <f aca="false">IF($BL62&gt;$BK$7,"",VLOOKUP($BL62,$BN$8:$BT$507,7,FALSE()))</f>
        <v/>
      </c>
      <c r="BV62" s="71" t="str">
        <f aca="false">IF($BL62&gt;$BK$7,"",VLOOKUP($BL62,$BN$8:$BT$507,2,FALSE()))</f>
        <v/>
      </c>
      <c r="BW62" s="71" t="str">
        <f aca="false">IF($BL62&gt;$BK$7,"",VLOOKUP($BL62,$BN$8:$BT$507,3,FALSE()))</f>
        <v/>
      </c>
      <c r="BX62" s="71" t="str">
        <f aca="false">IF($BL62&gt;$BK$7,"",VLOOKUP($BL62,$BN$8:$BT$507,4,FALSE()))</f>
        <v/>
      </c>
      <c r="BY62" s="71" t="str">
        <f aca="false">IF($BL62&gt;$BK$7,"",VLOOKUP($BL62,$BN$8:$BT$507,5,FALSE()))</f>
        <v/>
      </c>
      <c r="BZ62" s="72" t="str">
        <f aca="false">IF($BL62&gt;$BK$7,"",VLOOKUP($BL62,$BN$8:$BT$507,6,FALSE()))</f>
        <v/>
      </c>
      <c r="CA62" s="48"/>
    </row>
    <row r="63" customFormat="false" ht="15.75" hidden="false" customHeight="false" outlineLevel="0" collapsed="false">
      <c r="A63" s="5"/>
      <c r="B63" s="121"/>
      <c r="C63" s="50"/>
      <c r="D63" s="51"/>
      <c r="E63" s="74"/>
      <c r="F63" s="122"/>
      <c r="G63" s="54"/>
      <c r="H63" s="123"/>
      <c r="I63" s="124"/>
      <c r="J63" s="54"/>
      <c r="K63" s="123"/>
      <c r="L63" s="54"/>
      <c r="M63" s="123"/>
      <c r="N63" s="54"/>
      <c r="O63" s="123"/>
      <c r="P63" s="54"/>
      <c r="Q63" s="123"/>
      <c r="R63" s="54"/>
      <c r="S63" s="74"/>
      <c r="T63" s="58"/>
      <c r="U63" s="59" t="str">
        <f aca="false">IF(ISBLANK($C63),"",IF(E63=Constants!$B$2, TRUE(), IF(E63=Constants!$B$3, FALSE(), TRUE())))</f>
        <v/>
      </c>
      <c r="V63" s="59" t="str">
        <f aca="false">IF(ISBLANK($C63),"",IF(F63=Constants!$B$2, TRUE(), IF(F63=Constants!$B$3, FALSE(), TRUE())))</f>
        <v/>
      </c>
      <c r="W63" s="59" t="str">
        <f aca="false">IF(ISBLANK($C63),"",IF(G63=Constants!$B$15,Constants!$B$8,IF(G63=Constants!$B$16,Constants!$B$9,Constants!$B$10)))</f>
        <v/>
      </c>
      <c r="X63" s="59" t="str">
        <f aca="false">IF(ISBLANK($C63),"",IF(H63=Constants!$B$2, TRUE(), IF(H63=Constants!$B$3, FALSE(), TRUE())))</f>
        <v/>
      </c>
      <c r="Y63" s="59" t="str">
        <f aca="false">IF(ISBLANK($C63),"",IF(I63=Constants!$B$19,Constants!$B$19,Constants!$B$18))</f>
        <v/>
      </c>
      <c r="Z63" s="59" t="str">
        <f aca="false">IF(ISBLANK($C63),"",IF(ISNUMBER(J63),IF(J63&gt;=0,J63,""),""))</f>
        <v/>
      </c>
      <c r="AA63" s="59" t="str">
        <f aca="false">IF(ISBLANK($C63),"",IF(K63=Constants!$B$19,Constants!$B$19,Constants!$B$18))</f>
        <v/>
      </c>
      <c r="AB63" s="59" t="str">
        <f aca="false">IF(ISBLANK($C63),"",IF(ISNUMBER(L63),IF(L63&gt;=0,L63,""),""))</f>
        <v/>
      </c>
      <c r="AC63" s="59" t="str">
        <f aca="false">IF(ISBLANK($C63),"",IF(M63=Constants!$B$19,Constants!$B$19,Constants!$B$18))</f>
        <v/>
      </c>
      <c r="AD63" s="59" t="str">
        <f aca="false">IF(ISBLANK($C63),"",IF(ISNUMBER(N63),IF(N63&gt;=0,N63,""),""))</f>
        <v/>
      </c>
      <c r="AE63" s="59" t="str">
        <f aca="false">IF(ISBLANK($C63),"",IF(O63=Constants!$B$19,Constants!$B$19,Constants!$B$18))</f>
        <v/>
      </c>
      <c r="AF63" s="59" t="str">
        <f aca="false">IF(ISBLANK($C63),"",IF(ISNUMBER(P63),IF(P63&gt;=0,P63,""),""))</f>
        <v/>
      </c>
      <c r="AG63" s="59" t="str">
        <f aca="false">IF(ISBLANK($C63),"",IF(Q63=Constants!$B$19,Constants!$B$19,Constants!$B$18))</f>
        <v/>
      </c>
      <c r="AH63" s="59" t="str">
        <f aca="false">IF(ISBLANK($C63),"",IF(ISNUMBER(R63),IF(R63&gt;=0,R63,""),""))</f>
        <v/>
      </c>
      <c r="AI63" s="59" t="str">
        <f aca="false">IF(ISBLANK($C63),"",IF(S63=Constants!$B$2, TRUE(), IF(S63=Constants!$B$3, FALSE(), FALSE())))</f>
        <v/>
      </c>
      <c r="AJ63" s="59" t="str">
        <f aca="false">IF(ISBLANK($C63),"",IF(AI63,Constants!$B$4,IF(COUNTA(E63:R63)=0,Constants!$B$5,IF(COUNTA(J63,L63,N63,P63,R63)=0,Constants!$B$6,Constants!$B$7))))</f>
        <v/>
      </c>
      <c r="AK63" s="59" t="str">
        <f aca="false">IF(ISBLANK($C63),"",IF($AJ63&lt;&gt;Constants!$B$7,$AJ63,IF(OR(NOT(X63),AND(NOT(U63),COUNTIFS(Y63:AG63,Constants!$B$18,Z63:AH63,"&gt;=0")&gt;0),AND(NOT(V63),COUNTIFS(Y63:AG63,Constants!$B$19,Z63:AH63,"&gt;=0")&gt;0)),Constants!$B$12,Constants!$B$11)))</f>
        <v/>
      </c>
      <c r="AL63" s="59" t="str">
        <f aca="false">IF($AJ63=Constants!$B$7,IF(Z63="",Constants!$B$13,Z63),"")</f>
        <v/>
      </c>
      <c r="AM63" s="59" t="str">
        <f aca="false">IF($AJ63=Constants!$B$7,IF(AB63="",Constants!$B$13,AB63),"")</f>
        <v/>
      </c>
      <c r="AN63" s="59" t="str">
        <f aca="false">IF($AJ63=Constants!$B$7,IF(AD63="",Constants!$B$13,AD63),"")</f>
        <v/>
      </c>
      <c r="AO63" s="59" t="str">
        <f aca="false">IF($AJ63=Constants!$B$7,IF(AF63="",Constants!$B$13,AF63),"")</f>
        <v/>
      </c>
      <c r="AP63" s="59" t="str">
        <f aca="false">IF($AJ63=Constants!$B$7,IF(AH63="",Constants!$B$13,AH63),"")</f>
        <v/>
      </c>
      <c r="AQ63" s="59" t="str">
        <f aca="false">IF($AJ63=Constants!$B$7,IF(SUMPRODUCT(--($AL63:$AP63&gt;AL63))+SUMPRODUCT(--($AL63:AL63=AL63))=1,1,IF(SUMPRODUCT(--($AL63:$AP63&gt;AM63))+SUMPRODUCT(--($AL63:AM63=AM63))=1,2,IF(SUMPRODUCT(--($AL63:$AP63&gt;AN63))+SUMPRODUCT(--($AL63:AN63=AN63))=1,3,IF(SUMPRODUCT(--($AL63:$AP63&gt;AO63))+SUMPRODUCT(--($AL63:AO63=AO63))=1,4,5)))),"")</f>
        <v/>
      </c>
      <c r="AR63" s="59" t="str">
        <f aca="false">IF($AJ63=Constants!$B$7,IF(SUMPRODUCT(--($AL63:$AP63&gt;AL63))+SUMPRODUCT(--($AL63:AL63=AL63))=2,1,IF(SUMPRODUCT(--($AL63:$AP63&gt;AM63))+SUMPRODUCT(--($AL63:AM63=AM63))=2,2,IF(SUMPRODUCT(--($AL63:$AP63&gt;AN63))+SUMPRODUCT(--($AL63:AN63=AN63))=2,3,IF(SUMPRODUCT(--($AL63:$AP63&gt;AO63))+SUMPRODUCT(--($AL63:AO63=AO63))=2,4,5)))),"")</f>
        <v/>
      </c>
      <c r="AS63" s="59" t="str">
        <f aca="false">IF($AJ63=Constants!$B$7,IF(SUMPRODUCT(--($AL63:$AP63&gt;AL63))+SUMPRODUCT(--($AL63:AL63=AL63))=3,1,IF(SUMPRODUCT(--($AL63:$AP63&gt;AM63))+SUMPRODUCT(--($AL63:AM63=AM63))=3,2,IF(SUMPRODUCT(--($AL63:$AP63&gt;AN63))+SUMPRODUCT(--($AL63:AN63=AN63))=3,3,IF(SUMPRODUCT(--($AL63:$AP63&gt;AO63))+SUMPRODUCT(--($AL63:AO63=AO63))=3,4,5)))),"")</f>
        <v/>
      </c>
      <c r="AT63" s="59" t="str">
        <f aca="false">IF($AJ63=Constants!$B$7,LARGE(AL63:AP63,1)+LARGE(AL63:AP63,2)+LARGE(AL63:AP63,3),"")</f>
        <v/>
      </c>
      <c r="AU63" s="59" t="str">
        <f aca="false">IF(ISBLANK($C63),"",IF($AJ63&lt;&gt;Constants!$B$7,$AJ63,AT63*W63))</f>
        <v/>
      </c>
      <c r="AV63" s="59" t="str">
        <f aca="false">IF(ISBLANK($C63),"",IF($AJ63=Constants!$B$7,IF(ISNUMBER(AU63),RANK(AU63,$AU$8:$AU$507),Constants!$B$14),$AJ63))</f>
        <v/>
      </c>
      <c r="AW63" s="59" t="str">
        <f aca="false">IF(ISBLANK($C63),"",IF($AJ63=Constants!$B$7,IF(ISNUMBER(AV63),COUNTIFS($AK$8:$AK$507,"&lt;"&amp;$AK63)+COUNTIFS($AK$8:$AK$507,$AK63,$AV$8:$AV$507,"&lt;"&amp;$AV63)+1,Constants!$B$14),$AJ63))</f>
        <v/>
      </c>
      <c r="AX63" s="59" t="str">
        <f aca="false">IF(ISBLANK($C63),"",IF($AJ63=Constants!$B$7,LARGE(AL63:AP63,4)*W63,""))</f>
        <v/>
      </c>
      <c r="AY63" s="59" t="str">
        <f aca="false">IF(ISBLANK($C63),"",IF($AJ63=Constants!$B$7,RANK(AX63,$AX$8:$AX$507),$AJ63))</f>
        <v/>
      </c>
      <c r="AZ63" s="59" t="str">
        <f aca="false">IF(ISBLANK($C63),"",IF($AJ63=Constants!$B$7,IF(ISNUMBER(AV63),COUNTIFS($AK$8:$AK$507,"&lt;"&amp;$AK63)+COUNTIFS($AK$8:$AK$507,$AK63,$AV$8:$AV$507,"&lt;"&amp;$AV63)+COUNTIFS($AK$8:$AK$507,$AK63,$AV$8:$AV$507,$AV63,$AY$8:$AY$507,"&lt;"&amp;$AY63)+1,Constants!$B$14),$AJ63))</f>
        <v/>
      </c>
      <c r="BA63" s="59" t="str">
        <f aca="false">IF(ISBLANK($C63),"",IF($AJ63=Constants!$B$7,IF(ISNUMBER(AW63),AW63-AZ63,Constants!$B$14),$AJ63))</f>
        <v/>
      </c>
      <c r="BB63" s="61"/>
      <c r="BC63" s="62" t="str">
        <f aca="false">IF(ISBLANK($C63),"",IF($AJ63&lt;&gt;Constants!$B$7,$AJ63,SMALL(AQ63:AS63,1)&amp;", "&amp;SMALL(AQ63:AS63,2)&amp;", "&amp;SMALL(AQ63:AS63,3)))</f>
        <v/>
      </c>
      <c r="BD63" s="63" t="str">
        <f aca="false">IF(ISBLANK($C63),"",IF($AJ63&lt;&gt;Constants!$B$7,$AJ63,W63))</f>
        <v/>
      </c>
      <c r="BE63" s="64" t="str">
        <f aca="false">IF(ISBLANK($C63),"",IF($AJ63&lt;&gt;Constants!$B$7,$AJ63,AU63))</f>
        <v/>
      </c>
      <c r="BF63" s="65" t="str">
        <f aca="false">IF(ISBLANK($C63),"",IF($AJ63&lt;&gt;Constants!$B$7,$AJ63,AK63))</f>
        <v/>
      </c>
      <c r="BG63" s="63" t="str">
        <f aca="false">IF(ISBLANK($C63),"",BA63)</f>
        <v/>
      </c>
      <c r="BH63" s="63" t="str">
        <f aca="false">IF(ISBLANK($C63),"",AZ63)</f>
        <v/>
      </c>
      <c r="BI63" s="66" t="str">
        <f aca="false">IF(ISBLANK($C63),"",IF(BH63=Constants!$B$4,COUNTA($C$8:$C$507)+2,IF(BH63=Constants!$B$5,COUNTA($C$8:$C$507)+1,IF(BH63=Constants!$B$6,COUNTA($C$8:$C$507),BH63))))</f>
        <v/>
      </c>
      <c r="BJ63" s="5"/>
      <c r="BK63" s="67" t="n">
        <f aca="false">IF(OR(ISNUMBER(BH63),BH63=Constants!$B$4,BH63=Constants!$B$6,BH63=Constants!$B$5),1,0)</f>
        <v>0</v>
      </c>
      <c r="BL63" s="67" t="n">
        <v>56</v>
      </c>
      <c r="BM63" s="67" t="str">
        <f aca="false">IF(ISBLANK($C63),"",IF(ISNUMBER(BI63),BI63+ROW($B63)/1000,""))</f>
        <v/>
      </c>
      <c r="BN63" s="67" t="str">
        <f aca="false">IF(ISNUMBER(BM63),RANK(BM63,$BM$8:$BM$507,1),"")</f>
        <v/>
      </c>
      <c r="BO63" s="67" t="str">
        <f aca="false">IF(ISBLANK($C63),"",$B63)</f>
        <v/>
      </c>
      <c r="BP63" s="67" t="str">
        <f aca="false">IF(ISBLANK($C63),"",$C63)</f>
        <v/>
      </c>
      <c r="BQ63" s="67" t="str">
        <f aca="false">IF(ISBLANK($C63),"",$D63)</f>
        <v/>
      </c>
      <c r="BR63" s="68" t="str">
        <f aca="false">BF63</f>
        <v/>
      </c>
      <c r="BS63" s="69" t="str">
        <f aca="false">BE63</f>
        <v/>
      </c>
      <c r="BT63" s="67" t="str">
        <f aca="false">IF(ISBLANK($C63),"",BH63)</f>
        <v/>
      </c>
      <c r="BU63" s="70" t="str">
        <f aca="false">IF($BL63&gt;$BK$7,"",VLOOKUP($BL63,$BN$8:$BT$507,7,FALSE()))</f>
        <v/>
      </c>
      <c r="BV63" s="71" t="str">
        <f aca="false">IF($BL63&gt;$BK$7,"",VLOOKUP($BL63,$BN$8:$BT$507,2,FALSE()))</f>
        <v/>
      </c>
      <c r="BW63" s="71" t="str">
        <f aca="false">IF($BL63&gt;$BK$7,"",VLOOKUP($BL63,$BN$8:$BT$507,3,FALSE()))</f>
        <v/>
      </c>
      <c r="BX63" s="71" t="str">
        <f aca="false">IF($BL63&gt;$BK$7,"",VLOOKUP($BL63,$BN$8:$BT$507,4,FALSE()))</f>
        <v/>
      </c>
      <c r="BY63" s="71" t="str">
        <f aca="false">IF($BL63&gt;$BK$7,"",VLOOKUP($BL63,$BN$8:$BT$507,5,FALSE()))</f>
        <v/>
      </c>
      <c r="BZ63" s="72" t="str">
        <f aca="false">IF($BL63&gt;$BK$7,"",VLOOKUP($BL63,$BN$8:$BT$507,6,FALSE()))</f>
        <v/>
      </c>
      <c r="CA63" s="48"/>
    </row>
    <row r="64" customFormat="false" ht="15.75" hidden="false" customHeight="false" outlineLevel="0" collapsed="false">
      <c r="A64" s="5"/>
      <c r="B64" s="121"/>
      <c r="C64" s="50"/>
      <c r="D64" s="51"/>
      <c r="E64" s="74"/>
      <c r="F64" s="122"/>
      <c r="G64" s="54"/>
      <c r="H64" s="123"/>
      <c r="I64" s="124"/>
      <c r="J64" s="54"/>
      <c r="K64" s="123"/>
      <c r="L64" s="54"/>
      <c r="M64" s="123"/>
      <c r="N64" s="54"/>
      <c r="O64" s="123"/>
      <c r="P64" s="54"/>
      <c r="Q64" s="123"/>
      <c r="R64" s="54"/>
      <c r="S64" s="74"/>
      <c r="T64" s="58"/>
      <c r="U64" s="59" t="str">
        <f aca="false">IF(ISBLANK($C64),"",IF(E64=Constants!$B$2, TRUE(), IF(E64=Constants!$B$3, FALSE(), TRUE())))</f>
        <v/>
      </c>
      <c r="V64" s="59" t="str">
        <f aca="false">IF(ISBLANK($C64),"",IF(F64=Constants!$B$2, TRUE(), IF(F64=Constants!$B$3, FALSE(), TRUE())))</f>
        <v/>
      </c>
      <c r="W64" s="59" t="str">
        <f aca="false">IF(ISBLANK($C64),"",IF(G64=Constants!$B$15,Constants!$B$8,IF(G64=Constants!$B$16,Constants!$B$9,Constants!$B$10)))</f>
        <v/>
      </c>
      <c r="X64" s="59" t="str">
        <f aca="false">IF(ISBLANK($C64),"",IF(H64=Constants!$B$2, TRUE(), IF(H64=Constants!$B$3, FALSE(), TRUE())))</f>
        <v/>
      </c>
      <c r="Y64" s="59" t="str">
        <f aca="false">IF(ISBLANK($C64),"",IF(I64=Constants!$B$19,Constants!$B$19,Constants!$B$18))</f>
        <v/>
      </c>
      <c r="Z64" s="59" t="str">
        <f aca="false">IF(ISBLANK($C64),"",IF(ISNUMBER(J64),IF(J64&gt;=0,J64,""),""))</f>
        <v/>
      </c>
      <c r="AA64" s="59" t="str">
        <f aca="false">IF(ISBLANK($C64),"",IF(K64=Constants!$B$19,Constants!$B$19,Constants!$B$18))</f>
        <v/>
      </c>
      <c r="AB64" s="59" t="str">
        <f aca="false">IF(ISBLANK($C64),"",IF(ISNUMBER(L64),IF(L64&gt;=0,L64,""),""))</f>
        <v/>
      </c>
      <c r="AC64" s="59" t="str">
        <f aca="false">IF(ISBLANK($C64),"",IF(M64=Constants!$B$19,Constants!$B$19,Constants!$B$18))</f>
        <v/>
      </c>
      <c r="AD64" s="59" t="str">
        <f aca="false">IF(ISBLANK($C64),"",IF(ISNUMBER(N64),IF(N64&gt;=0,N64,""),""))</f>
        <v/>
      </c>
      <c r="AE64" s="59" t="str">
        <f aca="false">IF(ISBLANK($C64),"",IF(O64=Constants!$B$19,Constants!$B$19,Constants!$B$18))</f>
        <v/>
      </c>
      <c r="AF64" s="59" t="str">
        <f aca="false">IF(ISBLANK($C64),"",IF(ISNUMBER(P64),IF(P64&gt;=0,P64,""),""))</f>
        <v/>
      </c>
      <c r="AG64" s="59" t="str">
        <f aca="false">IF(ISBLANK($C64),"",IF(Q64=Constants!$B$19,Constants!$B$19,Constants!$B$18))</f>
        <v/>
      </c>
      <c r="AH64" s="59" t="str">
        <f aca="false">IF(ISBLANK($C64),"",IF(ISNUMBER(R64),IF(R64&gt;=0,R64,""),""))</f>
        <v/>
      </c>
      <c r="AI64" s="59" t="str">
        <f aca="false">IF(ISBLANK($C64),"",IF(S64=Constants!$B$2, TRUE(), IF(S64=Constants!$B$3, FALSE(), FALSE())))</f>
        <v/>
      </c>
      <c r="AJ64" s="59" t="str">
        <f aca="false">IF(ISBLANK($C64),"",IF(AI64,Constants!$B$4,IF(COUNTA(E64:R64)=0,Constants!$B$5,IF(COUNTA(J64,L64,N64,P64,R64)=0,Constants!$B$6,Constants!$B$7))))</f>
        <v/>
      </c>
      <c r="AK64" s="59" t="str">
        <f aca="false">IF(ISBLANK($C64),"",IF($AJ64&lt;&gt;Constants!$B$7,$AJ64,IF(OR(NOT(X64),AND(NOT(U64),COUNTIFS(Y64:AG64,Constants!$B$18,Z64:AH64,"&gt;=0")&gt;0),AND(NOT(V64),COUNTIFS(Y64:AG64,Constants!$B$19,Z64:AH64,"&gt;=0")&gt;0)),Constants!$B$12,Constants!$B$11)))</f>
        <v/>
      </c>
      <c r="AL64" s="59" t="str">
        <f aca="false">IF($AJ64=Constants!$B$7,IF(Z64="",Constants!$B$13,Z64),"")</f>
        <v/>
      </c>
      <c r="AM64" s="59" t="str">
        <f aca="false">IF($AJ64=Constants!$B$7,IF(AB64="",Constants!$B$13,AB64),"")</f>
        <v/>
      </c>
      <c r="AN64" s="59" t="str">
        <f aca="false">IF($AJ64=Constants!$B$7,IF(AD64="",Constants!$B$13,AD64),"")</f>
        <v/>
      </c>
      <c r="AO64" s="59" t="str">
        <f aca="false">IF($AJ64=Constants!$B$7,IF(AF64="",Constants!$B$13,AF64),"")</f>
        <v/>
      </c>
      <c r="AP64" s="59" t="str">
        <f aca="false">IF($AJ64=Constants!$B$7,IF(AH64="",Constants!$B$13,AH64),"")</f>
        <v/>
      </c>
      <c r="AQ64" s="59" t="str">
        <f aca="false">IF($AJ64=Constants!$B$7,IF(SUMPRODUCT(--($AL64:$AP64&gt;AL64))+SUMPRODUCT(--($AL64:AL64=AL64))=1,1,IF(SUMPRODUCT(--($AL64:$AP64&gt;AM64))+SUMPRODUCT(--($AL64:AM64=AM64))=1,2,IF(SUMPRODUCT(--($AL64:$AP64&gt;AN64))+SUMPRODUCT(--($AL64:AN64=AN64))=1,3,IF(SUMPRODUCT(--($AL64:$AP64&gt;AO64))+SUMPRODUCT(--($AL64:AO64=AO64))=1,4,5)))),"")</f>
        <v/>
      </c>
      <c r="AR64" s="59" t="str">
        <f aca="false">IF($AJ64=Constants!$B$7,IF(SUMPRODUCT(--($AL64:$AP64&gt;AL64))+SUMPRODUCT(--($AL64:AL64=AL64))=2,1,IF(SUMPRODUCT(--($AL64:$AP64&gt;AM64))+SUMPRODUCT(--($AL64:AM64=AM64))=2,2,IF(SUMPRODUCT(--($AL64:$AP64&gt;AN64))+SUMPRODUCT(--($AL64:AN64=AN64))=2,3,IF(SUMPRODUCT(--($AL64:$AP64&gt;AO64))+SUMPRODUCT(--($AL64:AO64=AO64))=2,4,5)))),"")</f>
        <v/>
      </c>
      <c r="AS64" s="59" t="str">
        <f aca="false">IF($AJ64=Constants!$B$7,IF(SUMPRODUCT(--($AL64:$AP64&gt;AL64))+SUMPRODUCT(--($AL64:AL64=AL64))=3,1,IF(SUMPRODUCT(--($AL64:$AP64&gt;AM64))+SUMPRODUCT(--($AL64:AM64=AM64))=3,2,IF(SUMPRODUCT(--($AL64:$AP64&gt;AN64))+SUMPRODUCT(--($AL64:AN64=AN64))=3,3,IF(SUMPRODUCT(--($AL64:$AP64&gt;AO64))+SUMPRODUCT(--($AL64:AO64=AO64))=3,4,5)))),"")</f>
        <v/>
      </c>
      <c r="AT64" s="59" t="str">
        <f aca="false">IF($AJ64=Constants!$B$7,LARGE(AL64:AP64,1)+LARGE(AL64:AP64,2)+LARGE(AL64:AP64,3),"")</f>
        <v/>
      </c>
      <c r="AU64" s="59" t="str">
        <f aca="false">IF(ISBLANK($C64),"",IF($AJ64&lt;&gt;Constants!$B$7,$AJ64,AT64*W64))</f>
        <v/>
      </c>
      <c r="AV64" s="59" t="str">
        <f aca="false">IF(ISBLANK($C64),"",IF($AJ64=Constants!$B$7,IF(ISNUMBER(AU64),RANK(AU64,$AU$8:$AU$507),Constants!$B$14),$AJ64))</f>
        <v/>
      </c>
      <c r="AW64" s="59" t="str">
        <f aca="false">IF(ISBLANK($C64),"",IF($AJ64=Constants!$B$7,IF(ISNUMBER(AV64),COUNTIFS($AK$8:$AK$507,"&lt;"&amp;$AK64)+COUNTIFS($AK$8:$AK$507,$AK64,$AV$8:$AV$507,"&lt;"&amp;$AV64)+1,Constants!$B$14),$AJ64))</f>
        <v/>
      </c>
      <c r="AX64" s="59" t="str">
        <f aca="false">IF(ISBLANK($C64),"",IF($AJ64=Constants!$B$7,LARGE(AL64:AP64,4)*W64,""))</f>
        <v/>
      </c>
      <c r="AY64" s="59" t="str">
        <f aca="false">IF(ISBLANK($C64),"",IF($AJ64=Constants!$B$7,RANK(AX64,$AX$8:$AX$507),$AJ64))</f>
        <v/>
      </c>
      <c r="AZ64" s="59" t="str">
        <f aca="false">IF(ISBLANK($C64),"",IF($AJ64=Constants!$B$7,IF(ISNUMBER(AV64),COUNTIFS($AK$8:$AK$507,"&lt;"&amp;$AK64)+COUNTIFS($AK$8:$AK$507,$AK64,$AV$8:$AV$507,"&lt;"&amp;$AV64)+COUNTIFS($AK$8:$AK$507,$AK64,$AV$8:$AV$507,$AV64,$AY$8:$AY$507,"&lt;"&amp;$AY64)+1,Constants!$B$14),$AJ64))</f>
        <v/>
      </c>
      <c r="BA64" s="59" t="str">
        <f aca="false">IF(ISBLANK($C64),"",IF($AJ64=Constants!$B$7,IF(ISNUMBER(AW64),AW64-AZ64,Constants!$B$14),$AJ64))</f>
        <v/>
      </c>
      <c r="BB64" s="61"/>
      <c r="BC64" s="62" t="str">
        <f aca="false">IF(ISBLANK($C64),"",IF($AJ64&lt;&gt;Constants!$B$7,$AJ64,SMALL(AQ64:AS64,1)&amp;", "&amp;SMALL(AQ64:AS64,2)&amp;", "&amp;SMALL(AQ64:AS64,3)))</f>
        <v/>
      </c>
      <c r="BD64" s="63" t="str">
        <f aca="false">IF(ISBLANK($C64),"",IF($AJ64&lt;&gt;Constants!$B$7,$AJ64,W64))</f>
        <v/>
      </c>
      <c r="BE64" s="64" t="str">
        <f aca="false">IF(ISBLANK($C64),"",IF($AJ64&lt;&gt;Constants!$B$7,$AJ64,AU64))</f>
        <v/>
      </c>
      <c r="BF64" s="65" t="str">
        <f aca="false">IF(ISBLANK($C64),"",IF($AJ64&lt;&gt;Constants!$B$7,$AJ64,AK64))</f>
        <v/>
      </c>
      <c r="BG64" s="63" t="str">
        <f aca="false">IF(ISBLANK($C64),"",BA64)</f>
        <v/>
      </c>
      <c r="BH64" s="63" t="str">
        <f aca="false">IF(ISBLANK($C64),"",AZ64)</f>
        <v/>
      </c>
      <c r="BI64" s="66" t="str">
        <f aca="false">IF(ISBLANK($C64),"",IF(BH64=Constants!$B$4,COUNTA($C$8:$C$507)+2,IF(BH64=Constants!$B$5,COUNTA($C$8:$C$507)+1,IF(BH64=Constants!$B$6,COUNTA($C$8:$C$507),BH64))))</f>
        <v/>
      </c>
      <c r="BJ64" s="5"/>
      <c r="BK64" s="67" t="n">
        <f aca="false">IF(OR(ISNUMBER(BH64),BH64=Constants!$B$4,BH64=Constants!$B$6,BH64=Constants!$B$5),1,0)</f>
        <v>0</v>
      </c>
      <c r="BL64" s="67" t="n">
        <v>57</v>
      </c>
      <c r="BM64" s="67" t="str">
        <f aca="false">IF(ISBLANK($C64),"",IF(ISNUMBER(BI64),BI64+ROW($B64)/1000,""))</f>
        <v/>
      </c>
      <c r="BN64" s="67" t="str">
        <f aca="false">IF(ISNUMBER(BM64),RANK(BM64,$BM$8:$BM$507,1),"")</f>
        <v/>
      </c>
      <c r="BO64" s="67" t="str">
        <f aca="false">IF(ISBLANK($C64),"",$B64)</f>
        <v/>
      </c>
      <c r="BP64" s="67" t="str">
        <f aca="false">IF(ISBLANK($C64),"",$C64)</f>
        <v/>
      </c>
      <c r="BQ64" s="67" t="str">
        <f aca="false">IF(ISBLANK($C64),"",$D64)</f>
        <v/>
      </c>
      <c r="BR64" s="68" t="str">
        <f aca="false">BF64</f>
        <v/>
      </c>
      <c r="BS64" s="69" t="str">
        <f aca="false">BE64</f>
        <v/>
      </c>
      <c r="BT64" s="67" t="str">
        <f aca="false">IF(ISBLANK($C64),"",BH64)</f>
        <v/>
      </c>
      <c r="BU64" s="70" t="str">
        <f aca="false">IF($BL64&gt;$BK$7,"",VLOOKUP($BL64,$BN$8:$BT$507,7,FALSE()))</f>
        <v/>
      </c>
      <c r="BV64" s="71" t="str">
        <f aca="false">IF($BL64&gt;$BK$7,"",VLOOKUP($BL64,$BN$8:$BT$507,2,FALSE()))</f>
        <v/>
      </c>
      <c r="BW64" s="71" t="str">
        <f aca="false">IF($BL64&gt;$BK$7,"",VLOOKUP($BL64,$BN$8:$BT$507,3,FALSE()))</f>
        <v/>
      </c>
      <c r="BX64" s="71" t="str">
        <f aca="false">IF($BL64&gt;$BK$7,"",VLOOKUP($BL64,$BN$8:$BT$507,4,FALSE()))</f>
        <v/>
      </c>
      <c r="BY64" s="71" t="str">
        <f aca="false">IF($BL64&gt;$BK$7,"",VLOOKUP($BL64,$BN$8:$BT$507,5,FALSE()))</f>
        <v/>
      </c>
      <c r="BZ64" s="72" t="str">
        <f aca="false">IF($BL64&gt;$BK$7,"",VLOOKUP($BL64,$BN$8:$BT$507,6,FALSE()))</f>
        <v/>
      </c>
      <c r="CA64" s="48"/>
    </row>
    <row r="65" customFormat="false" ht="15.75" hidden="false" customHeight="false" outlineLevel="0" collapsed="false">
      <c r="A65" s="5"/>
      <c r="B65" s="114"/>
      <c r="C65" s="115"/>
      <c r="D65" s="100"/>
      <c r="E65" s="120"/>
      <c r="F65" s="125"/>
      <c r="G65" s="82"/>
      <c r="H65" s="126"/>
      <c r="I65" s="127"/>
      <c r="J65" s="82"/>
      <c r="K65" s="126"/>
      <c r="L65" s="82"/>
      <c r="M65" s="126"/>
      <c r="N65" s="82"/>
      <c r="O65" s="126"/>
      <c r="P65" s="82"/>
      <c r="Q65" s="126"/>
      <c r="R65" s="82"/>
      <c r="S65" s="120"/>
      <c r="T65" s="86"/>
      <c r="U65" s="87" t="str">
        <f aca="false">IF(ISBLANK($C65),"",IF(E65=Constants!$B$2, TRUE(), IF(E65=Constants!$B$3, FALSE(), TRUE())))</f>
        <v/>
      </c>
      <c r="V65" s="87" t="str">
        <f aca="false">IF(ISBLANK($C65),"",IF(F65=Constants!$B$2, TRUE(), IF(F65=Constants!$B$3, FALSE(), TRUE())))</f>
        <v/>
      </c>
      <c r="W65" s="87" t="str">
        <f aca="false">IF(ISBLANK($C65),"",IF(G65=Constants!$B$15,Constants!$B$8,IF(G65=Constants!$B$16,Constants!$B$9,Constants!$B$10)))</f>
        <v/>
      </c>
      <c r="X65" s="87" t="str">
        <f aca="false">IF(ISBLANK($C65),"",IF(H65=Constants!$B$2, TRUE(), IF(H65=Constants!$B$3, FALSE(), TRUE())))</f>
        <v/>
      </c>
      <c r="Y65" s="87" t="str">
        <f aca="false">IF(ISBLANK($C65),"",IF(I65=Constants!$B$19,Constants!$B$19,Constants!$B$18))</f>
        <v/>
      </c>
      <c r="Z65" s="87" t="str">
        <f aca="false">IF(ISBLANK($C65),"",IF(ISNUMBER(J65),IF(J65&gt;=0,J65,""),""))</f>
        <v/>
      </c>
      <c r="AA65" s="87" t="str">
        <f aca="false">IF(ISBLANK($C65),"",IF(K65=Constants!$B$19,Constants!$B$19,Constants!$B$18))</f>
        <v/>
      </c>
      <c r="AB65" s="87" t="str">
        <f aca="false">IF(ISBLANK($C65),"",IF(ISNUMBER(L65),IF(L65&gt;=0,L65,""),""))</f>
        <v/>
      </c>
      <c r="AC65" s="87" t="str">
        <f aca="false">IF(ISBLANK($C65),"",IF(M65=Constants!$B$19,Constants!$B$19,Constants!$B$18))</f>
        <v/>
      </c>
      <c r="AD65" s="87" t="str">
        <f aca="false">IF(ISBLANK($C65),"",IF(ISNUMBER(N65),IF(N65&gt;=0,N65,""),""))</f>
        <v/>
      </c>
      <c r="AE65" s="87" t="str">
        <f aca="false">IF(ISBLANK($C65),"",IF(O65=Constants!$B$19,Constants!$B$19,Constants!$B$18))</f>
        <v/>
      </c>
      <c r="AF65" s="87" t="str">
        <f aca="false">IF(ISBLANK($C65),"",IF(ISNUMBER(P65),IF(P65&gt;=0,P65,""),""))</f>
        <v/>
      </c>
      <c r="AG65" s="87" t="str">
        <f aca="false">IF(ISBLANK($C65),"",IF(Q65=Constants!$B$19,Constants!$B$19,Constants!$B$18))</f>
        <v/>
      </c>
      <c r="AH65" s="87" t="str">
        <f aca="false">IF(ISBLANK($C65),"",IF(ISNUMBER(R65),IF(R65&gt;=0,R65,""),""))</f>
        <v/>
      </c>
      <c r="AI65" s="87" t="str">
        <f aca="false">IF(ISBLANK($C65),"",IF(S65=Constants!$B$2, TRUE(), IF(S65=Constants!$B$3, FALSE(), FALSE())))</f>
        <v/>
      </c>
      <c r="AJ65" s="87" t="str">
        <f aca="false">IF(ISBLANK($C65),"",IF(AI65,Constants!$B$4,IF(COUNTA(E65:R65)=0,Constants!$B$5,IF(COUNTA(J65,L65,N65,P65,R65)=0,Constants!$B$6,Constants!$B$7))))</f>
        <v/>
      </c>
      <c r="AK65" s="87" t="str">
        <f aca="false">IF(ISBLANK($C65),"",IF($AJ65&lt;&gt;Constants!$B$7,$AJ65,IF(OR(NOT(X65),AND(NOT(U65),COUNTIFS(Y65:AG65,Constants!$B$18,Z65:AH65,"&gt;=0")&gt;0),AND(NOT(V65),COUNTIFS(Y65:AG65,Constants!$B$19,Z65:AH65,"&gt;=0")&gt;0)),Constants!$B$12,Constants!$B$11)))</f>
        <v/>
      </c>
      <c r="AL65" s="87" t="str">
        <f aca="false">IF($AJ65=Constants!$B$7,IF(Z65="",Constants!$B$13,Z65),"")</f>
        <v/>
      </c>
      <c r="AM65" s="87" t="str">
        <f aca="false">IF($AJ65=Constants!$B$7,IF(AB65="",Constants!$B$13,AB65),"")</f>
        <v/>
      </c>
      <c r="AN65" s="87" t="str">
        <f aca="false">IF($AJ65=Constants!$B$7,IF(AD65="",Constants!$B$13,AD65),"")</f>
        <v/>
      </c>
      <c r="AO65" s="87" t="str">
        <f aca="false">IF($AJ65=Constants!$B$7,IF(AF65="",Constants!$B$13,AF65),"")</f>
        <v/>
      </c>
      <c r="AP65" s="87" t="str">
        <f aca="false">IF($AJ65=Constants!$B$7,IF(AH65="",Constants!$B$13,AH65),"")</f>
        <v/>
      </c>
      <c r="AQ65" s="87" t="str">
        <f aca="false">IF($AJ65=Constants!$B$7,IF(SUMPRODUCT(--($AL65:$AP65&gt;AL65))+SUMPRODUCT(--($AL65:AL65=AL65))=1,1,IF(SUMPRODUCT(--($AL65:$AP65&gt;AM65))+SUMPRODUCT(--($AL65:AM65=AM65))=1,2,IF(SUMPRODUCT(--($AL65:$AP65&gt;AN65))+SUMPRODUCT(--($AL65:AN65=AN65))=1,3,IF(SUMPRODUCT(--($AL65:$AP65&gt;AO65))+SUMPRODUCT(--($AL65:AO65=AO65))=1,4,5)))),"")</f>
        <v/>
      </c>
      <c r="AR65" s="87" t="str">
        <f aca="false">IF($AJ65=Constants!$B$7,IF(SUMPRODUCT(--($AL65:$AP65&gt;AL65))+SUMPRODUCT(--($AL65:AL65=AL65))=2,1,IF(SUMPRODUCT(--($AL65:$AP65&gt;AM65))+SUMPRODUCT(--($AL65:AM65=AM65))=2,2,IF(SUMPRODUCT(--($AL65:$AP65&gt;AN65))+SUMPRODUCT(--($AL65:AN65=AN65))=2,3,IF(SUMPRODUCT(--($AL65:$AP65&gt;AO65))+SUMPRODUCT(--($AL65:AO65=AO65))=2,4,5)))),"")</f>
        <v/>
      </c>
      <c r="AS65" s="87" t="str">
        <f aca="false">IF($AJ65=Constants!$B$7,IF(SUMPRODUCT(--($AL65:$AP65&gt;AL65))+SUMPRODUCT(--($AL65:AL65=AL65))=3,1,IF(SUMPRODUCT(--($AL65:$AP65&gt;AM65))+SUMPRODUCT(--($AL65:AM65=AM65))=3,2,IF(SUMPRODUCT(--($AL65:$AP65&gt;AN65))+SUMPRODUCT(--($AL65:AN65=AN65))=3,3,IF(SUMPRODUCT(--($AL65:$AP65&gt;AO65))+SUMPRODUCT(--($AL65:AO65=AO65))=3,4,5)))),"")</f>
        <v/>
      </c>
      <c r="AT65" s="87" t="str">
        <f aca="false">IF($AJ65=Constants!$B$7,LARGE(AL65:AP65,1)+LARGE(AL65:AP65,2)+LARGE(AL65:AP65,3),"")</f>
        <v/>
      </c>
      <c r="AU65" s="87" t="str">
        <f aca="false">IF(ISBLANK($C65),"",IF($AJ65&lt;&gt;Constants!$B$7,$AJ65,AT65*W65))</f>
        <v/>
      </c>
      <c r="AV65" s="87" t="str">
        <f aca="false">IF(ISBLANK($C65),"",IF($AJ65=Constants!$B$7,IF(ISNUMBER(AU65),RANK(AU65,$AU$8:$AU$507),Constants!$B$14),$AJ65))</f>
        <v/>
      </c>
      <c r="AW65" s="87" t="str">
        <f aca="false">IF(ISBLANK($C65),"",IF($AJ65=Constants!$B$7,IF(ISNUMBER(AV65),COUNTIFS($AK$8:$AK$507,"&lt;"&amp;$AK65)+COUNTIFS($AK$8:$AK$507,$AK65,$AV$8:$AV$507,"&lt;"&amp;$AV65)+1,Constants!$B$14),$AJ65))</f>
        <v/>
      </c>
      <c r="AX65" s="87" t="str">
        <f aca="false">IF(ISBLANK($C65),"",IF($AJ65=Constants!$B$7,LARGE(AL65:AP65,4)*W65,""))</f>
        <v/>
      </c>
      <c r="AY65" s="87" t="str">
        <f aca="false">IF(ISBLANK($C65),"",IF($AJ65=Constants!$B$7,RANK(AX65,$AX$8:$AX$507),$AJ65))</f>
        <v/>
      </c>
      <c r="AZ65" s="87" t="str">
        <f aca="false">IF(ISBLANK($C65),"",IF($AJ65=Constants!$B$7,IF(ISNUMBER(AV65),COUNTIFS($AK$8:$AK$507,"&lt;"&amp;$AK65)+COUNTIFS($AK$8:$AK$507,$AK65,$AV$8:$AV$507,"&lt;"&amp;$AV65)+COUNTIFS($AK$8:$AK$507,$AK65,$AV$8:$AV$507,$AV65,$AY$8:$AY$507,"&lt;"&amp;$AY65)+1,Constants!$B$14),$AJ65))</f>
        <v/>
      </c>
      <c r="BA65" s="87" t="str">
        <f aca="false">IF(ISBLANK($C65),"",IF($AJ65=Constants!$B$7,IF(ISNUMBER(AW65),AW65-AZ65,Constants!$B$14),$AJ65))</f>
        <v/>
      </c>
      <c r="BB65" s="88"/>
      <c r="BC65" s="89" t="str">
        <f aca="false">IF(ISBLANK($C65),"",IF($AJ65&lt;&gt;Constants!$B$7,$AJ65,SMALL(AQ65:AS65,1)&amp;", "&amp;SMALL(AQ65:AS65,2)&amp;", "&amp;SMALL(AQ65:AS65,3)))</f>
        <v/>
      </c>
      <c r="BD65" s="90" t="str">
        <f aca="false">IF(ISBLANK($C65),"",IF($AJ65&lt;&gt;Constants!$B$7,$AJ65,W65))</f>
        <v/>
      </c>
      <c r="BE65" s="91" t="str">
        <f aca="false">IF(ISBLANK($C65),"",IF($AJ65&lt;&gt;Constants!$B$7,$AJ65,AU65))</f>
        <v/>
      </c>
      <c r="BF65" s="92" t="str">
        <f aca="false">IF(ISBLANK($C65),"",IF($AJ65&lt;&gt;Constants!$B$7,$AJ65,AK65))</f>
        <v/>
      </c>
      <c r="BG65" s="90" t="str">
        <f aca="false">IF(ISBLANK($C65),"",BA65)</f>
        <v/>
      </c>
      <c r="BH65" s="90" t="str">
        <f aca="false">IF(ISBLANK($C65),"",AZ65)</f>
        <v/>
      </c>
      <c r="BI65" s="93" t="str">
        <f aca="false">IF(ISBLANK($C65),"",IF(BH65=Constants!$B$4,COUNTA($C$8:$C$507)+2,IF(BH65=Constants!$B$5,COUNTA($C$8:$C$507)+1,IF(BH65=Constants!$B$6,COUNTA($C$8:$C$507),BH65))))</f>
        <v/>
      </c>
      <c r="BJ65" s="5"/>
      <c r="BK65" s="94" t="n">
        <f aca="false">IF(OR(ISNUMBER(BH65),BH65=Constants!$B$4,BH65=Constants!$B$6,BH65=Constants!$B$5),1,0)</f>
        <v>0</v>
      </c>
      <c r="BL65" s="94" t="n">
        <v>58</v>
      </c>
      <c r="BM65" s="94" t="str">
        <f aca="false">IF(ISBLANK($C65),"",IF(ISNUMBER(BI65),BI65+ROW($B65)/1000,""))</f>
        <v/>
      </c>
      <c r="BN65" s="94" t="str">
        <f aca="false">IF(ISNUMBER(BM65),RANK(BM65,$BM$8:$BM$507,1),"")</f>
        <v/>
      </c>
      <c r="BO65" s="94" t="str">
        <f aca="false">IF(ISBLANK($C65),"",$B65)</f>
        <v/>
      </c>
      <c r="BP65" s="94" t="str">
        <f aca="false">IF(ISBLANK($C65),"",$C65)</f>
        <v/>
      </c>
      <c r="BQ65" s="94" t="str">
        <f aca="false">IF(ISBLANK($C65),"",$D65)</f>
        <v/>
      </c>
      <c r="BR65" s="95" t="str">
        <f aca="false">BF65</f>
        <v/>
      </c>
      <c r="BS65" s="96" t="str">
        <f aca="false">BE65</f>
        <v/>
      </c>
      <c r="BT65" s="94" t="str">
        <f aca="false">IF(ISBLANK($C65),"",BH65)</f>
        <v/>
      </c>
      <c r="BU65" s="97" t="str">
        <f aca="false">IF($BL65&gt;$BK$7,"",VLOOKUP($BL65,$BN$8:$BT$507,7,FALSE()))</f>
        <v/>
      </c>
      <c r="BV65" s="98" t="str">
        <f aca="false">IF($BL65&gt;$BK$7,"",VLOOKUP($BL65,$BN$8:$BT$507,2,FALSE()))</f>
        <v/>
      </c>
      <c r="BW65" s="98" t="str">
        <f aca="false">IF($BL65&gt;$BK$7,"",VLOOKUP($BL65,$BN$8:$BT$507,3,FALSE()))</f>
        <v/>
      </c>
      <c r="BX65" s="98" t="str">
        <f aca="false">IF($BL65&gt;$BK$7,"",VLOOKUP($BL65,$BN$8:$BT$507,4,FALSE()))</f>
        <v/>
      </c>
      <c r="BY65" s="98" t="str">
        <f aca="false">IF($BL65&gt;$BK$7,"",VLOOKUP($BL65,$BN$8:$BT$507,5,FALSE()))</f>
        <v/>
      </c>
      <c r="BZ65" s="99" t="str">
        <f aca="false">IF($BL65&gt;$BK$7,"",VLOOKUP($BL65,$BN$8:$BT$507,6,FALSE()))</f>
        <v/>
      </c>
      <c r="CA65" s="48"/>
    </row>
    <row r="66" customFormat="false" ht="15.75" hidden="false" customHeight="false" outlineLevel="0" collapsed="false">
      <c r="A66" s="5"/>
      <c r="B66" s="114"/>
      <c r="C66" s="115"/>
      <c r="D66" s="100"/>
      <c r="E66" s="120"/>
      <c r="F66" s="125"/>
      <c r="G66" s="82"/>
      <c r="H66" s="126"/>
      <c r="I66" s="127"/>
      <c r="J66" s="82"/>
      <c r="K66" s="126"/>
      <c r="L66" s="82"/>
      <c r="M66" s="126"/>
      <c r="N66" s="82"/>
      <c r="O66" s="126"/>
      <c r="P66" s="82"/>
      <c r="Q66" s="126"/>
      <c r="R66" s="82"/>
      <c r="S66" s="120"/>
      <c r="T66" s="86"/>
      <c r="U66" s="87" t="str">
        <f aca="false">IF(ISBLANK($C66),"",IF(E66=Constants!$B$2, TRUE(), IF(E66=Constants!$B$3, FALSE(), TRUE())))</f>
        <v/>
      </c>
      <c r="V66" s="87" t="str">
        <f aca="false">IF(ISBLANK($C66),"",IF(F66=Constants!$B$2, TRUE(), IF(F66=Constants!$B$3, FALSE(), TRUE())))</f>
        <v/>
      </c>
      <c r="W66" s="87" t="str">
        <f aca="false">IF(ISBLANK($C66),"",IF(G66=Constants!$B$15,Constants!$B$8,IF(G66=Constants!$B$16,Constants!$B$9,Constants!$B$10)))</f>
        <v/>
      </c>
      <c r="X66" s="87" t="str">
        <f aca="false">IF(ISBLANK($C66),"",IF(H66=Constants!$B$2, TRUE(), IF(H66=Constants!$B$3, FALSE(), TRUE())))</f>
        <v/>
      </c>
      <c r="Y66" s="87" t="str">
        <f aca="false">IF(ISBLANK($C66),"",IF(I66=Constants!$B$19,Constants!$B$19,Constants!$B$18))</f>
        <v/>
      </c>
      <c r="Z66" s="87" t="str">
        <f aca="false">IF(ISBLANK($C66),"",IF(ISNUMBER(J66),IF(J66&gt;=0,J66,""),""))</f>
        <v/>
      </c>
      <c r="AA66" s="87" t="str">
        <f aca="false">IF(ISBLANK($C66),"",IF(K66=Constants!$B$19,Constants!$B$19,Constants!$B$18))</f>
        <v/>
      </c>
      <c r="AB66" s="87" t="str">
        <f aca="false">IF(ISBLANK($C66),"",IF(ISNUMBER(L66),IF(L66&gt;=0,L66,""),""))</f>
        <v/>
      </c>
      <c r="AC66" s="87" t="str">
        <f aca="false">IF(ISBLANK($C66),"",IF(M66=Constants!$B$19,Constants!$B$19,Constants!$B$18))</f>
        <v/>
      </c>
      <c r="AD66" s="87" t="str">
        <f aca="false">IF(ISBLANK($C66),"",IF(ISNUMBER(N66),IF(N66&gt;=0,N66,""),""))</f>
        <v/>
      </c>
      <c r="AE66" s="87" t="str">
        <f aca="false">IF(ISBLANK($C66),"",IF(O66=Constants!$B$19,Constants!$B$19,Constants!$B$18))</f>
        <v/>
      </c>
      <c r="AF66" s="87" t="str">
        <f aca="false">IF(ISBLANK($C66),"",IF(ISNUMBER(P66),IF(P66&gt;=0,P66,""),""))</f>
        <v/>
      </c>
      <c r="AG66" s="87" t="str">
        <f aca="false">IF(ISBLANK($C66),"",IF(Q66=Constants!$B$19,Constants!$B$19,Constants!$B$18))</f>
        <v/>
      </c>
      <c r="AH66" s="87" t="str">
        <f aca="false">IF(ISBLANK($C66),"",IF(ISNUMBER(R66),IF(R66&gt;=0,R66,""),""))</f>
        <v/>
      </c>
      <c r="AI66" s="87" t="str">
        <f aca="false">IF(ISBLANK($C66),"",IF(S66=Constants!$B$2, TRUE(), IF(S66=Constants!$B$3, FALSE(), FALSE())))</f>
        <v/>
      </c>
      <c r="AJ66" s="87" t="str">
        <f aca="false">IF(ISBLANK($C66),"",IF(AI66,Constants!$B$4,IF(COUNTA(E66:R66)=0,Constants!$B$5,IF(COUNTA(J66,L66,N66,P66,R66)=0,Constants!$B$6,Constants!$B$7))))</f>
        <v/>
      </c>
      <c r="AK66" s="87" t="str">
        <f aca="false">IF(ISBLANK($C66),"",IF($AJ66&lt;&gt;Constants!$B$7,$AJ66,IF(OR(NOT(X66),AND(NOT(U66),COUNTIFS(Y66:AG66,Constants!$B$18,Z66:AH66,"&gt;=0")&gt;0),AND(NOT(V66),COUNTIFS(Y66:AG66,Constants!$B$19,Z66:AH66,"&gt;=0")&gt;0)),Constants!$B$12,Constants!$B$11)))</f>
        <v/>
      </c>
      <c r="AL66" s="87" t="str">
        <f aca="false">IF($AJ66=Constants!$B$7,IF(Z66="",Constants!$B$13,Z66),"")</f>
        <v/>
      </c>
      <c r="AM66" s="87" t="str">
        <f aca="false">IF($AJ66=Constants!$B$7,IF(AB66="",Constants!$B$13,AB66),"")</f>
        <v/>
      </c>
      <c r="AN66" s="87" t="str">
        <f aca="false">IF($AJ66=Constants!$B$7,IF(AD66="",Constants!$B$13,AD66),"")</f>
        <v/>
      </c>
      <c r="AO66" s="87" t="str">
        <f aca="false">IF($AJ66=Constants!$B$7,IF(AF66="",Constants!$B$13,AF66),"")</f>
        <v/>
      </c>
      <c r="AP66" s="87" t="str">
        <f aca="false">IF($AJ66=Constants!$B$7,IF(AH66="",Constants!$B$13,AH66),"")</f>
        <v/>
      </c>
      <c r="AQ66" s="87" t="str">
        <f aca="false">IF($AJ66=Constants!$B$7,IF(SUMPRODUCT(--($AL66:$AP66&gt;AL66))+SUMPRODUCT(--($AL66:AL66=AL66))=1,1,IF(SUMPRODUCT(--($AL66:$AP66&gt;AM66))+SUMPRODUCT(--($AL66:AM66=AM66))=1,2,IF(SUMPRODUCT(--($AL66:$AP66&gt;AN66))+SUMPRODUCT(--($AL66:AN66=AN66))=1,3,IF(SUMPRODUCT(--($AL66:$AP66&gt;AO66))+SUMPRODUCT(--($AL66:AO66=AO66))=1,4,5)))),"")</f>
        <v/>
      </c>
      <c r="AR66" s="87" t="str">
        <f aca="false">IF($AJ66=Constants!$B$7,IF(SUMPRODUCT(--($AL66:$AP66&gt;AL66))+SUMPRODUCT(--($AL66:AL66=AL66))=2,1,IF(SUMPRODUCT(--($AL66:$AP66&gt;AM66))+SUMPRODUCT(--($AL66:AM66=AM66))=2,2,IF(SUMPRODUCT(--($AL66:$AP66&gt;AN66))+SUMPRODUCT(--($AL66:AN66=AN66))=2,3,IF(SUMPRODUCT(--($AL66:$AP66&gt;AO66))+SUMPRODUCT(--($AL66:AO66=AO66))=2,4,5)))),"")</f>
        <v/>
      </c>
      <c r="AS66" s="87" t="str">
        <f aca="false">IF($AJ66=Constants!$B$7,IF(SUMPRODUCT(--($AL66:$AP66&gt;AL66))+SUMPRODUCT(--($AL66:AL66=AL66))=3,1,IF(SUMPRODUCT(--($AL66:$AP66&gt;AM66))+SUMPRODUCT(--($AL66:AM66=AM66))=3,2,IF(SUMPRODUCT(--($AL66:$AP66&gt;AN66))+SUMPRODUCT(--($AL66:AN66=AN66))=3,3,IF(SUMPRODUCT(--($AL66:$AP66&gt;AO66))+SUMPRODUCT(--($AL66:AO66=AO66))=3,4,5)))),"")</f>
        <v/>
      </c>
      <c r="AT66" s="87" t="str">
        <f aca="false">IF($AJ66=Constants!$B$7,LARGE(AL66:AP66,1)+LARGE(AL66:AP66,2)+LARGE(AL66:AP66,3),"")</f>
        <v/>
      </c>
      <c r="AU66" s="87" t="str">
        <f aca="false">IF(ISBLANK($C66),"",IF($AJ66&lt;&gt;Constants!$B$7,$AJ66,AT66*W66))</f>
        <v/>
      </c>
      <c r="AV66" s="87" t="str">
        <f aca="false">IF(ISBLANK($C66),"",IF($AJ66=Constants!$B$7,IF(ISNUMBER(AU66),RANK(AU66,$AU$8:$AU$507),Constants!$B$14),$AJ66))</f>
        <v/>
      </c>
      <c r="AW66" s="87" t="str">
        <f aca="false">IF(ISBLANK($C66),"",IF($AJ66=Constants!$B$7,IF(ISNUMBER(AV66),COUNTIFS($AK$8:$AK$507,"&lt;"&amp;$AK66)+COUNTIFS($AK$8:$AK$507,$AK66,$AV$8:$AV$507,"&lt;"&amp;$AV66)+1,Constants!$B$14),$AJ66))</f>
        <v/>
      </c>
      <c r="AX66" s="87" t="str">
        <f aca="false">IF(ISBLANK($C66),"",IF($AJ66=Constants!$B$7,LARGE(AL66:AP66,4)*W66,""))</f>
        <v/>
      </c>
      <c r="AY66" s="87" t="str">
        <f aca="false">IF(ISBLANK($C66),"",IF($AJ66=Constants!$B$7,RANK(AX66,$AX$8:$AX$507),$AJ66))</f>
        <v/>
      </c>
      <c r="AZ66" s="87" t="str">
        <f aca="false">IF(ISBLANK($C66),"",IF($AJ66=Constants!$B$7,IF(ISNUMBER(AV66),COUNTIFS($AK$8:$AK$507,"&lt;"&amp;$AK66)+COUNTIFS($AK$8:$AK$507,$AK66,$AV$8:$AV$507,"&lt;"&amp;$AV66)+COUNTIFS($AK$8:$AK$507,$AK66,$AV$8:$AV$507,$AV66,$AY$8:$AY$507,"&lt;"&amp;$AY66)+1,Constants!$B$14),$AJ66))</f>
        <v/>
      </c>
      <c r="BA66" s="87" t="str">
        <f aca="false">IF(ISBLANK($C66),"",IF($AJ66=Constants!$B$7,IF(ISNUMBER(AW66),AW66-AZ66,Constants!$B$14),$AJ66))</f>
        <v/>
      </c>
      <c r="BB66" s="88"/>
      <c r="BC66" s="89" t="str">
        <f aca="false">IF(ISBLANK($C66),"",IF($AJ66&lt;&gt;Constants!$B$7,$AJ66,SMALL(AQ66:AS66,1)&amp;", "&amp;SMALL(AQ66:AS66,2)&amp;", "&amp;SMALL(AQ66:AS66,3)))</f>
        <v/>
      </c>
      <c r="BD66" s="90" t="str">
        <f aca="false">IF(ISBLANK($C66),"",IF($AJ66&lt;&gt;Constants!$B$7,$AJ66,W66))</f>
        <v/>
      </c>
      <c r="BE66" s="91" t="str">
        <f aca="false">IF(ISBLANK($C66),"",IF($AJ66&lt;&gt;Constants!$B$7,$AJ66,AU66))</f>
        <v/>
      </c>
      <c r="BF66" s="92" t="str">
        <f aca="false">IF(ISBLANK($C66),"",IF($AJ66&lt;&gt;Constants!$B$7,$AJ66,AK66))</f>
        <v/>
      </c>
      <c r="BG66" s="90" t="str">
        <f aca="false">IF(ISBLANK($C66),"",BA66)</f>
        <v/>
      </c>
      <c r="BH66" s="90" t="str">
        <f aca="false">IF(ISBLANK($C66),"",AZ66)</f>
        <v/>
      </c>
      <c r="BI66" s="93" t="str">
        <f aca="false">IF(ISBLANK($C66),"",IF(BH66=Constants!$B$4,COUNTA($C$8:$C$507)+2,IF(BH66=Constants!$B$5,COUNTA($C$8:$C$507)+1,IF(BH66=Constants!$B$6,COUNTA($C$8:$C$507),BH66))))</f>
        <v/>
      </c>
      <c r="BJ66" s="5"/>
      <c r="BK66" s="94" t="n">
        <f aca="false">IF(OR(ISNUMBER(BH66),BH66=Constants!$B$4,BH66=Constants!$B$6,BH66=Constants!$B$5),1,0)</f>
        <v>0</v>
      </c>
      <c r="BL66" s="94" t="n">
        <v>59</v>
      </c>
      <c r="BM66" s="94" t="str">
        <f aca="false">IF(ISBLANK($C66),"",IF(ISNUMBER(BI66),BI66+ROW($B66)/1000,""))</f>
        <v/>
      </c>
      <c r="BN66" s="94" t="str">
        <f aca="false">IF(ISNUMBER(BM66),RANK(BM66,$BM$8:$BM$507,1),"")</f>
        <v/>
      </c>
      <c r="BO66" s="94" t="str">
        <f aca="false">IF(ISBLANK($C66),"",$B66)</f>
        <v/>
      </c>
      <c r="BP66" s="94" t="str">
        <f aca="false">IF(ISBLANK($C66),"",$C66)</f>
        <v/>
      </c>
      <c r="BQ66" s="94" t="str">
        <f aca="false">IF(ISBLANK($C66),"",$D66)</f>
        <v/>
      </c>
      <c r="BR66" s="95" t="str">
        <f aca="false">BF66</f>
        <v/>
      </c>
      <c r="BS66" s="96" t="str">
        <f aca="false">BE66</f>
        <v/>
      </c>
      <c r="BT66" s="94" t="str">
        <f aca="false">IF(ISBLANK($C66),"",BH66)</f>
        <v/>
      </c>
      <c r="BU66" s="97" t="str">
        <f aca="false">IF($BL66&gt;$BK$7,"",VLOOKUP($BL66,$BN$8:$BT$507,7,FALSE()))</f>
        <v/>
      </c>
      <c r="BV66" s="98" t="str">
        <f aca="false">IF($BL66&gt;$BK$7,"",VLOOKUP($BL66,$BN$8:$BT$507,2,FALSE()))</f>
        <v/>
      </c>
      <c r="BW66" s="98" t="str">
        <f aca="false">IF($BL66&gt;$BK$7,"",VLOOKUP($BL66,$BN$8:$BT$507,3,FALSE()))</f>
        <v/>
      </c>
      <c r="BX66" s="98" t="str">
        <f aca="false">IF($BL66&gt;$BK$7,"",VLOOKUP($BL66,$BN$8:$BT$507,4,FALSE()))</f>
        <v/>
      </c>
      <c r="BY66" s="98" t="str">
        <f aca="false">IF($BL66&gt;$BK$7,"",VLOOKUP($BL66,$BN$8:$BT$507,5,FALSE()))</f>
        <v/>
      </c>
      <c r="BZ66" s="99" t="str">
        <f aca="false">IF($BL66&gt;$BK$7,"",VLOOKUP($BL66,$BN$8:$BT$507,6,FALSE()))</f>
        <v/>
      </c>
      <c r="CA66" s="48"/>
    </row>
    <row r="67" customFormat="false" ht="15.75" hidden="false" customHeight="false" outlineLevel="0" collapsed="false">
      <c r="A67" s="5"/>
      <c r="B67" s="114"/>
      <c r="C67" s="115"/>
      <c r="D67" s="100"/>
      <c r="E67" s="120"/>
      <c r="F67" s="125"/>
      <c r="G67" s="82"/>
      <c r="H67" s="126"/>
      <c r="I67" s="127"/>
      <c r="J67" s="82"/>
      <c r="K67" s="126"/>
      <c r="L67" s="82"/>
      <c r="M67" s="126"/>
      <c r="N67" s="82"/>
      <c r="O67" s="126"/>
      <c r="P67" s="82"/>
      <c r="Q67" s="126"/>
      <c r="R67" s="82"/>
      <c r="S67" s="120"/>
      <c r="T67" s="86"/>
      <c r="U67" s="87" t="str">
        <f aca="false">IF(ISBLANK($C67),"",IF(E67=Constants!$B$2, TRUE(), IF(E67=Constants!$B$3, FALSE(), TRUE())))</f>
        <v/>
      </c>
      <c r="V67" s="87" t="str">
        <f aca="false">IF(ISBLANK($C67),"",IF(F67=Constants!$B$2, TRUE(), IF(F67=Constants!$B$3, FALSE(), TRUE())))</f>
        <v/>
      </c>
      <c r="W67" s="87" t="str">
        <f aca="false">IF(ISBLANK($C67),"",IF(G67=Constants!$B$15,Constants!$B$8,IF(G67=Constants!$B$16,Constants!$B$9,Constants!$B$10)))</f>
        <v/>
      </c>
      <c r="X67" s="87" t="str">
        <f aca="false">IF(ISBLANK($C67),"",IF(H67=Constants!$B$2, TRUE(), IF(H67=Constants!$B$3, FALSE(), TRUE())))</f>
        <v/>
      </c>
      <c r="Y67" s="87" t="str">
        <f aca="false">IF(ISBLANK($C67),"",IF(I67=Constants!$B$19,Constants!$B$19,Constants!$B$18))</f>
        <v/>
      </c>
      <c r="Z67" s="87" t="str">
        <f aca="false">IF(ISBLANK($C67),"",IF(ISNUMBER(J67),IF(J67&gt;=0,J67,""),""))</f>
        <v/>
      </c>
      <c r="AA67" s="87" t="str">
        <f aca="false">IF(ISBLANK($C67),"",IF(K67=Constants!$B$19,Constants!$B$19,Constants!$B$18))</f>
        <v/>
      </c>
      <c r="AB67" s="87" t="str">
        <f aca="false">IF(ISBLANK($C67),"",IF(ISNUMBER(L67),IF(L67&gt;=0,L67,""),""))</f>
        <v/>
      </c>
      <c r="AC67" s="87" t="str">
        <f aca="false">IF(ISBLANK($C67),"",IF(M67=Constants!$B$19,Constants!$B$19,Constants!$B$18))</f>
        <v/>
      </c>
      <c r="AD67" s="87" t="str">
        <f aca="false">IF(ISBLANK($C67),"",IF(ISNUMBER(N67),IF(N67&gt;=0,N67,""),""))</f>
        <v/>
      </c>
      <c r="AE67" s="87" t="str">
        <f aca="false">IF(ISBLANK($C67),"",IF(O67=Constants!$B$19,Constants!$B$19,Constants!$B$18))</f>
        <v/>
      </c>
      <c r="AF67" s="87" t="str">
        <f aca="false">IF(ISBLANK($C67),"",IF(ISNUMBER(P67),IF(P67&gt;=0,P67,""),""))</f>
        <v/>
      </c>
      <c r="AG67" s="87" t="str">
        <f aca="false">IF(ISBLANK($C67),"",IF(Q67=Constants!$B$19,Constants!$B$19,Constants!$B$18))</f>
        <v/>
      </c>
      <c r="AH67" s="87" t="str">
        <f aca="false">IF(ISBLANK($C67),"",IF(ISNUMBER(R67),IF(R67&gt;=0,R67,""),""))</f>
        <v/>
      </c>
      <c r="AI67" s="87" t="str">
        <f aca="false">IF(ISBLANK($C67),"",IF(S67=Constants!$B$2, TRUE(), IF(S67=Constants!$B$3, FALSE(), FALSE())))</f>
        <v/>
      </c>
      <c r="AJ67" s="87" t="str">
        <f aca="false">IF(ISBLANK($C67),"",IF(AI67,Constants!$B$4,IF(COUNTA(E67:R67)=0,Constants!$B$5,IF(COUNTA(J67,L67,N67,P67,R67)=0,Constants!$B$6,Constants!$B$7))))</f>
        <v/>
      </c>
      <c r="AK67" s="87" t="str">
        <f aca="false">IF(ISBLANK($C67),"",IF($AJ67&lt;&gt;Constants!$B$7,$AJ67,IF(OR(NOT(X67),AND(NOT(U67),COUNTIFS(Y67:AG67,Constants!$B$18,Z67:AH67,"&gt;=0")&gt;0),AND(NOT(V67),COUNTIFS(Y67:AG67,Constants!$B$19,Z67:AH67,"&gt;=0")&gt;0)),Constants!$B$12,Constants!$B$11)))</f>
        <v/>
      </c>
      <c r="AL67" s="87" t="str">
        <f aca="false">IF($AJ67=Constants!$B$7,IF(Z67="",Constants!$B$13,Z67),"")</f>
        <v/>
      </c>
      <c r="AM67" s="87" t="str">
        <f aca="false">IF($AJ67=Constants!$B$7,IF(AB67="",Constants!$B$13,AB67),"")</f>
        <v/>
      </c>
      <c r="AN67" s="87" t="str">
        <f aca="false">IF($AJ67=Constants!$B$7,IF(AD67="",Constants!$B$13,AD67),"")</f>
        <v/>
      </c>
      <c r="AO67" s="87" t="str">
        <f aca="false">IF($AJ67=Constants!$B$7,IF(AF67="",Constants!$B$13,AF67),"")</f>
        <v/>
      </c>
      <c r="AP67" s="87" t="str">
        <f aca="false">IF($AJ67=Constants!$B$7,IF(AH67="",Constants!$B$13,AH67),"")</f>
        <v/>
      </c>
      <c r="AQ67" s="87" t="str">
        <f aca="false">IF($AJ67=Constants!$B$7,IF(SUMPRODUCT(--($AL67:$AP67&gt;AL67))+SUMPRODUCT(--($AL67:AL67=AL67))=1,1,IF(SUMPRODUCT(--($AL67:$AP67&gt;AM67))+SUMPRODUCT(--($AL67:AM67=AM67))=1,2,IF(SUMPRODUCT(--($AL67:$AP67&gt;AN67))+SUMPRODUCT(--($AL67:AN67=AN67))=1,3,IF(SUMPRODUCT(--($AL67:$AP67&gt;AO67))+SUMPRODUCT(--($AL67:AO67=AO67))=1,4,5)))),"")</f>
        <v/>
      </c>
      <c r="AR67" s="87" t="str">
        <f aca="false">IF($AJ67=Constants!$B$7,IF(SUMPRODUCT(--($AL67:$AP67&gt;AL67))+SUMPRODUCT(--($AL67:AL67=AL67))=2,1,IF(SUMPRODUCT(--($AL67:$AP67&gt;AM67))+SUMPRODUCT(--($AL67:AM67=AM67))=2,2,IF(SUMPRODUCT(--($AL67:$AP67&gt;AN67))+SUMPRODUCT(--($AL67:AN67=AN67))=2,3,IF(SUMPRODUCT(--($AL67:$AP67&gt;AO67))+SUMPRODUCT(--($AL67:AO67=AO67))=2,4,5)))),"")</f>
        <v/>
      </c>
      <c r="AS67" s="87" t="str">
        <f aca="false">IF($AJ67=Constants!$B$7,IF(SUMPRODUCT(--($AL67:$AP67&gt;AL67))+SUMPRODUCT(--($AL67:AL67=AL67))=3,1,IF(SUMPRODUCT(--($AL67:$AP67&gt;AM67))+SUMPRODUCT(--($AL67:AM67=AM67))=3,2,IF(SUMPRODUCT(--($AL67:$AP67&gt;AN67))+SUMPRODUCT(--($AL67:AN67=AN67))=3,3,IF(SUMPRODUCT(--($AL67:$AP67&gt;AO67))+SUMPRODUCT(--($AL67:AO67=AO67))=3,4,5)))),"")</f>
        <v/>
      </c>
      <c r="AT67" s="87" t="str">
        <f aca="false">IF($AJ67=Constants!$B$7,LARGE(AL67:AP67,1)+LARGE(AL67:AP67,2)+LARGE(AL67:AP67,3),"")</f>
        <v/>
      </c>
      <c r="AU67" s="87" t="str">
        <f aca="false">IF(ISBLANK($C67),"",IF($AJ67&lt;&gt;Constants!$B$7,$AJ67,AT67*W67))</f>
        <v/>
      </c>
      <c r="AV67" s="87" t="str">
        <f aca="false">IF(ISBLANK($C67),"",IF($AJ67=Constants!$B$7,IF(ISNUMBER(AU67),RANK(AU67,$AU$8:$AU$507),Constants!$B$14),$AJ67))</f>
        <v/>
      </c>
      <c r="AW67" s="87" t="str">
        <f aca="false">IF(ISBLANK($C67),"",IF($AJ67=Constants!$B$7,IF(ISNUMBER(AV67),COUNTIFS($AK$8:$AK$507,"&lt;"&amp;$AK67)+COUNTIFS($AK$8:$AK$507,$AK67,$AV$8:$AV$507,"&lt;"&amp;$AV67)+1,Constants!$B$14),$AJ67))</f>
        <v/>
      </c>
      <c r="AX67" s="87" t="str">
        <f aca="false">IF(ISBLANK($C67),"",IF($AJ67=Constants!$B$7,LARGE(AL67:AP67,4)*W67,""))</f>
        <v/>
      </c>
      <c r="AY67" s="87" t="str">
        <f aca="false">IF(ISBLANK($C67),"",IF($AJ67=Constants!$B$7,RANK(AX67,$AX$8:$AX$507),$AJ67))</f>
        <v/>
      </c>
      <c r="AZ67" s="87" t="str">
        <f aca="false">IF(ISBLANK($C67),"",IF($AJ67=Constants!$B$7,IF(ISNUMBER(AV67),COUNTIFS($AK$8:$AK$507,"&lt;"&amp;$AK67)+COUNTIFS($AK$8:$AK$507,$AK67,$AV$8:$AV$507,"&lt;"&amp;$AV67)+COUNTIFS($AK$8:$AK$507,$AK67,$AV$8:$AV$507,$AV67,$AY$8:$AY$507,"&lt;"&amp;$AY67)+1,Constants!$B$14),$AJ67))</f>
        <v/>
      </c>
      <c r="BA67" s="87" t="str">
        <f aca="false">IF(ISBLANK($C67),"",IF($AJ67=Constants!$B$7,IF(ISNUMBER(AW67),AW67-AZ67,Constants!$B$14),$AJ67))</f>
        <v/>
      </c>
      <c r="BB67" s="88"/>
      <c r="BC67" s="89" t="str">
        <f aca="false">IF(ISBLANK($C67),"",IF($AJ67&lt;&gt;Constants!$B$7,$AJ67,SMALL(AQ67:AS67,1)&amp;", "&amp;SMALL(AQ67:AS67,2)&amp;", "&amp;SMALL(AQ67:AS67,3)))</f>
        <v/>
      </c>
      <c r="BD67" s="90" t="str">
        <f aca="false">IF(ISBLANK($C67),"",IF($AJ67&lt;&gt;Constants!$B$7,$AJ67,W67))</f>
        <v/>
      </c>
      <c r="BE67" s="91" t="str">
        <f aca="false">IF(ISBLANK($C67),"",IF($AJ67&lt;&gt;Constants!$B$7,$AJ67,AU67))</f>
        <v/>
      </c>
      <c r="BF67" s="92" t="str">
        <f aca="false">IF(ISBLANK($C67),"",IF($AJ67&lt;&gt;Constants!$B$7,$AJ67,AK67))</f>
        <v/>
      </c>
      <c r="BG67" s="90" t="str">
        <f aca="false">IF(ISBLANK($C67),"",BA67)</f>
        <v/>
      </c>
      <c r="BH67" s="90" t="str">
        <f aca="false">IF(ISBLANK($C67),"",AZ67)</f>
        <v/>
      </c>
      <c r="BI67" s="93" t="str">
        <f aca="false">IF(ISBLANK($C67),"",IF(BH67=Constants!$B$4,COUNTA($C$8:$C$507)+2,IF(BH67=Constants!$B$5,COUNTA($C$8:$C$507)+1,IF(BH67=Constants!$B$6,COUNTA($C$8:$C$507),BH67))))</f>
        <v/>
      </c>
      <c r="BJ67" s="5"/>
      <c r="BK67" s="94" t="n">
        <f aca="false">IF(OR(ISNUMBER(BH67),BH67=Constants!$B$4,BH67=Constants!$B$6,BH67=Constants!$B$5),1,0)</f>
        <v>0</v>
      </c>
      <c r="BL67" s="94" t="n">
        <v>60</v>
      </c>
      <c r="BM67" s="94" t="str">
        <f aca="false">IF(ISBLANK($C67),"",IF(ISNUMBER(BI67),BI67+ROW($B67)/1000,""))</f>
        <v/>
      </c>
      <c r="BN67" s="94" t="str">
        <f aca="false">IF(ISNUMBER(BM67),RANK(BM67,$BM$8:$BM$507,1),"")</f>
        <v/>
      </c>
      <c r="BO67" s="94" t="str">
        <f aca="false">IF(ISBLANK($C67),"",$B67)</f>
        <v/>
      </c>
      <c r="BP67" s="94" t="str">
        <f aca="false">IF(ISBLANK($C67),"",$C67)</f>
        <v/>
      </c>
      <c r="BQ67" s="94" t="str">
        <f aca="false">IF(ISBLANK($C67),"",$D67)</f>
        <v/>
      </c>
      <c r="BR67" s="95" t="str">
        <f aca="false">BF67</f>
        <v/>
      </c>
      <c r="BS67" s="96" t="str">
        <f aca="false">BE67</f>
        <v/>
      </c>
      <c r="BT67" s="94" t="str">
        <f aca="false">IF(ISBLANK($C67),"",BH67)</f>
        <v/>
      </c>
      <c r="BU67" s="97" t="str">
        <f aca="false">IF($BL67&gt;$BK$7,"",VLOOKUP($BL67,$BN$8:$BT$507,7,FALSE()))</f>
        <v/>
      </c>
      <c r="BV67" s="98" t="str">
        <f aca="false">IF($BL67&gt;$BK$7,"",VLOOKUP($BL67,$BN$8:$BT$507,2,FALSE()))</f>
        <v/>
      </c>
      <c r="BW67" s="98" t="str">
        <f aca="false">IF($BL67&gt;$BK$7,"",VLOOKUP($BL67,$BN$8:$BT$507,3,FALSE()))</f>
        <v/>
      </c>
      <c r="BX67" s="98" t="str">
        <f aca="false">IF($BL67&gt;$BK$7,"",VLOOKUP($BL67,$BN$8:$BT$507,4,FALSE()))</f>
        <v/>
      </c>
      <c r="BY67" s="98" t="str">
        <f aca="false">IF($BL67&gt;$BK$7,"",VLOOKUP($BL67,$BN$8:$BT$507,5,FALSE()))</f>
        <v/>
      </c>
      <c r="BZ67" s="99" t="str">
        <f aca="false">IF($BL67&gt;$BK$7,"",VLOOKUP($BL67,$BN$8:$BT$507,6,FALSE()))</f>
        <v/>
      </c>
      <c r="CA67" s="48"/>
    </row>
    <row r="68" customFormat="false" ht="15.75" hidden="false" customHeight="false" outlineLevel="0" collapsed="false">
      <c r="A68" s="5"/>
      <c r="B68" s="121"/>
      <c r="C68" s="50"/>
      <c r="D68" s="51"/>
      <c r="E68" s="74"/>
      <c r="F68" s="122"/>
      <c r="G68" s="54"/>
      <c r="H68" s="123"/>
      <c r="I68" s="124"/>
      <c r="J68" s="54"/>
      <c r="K68" s="123"/>
      <c r="L68" s="54"/>
      <c r="M68" s="123"/>
      <c r="N68" s="54"/>
      <c r="O68" s="123"/>
      <c r="P68" s="54"/>
      <c r="Q68" s="123"/>
      <c r="R68" s="54"/>
      <c r="S68" s="74"/>
      <c r="T68" s="58"/>
      <c r="U68" s="59" t="str">
        <f aca="false">IF(ISBLANK($C68),"",IF(E68=Constants!$B$2, TRUE(), IF(E68=Constants!$B$3, FALSE(), TRUE())))</f>
        <v/>
      </c>
      <c r="V68" s="59" t="str">
        <f aca="false">IF(ISBLANK($C68),"",IF(F68=Constants!$B$2, TRUE(), IF(F68=Constants!$B$3, FALSE(), TRUE())))</f>
        <v/>
      </c>
      <c r="W68" s="59" t="str">
        <f aca="false">IF(ISBLANK($C68),"",IF(G68=Constants!$B$15,Constants!$B$8,IF(G68=Constants!$B$16,Constants!$B$9,Constants!$B$10)))</f>
        <v/>
      </c>
      <c r="X68" s="59" t="str">
        <f aca="false">IF(ISBLANK($C68),"",IF(H68=Constants!$B$2, TRUE(), IF(H68=Constants!$B$3, FALSE(), TRUE())))</f>
        <v/>
      </c>
      <c r="Y68" s="59" t="str">
        <f aca="false">IF(ISBLANK($C68),"",IF(I68=Constants!$B$19,Constants!$B$19,Constants!$B$18))</f>
        <v/>
      </c>
      <c r="Z68" s="59" t="str">
        <f aca="false">IF(ISBLANK($C68),"",IF(ISNUMBER(J68),IF(J68&gt;=0,J68,""),""))</f>
        <v/>
      </c>
      <c r="AA68" s="59" t="str">
        <f aca="false">IF(ISBLANK($C68),"",IF(K68=Constants!$B$19,Constants!$B$19,Constants!$B$18))</f>
        <v/>
      </c>
      <c r="AB68" s="59" t="str">
        <f aca="false">IF(ISBLANK($C68),"",IF(ISNUMBER(L68),IF(L68&gt;=0,L68,""),""))</f>
        <v/>
      </c>
      <c r="AC68" s="59" t="str">
        <f aca="false">IF(ISBLANK($C68),"",IF(M68=Constants!$B$19,Constants!$B$19,Constants!$B$18))</f>
        <v/>
      </c>
      <c r="AD68" s="59" t="str">
        <f aca="false">IF(ISBLANK($C68),"",IF(ISNUMBER(N68),IF(N68&gt;=0,N68,""),""))</f>
        <v/>
      </c>
      <c r="AE68" s="59" t="str">
        <f aca="false">IF(ISBLANK($C68),"",IF(O68=Constants!$B$19,Constants!$B$19,Constants!$B$18))</f>
        <v/>
      </c>
      <c r="AF68" s="59" t="str">
        <f aca="false">IF(ISBLANK($C68),"",IF(ISNUMBER(P68),IF(P68&gt;=0,P68,""),""))</f>
        <v/>
      </c>
      <c r="AG68" s="59" t="str">
        <f aca="false">IF(ISBLANK($C68),"",IF(Q68=Constants!$B$19,Constants!$B$19,Constants!$B$18))</f>
        <v/>
      </c>
      <c r="AH68" s="59" t="str">
        <f aca="false">IF(ISBLANK($C68),"",IF(ISNUMBER(R68),IF(R68&gt;=0,R68,""),""))</f>
        <v/>
      </c>
      <c r="AI68" s="59" t="str">
        <f aca="false">IF(ISBLANK($C68),"",IF(S68=Constants!$B$2, TRUE(), IF(S68=Constants!$B$3, FALSE(), FALSE())))</f>
        <v/>
      </c>
      <c r="AJ68" s="59" t="str">
        <f aca="false">IF(ISBLANK($C68),"",IF(AI68,Constants!$B$4,IF(COUNTA(E68:R68)=0,Constants!$B$5,IF(COUNTA(J68,L68,N68,P68,R68)=0,Constants!$B$6,Constants!$B$7))))</f>
        <v/>
      </c>
      <c r="AK68" s="59" t="str">
        <f aca="false">IF(ISBLANK($C68),"",IF($AJ68&lt;&gt;Constants!$B$7,$AJ68,IF(OR(NOT(X68),AND(NOT(U68),COUNTIFS(Y68:AG68,Constants!$B$18,Z68:AH68,"&gt;=0")&gt;0),AND(NOT(V68),COUNTIFS(Y68:AG68,Constants!$B$19,Z68:AH68,"&gt;=0")&gt;0)),Constants!$B$12,Constants!$B$11)))</f>
        <v/>
      </c>
      <c r="AL68" s="59" t="str">
        <f aca="false">IF($AJ68=Constants!$B$7,IF(Z68="",Constants!$B$13,Z68),"")</f>
        <v/>
      </c>
      <c r="AM68" s="59" t="str">
        <f aca="false">IF($AJ68=Constants!$B$7,IF(AB68="",Constants!$B$13,AB68),"")</f>
        <v/>
      </c>
      <c r="AN68" s="59" t="str">
        <f aca="false">IF($AJ68=Constants!$B$7,IF(AD68="",Constants!$B$13,AD68),"")</f>
        <v/>
      </c>
      <c r="AO68" s="59" t="str">
        <f aca="false">IF($AJ68=Constants!$B$7,IF(AF68="",Constants!$B$13,AF68),"")</f>
        <v/>
      </c>
      <c r="AP68" s="59" t="str">
        <f aca="false">IF($AJ68=Constants!$B$7,IF(AH68="",Constants!$B$13,AH68),"")</f>
        <v/>
      </c>
      <c r="AQ68" s="59" t="str">
        <f aca="false">IF($AJ68=Constants!$B$7,IF(SUMPRODUCT(--($AL68:$AP68&gt;AL68))+SUMPRODUCT(--($AL68:AL68=AL68))=1,1,IF(SUMPRODUCT(--($AL68:$AP68&gt;AM68))+SUMPRODUCT(--($AL68:AM68=AM68))=1,2,IF(SUMPRODUCT(--($AL68:$AP68&gt;AN68))+SUMPRODUCT(--($AL68:AN68=AN68))=1,3,IF(SUMPRODUCT(--($AL68:$AP68&gt;AO68))+SUMPRODUCT(--($AL68:AO68=AO68))=1,4,5)))),"")</f>
        <v/>
      </c>
      <c r="AR68" s="59" t="str">
        <f aca="false">IF($AJ68=Constants!$B$7,IF(SUMPRODUCT(--($AL68:$AP68&gt;AL68))+SUMPRODUCT(--($AL68:AL68=AL68))=2,1,IF(SUMPRODUCT(--($AL68:$AP68&gt;AM68))+SUMPRODUCT(--($AL68:AM68=AM68))=2,2,IF(SUMPRODUCT(--($AL68:$AP68&gt;AN68))+SUMPRODUCT(--($AL68:AN68=AN68))=2,3,IF(SUMPRODUCT(--($AL68:$AP68&gt;AO68))+SUMPRODUCT(--($AL68:AO68=AO68))=2,4,5)))),"")</f>
        <v/>
      </c>
      <c r="AS68" s="59" t="str">
        <f aca="false">IF($AJ68=Constants!$B$7,IF(SUMPRODUCT(--($AL68:$AP68&gt;AL68))+SUMPRODUCT(--($AL68:AL68=AL68))=3,1,IF(SUMPRODUCT(--($AL68:$AP68&gt;AM68))+SUMPRODUCT(--($AL68:AM68=AM68))=3,2,IF(SUMPRODUCT(--($AL68:$AP68&gt;AN68))+SUMPRODUCT(--($AL68:AN68=AN68))=3,3,IF(SUMPRODUCT(--($AL68:$AP68&gt;AO68))+SUMPRODUCT(--($AL68:AO68=AO68))=3,4,5)))),"")</f>
        <v/>
      </c>
      <c r="AT68" s="59" t="str">
        <f aca="false">IF($AJ68=Constants!$B$7,LARGE(AL68:AP68,1)+LARGE(AL68:AP68,2)+LARGE(AL68:AP68,3),"")</f>
        <v/>
      </c>
      <c r="AU68" s="59" t="str">
        <f aca="false">IF(ISBLANK($C68),"",IF($AJ68&lt;&gt;Constants!$B$7,$AJ68,AT68*W68))</f>
        <v/>
      </c>
      <c r="AV68" s="59" t="str">
        <f aca="false">IF(ISBLANK($C68),"",IF($AJ68=Constants!$B$7,IF(ISNUMBER(AU68),RANK(AU68,$AU$8:$AU$507),Constants!$B$14),$AJ68))</f>
        <v/>
      </c>
      <c r="AW68" s="59" t="str">
        <f aca="false">IF(ISBLANK($C68),"",IF($AJ68=Constants!$B$7,IF(ISNUMBER(AV68),COUNTIFS($AK$8:$AK$507,"&lt;"&amp;$AK68)+COUNTIFS($AK$8:$AK$507,$AK68,$AV$8:$AV$507,"&lt;"&amp;$AV68)+1,Constants!$B$14),$AJ68))</f>
        <v/>
      </c>
      <c r="AX68" s="59" t="str">
        <f aca="false">IF(ISBLANK($C68),"",IF($AJ68=Constants!$B$7,LARGE(AL68:AP68,4)*W68,""))</f>
        <v/>
      </c>
      <c r="AY68" s="59" t="str">
        <f aca="false">IF(ISBLANK($C68),"",IF($AJ68=Constants!$B$7,RANK(AX68,$AX$8:$AX$507),$AJ68))</f>
        <v/>
      </c>
      <c r="AZ68" s="59" t="str">
        <f aca="false">IF(ISBLANK($C68),"",IF($AJ68=Constants!$B$7,IF(ISNUMBER(AV68),COUNTIFS($AK$8:$AK$507,"&lt;"&amp;$AK68)+COUNTIFS($AK$8:$AK$507,$AK68,$AV$8:$AV$507,"&lt;"&amp;$AV68)+COUNTIFS($AK$8:$AK$507,$AK68,$AV$8:$AV$507,$AV68,$AY$8:$AY$507,"&lt;"&amp;$AY68)+1,Constants!$B$14),$AJ68))</f>
        <v/>
      </c>
      <c r="BA68" s="59" t="str">
        <f aca="false">IF(ISBLANK($C68),"",IF($AJ68=Constants!$B$7,IF(ISNUMBER(AW68),AW68-AZ68,Constants!$B$14),$AJ68))</f>
        <v/>
      </c>
      <c r="BB68" s="61"/>
      <c r="BC68" s="62" t="str">
        <f aca="false">IF(ISBLANK($C68),"",IF($AJ68&lt;&gt;Constants!$B$7,$AJ68,SMALL(AQ68:AS68,1)&amp;", "&amp;SMALL(AQ68:AS68,2)&amp;", "&amp;SMALL(AQ68:AS68,3)))</f>
        <v/>
      </c>
      <c r="BD68" s="63" t="str">
        <f aca="false">IF(ISBLANK($C68),"",IF($AJ68&lt;&gt;Constants!$B$7,$AJ68,W68))</f>
        <v/>
      </c>
      <c r="BE68" s="64" t="str">
        <f aca="false">IF(ISBLANK($C68),"",IF($AJ68&lt;&gt;Constants!$B$7,$AJ68,AU68))</f>
        <v/>
      </c>
      <c r="BF68" s="65" t="str">
        <f aca="false">IF(ISBLANK($C68),"",IF($AJ68&lt;&gt;Constants!$B$7,$AJ68,AK68))</f>
        <v/>
      </c>
      <c r="BG68" s="63" t="str">
        <f aca="false">IF(ISBLANK($C68),"",BA68)</f>
        <v/>
      </c>
      <c r="BH68" s="63" t="str">
        <f aca="false">IF(ISBLANK($C68),"",AZ68)</f>
        <v/>
      </c>
      <c r="BI68" s="66" t="str">
        <f aca="false">IF(ISBLANK($C68),"",IF(BH68=Constants!$B$4,COUNTA($C$8:$C$507)+2,IF(BH68=Constants!$B$5,COUNTA($C$8:$C$507)+1,IF(BH68=Constants!$B$6,COUNTA($C$8:$C$507),BH68))))</f>
        <v/>
      </c>
      <c r="BJ68" s="5"/>
      <c r="BK68" s="67" t="n">
        <f aca="false">IF(OR(ISNUMBER(BH68),BH68=Constants!$B$4,BH68=Constants!$B$6,BH68=Constants!$B$5),1,0)</f>
        <v>0</v>
      </c>
      <c r="BL68" s="67" t="n">
        <v>61</v>
      </c>
      <c r="BM68" s="67" t="str">
        <f aca="false">IF(ISBLANK($C68),"",IF(ISNUMBER(BI68),BI68+ROW($B68)/1000,""))</f>
        <v/>
      </c>
      <c r="BN68" s="67" t="str">
        <f aca="false">IF(ISNUMBER(BM68),RANK(BM68,$BM$8:$BM$507,1),"")</f>
        <v/>
      </c>
      <c r="BO68" s="67" t="str">
        <f aca="false">IF(ISBLANK($C68),"",$B68)</f>
        <v/>
      </c>
      <c r="BP68" s="67" t="str">
        <f aca="false">IF(ISBLANK($C68),"",$C68)</f>
        <v/>
      </c>
      <c r="BQ68" s="67" t="str">
        <f aca="false">IF(ISBLANK($C68),"",$D68)</f>
        <v/>
      </c>
      <c r="BR68" s="68" t="str">
        <f aca="false">BF68</f>
        <v/>
      </c>
      <c r="BS68" s="69" t="str">
        <f aca="false">BE68</f>
        <v/>
      </c>
      <c r="BT68" s="67" t="str">
        <f aca="false">IF(ISBLANK($C68),"",BH68)</f>
        <v/>
      </c>
      <c r="BU68" s="70" t="str">
        <f aca="false">IF($BL68&gt;$BK$7,"",VLOOKUP($BL68,$BN$8:$BT$507,7,FALSE()))</f>
        <v/>
      </c>
      <c r="BV68" s="71" t="str">
        <f aca="false">IF($BL68&gt;$BK$7,"",VLOOKUP($BL68,$BN$8:$BT$507,2,FALSE()))</f>
        <v/>
      </c>
      <c r="BW68" s="71" t="str">
        <f aca="false">IF($BL68&gt;$BK$7,"",VLOOKUP($BL68,$BN$8:$BT$507,3,FALSE()))</f>
        <v/>
      </c>
      <c r="BX68" s="71" t="str">
        <f aca="false">IF($BL68&gt;$BK$7,"",VLOOKUP($BL68,$BN$8:$BT$507,4,FALSE()))</f>
        <v/>
      </c>
      <c r="BY68" s="71" t="str">
        <f aca="false">IF($BL68&gt;$BK$7,"",VLOOKUP($BL68,$BN$8:$BT$507,5,FALSE()))</f>
        <v/>
      </c>
      <c r="BZ68" s="72" t="str">
        <f aca="false">IF($BL68&gt;$BK$7,"",VLOOKUP($BL68,$BN$8:$BT$507,6,FALSE()))</f>
        <v/>
      </c>
      <c r="CA68" s="48"/>
    </row>
    <row r="69" customFormat="false" ht="15.75" hidden="false" customHeight="false" outlineLevel="0" collapsed="false">
      <c r="A69" s="5"/>
      <c r="B69" s="121"/>
      <c r="C69" s="50"/>
      <c r="D69" s="51"/>
      <c r="E69" s="74"/>
      <c r="F69" s="122"/>
      <c r="G69" s="54"/>
      <c r="H69" s="123"/>
      <c r="I69" s="124"/>
      <c r="J69" s="54"/>
      <c r="K69" s="123"/>
      <c r="L69" s="54"/>
      <c r="M69" s="123"/>
      <c r="N69" s="54"/>
      <c r="O69" s="123"/>
      <c r="P69" s="54"/>
      <c r="Q69" s="123"/>
      <c r="R69" s="54"/>
      <c r="S69" s="74"/>
      <c r="T69" s="58"/>
      <c r="U69" s="59" t="str">
        <f aca="false">IF(ISBLANK($C69),"",IF(E69=Constants!$B$2, TRUE(), IF(E69=Constants!$B$3, FALSE(), TRUE())))</f>
        <v/>
      </c>
      <c r="V69" s="59" t="str">
        <f aca="false">IF(ISBLANK($C69),"",IF(F69=Constants!$B$2, TRUE(), IF(F69=Constants!$B$3, FALSE(), TRUE())))</f>
        <v/>
      </c>
      <c r="W69" s="59" t="str">
        <f aca="false">IF(ISBLANK($C69),"",IF(G69=Constants!$B$15,Constants!$B$8,IF(G69=Constants!$B$16,Constants!$B$9,Constants!$B$10)))</f>
        <v/>
      </c>
      <c r="X69" s="59" t="str">
        <f aca="false">IF(ISBLANK($C69),"",IF(H69=Constants!$B$2, TRUE(), IF(H69=Constants!$B$3, FALSE(), TRUE())))</f>
        <v/>
      </c>
      <c r="Y69" s="59" t="str">
        <f aca="false">IF(ISBLANK($C69),"",IF(I69=Constants!$B$19,Constants!$B$19,Constants!$B$18))</f>
        <v/>
      </c>
      <c r="Z69" s="59" t="str">
        <f aca="false">IF(ISBLANK($C69),"",IF(ISNUMBER(J69),IF(J69&gt;=0,J69,""),""))</f>
        <v/>
      </c>
      <c r="AA69" s="59" t="str">
        <f aca="false">IF(ISBLANK($C69),"",IF(K69=Constants!$B$19,Constants!$B$19,Constants!$B$18))</f>
        <v/>
      </c>
      <c r="AB69" s="59" t="str">
        <f aca="false">IF(ISBLANK($C69),"",IF(ISNUMBER(L69),IF(L69&gt;=0,L69,""),""))</f>
        <v/>
      </c>
      <c r="AC69" s="59" t="str">
        <f aca="false">IF(ISBLANK($C69),"",IF(M69=Constants!$B$19,Constants!$B$19,Constants!$B$18))</f>
        <v/>
      </c>
      <c r="AD69" s="59" t="str">
        <f aca="false">IF(ISBLANK($C69),"",IF(ISNUMBER(N69),IF(N69&gt;=0,N69,""),""))</f>
        <v/>
      </c>
      <c r="AE69" s="59" t="str">
        <f aca="false">IF(ISBLANK($C69),"",IF(O69=Constants!$B$19,Constants!$B$19,Constants!$B$18))</f>
        <v/>
      </c>
      <c r="AF69" s="59" t="str">
        <f aca="false">IF(ISBLANK($C69),"",IF(ISNUMBER(P69),IF(P69&gt;=0,P69,""),""))</f>
        <v/>
      </c>
      <c r="AG69" s="59" t="str">
        <f aca="false">IF(ISBLANK($C69),"",IF(Q69=Constants!$B$19,Constants!$B$19,Constants!$B$18))</f>
        <v/>
      </c>
      <c r="AH69" s="59" t="str">
        <f aca="false">IF(ISBLANK($C69),"",IF(ISNUMBER(R69),IF(R69&gt;=0,R69,""),""))</f>
        <v/>
      </c>
      <c r="AI69" s="59" t="str">
        <f aca="false">IF(ISBLANK($C69),"",IF(S69=Constants!$B$2, TRUE(), IF(S69=Constants!$B$3, FALSE(), FALSE())))</f>
        <v/>
      </c>
      <c r="AJ69" s="59" t="str">
        <f aca="false">IF(ISBLANK($C69),"",IF(AI69,Constants!$B$4,IF(COUNTA(E69:R69)=0,Constants!$B$5,IF(COUNTA(J69,L69,N69,P69,R69)=0,Constants!$B$6,Constants!$B$7))))</f>
        <v/>
      </c>
      <c r="AK69" s="59" t="str">
        <f aca="false">IF(ISBLANK($C69),"",IF($AJ69&lt;&gt;Constants!$B$7,$AJ69,IF(OR(NOT(X69),AND(NOT(U69),COUNTIFS(Y69:AG69,Constants!$B$18,Z69:AH69,"&gt;=0")&gt;0),AND(NOT(V69),COUNTIFS(Y69:AG69,Constants!$B$19,Z69:AH69,"&gt;=0")&gt;0)),Constants!$B$12,Constants!$B$11)))</f>
        <v/>
      </c>
      <c r="AL69" s="59" t="str">
        <f aca="false">IF($AJ69=Constants!$B$7,IF(Z69="",Constants!$B$13,Z69),"")</f>
        <v/>
      </c>
      <c r="AM69" s="59" t="str">
        <f aca="false">IF($AJ69=Constants!$B$7,IF(AB69="",Constants!$B$13,AB69),"")</f>
        <v/>
      </c>
      <c r="AN69" s="59" t="str">
        <f aca="false">IF($AJ69=Constants!$B$7,IF(AD69="",Constants!$B$13,AD69),"")</f>
        <v/>
      </c>
      <c r="AO69" s="59" t="str">
        <f aca="false">IF($AJ69=Constants!$B$7,IF(AF69="",Constants!$B$13,AF69),"")</f>
        <v/>
      </c>
      <c r="AP69" s="59" t="str">
        <f aca="false">IF($AJ69=Constants!$B$7,IF(AH69="",Constants!$B$13,AH69),"")</f>
        <v/>
      </c>
      <c r="AQ69" s="59" t="str">
        <f aca="false">IF($AJ69=Constants!$B$7,IF(SUMPRODUCT(--($AL69:$AP69&gt;AL69))+SUMPRODUCT(--($AL69:AL69=AL69))=1,1,IF(SUMPRODUCT(--($AL69:$AP69&gt;AM69))+SUMPRODUCT(--($AL69:AM69=AM69))=1,2,IF(SUMPRODUCT(--($AL69:$AP69&gt;AN69))+SUMPRODUCT(--($AL69:AN69=AN69))=1,3,IF(SUMPRODUCT(--($AL69:$AP69&gt;AO69))+SUMPRODUCT(--($AL69:AO69=AO69))=1,4,5)))),"")</f>
        <v/>
      </c>
      <c r="AR69" s="59" t="str">
        <f aca="false">IF($AJ69=Constants!$B$7,IF(SUMPRODUCT(--($AL69:$AP69&gt;AL69))+SUMPRODUCT(--($AL69:AL69=AL69))=2,1,IF(SUMPRODUCT(--($AL69:$AP69&gt;AM69))+SUMPRODUCT(--($AL69:AM69=AM69))=2,2,IF(SUMPRODUCT(--($AL69:$AP69&gt;AN69))+SUMPRODUCT(--($AL69:AN69=AN69))=2,3,IF(SUMPRODUCT(--($AL69:$AP69&gt;AO69))+SUMPRODUCT(--($AL69:AO69=AO69))=2,4,5)))),"")</f>
        <v/>
      </c>
      <c r="AS69" s="59" t="str">
        <f aca="false">IF($AJ69=Constants!$B$7,IF(SUMPRODUCT(--($AL69:$AP69&gt;AL69))+SUMPRODUCT(--($AL69:AL69=AL69))=3,1,IF(SUMPRODUCT(--($AL69:$AP69&gt;AM69))+SUMPRODUCT(--($AL69:AM69=AM69))=3,2,IF(SUMPRODUCT(--($AL69:$AP69&gt;AN69))+SUMPRODUCT(--($AL69:AN69=AN69))=3,3,IF(SUMPRODUCT(--($AL69:$AP69&gt;AO69))+SUMPRODUCT(--($AL69:AO69=AO69))=3,4,5)))),"")</f>
        <v/>
      </c>
      <c r="AT69" s="59" t="str">
        <f aca="false">IF($AJ69=Constants!$B$7,LARGE(AL69:AP69,1)+LARGE(AL69:AP69,2)+LARGE(AL69:AP69,3),"")</f>
        <v/>
      </c>
      <c r="AU69" s="59" t="str">
        <f aca="false">IF(ISBLANK($C69),"",IF($AJ69&lt;&gt;Constants!$B$7,$AJ69,AT69*W69))</f>
        <v/>
      </c>
      <c r="AV69" s="59" t="str">
        <f aca="false">IF(ISBLANK($C69),"",IF($AJ69=Constants!$B$7,IF(ISNUMBER(AU69),RANK(AU69,$AU$8:$AU$507),Constants!$B$14),$AJ69))</f>
        <v/>
      </c>
      <c r="AW69" s="59" t="str">
        <f aca="false">IF(ISBLANK($C69),"",IF($AJ69=Constants!$B$7,IF(ISNUMBER(AV69),COUNTIFS($AK$8:$AK$507,"&lt;"&amp;$AK69)+COUNTIFS($AK$8:$AK$507,$AK69,$AV$8:$AV$507,"&lt;"&amp;$AV69)+1,Constants!$B$14),$AJ69))</f>
        <v/>
      </c>
      <c r="AX69" s="59" t="str">
        <f aca="false">IF(ISBLANK($C69),"",IF($AJ69=Constants!$B$7,LARGE(AL69:AP69,4)*W69,""))</f>
        <v/>
      </c>
      <c r="AY69" s="59" t="str">
        <f aca="false">IF(ISBLANK($C69),"",IF($AJ69=Constants!$B$7,RANK(AX69,$AX$8:$AX$507),$AJ69))</f>
        <v/>
      </c>
      <c r="AZ69" s="59" t="str">
        <f aca="false">IF(ISBLANK($C69),"",IF($AJ69=Constants!$B$7,IF(ISNUMBER(AV69),COUNTIFS($AK$8:$AK$507,"&lt;"&amp;$AK69)+COUNTIFS($AK$8:$AK$507,$AK69,$AV$8:$AV$507,"&lt;"&amp;$AV69)+COUNTIFS($AK$8:$AK$507,$AK69,$AV$8:$AV$507,$AV69,$AY$8:$AY$507,"&lt;"&amp;$AY69)+1,Constants!$B$14),$AJ69))</f>
        <v/>
      </c>
      <c r="BA69" s="59" t="str">
        <f aca="false">IF(ISBLANK($C69),"",IF($AJ69=Constants!$B$7,IF(ISNUMBER(AW69),AW69-AZ69,Constants!$B$14),$AJ69))</f>
        <v/>
      </c>
      <c r="BB69" s="61"/>
      <c r="BC69" s="62" t="str">
        <f aca="false">IF(ISBLANK($C69),"",IF($AJ69&lt;&gt;Constants!$B$7,$AJ69,SMALL(AQ69:AS69,1)&amp;", "&amp;SMALL(AQ69:AS69,2)&amp;", "&amp;SMALL(AQ69:AS69,3)))</f>
        <v/>
      </c>
      <c r="BD69" s="63" t="str">
        <f aca="false">IF(ISBLANK($C69),"",IF($AJ69&lt;&gt;Constants!$B$7,$AJ69,W69))</f>
        <v/>
      </c>
      <c r="BE69" s="64" t="str">
        <f aca="false">IF(ISBLANK($C69),"",IF($AJ69&lt;&gt;Constants!$B$7,$AJ69,AU69))</f>
        <v/>
      </c>
      <c r="BF69" s="65" t="str">
        <f aca="false">IF(ISBLANK($C69),"",IF($AJ69&lt;&gt;Constants!$B$7,$AJ69,AK69))</f>
        <v/>
      </c>
      <c r="BG69" s="63" t="str">
        <f aca="false">IF(ISBLANK($C69),"",BA69)</f>
        <v/>
      </c>
      <c r="BH69" s="63" t="str">
        <f aca="false">IF(ISBLANK($C69),"",AZ69)</f>
        <v/>
      </c>
      <c r="BI69" s="66" t="str">
        <f aca="false">IF(ISBLANK($C69),"",IF(BH69=Constants!$B$4,COUNTA($C$8:$C$507)+2,IF(BH69=Constants!$B$5,COUNTA($C$8:$C$507)+1,IF(BH69=Constants!$B$6,COUNTA($C$8:$C$507),BH69))))</f>
        <v/>
      </c>
      <c r="BJ69" s="5"/>
      <c r="BK69" s="67" t="n">
        <f aca="false">IF(OR(ISNUMBER(BH69),BH69=Constants!$B$4,BH69=Constants!$B$6,BH69=Constants!$B$5),1,0)</f>
        <v>0</v>
      </c>
      <c r="BL69" s="67" t="n">
        <v>62</v>
      </c>
      <c r="BM69" s="67" t="str">
        <f aca="false">IF(ISBLANK($C69),"",IF(ISNUMBER(BI69),BI69+ROW($B69)/1000,""))</f>
        <v/>
      </c>
      <c r="BN69" s="67" t="str">
        <f aca="false">IF(ISNUMBER(BM69),RANK(BM69,$BM$8:$BM$507,1),"")</f>
        <v/>
      </c>
      <c r="BO69" s="67" t="str">
        <f aca="false">IF(ISBLANK($C69),"",$B69)</f>
        <v/>
      </c>
      <c r="BP69" s="67" t="str">
        <f aca="false">IF(ISBLANK($C69),"",$C69)</f>
        <v/>
      </c>
      <c r="BQ69" s="67" t="str">
        <f aca="false">IF(ISBLANK($C69),"",$D69)</f>
        <v/>
      </c>
      <c r="BR69" s="68" t="str">
        <f aca="false">BF69</f>
        <v/>
      </c>
      <c r="BS69" s="69" t="str">
        <f aca="false">BE69</f>
        <v/>
      </c>
      <c r="BT69" s="67" t="str">
        <f aca="false">IF(ISBLANK($C69),"",BH69)</f>
        <v/>
      </c>
      <c r="BU69" s="70" t="str">
        <f aca="false">IF($BL69&gt;$BK$7,"",VLOOKUP($BL69,$BN$8:$BT$507,7,FALSE()))</f>
        <v/>
      </c>
      <c r="BV69" s="71" t="str">
        <f aca="false">IF($BL69&gt;$BK$7,"",VLOOKUP($BL69,$BN$8:$BT$507,2,FALSE()))</f>
        <v/>
      </c>
      <c r="BW69" s="71" t="str">
        <f aca="false">IF($BL69&gt;$BK$7,"",VLOOKUP($BL69,$BN$8:$BT$507,3,FALSE()))</f>
        <v/>
      </c>
      <c r="BX69" s="71" t="str">
        <f aca="false">IF($BL69&gt;$BK$7,"",VLOOKUP($BL69,$BN$8:$BT$507,4,FALSE()))</f>
        <v/>
      </c>
      <c r="BY69" s="71" t="str">
        <f aca="false">IF($BL69&gt;$BK$7,"",VLOOKUP($BL69,$BN$8:$BT$507,5,FALSE()))</f>
        <v/>
      </c>
      <c r="BZ69" s="72" t="str">
        <f aca="false">IF($BL69&gt;$BK$7,"",VLOOKUP($BL69,$BN$8:$BT$507,6,FALSE()))</f>
        <v/>
      </c>
      <c r="CA69" s="48"/>
    </row>
    <row r="70" customFormat="false" ht="15.75" hidden="false" customHeight="false" outlineLevel="0" collapsed="false">
      <c r="A70" s="5"/>
      <c r="B70" s="121"/>
      <c r="C70" s="50"/>
      <c r="D70" s="51"/>
      <c r="E70" s="74"/>
      <c r="F70" s="122"/>
      <c r="G70" s="54"/>
      <c r="H70" s="123"/>
      <c r="I70" s="124"/>
      <c r="J70" s="54"/>
      <c r="K70" s="123"/>
      <c r="L70" s="54"/>
      <c r="M70" s="123"/>
      <c r="N70" s="54"/>
      <c r="O70" s="123"/>
      <c r="P70" s="54"/>
      <c r="Q70" s="123"/>
      <c r="R70" s="54"/>
      <c r="S70" s="74"/>
      <c r="T70" s="58"/>
      <c r="U70" s="59" t="str">
        <f aca="false">IF(ISBLANK($C70),"",IF(E70=Constants!$B$2, TRUE(), IF(E70=Constants!$B$3, FALSE(), TRUE())))</f>
        <v/>
      </c>
      <c r="V70" s="59" t="str">
        <f aca="false">IF(ISBLANK($C70),"",IF(F70=Constants!$B$2, TRUE(), IF(F70=Constants!$B$3, FALSE(), TRUE())))</f>
        <v/>
      </c>
      <c r="W70" s="59" t="str">
        <f aca="false">IF(ISBLANK($C70),"",IF(G70=Constants!$B$15,Constants!$B$8,IF(G70=Constants!$B$16,Constants!$B$9,Constants!$B$10)))</f>
        <v/>
      </c>
      <c r="X70" s="59" t="str">
        <f aca="false">IF(ISBLANK($C70),"",IF(H70=Constants!$B$2, TRUE(), IF(H70=Constants!$B$3, FALSE(), TRUE())))</f>
        <v/>
      </c>
      <c r="Y70" s="59" t="str">
        <f aca="false">IF(ISBLANK($C70),"",IF(I70=Constants!$B$19,Constants!$B$19,Constants!$B$18))</f>
        <v/>
      </c>
      <c r="Z70" s="59" t="str">
        <f aca="false">IF(ISBLANK($C70),"",IF(ISNUMBER(J70),IF(J70&gt;=0,J70,""),""))</f>
        <v/>
      </c>
      <c r="AA70" s="59" t="str">
        <f aca="false">IF(ISBLANK($C70),"",IF(K70=Constants!$B$19,Constants!$B$19,Constants!$B$18))</f>
        <v/>
      </c>
      <c r="AB70" s="59" t="str">
        <f aca="false">IF(ISBLANK($C70),"",IF(ISNUMBER(L70),IF(L70&gt;=0,L70,""),""))</f>
        <v/>
      </c>
      <c r="AC70" s="59" t="str">
        <f aca="false">IF(ISBLANK($C70),"",IF(M70=Constants!$B$19,Constants!$B$19,Constants!$B$18))</f>
        <v/>
      </c>
      <c r="AD70" s="59" t="str">
        <f aca="false">IF(ISBLANK($C70),"",IF(ISNUMBER(N70),IF(N70&gt;=0,N70,""),""))</f>
        <v/>
      </c>
      <c r="AE70" s="59" t="str">
        <f aca="false">IF(ISBLANK($C70),"",IF(O70=Constants!$B$19,Constants!$B$19,Constants!$B$18))</f>
        <v/>
      </c>
      <c r="AF70" s="59" t="str">
        <f aca="false">IF(ISBLANK($C70),"",IF(ISNUMBER(P70),IF(P70&gt;=0,P70,""),""))</f>
        <v/>
      </c>
      <c r="AG70" s="59" t="str">
        <f aca="false">IF(ISBLANK($C70),"",IF(Q70=Constants!$B$19,Constants!$B$19,Constants!$B$18))</f>
        <v/>
      </c>
      <c r="AH70" s="59" t="str">
        <f aca="false">IF(ISBLANK($C70),"",IF(ISNUMBER(R70),IF(R70&gt;=0,R70,""),""))</f>
        <v/>
      </c>
      <c r="AI70" s="59" t="str">
        <f aca="false">IF(ISBLANK($C70),"",IF(S70=Constants!$B$2, TRUE(), IF(S70=Constants!$B$3, FALSE(), FALSE())))</f>
        <v/>
      </c>
      <c r="AJ70" s="59" t="str">
        <f aca="false">IF(ISBLANK($C70),"",IF(AI70,Constants!$B$4,IF(COUNTA(E70:R70)=0,Constants!$B$5,IF(COUNTA(J70,L70,N70,P70,R70)=0,Constants!$B$6,Constants!$B$7))))</f>
        <v/>
      </c>
      <c r="AK70" s="59" t="str">
        <f aca="false">IF(ISBLANK($C70),"",IF($AJ70&lt;&gt;Constants!$B$7,$AJ70,IF(OR(NOT(X70),AND(NOT(U70),COUNTIFS(Y70:AG70,Constants!$B$18,Z70:AH70,"&gt;=0")&gt;0),AND(NOT(V70),COUNTIFS(Y70:AG70,Constants!$B$19,Z70:AH70,"&gt;=0")&gt;0)),Constants!$B$12,Constants!$B$11)))</f>
        <v/>
      </c>
      <c r="AL70" s="59" t="str">
        <f aca="false">IF($AJ70=Constants!$B$7,IF(Z70="",Constants!$B$13,Z70),"")</f>
        <v/>
      </c>
      <c r="AM70" s="59" t="str">
        <f aca="false">IF($AJ70=Constants!$B$7,IF(AB70="",Constants!$B$13,AB70),"")</f>
        <v/>
      </c>
      <c r="AN70" s="59" t="str">
        <f aca="false">IF($AJ70=Constants!$B$7,IF(AD70="",Constants!$B$13,AD70),"")</f>
        <v/>
      </c>
      <c r="AO70" s="59" t="str">
        <f aca="false">IF($AJ70=Constants!$B$7,IF(AF70="",Constants!$B$13,AF70),"")</f>
        <v/>
      </c>
      <c r="AP70" s="59" t="str">
        <f aca="false">IF($AJ70=Constants!$B$7,IF(AH70="",Constants!$B$13,AH70),"")</f>
        <v/>
      </c>
      <c r="AQ70" s="59" t="str">
        <f aca="false">IF($AJ70=Constants!$B$7,IF(SUMPRODUCT(--($AL70:$AP70&gt;AL70))+SUMPRODUCT(--($AL70:AL70=AL70))=1,1,IF(SUMPRODUCT(--($AL70:$AP70&gt;AM70))+SUMPRODUCT(--($AL70:AM70=AM70))=1,2,IF(SUMPRODUCT(--($AL70:$AP70&gt;AN70))+SUMPRODUCT(--($AL70:AN70=AN70))=1,3,IF(SUMPRODUCT(--($AL70:$AP70&gt;AO70))+SUMPRODUCT(--($AL70:AO70=AO70))=1,4,5)))),"")</f>
        <v/>
      </c>
      <c r="AR70" s="59" t="str">
        <f aca="false">IF($AJ70=Constants!$B$7,IF(SUMPRODUCT(--($AL70:$AP70&gt;AL70))+SUMPRODUCT(--($AL70:AL70=AL70))=2,1,IF(SUMPRODUCT(--($AL70:$AP70&gt;AM70))+SUMPRODUCT(--($AL70:AM70=AM70))=2,2,IF(SUMPRODUCT(--($AL70:$AP70&gt;AN70))+SUMPRODUCT(--($AL70:AN70=AN70))=2,3,IF(SUMPRODUCT(--($AL70:$AP70&gt;AO70))+SUMPRODUCT(--($AL70:AO70=AO70))=2,4,5)))),"")</f>
        <v/>
      </c>
      <c r="AS70" s="59" t="str">
        <f aca="false">IF($AJ70=Constants!$B$7,IF(SUMPRODUCT(--($AL70:$AP70&gt;AL70))+SUMPRODUCT(--($AL70:AL70=AL70))=3,1,IF(SUMPRODUCT(--($AL70:$AP70&gt;AM70))+SUMPRODUCT(--($AL70:AM70=AM70))=3,2,IF(SUMPRODUCT(--($AL70:$AP70&gt;AN70))+SUMPRODUCT(--($AL70:AN70=AN70))=3,3,IF(SUMPRODUCT(--($AL70:$AP70&gt;AO70))+SUMPRODUCT(--($AL70:AO70=AO70))=3,4,5)))),"")</f>
        <v/>
      </c>
      <c r="AT70" s="59" t="str">
        <f aca="false">IF($AJ70=Constants!$B$7,LARGE(AL70:AP70,1)+LARGE(AL70:AP70,2)+LARGE(AL70:AP70,3),"")</f>
        <v/>
      </c>
      <c r="AU70" s="59" t="str">
        <f aca="false">IF(ISBLANK($C70),"",IF($AJ70&lt;&gt;Constants!$B$7,$AJ70,AT70*W70))</f>
        <v/>
      </c>
      <c r="AV70" s="59" t="str">
        <f aca="false">IF(ISBLANK($C70),"",IF($AJ70=Constants!$B$7,IF(ISNUMBER(AU70),RANK(AU70,$AU$8:$AU$507),Constants!$B$14),$AJ70))</f>
        <v/>
      </c>
      <c r="AW70" s="59" t="str">
        <f aca="false">IF(ISBLANK($C70),"",IF($AJ70=Constants!$B$7,IF(ISNUMBER(AV70),COUNTIFS($AK$8:$AK$507,"&lt;"&amp;$AK70)+COUNTIFS($AK$8:$AK$507,$AK70,$AV$8:$AV$507,"&lt;"&amp;$AV70)+1,Constants!$B$14),$AJ70))</f>
        <v/>
      </c>
      <c r="AX70" s="59" t="str">
        <f aca="false">IF(ISBLANK($C70),"",IF($AJ70=Constants!$B$7,LARGE(AL70:AP70,4)*W70,""))</f>
        <v/>
      </c>
      <c r="AY70" s="59" t="str">
        <f aca="false">IF(ISBLANK($C70),"",IF($AJ70=Constants!$B$7,RANK(AX70,$AX$8:$AX$507),$AJ70))</f>
        <v/>
      </c>
      <c r="AZ70" s="59" t="str">
        <f aca="false">IF(ISBLANK($C70),"",IF($AJ70=Constants!$B$7,IF(ISNUMBER(AV70),COUNTIFS($AK$8:$AK$507,"&lt;"&amp;$AK70)+COUNTIFS($AK$8:$AK$507,$AK70,$AV$8:$AV$507,"&lt;"&amp;$AV70)+COUNTIFS($AK$8:$AK$507,$AK70,$AV$8:$AV$507,$AV70,$AY$8:$AY$507,"&lt;"&amp;$AY70)+1,Constants!$B$14),$AJ70))</f>
        <v/>
      </c>
      <c r="BA70" s="59" t="str">
        <f aca="false">IF(ISBLANK($C70),"",IF($AJ70=Constants!$B$7,IF(ISNUMBER(AW70),AW70-AZ70,Constants!$B$14),$AJ70))</f>
        <v/>
      </c>
      <c r="BB70" s="61"/>
      <c r="BC70" s="62" t="str">
        <f aca="false">IF(ISBLANK($C70),"",IF($AJ70&lt;&gt;Constants!$B$7,$AJ70,SMALL(AQ70:AS70,1)&amp;", "&amp;SMALL(AQ70:AS70,2)&amp;", "&amp;SMALL(AQ70:AS70,3)))</f>
        <v/>
      </c>
      <c r="BD70" s="63" t="str">
        <f aca="false">IF(ISBLANK($C70),"",IF($AJ70&lt;&gt;Constants!$B$7,$AJ70,W70))</f>
        <v/>
      </c>
      <c r="BE70" s="64" t="str">
        <f aca="false">IF(ISBLANK($C70),"",IF($AJ70&lt;&gt;Constants!$B$7,$AJ70,AU70))</f>
        <v/>
      </c>
      <c r="BF70" s="65" t="str">
        <f aca="false">IF(ISBLANK($C70),"",IF($AJ70&lt;&gt;Constants!$B$7,$AJ70,AK70))</f>
        <v/>
      </c>
      <c r="BG70" s="63" t="str">
        <f aca="false">IF(ISBLANK($C70),"",BA70)</f>
        <v/>
      </c>
      <c r="BH70" s="63" t="str">
        <f aca="false">IF(ISBLANK($C70),"",AZ70)</f>
        <v/>
      </c>
      <c r="BI70" s="66" t="str">
        <f aca="false">IF(ISBLANK($C70),"",IF(BH70=Constants!$B$4,COUNTA($C$8:$C$507)+2,IF(BH70=Constants!$B$5,COUNTA($C$8:$C$507)+1,IF(BH70=Constants!$B$6,COUNTA($C$8:$C$507),BH70))))</f>
        <v/>
      </c>
      <c r="BJ70" s="5"/>
      <c r="BK70" s="67" t="n">
        <f aca="false">IF(OR(ISNUMBER(BH70),BH70=Constants!$B$4,BH70=Constants!$B$6,BH70=Constants!$B$5),1,0)</f>
        <v>0</v>
      </c>
      <c r="BL70" s="67" t="n">
        <v>63</v>
      </c>
      <c r="BM70" s="67" t="str">
        <f aca="false">IF(ISBLANK($C70),"",IF(ISNUMBER(BI70),BI70+ROW($B70)/1000,""))</f>
        <v/>
      </c>
      <c r="BN70" s="67" t="str">
        <f aca="false">IF(ISNUMBER(BM70),RANK(BM70,$BM$8:$BM$507,1),"")</f>
        <v/>
      </c>
      <c r="BO70" s="67" t="str">
        <f aca="false">IF(ISBLANK($C70),"",$B70)</f>
        <v/>
      </c>
      <c r="BP70" s="67" t="str">
        <f aca="false">IF(ISBLANK($C70),"",$C70)</f>
        <v/>
      </c>
      <c r="BQ70" s="67" t="str">
        <f aca="false">IF(ISBLANK($C70),"",$D70)</f>
        <v/>
      </c>
      <c r="BR70" s="68" t="str">
        <f aca="false">BF70</f>
        <v/>
      </c>
      <c r="BS70" s="69" t="str">
        <f aca="false">BE70</f>
        <v/>
      </c>
      <c r="BT70" s="67" t="str">
        <f aca="false">IF(ISBLANK($C70),"",BH70)</f>
        <v/>
      </c>
      <c r="BU70" s="70" t="str">
        <f aca="false">IF($BL70&gt;$BK$7,"",VLOOKUP($BL70,$BN$8:$BT$507,7,FALSE()))</f>
        <v/>
      </c>
      <c r="BV70" s="71" t="str">
        <f aca="false">IF($BL70&gt;$BK$7,"",VLOOKUP($BL70,$BN$8:$BT$507,2,FALSE()))</f>
        <v/>
      </c>
      <c r="BW70" s="71" t="str">
        <f aca="false">IF($BL70&gt;$BK$7,"",VLOOKUP($BL70,$BN$8:$BT$507,3,FALSE()))</f>
        <v/>
      </c>
      <c r="BX70" s="71" t="str">
        <f aca="false">IF($BL70&gt;$BK$7,"",VLOOKUP($BL70,$BN$8:$BT$507,4,FALSE()))</f>
        <v/>
      </c>
      <c r="BY70" s="71" t="str">
        <f aca="false">IF($BL70&gt;$BK$7,"",VLOOKUP($BL70,$BN$8:$BT$507,5,FALSE()))</f>
        <v/>
      </c>
      <c r="BZ70" s="72" t="str">
        <f aca="false">IF($BL70&gt;$BK$7,"",VLOOKUP($BL70,$BN$8:$BT$507,6,FALSE()))</f>
        <v/>
      </c>
      <c r="CA70" s="48"/>
    </row>
    <row r="71" customFormat="false" ht="15.75" hidden="false" customHeight="false" outlineLevel="0" collapsed="false">
      <c r="A71" s="5"/>
      <c r="B71" s="114"/>
      <c r="C71" s="115"/>
      <c r="D71" s="100"/>
      <c r="E71" s="120"/>
      <c r="F71" s="125"/>
      <c r="G71" s="82"/>
      <c r="H71" s="126"/>
      <c r="I71" s="127"/>
      <c r="J71" s="82"/>
      <c r="K71" s="126"/>
      <c r="L71" s="82"/>
      <c r="M71" s="126"/>
      <c r="N71" s="82"/>
      <c r="O71" s="126"/>
      <c r="P71" s="82"/>
      <c r="Q71" s="126"/>
      <c r="R71" s="82"/>
      <c r="S71" s="120"/>
      <c r="T71" s="86"/>
      <c r="U71" s="87" t="str">
        <f aca="false">IF(ISBLANK($C71),"",IF(E71=Constants!$B$2, TRUE(), IF(E71=Constants!$B$3, FALSE(), TRUE())))</f>
        <v/>
      </c>
      <c r="V71" s="87" t="str">
        <f aca="false">IF(ISBLANK($C71),"",IF(F71=Constants!$B$2, TRUE(), IF(F71=Constants!$B$3, FALSE(), TRUE())))</f>
        <v/>
      </c>
      <c r="W71" s="87" t="str">
        <f aca="false">IF(ISBLANK($C71),"",IF(G71=Constants!$B$15,Constants!$B$8,IF(G71=Constants!$B$16,Constants!$B$9,Constants!$B$10)))</f>
        <v/>
      </c>
      <c r="X71" s="87" t="str">
        <f aca="false">IF(ISBLANK($C71),"",IF(H71=Constants!$B$2, TRUE(), IF(H71=Constants!$B$3, FALSE(), TRUE())))</f>
        <v/>
      </c>
      <c r="Y71" s="87" t="str">
        <f aca="false">IF(ISBLANK($C71),"",IF(I71=Constants!$B$19,Constants!$B$19,Constants!$B$18))</f>
        <v/>
      </c>
      <c r="Z71" s="87" t="str">
        <f aca="false">IF(ISBLANK($C71),"",IF(ISNUMBER(J71),IF(J71&gt;=0,J71,""),""))</f>
        <v/>
      </c>
      <c r="AA71" s="87" t="str">
        <f aca="false">IF(ISBLANK($C71),"",IF(K71=Constants!$B$19,Constants!$B$19,Constants!$B$18))</f>
        <v/>
      </c>
      <c r="AB71" s="87" t="str">
        <f aca="false">IF(ISBLANK($C71),"",IF(ISNUMBER(L71),IF(L71&gt;=0,L71,""),""))</f>
        <v/>
      </c>
      <c r="AC71" s="87" t="str">
        <f aca="false">IF(ISBLANK($C71),"",IF(M71=Constants!$B$19,Constants!$B$19,Constants!$B$18))</f>
        <v/>
      </c>
      <c r="AD71" s="87" t="str">
        <f aca="false">IF(ISBLANK($C71),"",IF(ISNUMBER(N71),IF(N71&gt;=0,N71,""),""))</f>
        <v/>
      </c>
      <c r="AE71" s="87" t="str">
        <f aca="false">IF(ISBLANK($C71),"",IF(O71=Constants!$B$19,Constants!$B$19,Constants!$B$18))</f>
        <v/>
      </c>
      <c r="AF71" s="87" t="str">
        <f aca="false">IF(ISBLANK($C71),"",IF(ISNUMBER(P71),IF(P71&gt;=0,P71,""),""))</f>
        <v/>
      </c>
      <c r="AG71" s="87" t="str">
        <f aca="false">IF(ISBLANK($C71),"",IF(Q71=Constants!$B$19,Constants!$B$19,Constants!$B$18))</f>
        <v/>
      </c>
      <c r="AH71" s="87" t="str">
        <f aca="false">IF(ISBLANK($C71),"",IF(ISNUMBER(R71),IF(R71&gt;=0,R71,""),""))</f>
        <v/>
      </c>
      <c r="AI71" s="87" t="str">
        <f aca="false">IF(ISBLANK($C71),"",IF(S71=Constants!$B$2, TRUE(), IF(S71=Constants!$B$3, FALSE(), FALSE())))</f>
        <v/>
      </c>
      <c r="AJ71" s="87" t="str">
        <f aca="false">IF(ISBLANK($C71),"",IF(AI71,Constants!$B$4,IF(COUNTA(E71:R71)=0,Constants!$B$5,IF(COUNTA(J71,L71,N71,P71,R71)=0,Constants!$B$6,Constants!$B$7))))</f>
        <v/>
      </c>
      <c r="AK71" s="87" t="str">
        <f aca="false">IF(ISBLANK($C71),"",IF($AJ71&lt;&gt;Constants!$B$7,$AJ71,IF(OR(NOT(X71),AND(NOT(U71),COUNTIFS(Y71:AG71,Constants!$B$18,Z71:AH71,"&gt;=0")&gt;0),AND(NOT(V71),COUNTIFS(Y71:AG71,Constants!$B$19,Z71:AH71,"&gt;=0")&gt;0)),Constants!$B$12,Constants!$B$11)))</f>
        <v/>
      </c>
      <c r="AL71" s="87" t="str">
        <f aca="false">IF($AJ71=Constants!$B$7,IF(Z71="",Constants!$B$13,Z71),"")</f>
        <v/>
      </c>
      <c r="AM71" s="87" t="str">
        <f aca="false">IF($AJ71=Constants!$B$7,IF(AB71="",Constants!$B$13,AB71),"")</f>
        <v/>
      </c>
      <c r="AN71" s="87" t="str">
        <f aca="false">IF($AJ71=Constants!$B$7,IF(AD71="",Constants!$B$13,AD71),"")</f>
        <v/>
      </c>
      <c r="AO71" s="87" t="str">
        <f aca="false">IF($AJ71=Constants!$B$7,IF(AF71="",Constants!$B$13,AF71),"")</f>
        <v/>
      </c>
      <c r="AP71" s="87" t="str">
        <f aca="false">IF($AJ71=Constants!$B$7,IF(AH71="",Constants!$B$13,AH71),"")</f>
        <v/>
      </c>
      <c r="AQ71" s="87" t="str">
        <f aca="false">IF($AJ71=Constants!$B$7,IF(SUMPRODUCT(--($AL71:$AP71&gt;AL71))+SUMPRODUCT(--($AL71:AL71=AL71))=1,1,IF(SUMPRODUCT(--($AL71:$AP71&gt;AM71))+SUMPRODUCT(--($AL71:AM71=AM71))=1,2,IF(SUMPRODUCT(--($AL71:$AP71&gt;AN71))+SUMPRODUCT(--($AL71:AN71=AN71))=1,3,IF(SUMPRODUCT(--($AL71:$AP71&gt;AO71))+SUMPRODUCT(--($AL71:AO71=AO71))=1,4,5)))),"")</f>
        <v/>
      </c>
      <c r="AR71" s="87" t="str">
        <f aca="false">IF($AJ71=Constants!$B$7,IF(SUMPRODUCT(--($AL71:$AP71&gt;AL71))+SUMPRODUCT(--($AL71:AL71=AL71))=2,1,IF(SUMPRODUCT(--($AL71:$AP71&gt;AM71))+SUMPRODUCT(--($AL71:AM71=AM71))=2,2,IF(SUMPRODUCT(--($AL71:$AP71&gt;AN71))+SUMPRODUCT(--($AL71:AN71=AN71))=2,3,IF(SUMPRODUCT(--($AL71:$AP71&gt;AO71))+SUMPRODUCT(--($AL71:AO71=AO71))=2,4,5)))),"")</f>
        <v/>
      </c>
      <c r="AS71" s="87" t="str">
        <f aca="false">IF($AJ71=Constants!$B$7,IF(SUMPRODUCT(--($AL71:$AP71&gt;AL71))+SUMPRODUCT(--($AL71:AL71=AL71))=3,1,IF(SUMPRODUCT(--($AL71:$AP71&gt;AM71))+SUMPRODUCT(--($AL71:AM71=AM71))=3,2,IF(SUMPRODUCT(--($AL71:$AP71&gt;AN71))+SUMPRODUCT(--($AL71:AN71=AN71))=3,3,IF(SUMPRODUCT(--($AL71:$AP71&gt;AO71))+SUMPRODUCT(--($AL71:AO71=AO71))=3,4,5)))),"")</f>
        <v/>
      </c>
      <c r="AT71" s="87" t="str">
        <f aca="false">IF($AJ71=Constants!$B$7,LARGE(AL71:AP71,1)+LARGE(AL71:AP71,2)+LARGE(AL71:AP71,3),"")</f>
        <v/>
      </c>
      <c r="AU71" s="87" t="str">
        <f aca="false">IF(ISBLANK($C71),"",IF($AJ71&lt;&gt;Constants!$B$7,$AJ71,AT71*W71))</f>
        <v/>
      </c>
      <c r="AV71" s="87" t="str">
        <f aca="false">IF(ISBLANK($C71),"",IF($AJ71=Constants!$B$7,IF(ISNUMBER(AU71),RANK(AU71,$AU$8:$AU$507),Constants!$B$14),$AJ71))</f>
        <v/>
      </c>
      <c r="AW71" s="87" t="str">
        <f aca="false">IF(ISBLANK($C71),"",IF($AJ71=Constants!$B$7,IF(ISNUMBER(AV71),COUNTIFS($AK$8:$AK$507,"&lt;"&amp;$AK71)+COUNTIFS($AK$8:$AK$507,$AK71,$AV$8:$AV$507,"&lt;"&amp;$AV71)+1,Constants!$B$14),$AJ71))</f>
        <v/>
      </c>
      <c r="AX71" s="87" t="str">
        <f aca="false">IF(ISBLANK($C71),"",IF($AJ71=Constants!$B$7,LARGE(AL71:AP71,4)*W71,""))</f>
        <v/>
      </c>
      <c r="AY71" s="87" t="str">
        <f aca="false">IF(ISBLANK($C71),"",IF($AJ71=Constants!$B$7,RANK(AX71,$AX$8:$AX$507),$AJ71))</f>
        <v/>
      </c>
      <c r="AZ71" s="87" t="str">
        <f aca="false">IF(ISBLANK($C71),"",IF($AJ71=Constants!$B$7,IF(ISNUMBER(AV71),COUNTIFS($AK$8:$AK$507,"&lt;"&amp;$AK71)+COUNTIFS($AK$8:$AK$507,$AK71,$AV$8:$AV$507,"&lt;"&amp;$AV71)+COUNTIFS($AK$8:$AK$507,$AK71,$AV$8:$AV$507,$AV71,$AY$8:$AY$507,"&lt;"&amp;$AY71)+1,Constants!$B$14),$AJ71))</f>
        <v/>
      </c>
      <c r="BA71" s="87" t="str">
        <f aca="false">IF(ISBLANK($C71),"",IF($AJ71=Constants!$B$7,IF(ISNUMBER(AW71),AW71-AZ71,Constants!$B$14),$AJ71))</f>
        <v/>
      </c>
      <c r="BB71" s="88"/>
      <c r="BC71" s="89" t="str">
        <f aca="false">IF(ISBLANK($C71),"",IF($AJ71&lt;&gt;Constants!$B$7,$AJ71,SMALL(AQ71:AS71,1)&amp;", "&amp;SMALL(AQ71:AS71,2)&amp;", "&amp;SMALL(AQ71:AS71,3)))</f>
        <v/>
      </c>
      <c r="BD71" s="90" t="str">
        <f aca="false">IF(ISBLANK($C71),"",IF($AJ71&lt;&gt;Constants!$B$7,$AJ71,W71))</f>
        <v/>
      </c>
      <c r="BE71" s="91" t="str">
        <f aca="false">IF(ISBLANK($C71),"",IF($AJ71&lt;&gt;Constants!$B$7,$AJ71,AU71))</f>
        <v/>
      </c>
      <c r="BF71" s="92" t="str">
        <f aca="false">IF(ISBLANK($C71),"",IF($AJ71&lt;&gt;Constants!$B$7,$AJ71,AK71))</f>
        <v/>
      </c>
      <c r="BG71" s="90" t="str">
        <f aca="false">IF(ISBLANK($C71),"",BA71)</f>
        <v/>
      </c>
      <c r="BH71" s="90" t="str">
        <f aca="false">IF(ISBLANK($C71),"",AZ71)</f>
        <v/>
      </c>
      <c r="BI71" s="93" t="str">
        <f aca="false">IF(ISBLANK($C71),"",IF(BH71=Constants!$B$4,COUNTA($C$8:$C$507)+2,IF(BH71=Constants!$B$5,COUNTA($C$8:$C$507)+1,IF(BH71=Constants!$B$6,COUNTA($C$8:$C$507),BH71))))</f>
        <v/>
      </c>
      <c r="BJ71" s="5"/>
      <c r="BK71" s="94" t="n">
        <f aca="false">IF(OR(ISNUMBER(BH71),BH71=Constants!$B$4,BH71=Constants!$B$6,BH71=Constants!$B$5),1,0)</f>
        <v>0</v>
      </c>
      <c r="BL71" s="94" t="n">
        <v>64</v>
      </c>
      <c r="BM71" s="94" t="str">
        <f aca="false">IF(ISBLANK($C71),"",IF(ISNUMBER(BI71),BI71+ROW($B71)/1000,""))</f>
        <v/>
      </c>
      <c r="BN71" s="94" t="str">
        <f aca="false">IF(ISNUMBER(BM71),RANK(BM71,$BM$8:$BM$507,1),"")</f>
        <v/>
      </c>
      <c r="BO71" s="94" t="str">
        <f aca="false">IF(ISBLANK($C71),"",$B71)</f>
        <v/>
      </c>
      <c r="BP71" s="94" t="str">
        <f aca="false">IF(ISBLANK($C71),"",$C71)</f>
        <v/>
      </c>
      <c r="BQ71" s="94" t="str">
        <f aca="false">IF(ISBLANK($C71),"",$D71)</f>
        <v/>
      </c>
      <c r="BR71" s="95" t="str">
        <f aca="false">BF71</f>
        <v/>
      </c>
      <c r="BS71" s="96" t="str">
        <f aca="false">BE71</f>
        <v/>
      </c>
      <c r="BT71" s="94" t="str">
        <f aca="false">IF(ISBLANK($C71),"",BH71)</f>
        <v/>
      </c>
      <c r="BU71" s="97" t="str">
        <f aca="false">IF($BL71&gt;$BK$7,"",VLOOKUP($BL71,$BN$8:$BT$507,7,FALSE()))</f>
        <v/>
      </c>
      <c r="BV71" s="98" t="str">
        <f aca="false">IF($BL71&gt;$BK$7,"",VLOOKUP($BL71,$BN$8:$BT$507,2,FALSE()))</f>
        <v/>
      </c>
      <c r="BW71" s="98" t="str">
        <f aca="false">IF($BL71&gt;$BK$7,"",VLOOKUP($BL71,$BN$8:$BT$507,3,FALSE()))</f>
        <v/>
      </c>
      <c r="BX71" s="98" t="str">
        <f aca="false">IF($BL71&gt;$BK$7,"",VLOOKUP($BL71,$BN$8:$BT$507,4,FALSE()))</f>
        <v/>
      </c>
      <c r="BY71" s="98" t="str">
        <f aca="false">IF($BL71&gt;$BK$7,"",VLOOKUP($BL71,$BN$8:$BT$507,5,FALSE()))</f>
        <v/>
      </c>
      <c r="BZ71" s="99" t="str">
        <f aca="false">IF($BL71&gt;$BK$7,"",VLOOKUP($BL71,$BN$8:$BT$507,6,FALSE()))</f>
        <v/>
      </c>
      <c r="CA71" s="48"/>
    </row>
    <row r="72" customFormat="false" ht="15.75" hidden="false" customHeight="false" outlineLevel="0" collapsed="false">
      <c r="A72" s="5"/>
      <c r="B72" s="114"/>
      <c r="C72" s="115"/>
      <c r="D72" s="100"/>
      <c r="E72" s="120"/>
      <c r="F72" s="125"/>
      <c r="G72" s="82"/>
      <c r="H72" s="126"/>
      <c r="I72" s="127"/>
      <c r="J72" s="82"/>
      <c r="K72" s="126"/>
      <c r="L72" s="82"/>
      <c r="M72" s="126"/>
      <c r="N72" s="82"/>
      <c r="O72" s="126"/>
      <c r="P72" s="82"/>
      <c r="Q72" s="126"/>
      <c r="R72" s="82"/>
      <c r="S72" s="120"/>
      <c r="T72" s="86"/>
      <c r="U72" s="87" t="str">
        <f aca="false">IF(ISBLANK($C72),"",IF(E72=Constants!$B$2, TRUE(), IF(E72=Constants!$B$3, FALSE(), TRUE())))</f>
        <v/>
      </c>
      <c r="V72" s="87" t="str">
        <f aca="false">IF(ISBLANK($C72),"",IF(F72=Constants!$B$2, TRUE(), IF(F72=Constants!$B$3, FALSE(), TRUE())))</f>
        <v/>
      </c>
      <c r="W72" s="87" t="str">
        <f aca="false">IF(ISBLANK($C72),"",IF(G72=Constants!$B$15,Constants!$B$8,IF(G72=Constants!$B$16,Constants!$B$9,Constants!$B$10)))</f>
        <v/>
      </c>
      <c r="X72" s="87" t="str">
        <f aca="false">IF(ISBLANK($C72),"",IF(H72=Constants!$B$2, TRUE(), IF(H72=Constants!$B$3, FALSE(), TRUE())))</f>
        <v/>
      </c>
      <c r="Y72" s="87" t="str">
        <f aca="false">IF(ISBLANK($C72),"",IF(I72=Constants!$B$19,Constants!$B$19,Constants!$B$18))</f>
        <v/>
      </c>
      <c r="Z72" s="87" t="str">
        <f aca="false">IF(ISBLANK($C72),"",IF(ISNUMBER(J72),IF(J72&gt;=0,J72,""),""))</f>
        <v/>
      </c>
      <c r="AA72" s="87" t="str">
        <f aca="false">IF(ISBLANK($C72),"",IF(K72=Constants!$B$19,Constants!$B$19,Constants!$B$18))</f>
        <v/>
      </c>
      <c r="AB72" s="87" t="str">
        <f aca="false">IF(ISBLANK($C72),"",IF(ISNUMBER(L72),IF(L72&gt;=0,L72,""),""))</f>
        <v/>
      </c>
      <c r="AC72" s="87" t="str">
        <f aca="false">IF(ISBLANK($C72),"",IF(M72=Constants!$B$19,Constants!$B$19,Constants!$B$18))</f>
        <v/>
      </c>
      <c r="AD72" s="87" t="str">
        <f aca="false">IF(ISBLANK($C72),"",IF(ISNUMBER(N72),IF(N72&gt;=0,N72,""),""))</f>
        <v/>
      </c>
      <c r="AE72" s="87" t="str">
        <f aca="false">IF(ISBLANK($C72),"",IF(O72=Constants!$B$19,Constants!$B$19,Constants!$B$18))</f>
        <v/>
      </c>
      <c r="AF72" s="87" t="str">
        <f aca="false">IF(ISBLANK($C72),"",IF(ISNUMBER(P72),IF(P72&gt;=0,P72,""),""))</f>
        <v/>
      </c>
      <c r="AG72" s="87" t="str">
        <f aca="false">IF(ISBLANK($C72),"",IF(Q72=Constants!$B$19,Constants!$B$19,Constants!$B$18))</f>
        <v/>
      </c>
      <c r="AH72" s="87" t="str">
        <f aca="false">IF(ISBLANK($C72),"",IF(ISNUMBER(R72),IF(R72&gt;=0,R72,""),""))</f>
        <v/>
      </c>
      <c r="AI72" s="87" t="str">
        <f aca="false">IF(ISBLANK($C72),"",IF(S72=Constants!$B$2, TRUE(), IF(S72=Constants!$B$3, FALSE(), FALSE())))</f>
        <v/>
      </c>
      <c r="AJ72" s="87" t="str">
        <f aca="false">IF(ISBLANK($C72),"",IF(AI72,Constants!$B$4,IF(COUNTA(E72:R72)=0,Constants!$B$5,IF(COUNTA(J72,L72,N72,P72,R72)=0,Constants!$B$6,Constants!$B$7))))</f>
        <v/>
      </c>
      <c r="AK72" s="87" t="str">
        <f aca="false">IF(ISBLANK($C72),"",IF($AJ72&lt;&gt;Constants!$B$7,$AJ72,IF(OR(NOT(X72),AND(NOT(U72),COUNTIFS(Y72:AG72,Constants!$B$18,Z72:AH72,"&gt;=0")&gt;0),AND(NOT(V72),COUNTIFS(Y72:AG72,Constants!$B$19,Z72:AH72,"&gt;=0")&gt;0)),Constants!$B$12,Constants!$B$11)))</f>
        <v/>
      </c>
      <c r="AL72" s="87" t="str">
        <f aca="false">IF($AJ72=Constants!$B$7,IF(Z72="",Constants!$B$13,Z72),"")</f>
        <v/>
      </c>
      <c r="AM72" s="87" t="str">
        <f aca="false">IF($AJ72=Constants!$B$7,IF(AB72="",Constants!$B$13,AB72),"")</f>
        <v/>
      </c>
      <c r="AN72" s="87" t="str">
        <f aca="false">IF($AJ72=Constants!$B$7,IF(AD72="",Constants!$B$13,AD72),"")</f>
        <v/>
      </c>
      <c r="AO72" s="87" t="str">
        <f aca="false">IF($AJ72=Constants!$B$7,IF(AF72="",Constants!$B$13,AF72),"")</f>
        <v/>
      </c>
      <c r="AP72" s="87" t="str">
        <f aca="false">IF($AJ72=Constants!$B$7,IF(AH72="",Constants!$B$13,AH72),"")</f>
        <v/>
      </c>
      <c r="AQ72" s="87" t="str">
        <f aca="false">IF($AJ72=Constants!$B$7,IF(SUMPRODUCT(--($AL72:$AP72&gt;AL72))+SUMPRODUCT(--($AL72:AL72=AL72))=1,1,IF(SUMPRODUCT(--($AL72:$AP72&gt;AM72))+SUMPRODUCT(--($AL72:AM72=AM72))=1,2,IF(SUMPRODUCT(--($AL72:$AP72&gt;AN72))+SUMPRODUCT(--($AL72:AN72=AN72))=1,3,IF(SUMPRODUCT(--($AL72:$AP72&gt;AO72))+SUMPRODUCT(--($AL72:AO72=AO72))=1,4,5)))),"")</f>
        <v/>
      </c>
      <c r="AR72" s="87" t="str">
        <f aca="false">IF($AJ72=Constants!$B$7,IF(SUMPRODUCT(--($AL72:$AP72&gt;AL72))+SUMPRODUCT(--($AL72:AL72=AL72))=2,1,IF(SUMPRODUCT(--($AL72:$AP72&gt;AM72))+SUMPRODUCT(--($AL72:AM72=AM72))=2,2,IF(SUMPRODUCT(--($AL72:$AP72&gt;AN72))+SUMPRODUCT(--($AL72:AN72=AN72))=2,3,IF(SUMPRODUCT(--($AL72:$AP72&gt;AO72))+SUMPRODUCT(--($AL72:AO72=AO72))=2,4,5)))),"")</f>
        <v/>
      </c>
      <c r="AS72" s="87" t="str">
        <f aca="false">IF($AJ72=Constants!$B$7,IF(SUMPRODUCT(--($AL72:$AP72&gt;AL72))+SUMPRODUCT(--($AL72:AL72=AL72))=3,1,IF(SUMPRODUCT(--($AL72:$AP72&gt;AM72))+SUMPRODUCT(--($AL72:AM72=AM72))=3,2,IF(SUMPRODUCT(--($AL72:$AP72&gt;AN72))+SUMPRODUCT(--($AL72:AN72=AN72))=3,3,IF(SUMPRODUCT(--($AL72:$AP72&gt;AO72))+SUMPRODUCT(--($AL72:AO72=AO72))=3,4,5)))),"")</f>
        <v/>
      </c>
      <c r="AT72" s="87" t="str">
        <f aca="false">IF($AJ72=Constants!$B$7,LARGE(AL72:AP72,1)+LARGE(AL72:AP72,2)+LARGE(AL72:AP72,3),"")</f>
        <v/>
      </c>
      <c r="AU72" s="87" t="str">
        <f aca="false">IF(ISBLANK($C72),"",IF($AJ72&lt;&gt;Constants!$B$7,$AJ72,AT72*W72))</f>
        <v/>
      </c>
      <c r="AV72" s="87" t="str">
        <f aca="false">IF(ISBLANK($C72),"",IF($AJ72=Constants!$B$7,IF(ISNUMBER(AU72),RANK(AU72,$AU$8:$AU$507),Constants!$B$14),$AJ72))</f>
        <v/>
      </c>
      <c r="AW72" s="87" t="str">
        <f aca="false">IF(ISBLANK($C72),"",IF($AJ72=Constants!$B$7,IF(ISNUMBER(AV72),COUNTIFS($AK$8:$AK$507,"&lt;"&amp;$AK72)+COUNTIFS($AK$8:$AK$507,$AK72,$AV$8:$AV$507,"&lt;"&amp;$AV72)+1,Constants!$B$14),$AJ72))</f>
        <v/>
      </c>
      <c r="AX72" s="87" t="str">
        <f aca="false">IF(ISBLANK($C72),"",IF($AJ72=Constants!$B$7,LARGE(AL72:AP72,4)*W72,""))</f>
        <v/>
      </c>
      <c r="AY72" s="87" t="str">
        <f aca="false">IF(ISBLANK($C72),"",IF($AJ72=Constants!$B$7,RANK(AX72,$AX$8:$AX$507),$AJ72))</f>
        <v/>
      </c>
      <c r="AZ72" s="87" t="str">
        <f aca="false">IF(ISBLANK($C72),"",IF($AJ72=Constants!$B$7,IF(ISNUMBER(AV72),COUNTIFS($AK$8:$AK$507,"&lt;"&amp;$AK72)+COUNTIFS($AK$8:$AK$507,$AK72,$AV$8:$AV$507,"&lt;"&amp;$AV72)+COUNTIFS($AK$8:$AK$507,$AK72,$AV$8:$AV$507,$AV72,$AY$8:$AY$507,"&lt;"&amp;$AY72)+1,Constants!$B$14),$AJ72))</f>
        <v/>
      </c>
      <c r="BA72" s="87" t="str">
        <f aca="false">IF(ISBLANK($C72),"",IF($AJ72=Constants!$B$7,IF(ISNUMBER(AW72),AW72-AZ72,Constants!$B$14),$AJ72))</f>
        <v/>
      </c>
      <c r="BB72" s="88"/>
      <c r="BC72" s="89" t="str">
        <f aca="false">IF(ISBLANK($C72),"",IF($AJ72&lt;&gt;Constants!$B$7,$AJ72,SMALL(AQ72:AS72,1)&amp;", "&amp;SMALL(AQ72:AS72,2)&amp;", "&amp;SMALL(AQ72:AS72,3)))</f>
        <v/>
      </c>
      <c r="BD72" s="90" t="str">
        <f aca="false">IF(ISBLANK($C72),"",IF($AJ72&lt;&gt;Constants!$B$7,$AJ72,W72))</f>
        <v/>
      </c>
      <c r="BE72" s="91" t="str">
        <f aca="false">IF(ISBLANK($C72),"",IF($AJ72&lt;&gt;Constants!$B$7,$AJ72,AU72))</f>
        <v/>
      </c>
      <c r="BF72" s="92" t="str">
        <f aca="false">IF(ISBLANK($C72),"",IF($AJ72&lt;&gt;Constants!$B$7,$AJ72,AK72))</f>
        <v/>
      </c>
      <c r="BG72" s="90" t="str">
        <f aca="false">IF(ISBLANK($C72),"",BA72)</f>
        <v/>
      </c>
      <c r="BH72" s="90" t="str">
        <f aca="false">IF(ISBLANK($C72),"",AZ72)</f>
        <v/>
      </c>
      <c r="BI72" s="93" t="str">
        <f aca="false">IF(ISBLANK($C72),"",IF(BH72=Constants!$B$4,COUNTA($C$8:$C$507)+2,IF(BH72=Constants!$B$5,COUNTA($C$8:$C$507)+1,IF(BH72=Constants!$B$6,COUNTA($C$8:$C$507),BH72))))</f>
        <v/>
      </c>
      <c r="BJ72" s="5"/>
      <c r="BK72" s="94" t="n">
        <f aca="false">IF(OR(ISNUMBER(BH72),BH72=Constants!$B$4,BH72=Constants!$B$6,BH72=Constants!$B$5),1,0)</f>
        <v>0</v>
      </c>
      <c r="BL72" s="94" t="n">
        <v>65</v>
      </c>
      <c r="BM72" s="94" t="str">
        <f aca="false">IF(ISBLANK($C72),"",IF(ISNUMBER(BI72),BI72+ROW($B72)/1000,""))</f>
        <v/>
      </c>
      <c r="BN72" s="94" t="str">
        <f aca="false">IF(ISNUMBER(BM72),RANK(BM72,$BM$8:$BM$507,1),"")</f>
        <v/>
      </c>
      <c r="BO72" s="94" t="str">
        <f aca="false">IF(ISBLANK($C72),"",$B72)</f>
        <v/>
      </c>
      <c r="BP72" s="94" t="str">
        <f aca="false">IF(ISBLANK($C72),"",$C72)</f>
        <v/>
      </c>
      <c r="BQ72" s="94" t="str">
        <f aca="false">IF(ISBLANK($C72),"",$D72)</f>
        <v/>
      </c>
      <c r="BR72" s="95" t="str">
        <f aca="false">BF72</f>
        <v/>
      </c>
      <c r="BS72" s="96" t="str">
        <f aca="false">BE72</f>
        <v/>
      </c>
      <c r="BT72" s="94" t="str">
        <f aca="false">IF(ISBLANK($C72),"",BH72)</f>
        <v/>
      </c>
      <c r="BU72" s="97" t="str">
        <f aca="false">IF($BL72&gt;$BK$7,"",VLOOKUP($BL72,$BN$8:$BT$507,7,FALSE()))</f>
        <v/>
      </c>
      <c r="BV72" s="98" t="str">
        <f aca="false">IF($BL72&gt;$BK$7,"",VLOOKUP($BL72,$BN$8:$BT$507,2,FALSE()))</f>
        <v/>
      </c>
      <c r="BW72" s="98" t="str">
        <f aca="false">IF($BL72&gt;$BK$7,"",VLOOKUP($BL72,$BN$8:$BT$507,3,FALSE()))</f>
        <v/>
      </c>
      <c r="BX72" s="98" t="str">
        <f aca="false">IF($BL72&gt;$BK$7,"",VLOOKUP($BL72,$BN$8:$BT$507,4,FALSE()))</f>
        <v/>
      </c>
      <c r="BY72" s="98" t="str">
        <f aca="false">IF($BL72&gt;$BK$7,"",VLOOKUP($BL72,$BN$8:$BT$507,5,FALSE()))</f>
        <v/>
      </c>
      <c r="BZ72" s="99" t="str">
        <f aca="false">IF($BL72&gt;$BK$7,"",VLOOKUP($BL72,$BN$8:$BT$507,6,FALSE()))</f>
        <v/>
      </c>
      <c r="CA72" s="48"/>
    </row>
    <row r="73" customFormat="false" ht="15.75" hidden="false" customHeight="false" outlineLevel="0" collapsed="false">
      <c r="A73" s="5"/>
      <c r="B73" s="114"/>
      <c r="C73" s="115"/>
      <c r="D73" s="100"/>
      <c r="E73" s="120"/>
      <c r="F73" s="125"/>
      <c r="G73" s="82"/>
      <c r="H73" s="126"/>
      <c r="I73" s="127"/>
      <c r="J73" s="82"/>
      <c r="K73" s="126"/>
      <c r="L73" s="82"/>
      <c r="M73" s="126"/>
      <c r="N73" s="82"/>
      <c r="O73" s="126"/>
      <c r="P73" s="82"/>
      <c r="Q73" s="126"/>
      <c r="R73" s="82"/>
      <c r="S73" s="120"/>
      <c r="T73" s="86"/>
      <c r="U73" s="87" t="str">
        <f aca="false">IF(ISBLANK($C73),"",IF(E73=Constants!$B$2, TRUE(), IF(E73=Constants!$B$3, FALSE(), TRUE())))</f>
        <v/>
      </c>
      <c r="V73" s="87" t="str">
        <f aca="false">IF(ISBLANK($C73),"",IF(F73=Constants!$B$2, TRUE(), IF(F73=Constants!$B$3, FALSE(), TRUE())))</f>
        <v/>
      </c>
      <c r="W73" s="87" t="str">
        <f aca="false">IF(ISBLANK($C73),"",IF(G73=Constants!$B$15,Constants!$B$8,IF(G73=Constants!$B$16,Constants!$B$9,Constants!$B$10)))</f>
        <v/>
      </c>
      <c r="X73" s="87" t="str">
        <f aca="false">IF(ISBLANK($C73),"",IF(H73=Constants!$B$2, TRUE(), IF(H73=Constants!$B$3, FALSE(), TRUE())))</f>
        <v/>
      </c>
      <c r="Y73" s="87" t="str">
        <f aca="false">IF(ISBLANK($C73),"",IF(I73=Constants!$B$19,Constants!$B$19,Constants!$B$18))</f>
        <v/>
      </c>
      <c r="Z73" s="87" t="str">
        <f aca="false">IF(ISBLANK($C73),"",IF(ISNUMBER(J73),IF(J73&gt;=0,J73,""),""))</f>
        <v/>
      </c>
      <c r="AA73" s="87" t="str">
        <f aca="false">IF(ISBLANK($C73),"",IF(K73=Constants!$B$19,Constants!$B$19,Constants!$B$18))</f>
        <v/>
      </c>
      <c r="AB73" s="87" t="str">
        <f aca="false">IF(ISBLANK($C73),"",IF(ISNUMBER(L73),IF(L73&gt;=0,L73,""),""))</f>
        <v/>
      </c>
      <c r="AC73" s="87" t="str">
        <f aca="false">IF(ISBLANK($C73),"",IF(M73=Constants!$B$19,Constants!$B$19,Constants!$B$18))</f>
        <v/>
      </c>
      <c r="AD73" s="87" t="str">
        <f aca="false">IF(ISBLANK($C73),"",IF(ISNUMBER(N73),IF(N73&gt;=0,N73,""),""))</f>
        <v/>
      </c>
      <c r="AE73" s="87" t="str">
        <f aca="false">IF(ISBLANK($C73),"",IF(O73=Constants!$B$19,Constants!$B$19,Constants!$B$18))</f>
        <v/>
      </c>
      <c r="AF73" s="87" t="str">
        <f aca="false">IF(ISBLANK($C73),"",IF(ISNUMBER(P73),IF(P73&gt;=0,P73,""),""))</f>
        <v/>
      </c>
      <c r="AG73" s="87" t="str">
        <f aca="false">IF(ISBLANK($C73),"",IF(Q73=Constants!$B$19,Constants!$B$19,Constants!$B$18))</f>
        <v/>
      </c>
      <c r="AH73" s="87" t="str">
        <f aca="false">IF(ISBLANK($C73),"",IF(ISNUMBER(R73),IF(R73&gt;=0,R73,""),""))</f>
        <v/>
      </c>
      <c r="AI73" s="87" t="str">
        <f aca="false">IF(ISBLANK($C73),"",IF(S73=Constants!$B$2, TRUE(), IF(S73=Constants!$B$3, FALSE(), FALSE())))</f>
        <v/>
      </c>
      <c r="AJ73" s="87" t="str">
        <f aca="false">IF(ISBLANK($C73),"",IF(AI73,Constants!$B$4,IF(COUNTA(E73:R73)=0,Constants!$B$5,IF(COUNTA(J73,L73,N73,P73,R73)=0,Constants!$B$6,Constants!$B$7))))</f>
        <v/>
      </c>
      <c r="AK73" s="87" t="str">
        <f aca="false">IF(ISBLANK($C73),"",IF($AJ73&lt;&gt;Constants!$B$7,$AJ73,IF(OR(NOT(X73),AND(NOT(U73),COUNTIFS(Y73:AG73,Constants!$B$18,Z73:AH73,"&gt;=0")&gt;0),AND(NOT(V73),COUNTIFS(Y73:AG73,Constants!$B$19,Z73:AH73,"&gt;=0")&gt;0)),Constants!$B$12,Constants!$B$11)))</f>
        <v/>
      </c>
      <c r="AL73" s="87" t="str">
        <f aca="false">IF($AJ73=Constants!$B$7,IF(Z73="",Constants!$B$13,Z73),"")</f>
        <v/>
      </c>
      <c r="AM73" s="87" t="str">
        <f aca="false">IF($AJ73=Constants!$B$7,IF(AB73="",Constants!$B$13,AB73),"")</f>
        <v/>
      </c>
      <c r="AN73" s="87" t="str">
        <f aca="false">IF($AJ73=Constants!$B$7,IF(AD73="",Constants!$B$13,AD73),"")</f>
        <v/>
      </c>
      <c r="AO73" s="87" t="str">
        <f aca="false">IF($AJ73=Constants!$B$7,IF(AF73="",Constants!$B$13,AF73),"")</f>
        <v/>
      </c>
      <c r="AP73" s="87" t="str">
        <f aca="false">IF($AJ73=Constants!$B$7,IF(AH73="",Constants!$B$13,AH73),"")</f>
        <v/>
      </c>
      <c r="AQ73" s="87" t="str">
        <f aca="false">IF($AJ73=Constants!$B$7,IF(SUMPRODUCT(--($AL73:$AP73&gt;AL73))+SUMPRODUCT(--($AL73:AL73=AL73))=1,1,IF(SUMPRODUCT(--($AL73:$AP73&gt;AM73))+SUMPRODUCT(--($AL73:AM73=AM73))=1,2,IF(SUMPRODUCT(--($AL73:$AP73&gt;AN73))+SUMPRODUCT(--($AL73:AN73=AN73))=1,3,IF(SUMPRODUCT(--($AL73:$AP73&gt;AO73))+SUMPRODUCT(--($AL73:AO73=AO73))=1,4,5)))),"")</f>
        <v/>
      </c>
      <c r="AR73" s="87" t="str">
        <f aca="false">IF($AJ73=Constants!$B$7,IF(SUMPRODUCT(--($AL73:$AP73&gt;AL73))+SUMPRODUCT(--($AL73:AL73=AL73))=2,1,IF(SUMPRODUCT(--($AL73:$AP73&gt;AM73))+SUMPRODUCT(--($AL73:AM73=AM73))=2,2,IF(SUMPRODUCT(--($AL73:$AP73&gt;AN73))+SUMPRODUCT(--($AL73:AN73=AN73))=2,3,IF(SUMPRODUCT(--($AL73:$AP73&gt;AO73))+SUMPRODUCT(--($AL73:AO73=AO73))=2,4,5)))),"")</f>
        <v/>
      </c>
      <c r="AS73" s="87" t="str">
        <f aca="false">IF($AJ73=Constants!$B$7,IF(SUMPRODUCT(--($AL73:$AP73&gt;AL73))+SUMPRODUCT(--($AL73:AL73=AL73))=3,1,IF(SUMPRODUCT(--($AL73:$AP73&gt;AM73))+SUMPRODUCT(--($AL73:AM73=AM73))=3,2,IF(SUMPRODUCT(--($AL73:$AP73&gt;AN73))+SUMPRODUCT(--($AL73:AN73=AN73))=3,3,IF(SUMPRODUCT(--($AL73:$AP73&gt;AO73))+SUMPRODUCT(--($AL73:AO73=AO73))=3,4,5)))),"")</f>
        <v/>
      </c>
      <c r="AT73" s="87" t="str">
        <f aca="false">IF($AJ73=Constants!$B$7,LARGE(AL73:AP73,1)+LARGE(AL73:AP73,2)+LARGE(AL73:AP73,3),"")</f>
        <v/>
      </c>
      <c r="AU73" s="87" t="str">
        <f aca="false">IF(ISBLANK($C73),"",IF($AJ73&lt;&gt;Constants!$B$7,$AJ73,AT73*W73))</f>
        <v/>
      </c>
      <c r="AV73" s="87" t="str">
        <f aca="false">IF(ISBLANK($C73),"",IF($AJ73=Constants!$B$7,IF(ISNUMBER(AU73),RANK(AU73,$AU$8:$AU$507),Constants!$B$14),$AJ73))</f>
        <v/>
      </c>
      <c r="AW73" s="87" t="str">
        <f aca="false">IF(ISBLANK($C73),"",IF($AJ73=Constants!$B$7,IF(ISNUMBER(AV73),COUNTIFS($AK$8:$AK$507,"&lt;"&amp;$AK73)+COUNTIFS($AK$8:$AK$507,$AK73,$AV$8:$AV$507,"&lt;"&amp;$AV73)+1,Constants!$B$14),$AJ73))</f>
        <v/>
      </c>
      <c r="AX73" s="87" t="str">
        <f aca="false">IF(ISBLANK($C73),"",IF($AJ73=Constants!$B$7,LARGE(AL73:AP73,4)*W73,""))</f>
        <v/>
      </c>
      <c r="AY73" s="87" t="str">
        <f aca="false">IF(ISBLANK($C73),"",IF($AJ73=Constants!$B$7,RANK(AX73,$AX$8:$AX$507),$AJ73))</f>
        <v/>
      </c>
      <c r="AZ73" s="87" t="str">
        <f aca="false">IF(ISBLANK($C73),"",IF($AJ73=Constants!$B$7,IF(ISNUMBER(AV73),COUNTIFS($AK$8:$AK$507,"&lt;"&amp;$AK73)+COUNTIFS($AK$8:$AK$507,$AK73,$AV$8:$AV$507,"&lt;"&amp;$AV73)+COUNTIFS($AK$8:$AK$507,$AK73,$AV$8:$AV$507,$AV73,$AY$8:$AY$507,"&lt;"&amp;$AY73)+1,Constants!$B$14),$AJ73))</f>
        <v/>
      </c>
      <c r="BA73" s="87" t="str">
        <f aca="false">IF(ISBLANK($C73),"",IF($AJ73=Constants!$B$7,IF(ISNUMBER(AW73),AW73-AZ73,Constants!$B$14),$AJ73))</f>
        <v/>
      </c>
      <c r="BB73" s="88"/>
      <c r="BC73" s="89" t="str">
        <f aca="false">IF(ISBLANK($C73),"",IF($AJ73&lt;&gt;Constants!$B$7,$AJ73,SMALL(AQ73:AS73,1)&amp;", "&amp;SMALL(AQ73:AS73,2)&amp;", "&amp;SMALL(AQ73:AS73,3)))</f>
        <v/>
      </c>
      <c r="BD73" s="90" t="str">
        <f aca="false">IF(ISBLANK($C73),"",IF($AJ73&lt;&gt;Constants!$B$7,$AJ73,W73))</f>
        <v/>
      </c>
      <c r="BE73" s="91" t="str">
        <f aca="false">IF(ISBLANK($C73),"",IF($AJ73&lt;&gt;Constants!$B$7,$AJ73,AU73))</f>
        <v/>
      </c>
      <c r="BF73" s="92" t="str">
        <f aca="false">IF(ISBLANK($C73),"",IF($AJ73&lt;&gt;Constants!$B$7,$AJ73,AK73))</f>
        <v/>
      </c>
      <c r="BG73" s="90" t="str">
        <f aca="false">IF(ISBLANK($C73),"",BA73)</f>
        <v/>
      </c>
      <c r="BH73" s="90" t="str">
        <f aca="false">IF(ISBLANK($C73),"",AZ73)</f>
        <v/>
      </c>
      <c r="BI73" s="93" t="str">
        <f aca="false">IF(ISBLANK($C73),"",IF(BH73=Constants!$B$4,COUNTA($C$8:$C$507)+2,IF(BH73=Constants!$B$5,COUNTA($C$8:$C$507)+1,IF(BH73=Constants!$B$6,COUNTA($C$8:$C$507),BH73))))</f>
        <v/>
      </c>
      <c r="BJ73" s="5"/>
      <c r="BK73" s="94" t="n">
        <f aca="false">IF(OR(ISNUMBER(BH73),BH73=Constants!$B$4,BH73=Constants!$B$6,BH73=Constants!$B$5),1,0)</f>
        <v>0</v>
      </c>
      <c r="BL73" s="94" t="n">
        <v>66</v>
      </c>
      <c r="BM73" s="94" t="str">
        <f aca="false">IF(ISBLANK($C73),"",IF(ISNUMBER(BI73),BI73+ROW($B73)/1000,""))</f>
        <v/>
      </c>
      <c r="BN73" s="94" t="str">
        <f aca="false">IF(ISNUMBER(BM73),RANK(BM73,$BM$8:$BM$507,1),"")</f>
        <v/>
      </c>
      <c r="BO73" s="94" t="str">
        <f aca="false">IF(ISBLANK($C73),"",$B73)</f>
        <v/>
      </c>
      <c r="BP73" s="94" t="str">
        <f aca="false">IF(ISBLANK($C73),"",$C73)</f>
        <v/>
      </c>
      <c r="BQ73" s="94" t="str">
        <f aca="false">IF(ISBLANK($C73),"",$D73)</f>
        <v/>
      </c>
      <c r="BR73" s="95" t="str">
        <f aca="false">BF73</f>
        <v/>
      </c>
      <c r="BS73" s="96" t="str">
        <f aca="false">BE73</f>
        <v/>
      </c>
      <c r="BT73" s="94" t="str">
        <f aca="false">IF(ISBLANK($C73),"",BH73)</f>
        <v/>
      </c>
      <c r="BU73" s="97" t="str">
        <f aca="false">IF($BL73&gt;$BK$7,"",VLOOKUP($BL73,$BN$8:$BT$507,7,FALSE()))</f>
        <v/>
      </c>
      <c r="BV73" s="98" t="str">
        <f aca="false">IF($BL73&gt;$BK$7,"",VLOOKUP($BL73,$BN$8:$BT$507,2,FALSE()))</f>
        <v/>
      </c>
      <c r="BW73" s="98" t="str">
        <f aca="false">IF($BL73&gt;$BK$7,"",VLOOKUP($BL73,$BN$8:$BT$507,3,FALSE()))</f>
        <v/>
      </c>
      <c r="BX73" s="98" t="str">
        <f aca="false">IF($BL73&gt;$BK$7,"",VLOOKUP($BL73,$BN$8:$BT$507,4,FALSE()))</f>
        <v/>
      </c>
      <c r="BY73" s="98" t="str">
        <f aca="false">IF($BL73&gt;$BK$7,"",VLOOKUP($BL73,$BN$8:$BT$507,5,FALSE()))</f>
        <v/>
      </c>
      <c r="BZ73" s="99" t="str">
        <f aca="false">IF($BL73&gt;$BK$7,"",VLOOKUP($BL73,$BN$8:$BT$507,6,FALSE()))</f>
        <v/>
      </c>
      <c r="CA73" s="48"/>
    </row>
    <row r="74" customFormat="false" ht="15.75" hidden="false" customHeight="false" outlineLevel="0" collapsed="false">
      <c r="A74" s="5"/>
      <c r="B74" s="121"/>
      <c r="C74" s="50"/>
      <c r="D74" s="51"/>
      <c r="E74" s="74"/>
      <c r="F74" s="122"/>
      <c r="G74" s="54"/>
      <c r="H74" s="123"/>
      <c r="I74" s="124"/>
      <c r="J74" s="54"/>
      <c r="K74" s="123"/>
      <c r="L74" s="54"/>
      <c r="M74" s="123"/>
      <c r="N74" s="54"/>
      <c r="O74" s="123"/>
      <c r="P74" s="54"/>
      <c r="Q74" s="123"/>
      <c r="R74" s="54"/>
      <c r="S74" s="74"/>
      <c r="T74" s="58"/>
      <c r="U74" s="59" t="str">
        <f aca="false">IF(ISBLANK($C74),"",IF(E74=Constants!$B$2, TRUE(), IF(E74=Constants!$B$3, FALSE(), TRUE())))</f>
        <v/>
      </c>
      <c r="V74" s="59" t="str">
        <f aca="false">IF(ISBLANK($C74),"",IF(F74=Constants!$B$2, TRUE(), IF(F74=Constants!$B$3, FALSE(), TRUE())))</f>
        <v/>
      </c>
      <c r="W74" s="59" t="str">
        <f aca="false">IF(ISBLANK($C74),"",IF(G74=Constants!$B$15,Constants!$B$8,IF(G74=Constants!$B$16,Constants!$B$9,Constants!$B$10)))</f>
        <v/>
      </c>
      <c r="X74" s="59" t="str">
        <f aca="false">IF(ISBLANK($C74),"",IF(H74=Constants!$B$2, TRUE(), IF(H74=Constants!$B$3, FALSE(), TRUE())))</f>
        <v/>
      </c>
      <c r="Y74" s="59" t="str">
        <f aca="false">IF(ISBLANK($C74),"",IF(I74=Constants!$B$19,Constants!$B$19,Constants!$B$18))</f>
        <v/>
      </c>
      <c r="Z74" s="59" t="str">
        <f aca="false">IF(ISBLANK($C74),"",IF(ISNUMBER(J74),IF(J74&gt;=0,J74,""),""))</f>
        <v/>
      </c>
      <c r="AA74" s="59" t="str">
        <f aca="false">IF(ISBLANK($C74),"",IF(K74=Constants!$B$19,Constants!$B$19,Constants!$B$18))</f>
        <v/>
      </c>
      <c r="AB74" s="59" t="str">
        <f aca="false">IF(ISBLANK($C74),"",IF(ISNUMBER(L74),IF(L74&gt;=0,L74,""),""))</f>
        <v/>
      </c>
      <c r="AC74" s="59" t="str">
        <f aca="false">IF(ISBLANK($C74),"",IF(M74=Constants!$B$19,Constants!$B$19,Constants!$B$18))</f>
        <v/>
      </c>
      <c r="AD74" s="59" t="str">
        <f aca="false">IF(ISBLANK($C74),"",IF(ISNUMBER(N74),IF(N74&gt;=0,N74,""),""))</f>
        <v/>
      </c>
      <c r="AE74" s="59" t="str">
        <f aca="false">IF(ISBLANK($C74),"",IF(O74=Constants!$B$19,Constants!$B$19,Constants!$B$18))</f>
        <v/>
      </c>
      <c r="AF74" s="59" t="str">
        <f aca="false">IF(ISBLANK($C74),"",IF(ISNUMBER(P74),IF(P74&gt;=0,P74,""),""))</f>
        <v/>
      </c>
      <c r="AG74" s="59" t="str">
        <f aca="false">IF(ISBLANK($C74),"",IF(Q74=Constants!$B$19,Constants!$B$19,Constants!$B$18))</f>
        <v/>
      </c>
      <c r="AH74" s="59" t="str">
        <f aca="false">IF(ISBLANK($C74),"",IF(ISNUMBER(R74),IF(R74&gt;=0,R74,""),""))</f>
        <v/>
      </c>
      <c r="AI74" s="59" t="str">
        <f aca="false">IF(ISBLANK($C74),"",IF(S74=Constants!$B$2, TRUE(), IF(S74=Constants!$B$3, FALSE(), FALSE())))</f>
        <v/>
      </c>
      <c r="AJ74" s="59" t="str">
        <f aca="false">IF(ISBLANK($C74),"",IF(AI74,Constants!$B$4,IF(COUNTA(E74:R74)=0,Constants!$B$5,IF(COUNTA(J74,L74,N74,P74,R74)=0,Constants!$B$6,Constants!$B$7))))</f>
        <v/>
      </c>
      <c r="AK74" s="59" t="str">
        <f aca="false">IF(ISBLANK($C74),"",IF($AJ74&lt;&gt;Constants!$B$7,$AJ74,IF(OR(NOT(X74),AND(NOT(U74),COUNTIFS(Y74:AG74,Constants!$B$18,Z74:AH74,"&gt;=0")&gt;0),AND(NOT(V74),COUNTIFS(Y74:AG74,Constants!$B$19,Z74:AH74,"&gt;=0")&gt;0)),Constants!$B$12,Constants!$B$11)))</f>
        <v/>
      </c>
      <c r="AL74" s="59" t="str">
        <f aca="false">IF($AJ74=Constants!$B$7,IF(Z74="",Constants!$B$13,Z74),"")</f>
        <v/>
      </c>
      <c r="AM74" s="59" t="str">
        <f aca="false">IF($AJ74=Constants!$B$7,IF(AB74="",Constants!$B$13,AB74),"")</f>
        <v/>
      </c>
      <c r="AN74" s="59" t="str">
        <f aca="false">IF($AJ74=Constants!$B$7,IF(AD74="",Constants!$B$13,AD74),"")</f>
        <v/>
      </c>
      <c r="AO74" s="59" t="str">
        <f aca="false">IF($AJ74=Constants!$B$7,IF(AF74="",Constants!$B$13,AF74),"")</f>
        <v/>
      </c>
      <c r="AP74" s="59" t="str">
        <f aca="false">IF($AJ74=Constants!$B$7,IF(AH74="",Constants!$B$13,AH74),"")</f>
        <v/>
      </c>
      <c r="AQ74" s="59" t="str">
        <f aca="false">IF($AJ74=Constants!$B$7,IF(SUMPRODUCT(--($AL74:$AP74&gt;AL74))+SUMPRODUCT(--($AL74:AL74=AL74))=1,1,IF(SUMPRODUCT(--($AL74:$AP74&gt;AM74))+SUMPRODUCT(--($AL74:AM74=AM74))=1,2,IF(SUMPRODUCT(--($AL74:$AP74&gt;AN74))+SUMPRODUCT(--($AL74:AN74=AN74))=1,3,IF(SUMPRODUCT(--($AL74:$AP74&gt;AO74))+SUMPRODUCT(--($AL74:AO74=AO74))=1,4,5)))),"")</f>
        <v/>
      </c>
      <c r="AR74" s="59" t="str">
        <f aca="false">IF($AJ74=Constants!$B$7,IF(SUMPRODUCT(--($AL74:$AP74&gt;AL74))+SUMPRODUCT(--($AL74:AL74=AL74))=2,1,IF(SUMPRODUCT(--($AL74:$AP74&gt;AM74))+SUMPRODUCT(--($AL74:AM74=AM74))=2,2,IF(SUMPRODUCT(--($AL74:$AP74&gt;AN74))+SUMPRODUCT(--($AL74:AN74=AN74))=2,3,IF(SUMPRODUCT(--($AL74:$AP74&gt;AO74))+SUMPRODUCT(--($AL74:AO74=AO74))=2,4,5)))),"")</f>
        <v/>
      </c>
      <c r="AS74" s="59" t="str">
        <f aca="false">IF($AJ74=Constants!$B$7,IF(SUMPRODUCT(--($AL74:$AP74&gt;AL74))+SUMPRODUCT(--($AL74:AL74=AL74))=3,1,IF(SUMPRODUCT(--($AL74:$AP74&gt;AM74))+SUMPRODUCT(--($AL74:AM74=AM74))=3,2,IF(SUMPRODUCT(--($AL74:$AP74&gt;AN74))+SUMPRODUCT(--($AL74:AN74=AN74))=3,3,IF(SUMPRODUCT(--($AL74:$AP74&gt;AO74))+SUMPRODUCT(--($AL74:AO74=AO74))=3,4,5)))),"")</f>
        <v/>
      </c>
      <c r="AT74" s="59" t="str">
        <f aca="false">IF($AJ74=Constants!$B$7,LARGE(AL74:AP74,1)+LARGE(AL74:AP74,2)+LARGE(AL74:AP74,3),"")</f>
        <v/>
      </c>
      <c r="AU74" s="59" t="str">
        <f aca="false">IF(ISBLANK($C74),"",IF($AJ74&lt;&gt;Constants!$B$7,$AJ74,AT74*W74))</f>
        <v/>
      </c>
      <c r="AV74" s="59" t="str">
        <f aca="false">IF(ISBLANK($C74),"",IF($AJ74=Constants!$B$7,IF(ISNUMBER(AU74),RANK(AU74,$AU$8:$AU$507),Constants!$B$14),$AJ74))</f>
        <v/>
      </c>
      <c r="AW74" s="59" t="str">
        <f aca="false">IF(ISBLANK($C74),"",IF($AJ74=Constants!$B$7,IF(ISNUMBER(AV74),COUNTIFS($AK$8:$AK$507,"&lt;"&amp;$AK74)+COUNTIFS($AK$8:$AK$507,$AK74,$AV$8:$AV$507,"&lt;"&amp;$AV74)+1,Constants!$B$14),$AJ74))</f>
        <v/>
      </c>
      <c r="AX74" s="59" t="str">
        <f aca="false">IF(ISBLANK($C74),"",IF($AJ74=Constants!$B$7,LARGE(AL74:AP74,4)*W74,""))</f>
        <v/>
      </c>
      <c r="AY74" s="59" t="str">
        <f aca="false">IF(ISBLANK($C74),"",IF($AJ74=Constants!$B$7,RANK(AX74,$AX$8:$AX$507),$AJ74))</f>
        <v/>
      </c>
      <c r="AZ74" s="59" t="str">
        <f aca="false">IF(ISBLANK($C74),"",IF($AJ74=Constants!$B$7,IF(ISNUMBER(AV74),COUNTIFS($AK$8:$AK$507,"&lt;"&amp;$AK74)+COUNTIFS($AK$8:$AK$507,$AK74,$AV$8:$AV$507,"&lt;"&amp;$AV74)+COUNTIFS($AK$8:$AK$507,$AK74,$AV$8:$AV$507,$AV74,$AY$8:$AY$507,"&lt;"&amp;$AY74)+1,Constants!$B$14),$AJ74))</f>
        <v/>
      </c>
      <c r="BA74" s="59" t="str">
        <f aca="false">IF(ISBLANK($C74),"",IF($AJ74=Constants!$B$7,IF(ISNUMBER(AW74),AW74-AZ74,Constants!$B$14),$AJ74))</f>
        <v/>
      </c>
      <c r="BB74" s="61"/>
      <c r="BC74" s="62" t="str">
        <f aca="false">IF(ISBLANK($C74),"",IF($AJ74&lt;&gt;Constants!$B$7,$AJ74,SMALL(AQ74:AS74,1)&amp;", "&amp;SMALL(AQ74:AS74,2)&amp;", "&amp;SMALL(AQ74:AS74,3)))</f>
        <v/>
      </c>
      <c r="BD74" s="63" t="str">
        <f aca="false">IF(ISBLANK($C74),"",IF($AJ74&lt;&gt;Constants!$B$7,$AJ74,W74))</f>
        <v/>
      </c>
      <c r="BE74" s="64" t="str">
        <f aca="false">IF(ISBLANK($C74),"",IF($AJ74&lt;&gt;Constants!$B$7,$AJ74,AU74))</f>
        <v/>
      </c>
      <c r="BF74" s="65" t="str">
        <f aca="false">IF(ISBLANK($C74),"",IF($AJ74&lt;&gt;Constants!$B$7,$AJ74,AK74))</f>
        <v/>
      </c>
      <c r="BG74" s="63" t="str">
        <f aca="false">IF(ISBLANK($C74),"",BA74)</f>
        <v/>
      </c>
      <c r="BH74" s="63" t="str">
        <f aca="false">IF(ISBLANK($C74),"",AZ74)</f>
        <v/>
      </c>
      <c r="BI74" s="66" t="str">
        <f aca="false">IF(ISBLANK($C74),"",IF(BH74=Constants!$B$4,COUNTA($C$8:$C$507)+2,IF(BH74=Constants!$B$5,COUNTA($C$8:$C$507)+1,IF(BH74=Constants!$B$6,COUNTA($C$8:$C$507),BH74))))</f>
        <v/>
      </c>
      <c r="BJ74" s="5"/>
      <c r="BK74" s="67" t="n">
        <f aca="false">IF(OR(ISNUMBER(BH74),BH74=Constants!$B$4,BH74=Constants!$B$6,BH74=Constants!$B$5),1,0)</f>
        <v>0</v>
      </c>
      <c r="BL74" s="67" t="n">
        <v>67</v>
      </c>
      <c r="BM74" s="67" t="str">
        <f aca="false">IF(ISBLANK($C74),"",IF(ISNUMBER(BI74),BI74+ROW($B74)/1000,""))</f>
        <v/>
      </c>
      <c r="BN74" s="67" t="str">
        <f aca="false">IF(ISNUMBER(BM74),RANK(BM74,$BM$8:$BM$507,1),"")</f>
        <v/>
      </c>
      <c r="BO74" s="67" t="str">
        <f aca="false">IF(ISBLANK($C74),"",$B74)</f>
        <v/>
      </c>
      <c r="BP74" s="67" t="str">
        <f aca="false">IF(ISBLANK($C74),"",$C74)</f>
        <v/>
      </c>
      <c r="BQ74" s="67" t="str">
        <f aca="false">IF(ISBLANK($C74),"",$D74)</f>
        <v/>
      </c>
      <c r="BR74" s="68" t="str">
        <f aca="false">BF74</f>
        <v/>
      </c>
      <c r="BS74" s="69" t="str">
        <f aca="false">BE74</f>
        <v/>
      </c>
      <c r="BT74" s="67" t="str">
        <f aca="false">IF(ISBLANK($C74),"",BH74)</f>
        <v/>
      </c>
      <c r="BU74" s="70" t="str">
        <f aca="false">IF($BL74&gt;$BK$7,"",VLOOKUP($BL74,$BN$8:$BT$507,7,FALSE()))</f>
        <v/>
      </c>
      <c r="BV74" s="71" t="str">
        <f aca="false">IF($BL74&gt;$BK$7,"",VLOOKUP($BL74,$BN$8:$BT$507,2,FALSE()))</f>
        <v/>
      </c>
      <c r="BW74" s="71" t="str">
        <f aca="false">IF($BL74&gt;$BK$7,"",VLOOKUP($BL74,$BN$8:$BT$507,3,FALSE()))</f>
        <v/>
      </c>
      <c r="BX74" s="71" t="str">
        <f aca="false">IF($BL74&gt;$BK$7,"",VLOOKUP($BL74,$BN$8:$BT$507,4,FALSE()))</f>
        <v/>
      </c>
      <c r="BY74" s="71" t="str">
        <f aca="false">IF($BL74&gt;$BK$7,"",VLOOKUP($BL74,$BN$8:$BT$507,5,FALSE()))</f>
        <v/>
      </c>
      <c r="BZ74" s="72" t="str">
        <f aca="false">IF($BL74&gt;$BK$7,"",VLOOKUP($BL74,$BN$8:$BT$507,6,FALSE()))</f>
        <v/>
      </c>
      <c r="CA74" s="48"/>
    </row>
    <row r="75" customFormat="false" ht="15.75" hidden="false" customHeight="false" outlineLevel="0" collapsed="false">
      <c r="A75" s="5"/>
      <c r="B75" s="121"/>
      <c r="C75" s="50"/>
      <c r="D75" s="51"/>
      <c r="E75" s="74"/>
      <c r="F75" s="122"/>
      <c r="G75" s="54"/>
      <c r="H75" s="123"/>
      <c r="I75" s="124"/>
      <c r="J75" s="54"/>
      <c r="K75" s="123"/>
      <c r="L75" s="54"/>
      <c r="M75" s="123"/>
      <c r="N75" s="54"/>
      <c r="O75" s="123"/>
      <c r="P75" s="54"/>
      <c r="Q75" s="123"/>
      <c r="R75" s="54"/>
      <c r="S75" s="74"/>
      <c r="T75" s="58"/>
      <c r="U75" s="59" t="str">
        <f aca="false">IF(ISBLANK($C75),"",IF(E75=Constants!$B$2, TRUE(), IF(E75=Constants!$B$3, FALSE(), TRUE())))</f>
        <v/>
      </c>
      <c r="V75" s="59" t="str">
        <f aca="false">IF(ISBLANK($C75),"",IF(F75=Constants!$B$2, TRUE(), IF(F75=Constants!$B$3, FALSE(), TRUE())))</f>
        <v/>
      </c>
      <c r="W75" s="59" t="str">
        <f aca="false">IF(ISBLANK($C75),"",IF(G75=Constants!$B$15,Constants!$B$8,IF(G75=Constants!$B$16,Constants!$B$9,Constants!$B$10)))</f>
        <v/>
      </c>
      <c r="X75" s="59" t="str">
        <f aca="false">IF(ISBLANK($C75),"",IF(H75=Constants!$B$2, TRUE(), IF(H75=Constants!$B$3, FALSE(), TRUE())))</f>
        <v/>
      </c>
      <c r="Y75" s="59" t="str">
        <f aca="false">IF(ISBLANK($C75),"",IF(I75=Constants!$B$19,Constants!$B$19,Constants!$B$18))</f>
        <v/>
      </c>
      <c r="Z75" s="59" t="str">
        <f aca="false">IF(ISBLANK($C75),"",IF(ISNUMBER(J75),IF(J75&gt;=0,J75,""),""))</f>
        <v/>
      </c>
      <c r="AA75" s="59" t="str">
        <f aca="false">IF(ISBLANK($C75),"",IF(K75=Constants!$B$19,Constants!$B$19,Constants!$B$18))</f>
        <v/>
      </c>
      <c r="AB75" s="59" t="str">
        <f aca="false">IF(ISBLANK($C75),"",IF(ISNUMBER(L75),IF(L75&gt;=0,L75,""),""))</f>
        <v/>
      </c>
      <c r="AC75" s="59" t="str">
        <f aca="false">IF(ISBLANK($C75),"",IF(M75=Constants!$B$19,Constants!$B$19,Constants!$B$18))</f>
        <v/>
      </c>
      <c r="AD75" s="59" t="str">
        <f aca="false">IF(ISBLANK($C75),"",IF(ISNUMBER(N75),IF(N75&gt;=0,N75,""),""))</f>
        <v/>
      </c>
      <c r="AE75" s="59" t="str">
        <f aca="false">IF(ISBLANK($C75),"",IF(O75=Constants!$B$19,Constants!$B$19,Constants!$B$18))</f>
        <v/>
      </c>
      <c r="AF75" s="59" t="str">
        <f aca="false">IF(ISBLANK($C75),"",IF(ISNUMBER(P75),IF(P75&gt;=0,P75,""),""))</f>
        <v/>
      </c>
      <c r="AG75" s="59" t="str">
        <f aca="false">IF(ISBLANK($C75),"",IF(Q75=Constants!$B$19,Constants!$B$19,Constants!$B$18))</f>
        <v/>
      </c>
      <c r="AH75" s="59" t="str">
        <f aca="false">IF(ISBLANK($C75),"",IF(ISNUMBER(R75),IF(R75&gt;=0,R75,""),""))</f>
        <v/>
      </c>
      <c r="AI75" s="59" t="str">
        <f aca="false">IF(ISBLANK($C75),"",IF(S75=Constants!$B$2, TRUE(), IF(S75=Constants!$B$3, FALSE(), FALSE())))</f>
        <v/>
      </c>
      <c r="AJ75" s="59" t="str">
        <f aca="false">IF(ISBLANK($C75),"",IF(AI75,Constants!$B$4,IF(COUNTA(E75:R75)=0,Constants!$B$5,IF(COUNTA(J75,L75,N75,P75,R75)=0,Constants!$B$6,Constants!$B$7))))</f>
        <v/>
      </c>
      <c r="AK75" s="59" t="str">
        <f aca="false">IF(ISBLANK($C75),"",IF($AJ75&lt;&gt;Constants!$B$7,$AJ75,IF(OR(NOT(X75),AND(NOT(U75),COUNTIFS(Y75:AG75,Constants!$B$18,Z75:AH75,"&gt;=0")&gt;0),AND(NOT(V75),COUNTIFS(Y75:AG75,Constants!$B$19,Z75:AH75,"&gt;=0")&gt;0)),Constants!$B$12,Constants!$B$11)))</f>
        <v/>
      </c>
      <c r="AL75" s="59" t="str">
        <f aca="false">IF($AJ75=Constants!$B$7,IF(Z75="",Constants!$B$13,Z75),"")</f>
        <v/>
      </c>
      <c r="AM75" s="59" t="str">
        <f aca="false">IF($AJ75=Constants!$B$7,IF(AB75="",Constants!$B$13,AB75),"")</f>
        <v/>
      </c>
      <c r="AN75" s="59" t="str">
        <f aca="false">IF($AJ75=Constants!$B$7,IF(AD75="",Constants!$B$13,AD75),"")</f>
        <v/>
      </c>
      <c r="AO75" s="59" t="str">
        <f aca="false">IF($AJ75=Constants!$B$7,IF(AF75="",Constants!$B$13,AF75),"")</f>
        <v/>
      </c>
      <c r="AP75" s="59" t="str">
        <f aca="false">IF($AJ75=Constants!$B$7,IF(AH75="",Constants!$B$13,AH75),"")</f>
        <v/>
      </c>
      <c r="AQ75" s="59" t="str">
        <f aca="false">IF($AJ75=Constants!$B$7,IF(SUMPRODUCT(--($AL75:$AP75&gt;AL75))+SUMPRODUCT(--($AL75:AL75=AL75))=1,1,IF(SUMPRODUCT(--($AL75:$AP75&gt;AM75))+SUMPRODUCT(--($AL75:AM75=AM75))=1,2,IF(SUMPRODUCT(--($AL75:$AP75&gt;AN75))+SUMPRODUCT(--($AL75:AN75=AN75))=1,3,IF(SUMPRODUCT(--($AL75:$AP75&gt;AO75))+SUMPRODUCT(--($AL75:AO75=AO75))=1,4,5)))),"")</f>
        <v/>
      </c>
      <c r="AR75" s="59" t="str">
        <f aca="false">IF($AJ75=Constants!$B$7,IF(SUMPRODUCT(--($AL75:$AP75&gt;AL75))+SUMPRODUCT(--($AL75:AL75=AL75))=2,1,IF(SUMPRODUCT(--($AL75:$AP75&gt;AM75))+SUMPRODUCT(--($AL75:AM75=AM75))=2,2,IF(SUMPRODUCT(--($AL75:$AP75&gt;AN75))+SUMPRODUCT(--($AL75:AN75=AN75))=2,3,IF(SUMPRODUCT(--($AL75:$AP75&gt;AO75))+SUMPRODUCT(--($AL75:AO75=AO75))=2,4,5)))),"")</f>
        <v/>
      </c>
      <c r="AS75" s="59" t="str">
        <f aca="false">IF($AJ75=Constants!$B$7,IF(SUMPRODUCT(--($AL75:$AP75&gt;AL75))+SUMPRODUCT(--($AL75:AL75=AL75))=3,1,IF(SUMPRODUCT(--($AL75:$AP75&gt;AM75))+SUMPRODUCT(--($AL75:AM75=AM75))=3,2,IF(SUMPRODUCT(--($AL75:$AP75&gt;AN75))+SUMPRODUCT(--($AL75:AN75=AN75))=3,3,IF(SUMPRODUCT(--($AL75:$AP75&gt;AO75))+SUMPRODUCT(--($AL75:AO75=AO75))=3,4,5)))),"")</f>
        <v/>
      </c>
      <c r="AT75" s="59" t="str">
        <f aca="false">IF($AJ75=Constants!$B$7,LARGE(AL75:AP75,1)+LARGE(AL75:AP75,2)+LARGE(AL75:AP75,3),"")</f>
        <v/>
      </c>
      <c r="AU75" s="59" t="str">
        <f aca="false">IF(ISBLANK($C75),"",IF($AJ75&lt;&gt;Constants!$B$7,$AJ75,AT75*W75))</f>
        <v/>
      </c>
      <c r="AV75" s="59" t="str">
        <f aca="false">IF(ISBLANK($C75),"",IF($AJ75=Constants!$B$7,IF(ISNUMBER(AU75),RANK(AU75,$AU$8:$AU$507),Constants!$B$14),$AJ75))</f>
        <v/>
      </c>
      <c r="AW75" s="59" t="str">
        <f aca="false">IF(ISBLANK($C75),"",IF($AJ75=Constants!$B$7,IF(ISNUMBER(AV75),COUNTIFS($AK$8:$AK$507,"&lt;"&amp;$AK75)+COUNTIFS($AK$8:$AK$507,$AK75,$AV$8:$AV$507,"&lt;"&amp;$AV75)+1,Constants!$B$14),$AJ75))</f>
        <v/>
      </c>
      <c r="AX75" s="59" t="str">
        <f aca="false">IF(ISBLANK($C75),"",IF($AJ75=Constants!$B$7,LARGE(AL75:AP75,4)*W75,""))</f>
        <v/>
      </c>
      <c r="AY75" s="59" t="str">
        <f aca="false">IF(ISBLANK($C75),"",IF($AJ75=Constants!$B$7,RANK(AX75,$AX$8:$AX$507),$AJ75))</f>
        <v/>
      </c>
      <c r="AZ75" s="59" t="str">
        <f aca="false">IF(ISBLANK($C75),"",IF($AJ75=Constants!$B$7,IF(ISNUMBER(AV75),COUNTIFS($AK$8:$AK$507,"&lt;"&amp;$AK75)+COUNTIFS($AK$8:$AK$507,$AK75,$AV$8:$AV$507,"&lt;"&amp;$AV75)+COUNTIFS($AK$8:$AK$507,$AK75,$AV$8:$AV$507,$AV75,$AY$8:$AY$507,"&lt;"&amp;$AY75)+1,Constants!$B$14),$AJ75))</f>
        <v/>
      </c>
      <c r="BA75" s="59" t="str">
        <f aca="false">IF(ISBLANK($C75),"",IF($AJ75=Constants!$B$7,IF(ISNUMBER(AW75),AW75-AZ75,Constants!$B$14),$AJ75))</f>
        <v/>
      </c>
      <c r="BB75" s="61"/>
      <c r="BC75" s="62" t="str">
        <f aca="false">IF(ISBLANK($C75),"",IF($AJ75&lt;&gt;Constants!$B$7,$AJ75,SMALL(AQ75:AS75,1)&amp;", "&amp;SMALL(AQ75:AS75,2)&amp;", "&amp;SMALL(AQ75:AS75,3)))</f>
        <v/>
      </c>
      <c r="BD75" s="63" t="str">
        <f aca="false">IF(ISBLANK($C75),"",IF($AJ75&lt;&gt;Constants!$B$7,$AJ75,W75))</f>
        <v/>
      </c>
      <c r="BE75" s="64" t="str">
        <f aca="false">IF(ISBLANK($C75),"",IF($AJ75&lt;&gt;Constants!$B$7,$AJ75,AU75))</f>
        <v/>
      </c>
      <c r="BF75" s="65" t="str">
        <f aca="false">IF(ISBLANK($C75),"",IF($AJ75&lt;&gt;Constants!$B$7,$AJ75,AK75))</f>
        <v/>
      </c>
      <c r="BG75" s="63" t="str">
        <f aca="false">IF(ISBLANK($C75),"",BA75)</f>
        <v/>
      </c>
      <c r="BH75" s="63" t="str">
        <f aca="false">IF(ISBLANK($C75),"",AZ75)</f>
        <v/>
      </c>
      <c r="BI75" s="66" t="str">
        <f aca="false">IF(ISBLANK($C75),"",IF(BH75=Constants!$B$4,COUNTA($C$8:$C$507)+2,IF(BH75=Constants!$B$5,COUNTA($C$8:$C$507)+1,IF(BH75=Constants!$B$6,COUNTA($C$8:$C$507),BH75))))</f>
        <v/>
      </c>
      <c r="BJ75" s="5"/>
      <c r="BK75" s="67" t="n">
        <f aca="false">IF(OR(ISNUMBER(BH75),BH75=Constants!$B$4,BH75=Constants!$B$6,BH75=Constants!$B$5),1,0)</f>
        <v>0</v>
      </c>
      <c r="BL75" s="67" t="n">
        <v>68</v>
      </c>
      <c r="BM75" s="67" t="str">
        <f aca="false">IF(ISBLANK($C75),"",IF(ISNUMBER(BI75),BI75+ROW($B75)/1000,""))</f>
        <v/>
      </c>
      <c r="BN75" s="67" t="str">
        <f aca="false">IF(ISNUMBER(BM75),RANK(BM75,$BM$8:$BM$507,1),"")</f>
        <v/>
      </c>
      <c r="BO75" s="67" t="str">
        <f aca="false">IF(ISBLANK($C75),"",$B75)</f>
        <v/>
      </c>
      <c r="BP75" s="67" t="str">
        <f aca="false">IF(ISBLANK($C75),"",$C75)</f>
        <v/>
      </c>
      <c r="BQ75" s="67" t="str">
        <f aca="false">IF(ISBLANK($C75),"",$D75)</f>
        <v/>
      </c>
      <c r="BR75" s="68" t="str">
        <f aca="false">BF75</f>
        <v/>
      </c>
      <c r="BS75" s="69" t="str">
        <f aca="false">BE75</f>
        <v/>
      </c>
      <c r="BT75" s="67" t="str">
        <f aca="false">IF(ISBLANK($C75),"",BH75)</f>
        <v/>
      </c>
      <c r="BU75" s="70" t="str">
        <f aca="false">IF($BL75&gt;$BK$7,"",VLOOKUP($BL75,$BN$8:$BT$507,7,FALSE()))</f>
        <v/>
      </c>
      <c r="BV75" s="71" t="str">
        <f aca="false">IF($BL75&gt;$BK$7,"",VLOOKUP($BL75,$BN$8:$BT$507,2,FALSE()))</f>
        <v/>
      </c>
      <c r="BW75" s="71" t="str">
        <f aca="false">IF($BL75&gt;$BK$7,"",VLOOKUP($BL75,$BN$8:$BT$507,3,FALSE()))</f>
        <v/>
      </c>
      <c r="BX75" s="71" t="str">
        <f aca="false">IF($BL75&gt;$BK$7,"",VLOOKUP($BL75,$BN$8:$BT$507,4,FALSE()))</f>
        <v/>
      </c>
      <c r="BY75" s="71" t="str">
        <f aca="false">IF($BL75&gt;$BK$7,"",VLOOKUP($BL75,$BN$8:$BT$507,5,FALSE()))</f>
        <v/>
      </c>
      <c r="BZ75" s="72" t="str">
        <f aca="false">IF($BL75&gt;$BK$7,"",VLOOKUP($BL75,$BN$8:$BT$507,6,FALSE()))</f>
        <v/>
      </c>
      <c r="CA75" s="48"/>
    </row>
    <row r="76" customFormat="false" ht="15.75" hidden="false" customHeight="false" outlineLevel="0" collapsed="false">
      <c r="A76" s="5"/>
      <c r="B76" s="121"/>
      <c r="C76" s="50"/>
      <c r="D76" s="51"/>
      <c r="E76" s="74"/>
      <c r="F76" s="122"/>
      <c r="G76" s="54"/>
      <c r="H76" s="123"/>
      <c r="I76" s="124"/>
      <c r="J76" s="54"/>
      <c r="K76" s="123"/>
      <c r="L76" s="54"/>
      <c r="M76" s="123"/>
      <c r="N76" s="54"/>
      <c r="O76" s="123"/>
      <c r="P76" s="54"/>
      <c r="Q76" s="123"/>
      <c r="R76" s="54"/>
      <c r="S76" s="74"/>
      <c r="T76" s="58"/>
      <c r="U76" s="59" t="str">
        <f aca="false">IF(ISBLANK($C76),"",IF(E76=Constants!$B$2, TRUE(), IF(E76=Constants!$B$3, FALSE(), TRUE())))</f>
        <v/>
      </c>
      <c r="V76" s="59" t="str">
        <f aca="false">IF(ISBLANK($C76),"",IF(F76=Constants!$B$2, TRUE(), IF(F76=Constants!$B$3, FALSE(), TRUE())))</f>
        <v/>
      </c>
      <c r="W76" s="59" t="str">
        <f aca="false">IF(ISBLANK($C76),"",IF(G76=Constants!$B$15,Constants!$B$8,IF(G76=Constants!$B$16,Constants!$B$9,Constants!$B$10)))</f>
        <v/>
      </c>
      <c r="X76" s="59" t="str">
        <f aca="false">IF(ISBLANK($C76),"",IF(H76=Constants!$B$2, TRUE(), IF(H76=Constants!$B$3, FALSE(), TRUE())))</f>
        <v/>
      </c>
      <c r="Y76" s="59" t="str">
        <f aca="false">IF(ISBLANK($C76),"",IF(I76=Constants!$B$19,Constants!$B$19,Constants!$B$18))</f>
        <v/>
      </c>
      <c r="Z76" s="59" t="str">
        <f aca="false">IF(ISBLANK($C76),"",IF(ISNUMBER(J76),IF(J76&gt;=0,J76,""),""))</f>
        <v/>
      </c>
      <c r="AA76" s="59" t="str">
        <f aca="false">IF(ISBLANK($C76),"",IF(K76=Constants!$B$19,Constants!$B$19,Constants!$B$18))</f>
        <v/>
      </c>
      <c r="AB76" s="59" t="str">
        <f aca="false">IF(ISBLANK($C76),"",IF(ISNUMBER(L76),IF(L76&gt;=0,L76,""),""))</f>
        <v/>
      </c>
      <c r="AC76" s="59" t="str">
        <f aca="false">IF(ISBLANK($C76),"",IF(M76=Constants!$B$19,Constants!$B$19,Constants!$B$18))</f>
        <v/>
      </c>
      <c r="AD76" s="59" t="str">
        <f aca="false">IF(ISBLANK($C76),"",IF(ISNUMBER(N76),IF(N76&gt;=0,N76,""),""))</f>
        <v/>
      </c>
      <c r="AE76" s="59" t="str">
        <f aca="false">IF(ISBLANK($C76),"",IF(O76=Constants!$B$19,Constants!$B$19,Constants!$B$18))</f>
        <v/>
      </c>
      <c r="AF76" s="59" t="str">
        <f aca="false">IF(ISBLANK($C76),"",IF(ISNUMBER(P76),IF(P76&gt;=0,P76,""),""))</f>
        <v/>
      </c>
      <c r="AG76" s="59" t="str">
        <f aca="false">IF(ISBLANK($C76),"",IF(Q76=Constants!$B$19,Constants!$B$19,Constants!$B$18))</f>
        <v/>
      </c>
      <c r="AH76" s="59" t="str">
        <f aca="false">IF(ISBLANK($C76),"",IF(ISNUMBER(R76),IF(R76&gt;=0,R76,""),""))</f>
        <v/>
      </c>
      <c r="AI76" s="59" t="str">
        <f aca="false">IF(ISBLANK($C76),"",IF(S76=Constants!$B$2, TRUE(), IF(S76=Constants!$B$3, FALSE(), FALSE())))</f>
        <v/>
      </c>
      <c r="AJ76" s="59" t="str">
        <f aca="false">IF(ISBLANK($C76),"",IF(AI76,Constants!$B$4,IF(COUNTA(E76:R76)=0,Constants!$B$5,IF(COUNTA(J76,L76,N76,P76,R76)=0,Constants!$B$6,Constants!$B$7))))</f>
        <v/>
      </c>
      <c r="AK76" s="59" t="str">
        <f aca="false">IF(ISBLANK($C76),"",IF($AJ76&lt;&gt;Constants!$B$7,$AJ76,IF(OR(NOT(X76),AND(NOT(U76),COUNTIFS(Y76:AG76,Constants!$B$18,Z76:AH76,"&gt;=0")&gt;0),AND(NOT(V76),COUNTIFS(Y76:AG76,Constants!$B$19,Z76:AH76,"&gt;=0")&gt;0)),Constants!$B$12,Constants!$B$11)))</f>
        <v/>
      </c>
      <c r="AL76" s="59" t="str">
        <f aca="false">IF($AJ76=Constants!$B$7,IF(Z76="",Constants!$B$13,Z76),"")</f>
        <v/>
      </c>
      <c r="AM76" s="59" t="str">
        <f aca="false">IF($AJ76=Constants!$B$7,IF(AB76="",Constants!$B$13,AB76),"")</f>
        <v/>
      </c>
      <c r="AN76" s="59" t="str">
        <f aca="false">IF($AJ76=Constants!$B$7,IF(AD76="",Constants!$B$13,AD76),"")</f>
        <v/>
      </c>
      <c r="AO76" s="59" t="str">
        <f aca="false">IF($AJ76=Constants!$B$7,IF(AF76="",Constants!$B$13,AF76),"")</f>
        <v/>
      </c>
      <c r="AP76" s="59" t="str">
        <f aca="false">IF($AJ76=Constants!$B$7,IF(AH76="",Constants!$B$13,AH76),"")</f>
        <v/>
      </c>
      <c r="AQ76" s="59" t="str">
        <f aca="false">IF($AJ76=Constants!$B$7,IF(SUMPRODUCT(--($AL76:$AP76&gt;AL76))+SUMPRODUCT(--($AL76:AL76=AL76))=1,1,IF(SUMPRODUCT(--($AL76:$AP76&gt;AM76))+SUMPRODUCT(--($AL76:AM76=AM76))=1,2,IF(SUMPRODUCT(--($AL76:$AP76&gt;AN76))+SUMPRODUCT(--($AL76:AN76=AN76))=1,3,IF(SUMPRODUCT(--($AL76:$AP76&gt;AO76))+SUMPRODUCT(--($AL76:AO76=AO76))=1,4,5)))),"")</f>
        <v/>
      </c>
      <c r="AR76" s="59" t="str">
        <f aca="false">IF($AJ76=Constants!$B$7,IF(SUMPRODUCT(--($AL76:$AP76&gt;AL76))+SUMPRODUCT(--($AL76:AL76=AL76))=2,1,IF(SUMPRODUCT(--($AL76:$AP76&gt;AM76))+SUMPRODUCT(--($AL76:AM76=AM76))=2,2,IF(SUMPRODUCT(--($AL76:$AP76&gt;AN76))+SUMPRODUCT(--($AL76:AN76=AN76))=2,3,IF(SUMPRODUCT(--($AL76:$AP76&gt;AO76))+SUMPRODUCT(--($AL76:AO76=AO76))=2,4,5)))),"")</f>
        <v/>
      </c>
      <c r="AS76" s="59" t="str">
        <f aca="false">IF($AJ76=Constants!$B$7,IF(SUMPRODUCT(--($AL76:$AP76&gt;AL76))+SUMPRODUCT(--($AL76:AL76=AL76))=3,1,IF(SUMPRODUCT(--($AL76:$AP76&gt;AM76))+SUMPRODUCT(--($AL76:AM76=AM76))=3,2,IF(SUMPRODUCT(--($AL76:$AP76&gt;AN76))+SUMPRODUCT(--($AL76:AN76=AN76))=3,3,IF(SUMPRODUCT(--($AL76:$AP76&gt;AO76))+SUMPRODUCT(--($AL76:AO76=AO76))=3,4,5)))),"")</f>
        <v/>
      </c>
      <c r="AT76" s="59" t="str">
        <f aca="false">IF($AJ76=Constants!$B$7,LARGE(AL76:AP76,1)+LARGE(AL76:AP76,2)+LARGE(AL76:AP76,3),"")</f>
        <v/>
      </c>
      <c r="AU76" s="59" t="str">
        <f aca="false">IF(ISBLANK($C76),"",IF($AJ76&lt;&gt;Constants!$B$7,$AJ76,AT76*W76))</f>
        <v/>
      </c>
      <c r="AV76" s="59" t="str">
        <f aca="false">IF(ISBLANK($C76),"",IF($AJ76=Constants!$B$7,IF(ISNUMBER(AU76),RANK(AU76,$AU$8:$AU$507),Constants!$B$14),$AJ76))</f>
        <v/>
      </c>
      <c r="AW76" s="59" t="str">
        <f aca="false">IF(ISBLANK($C76),"",IF($AJ76=Constants!$B$7,IF(ISNUMBER(AV76),COUNTIFS($AK$8:$AK$507,"&lt;"&amp;$AK76)+COUNTIFS($AK$8:$AK$507,$AK76,$AV$8:$AV$507,"&lt;"&amp;$AV76)+1,Constants!$B$14),$AJ76))</f>
        <v/>
      </c>
      <c r="AX76" s="59" t="str">
        <f aca="false">IF(ISBLANK($C76),"",IF($AJ76=Constants!$B$7,LARGE(AL76:AP76,4)*W76,""))</f>
        <v/>
      </c>
      <c r="AY76" s="59" t="str">
        <f aca="false">IF(ISBLANK($C76),"",IF($AJ76=Constants!$B$7,RANK(AX76,$AX$8:$AX$507),$AJ76))</f>
        <v/>
      </c>
      <c r="AZ76" s="59" t="str">
        <f aca="false">IF(ISBLANK($C76),"",IF($AJ76=Constants!$B$7,IF(ISNUMBER(AV76),COUNTIFS($AK$8:$AK$507,"&lt;"&amp;$AK76)+COUNTIFS($AK$8:$AK$507,$AK76,$AV$8:$AV$507,"&lt;"&amp;$AV76)+COUNTIFS($AK$8:$AK$507,$AK76,$AV$8:$AV$507,$AV76,$AY$8:$AY$507,"&lt;"&amp;$AY76)+1,Constants!$B$14),$AJ76))</f>
        <v/>
      </c>
      <c r="BA76" s="59" t="str">
        <f aca="false">IF(ISBLANK($C76),"",IF($AJ76=Constants!$B$7,IF(ISNUMBER(AW76),AW76-AZ76,Constants!$B$14),$AJ76))</f>
        <v/>
      </c>
      <c r="BB76" s="61"/>
      <c r="BC76" s="62" t="str">
        <f aca="false">IF(ISBLANK($C76),"",IF($AJ76&lt;&gt;Constants!$B$7,$AJ76,SMALL(AQ76:AS76,1)&amp;", "&amp;SMALL(AQ76:AS76,2)&amp;", "&amp;SMALL(AQ76:AS76,3)))</f>
        <v/>
      </c>
      <c r="BD76" s="63" t="str">
        <f aca="false">IF(ISBLANK($C76),"",IF($AJ76&lt;&gt;Constants!$B$7,$AJ76,W76))</f>
        <v/>
      </c>
      <c r="BE76" s="64" t="str">
        <f aca="false">IF(ISBLANK($C76),"",IF($AJ76&lt;&gt;Constants!$B$7,$AJ76,AU76))</f>
        <v/>
      </c>
      <c r="BF76" s="65" t="str">
        <f aca="false">IF(ISBLANK($C76),"",IF($AJ76&lt;&gt;Constants!$B$7,$AJ76,AK76))</f>
        <v/>
      </c>
      <c r="BG76" s="63" t="str">
        <f aca="false">IF(ISBLANK($C76),"",BA76)</f>
        <v/>
      </c>
      <c r="BH76" s="63" t="str">
        <f aca="false">IF(ISBLANK($C76),"",AZ76)</f>
        <v/>
      </c>
      <c r="BI76" s="66" t="str">
        <f aca="false">IF(ISBLANK($C76),"",IF(BH76=Constants!$B$4,COUNTA($C$8:$C$507)+2,IF(BH76=Constants!$B$5,COUNTA($C$8:$C$507)+1,IF(BH76=Constants!$B$6,COUNTA($C$8:$C$507),BH76))))</f>
        <v/>
      </c>
      <c r="BJ76" s="5"/>
      <c r="BK76" s="67" t="n">
        <f aca="false">IF(OR(ISNUMBER(BH76),BH76=Constants!$B$4,BH76=Constants!$B$6,BH76=Constants!$B$5),1,0)</f>
        <v>0</v>
      </c>
      <c r="BL76" s="67" t="n">
        <v>69</v>
      </c>
      <c r="BM76" s="67" t="str">
        <f aca="false">IF(ISBLANK($C76),"",IF(ISNUMBER(BI76),BI76+ROW($B76)/1000,""))</f>
        <v/>
      </c>
      <c r="BN76" s="67" t="str">
        <f aca="false">IF(ISNUMBER(BM76),RANK(BM76,$BM$8:$BM$507,1),"")</f>
        <v/>
      </c>
      <c r="BO76" s="67" t="str">
        <f aca="false">IF(ISBLANK($C76),"",$B76)</f>
        <v/>
      </c>
      <c r="BP76" s="67" t="str">
        <f aca="false">IF(ISBLANK($C76),"",$C76)</f>
        <v/>
      </c>
      <c r="BQ76" s="67" t="str">
        <f aca="false">IF(ISBLANK($C76),"",$D76)</f>
        <v/>
      </c>
      <c r="BR76" s="68" t="str">
        <f aca="false">BF76</f>
        <v/>
      </c>
      <c r="BS76" s="69" t="str">
        <f aca="false">BE76</f>
        <v/>
      </c>
      <c r="BT76" s="67" t="str">
        <f aca="false">IF(ISBLANK($C76),"",BH76)</f>
        <v/>
      </c>
      <c r="BU76" s="70" t="str">
        <f aca="false">IF($BL76&gt;$BK$7,"",VLOOKUP($BL76,$BN$8:$BT$507,7,FALSE()))</f>
        <v/>
      </c>
      <c r="BV76" s="71" t="str">
        <f aca="false">IF($BL76&gt;$BK$7,"",VLOOKUP($BL76,$BN$8:$BT$507,2,FALSE()))</f>
        <v/>
      </c>
      <c r="BW76" s="71" t="str">
        <f aca="false">IF($BL76&gt;$BK$7,"",VLOOKUP($BL76,$BN$8:$BT$507,3,FALSE()))</f>
        <v/>
      </c>
      <c r="BX76" s="71" t="str">
        <f aca="false">IF($BL76&gt;$BK$7,"",VLOOKUP($BL76,$BN$8:$BT$507,4,FALSE()))</f>
        <v/>
      </c>
      <c r="BY76" s="71" t="str">
        <f aca="false">IF($BL76&gt;$BK$7,"",VLOOKUP($BL76,$BN$8:$BT$507,5,FALSE()))</f>
        <v/>
      </c>
      <c r="BZ76" s="72" t="str">
        <f aca="false">IF($BL76&gt;$BK$7,"",VLOOKUP($BL76,$BN$8:$BT$507,6,FALSE()))</f>
        <v/>
      </c>
      <c r="CA76" s="48"/>
    </row>
    <row r="77" customFormat="false" ht="15.75" hidden="false" customHeight="false" outlineLevel="0" collapsed="false">
      <c r="A77" s="5"/>
      <c r="B77" s="114"/>
      <c r="C77" s="115"/>
      <c r="D77" s="100"/>
      <c r="E77" s="120"/>
      <c r="F77" s="125"/>
      <c r="G77" s="82"/>
      <c r="H77" s="126"/>
      <c r="I77" s="127"/>
      <c r="J77" s="82"/>
      <c r="K77" s="126"/>
      <c r="L77" s="82"/>
      <c r="M77" s="126"/>
      <c r="N77" s="82"/>
      <c r="O77" s="126"/>
      <c r="P77" s="82"/>
      <c r="Q77" s="126"/>
      <c r="R77" s="82"/>
      <c r="S77" s="120"/>
      <c r="T77" s="86"/>
      <c r="U77" s="87" t="str">
        <f aca="false">IF(ISBLANK($C77),"",IF(E77=Constants!$B$2, TRUE(), IF(E77=Constants!$B$3, FALSE(), TRUE())))</f>
        <v/>
      </c>
      <c r="V77" s="87" t="str">
        <f aca="false">IF(ISBLANK($C77),"",IF(F77=Constants!$B$2, TRUE(), IF(F77=Constants!$B$3, FALSE(), TRUE())))</f>
        <v/>
      </c>
      <c r="W77" s="87" t="str">
        <f aca="false">IF(ISBLANK($C77),"",IF(G77=Constants!$B$15,Constants!$B$8,IF(G77=Constants!$B$16,Constants!$B$9,Constants!$B$10)))</f>
        <v/>
      </c>
      <c r="X77" s="87" t="str">
        <f aca="false">IF(ISBLANK($C77),"",IF(H77=Constants!$B$2, TRUE(), IF(H77=Constants!$B$3, FALSE(), TRUE())))</f>
        <v/>
      </c>
      <c r="Y77" s="87" t="str">
        <f aca="false">IF(ISBLANK($C77),"",IF(I77=Constants!$B$19,Constants!$B$19,Constants!$B$18))</f>
        <v/>
      </c>
      <c r="Z77" s="87" t="str">
        <f aca="false">IF(ISBLANK($C77),"",IF(ISNUMBER(J77),IF(J77&gt;=0,J77,""),""))</f>
        <v/>
      </c>
      <c r="AA77" s="87" t="str">
        <f aca="false">IF(ISBLANK($C77),"",IF(K77=Constants!$B$19,Constants!$B$19,Constants!$B$18))</f>
        <v/>
      </c>
      <c r="AB77" s="87" t="str">
        <f aca="false">IF(ISBLANK($C77),"",IF(ISNUMBER(L77),IF(L77&gt;=0,L77,""),""))</f>
        <v/>
      </c>
      <c r="AC77" s="87" t="str">
        <f aca="false">IF(ISBLANK($C77),"",IF(M77=Constants!$B$19,Constants!$B$19,Constants!$B$18))</f>
        <v/>
      </c>
      <c r="AD77" s="87" t="str">
        <f aca="false">IF(ISBLANK($C77),"",IF(ISNUMBER(N77),IF(N77&gt;=0,N77,""),""))</f>
        <v/>
      </c>
      <c r="AE77" s="87" t="str">
        <f aca="false">IF(ISBLANK($C77),"",IF(O77=Constants!$B$19,Constants!$B$19,Constants!$B$18))</f>
        <v/>
      </c>
      <c r="AF77" s="87" t="str">
        <f aca="false">IF(ISBLANK($C77),"",IF(ISNUMBER(P77),IF(P77&gt;=0,P77,""),""))</f>
        <v/>
      </c>
      <c r="AG77" s="87" t="str">
        <f aca="false">IF(ISBLANK($C77),"",IF(Q77=Constants!$B$19,Constants!$B$19,Constants!$B$18))</f>
        <v/>
      </c>
      <c r="AH77" s="87" t="str">
        <f aca="false">IF(ISBLANK($C77),"",IF(ISNUMBER(R77),IF(R77&gt;=0,R77,""),""))</f>
        <v/>
      </c>
      <c r="AI77" s="87" t="str">
        <f aca="false">IF(ISBLANK($C77),"",IF(S77=Constants!$B$2, TRUE(), IF(S77=Constants!$B$3, FALSE(), FALSE())))</f>
        <v/>
      </c>
      <c r="AJ77" s="87" t="str">
        <f aca="false">IF(ISBLANK($C77),"",IF(AI77,Constants!$B$4,IF(COUNTA(E77:R77)=0,Constants!$B$5,IF(COUNTA(J77,L77,N77,P77,R77)=0,Constants!$B$6,Constants!$B$7))))</f>
        <v/>
      </c>
      <c r="AK77" s="87" t="str">
        <f aca="false">IF(ISBLANK($C77),"",IF($AJ77&lt;&gt;Constants!$B$7,$AJ77,IF(OR(NOT(X77),AND(NOT(U77),COUNTIFS(Y77:AG77,Constants!$B$18,Z77:AH77,"&gt;=0")&gt;0),AND(NOT(V77),COUNTIFS(Y77:AG77,Constants!$B$19,Z77:AH77,"&gt;=0")&gt;0)),Constants!$B$12,Constants!$B$11)))</f>
        <v/>
      </c>
      <c r="AL77" s="87" t="str">
        <f aca="false">IF($AJ77=Constants!$B$7,IF(Z77="",Constants!$B$13,Z77),"")</f>
        <v/>
      </c>
      <c r="AM77" s="87" t="str">
        <f aca="false">IF($AJ77=Constants!$B$7,IF(AB77="",Constants!$B$13,AB77),"")</f>
        <v/>
      </c>
      <c r="AN77" s="87" t="str">
        <f aca="false">IF($AJ77=Constants!$B$7,IF(AD77="",Constants!$B$13,AD77),"")</f>
        <v/>
      </c>
      <c r="AO77" s="87" t="str">
        <f aca="false">IF($AJ77=Constants!$B$7,IF(AF77="",Constants!$B$13,AF77),"")</f>
        <v/>
      </c>
      <c r="AP77" s="87" t="str">
        <f aca="false">IF($AJ77=Constants!$B$7,IF(AH77="",Constants!$B$13,AH77),"")</f>
        <v/>
      </c>
      <c r="AQ77" s="87" t="str">
        <f aca="false">IF($AJ77=Constants!$B$7,IF(SUMPRODUCT(--($AL77:$AP77&gt;AL77))+SUMPRODUCT(--($AL77:AL77=AL77))=1,1,IF(SUMPRODUCT(--($AL77:$AP77&gt;AM77))+SUMPRODUCT(--($AL77:AM77=AM77))=1,2,IF(SUMPRODUCT(--($AL77:$AP77&gt;AN77))+SUMPRODUCT(--($AL77:AN77=AN77))=1,3,IF(SUMPRODUCT(--($AL77:$AP77&gt;AO77))+SUMPRODUCT(--($AL77:AO77=AO77))=1,4,5)))),"")</f>
        <v/>
      </c>
      <c r="AR77" s="87" t="str">
        <f aca="false">IF($AJ77=Constants!$B$7,IF(SUMPRODUCT(--($AL77:$AP77&gt;AL77))+SUMPRODUCT(--($AL77:AL77=AL77))=2,1,IF(SUMPRODUCT(--($AL77:$AP77&gt;AM77))+SUMPRODUCT(--($AL77:AM77=AM77))=2,2,IF(SUMPRODUCT(--($AL77:$AP77&gt;AN77))+SUMPRODUCT(--($AL77:AN77=AN77))=2,3,IF(SUMPRODUCT(--($AL77:$AP77&gt;AO77))+SUMPRODUCT(--($AL77:AO77=AO77))=2,4,5)))),"")</f>
        <v/>
      </c>
      <c r="AS77" s="87" t="str">
        <f aca="false">IF($AJ77=Constants!$B$7,IF(SUMPRODUCT(--($AL77:$AP77&gt;AL77))+SUMPRODUCT(--($AL77:AL77=AL77))=3,1,IF(SUMPRODUCT(--($AL77:$AP77&gt;AM77))+SUMPRODUCT(--($AL77:AM77=AM77))=3,2,IF(SUMPRODUCT(--($AL77:$AP77&gt;AN77))+SUMPRODUCT(--($AL77:AN77=AN77))=3,3,IF(SUMPRODUCT(--($AL77:$AP77&gt;AO77))+SUMPRODUCT(--($AL77:AO77=AO77))=3,4,5)))),"")</f>
        <v/>
      </c>
      <c r="AT77" s="87" t="str">
        <f aca="false">IF($AJ77=Constants!$B$7,LARGE(AL77:AP77,1)+LARGE(AL77:AP77,2)+LARGE(AL77:AP77,3),"")</f>
        <v/>
      </c>
      <c r="AU77" s="87" t="str">
        <f aca="false">IF(ISBLANK($C77),"",IF($AJ77&lt;&gt;Constants!$B$7,$AJ77,AT77*W77))</f>
        <v/>
      </c>
      <c r="AV77" s="87" t="str">
        <f aca="false">IF(ISBLANK($C77),"",IF($AJ77=Constants!$B$7,IF(ISNUMBER(AU77),RANK(AU77,$AU$8:$AU$507),Constants!$B$14),$AJ77))</f>
        <v/>
      </c>
      <c r="AW77" s="87" t="str">
        <f aca="false">IF(ISBLANK($C77),"",IF($AJ77=Constants!$B$7,IF(ISNUMBER(AV77),COUNTIFS($AK$8:$AK$507,"&lt;"&amp;$AK77)+COUNTIFS($AK$8:$AK$507,$AK77,$AV$8:$AV$507,"&lt;"&amp;$AV77)+1,Constants!$B$14),$AJ77))</f>
        <v/>
      </c>
      <c r="AX77" s="87" t="str">
        <f aca="false">IF(ISBLANK($C77),"",IF($AJ77=Constants!$B$7,LARGE(AL77:AP77,4)*W77,""))</f>
        <v/>
      </c>
      <c r="AY77" s="87" t="str">
        <f aca="false">IF(ISBLANK($C77),"",IF($AJ77=Constants!$B$7,RANK(AX77,$AX$8:$AX$507),$AJ77))</f>
        <v/>
      </c>
      <c r="AZ77" s="87" t="str">
        <f aca="false">IF(ISBLANK($C77),"",IF($AJ77=Constants!$B$7,IF(ISNUMBER(AV77),COUNTIFS($AK$8:$AK$507,"&lt;"&amp;$AK77)+COUNTIFS($AK$8:$AK$507,$AK77,$AV$8:$AV$507,"&lt;"&amp;$AV77)+COUNTIFS($AK$8:$AK$507,$AK77,$AV$8:$AV$507,$AV77,$AY$8:$AY$507,"&lt;"&amp;$AY77)+1,Constants!$B$14),$AJ77))</f>
        <v/>
      </c>
      <c r="BA77" s="87" t="str">
        <f aca="false">IF(ISBLANK($C77),"",IF($AJ77=Constants!$B$7,IF(ISNUMBER(AW77),AW77-AZ77,Constants!$B$14),$AJ77))</f>
        <v/>
      </c>
      <c r="BB77" s="88"/>
      <c r="BC77" s="89" t="str">
        <f aca="false">IF(ISBLANK($C77),"",IF($AJ77&lt;&gt;Constants!$B$7,$AJ77,SMALL(AQ77:AS77,1)&amp;", "&amp;SMALL(AQ77:AS77,2)&amp;", "&amp;SMALL(AQ77:AS77,3)))</f>
        <v/>
      </c>
      <c r="BD77" s="90" t="str">
        <f aca="false">IF(ISBLANK($C77),"",IF($AJ77&lt;&gt;Constants!$B$7,$AJ77,W77))</f>
        <v/>
      </c>
      <c r="BE77" s="91" t="str">
        <f aca="false">IF(ISBLANK($C77),"",IF($AJ77&lt;&gt;Constants!$B$7,$AJ77,AU77))</f>
        <v/>
      </c>
      <c r="BF77" s="92" t="str">
        <f aca="false">IF(ISBLANK($C77),"",IF($AJ77&lt;&gt;Constants!$B$7,$AJ77,AK77))</f>
        <v/>
      </c>
      <c r="BG77" s="90" t="str">
        <f aca="false">IF(ISBLANK($C77),"",BA77)</f>
        <v/>
      </c>
      <c r="BH77" s="90" t="str">
        <f aca="false">IF(ISBLANK($C77),"",AZ77)</f>
        <v/>
      </c>
      <c r="BI77" s="93" t="str">
        <f aca="false">IF(ISBLANK($C77),"",IF(BH77=Constants!$B$4,COUNTA($C$8:$C$507)+2,IF(BH77=Constants!$B$5,COUNTA($C$8:$C$507)+1,IF(BH77=Constants!$B$6,COUNTA($C$8:$C$507),BH77))))</f>
        <v/>
      </c>
      <c r="BJ77" s="5"/>
      <c r="BK77" s="94" t="n">
        <f aca="false">IF(OR(ISNUMBER(BH77),BH77=Constants!$B$4,BH77=Constants!$B$6,BH77=Constants!$B$5),1,0)</f>
        <v>0</v>
      </c>
      <c r="BL77" s="94" t="n">
        <v>70</v>
      </c>
      <c r="BM77" s="94" t="str">
        <f aca="false">IF(ISBLANK($C77),"",IF(ISNUMBER(BI77),BI77+ROW($B77)/1000,""))</f>
        <v/>
      </c>
      <c r="BN77" s="94" t="str">
        <f aca="false">IF(ISNUMBER(BM77),RANK(BM77,$BM$8:$BM$507,1),"")</f>
        <v/>
      </c>
      <c r="BO77" s="94" t="str">
        <f aca="false">IF(ISBLANK($C77),"",$B77)</f>
        <v/>
      </c>
      <c r="BP77" s="94" t="str">
        <f aca="false">IF(ISBLANK($C77),"",$C77)</f>
        <v/>
      </c>
      <c r="BQ77" s="94" t="str">
        <f aca="false">IF(ISBLANK($C77),"",$D77)</f>
        <v/>
      </c>
      <c r="BR77" s="95" t="str">
        <f aca="false">BF77</f>
        <v/>
      </c>
      <c r="BS77" s="96" t="str">
        <f aca="false">BE77</f>
        <v/>
      </c>
      <c r="BT77" s="94" t="str">
        <f aca="false">IF(ISBLANK($C77),"",BH77)</f>
        <v/>
      </c>
      <c r="BU77" s="97" t="str">
        <f aca="false">IF($BL77&gt;$BK$7,"",VLOOKUP($BL77,$BN$8:$BT$507,7,FALSE()))</f>
        <v/>
      </c>
      <c r="BV77" s="98" t="str">
        <f aca="false">IF($BL77&gt;$BK$7,"",VLOOKUP($BL77,$BN$8:$BT$507,2,FALSE()))</f>
        <v/>
      </c>
      <c r="BW77" s="98" t="str">
        <f aca="false">IF($BL77&gt;$BK$7,"",VLOOKUP($BL77,$BN$8:$BT$507,3,FALSE()))</f>
        <v/>
      </c>
      <c r="BX77" s="98" t="str">
        <f aca="false">IF($BL77&gt;$BK$7,"",VLOOKUP($BL77,$BN$8:$BT$507,4,FALSE()))</f>
        <v/>
      </c>
      <c r="BY77" s="98" t="str">
        <f aca="false">IF($BL77&gt;$BK$7,"",VLOOKUP($BL77,$BN$8:$BT$507,5,FALSE()))</f>
        <v/>
      </c>
      <c r="BZ77" s="99" t="str">
        <f aca="false">IF($BL77&gt;$BK$7,"",VLOOKUP($BL77,$BN$8:$BT$507,6,FALSE()))</f>
        <v/>
      </c>
      <c r="CA77" s="48"/>
    </row>
    <row r="78" customFormat="false" ht="15.75" hidden="false" customHeight="false" outlineLevel="0" collapsed="false">
      <c r="A78" s="5"/>
      <c r="B78" s="114"/>
      <c r="C78" s="115"/>
      <c r="D78" s="100"/>
      <c r="E78" s="120"/>
      <c r="F78" s="125"/>
      <c r="G78" s="82"/>
      <c r="H78" s="126"/>
      <c r="I78" s="127"/>
      <c r="J78" s="82"/>
      <c r="K78" s="126"/>
      <c r="L78" s="82"/>
      <c r="M78" s="126"/>
      <c r="N78" s="82"/>
      <c r="O78" s="126"/>
      <c r="P78" s="82"/>
      <c r="Q78" s="126"/>
      <c r="R78" s="82"/>
      <c r="S78" s="120"/>
      <c r="T78" s="86"/>
      <c r="U78" s="87" t="str">
        <f aca="false">IF(ISBLANK($C78),"",IF(E78=Constants!$B$2, TRUE(), IF(E78=Constants!$B$3, FALSE(), TRUE())))</f>
        <v/>
      </c>
      <c r="V78" s="87" t="str">
        <f aca="false">IF(ISBLANK($C78),"",IF(F78=Constants!$B$2, TRUE(), IF(F78=Constants!$B$3, FALSE(), TRUE())))</f>
        <v/>
      </c>
      <c r="W78" s="87" t="str">
        <f aca="false">IF(ISBLANK($C78),"",IF(G78=Constants!$B$15,Constants!$B$8,IF(G78=Constants!$B$16,Constants!$B$9,Constants!$B$10)))</f>
        <v/>
      </c>
      <c r="X78" s="87" t="str">
        <f aca="false">IF(ISBLANK($C78),"",IF(H78=Constants!$B$2, TRUE(), IF(H78=Constants!$B$3, FALSE(), TRUE())))</f>
        <v/>
      </c>
      <c r="Y78" s="87" t="str">
        <f aca="false">IF(ISBLANK($C78),"",IF(I78=Constants!$B$19,Constants!$B$19,Constants!$B$18))</f>
        <v/>
      </c>
      <c r="Z78" s="87" t="str">
        <f aca="false">IF(ISBLANK($C78),"",IF(ISNUMBER(J78),IF(J78&gt;=0,J78,""),""))</f>
        <v/>
      </c>
      <c r="AA78" s="87" t="str">
        <f aca="false">IF(ISBLANK($C78),"",IF(K78=Constants!$B$19,Constants!$B$19,Constants!$B$18))</f>
        <v/>
      </c>
      <c r="AB78" s="87" t="str">
        <f aca="false">IF(ISBLANK($C78),"",IF(ISNUMBER(L78),IF(L78&gt;=0,L78,""),""))</f>
        <v/>
      </c>
      <c r="AC78" s="87" t="str">
        <f aca="false">IF(ISBLANK($C78),"",IF(M78=Constants!$B$19,Constants!$B$19,Constants!$B$18))</f>
        <v/>
      </c>
      <c r="AD78" s="87" t="str">
        <f aca="false">IF(ISBLANK($C78),"",IF(ISNUMBER(N78),IF(N78&gt;=0,N78,""),""))</f>
        <v/>
      </c>
      <c r="AE78" s="87" t="str">
        <f aca="false">IF(ISBLANK($C78),"",IF(O78=Constants!$B$19,Constants!$B$19,Constants!$B$18))</f>
        <v/>
      </c>
      <c r="AF78" s="87" t="str">
        <f aca="false">IF(ISBLANK($C78),"",IF(ISNUMBER(P78),IF(P78&gt;=0,P78,""),""))</f>
        <v/>
      </c>
      <c r="AG78" s="87" t="str">
        <f aca="false">IF(ISBLANK($C78),"",IF(Q78=Constants!$B$19,Constants!$B$19,Constants!$B$18))</f>
        <v/>
      </c>
      <c r="AH78" s="87" t="str">
        <f aca="false">IF(ISBLANK($C78),"",IF(ISNUMBER(R78),IF(R78&gt;=0,R78,""),""))</f>
        <v/>
      </c>
      <c r="AI78" s="87" t="str">
        <f aca="false">IF(ISBLANK($C78),"",IF(S78=Constants!$B$2, TRUE(), IF(S78=Constants!$B$3, FALSE(), FALSE())))</f>
        <v/>
      </c>
      <c r="AJ78" s="87" t="str">
        <f aca="false">IF(ISBLANK($C78),"",IF(AI78,Constants!$B$4,IF(COUNTA(E78:R78)=0,Constants!$B$5,IF(COUNTA(J78,L78,N78,P78,R78)=0,Constants!$B$6,Constants!$B$7))))</f>
        <v/>
      </c>
      <c r="AK78" s="87" t="str">
        <f aca="false">IF(ISBLANK($C78),"",IF($AJ78&lt;&gt;Constants!$B$7,$AJ78,IF(OR(NOT(X78),AND(NOT(U78),COUNTIFS(Y78:AG78,Constants!$B$18,Z78:AH78,"&gt;=0")&gt;0),AND(NOT(V78),COUNTIFS(Y78:AG78,Constants!$B$19,Z78:AH78,"&gt;=0")&gt;0)),Constants!$B$12,Constants!$B$11)))</f>
        <v/>
      </c>
      <c r="AL78" s="87" t="str">
        <f aca="false">IF($AJ78=Constants!$B$7,IF(Z78="",Constants!$B$13,Z78),"")</f>
        <v/>
      </c>
      <c r="AM78" s="87" t="str">
        <f aca="false">IF($AJ78=Constants!$B$7,IF(AB78="",Constants!$B$13,AB78),"")</f>
        <v/>
      </c>
      <c r="AN78" s="87" t="str">
        <f aca="false">IF($AJ78=Constants!$B$7,IF(AD78="",Constants!$B$13,AD78),"")</f>
        <v/>
      </c>
      <c r="AO78" s="87" t="str">
        <f aca="false">IF($AJ78=Constants!$B$7,IF(AF78="",Constants!$B$13,AF78),"")</f>
        <v/>
      </c>
      <c r="AP78" s="87" t="str">
        <f aca="false">IF($AJ78=Constants!$B$7,IF(AH78="",Constants!$B$13,AH78),"")</f>
        <v/>
      </c>
      <c r="AQ78" s="87" t="str">
        <f aca="false">IF($AJ78=Constants!$B$7,IF(SUMPRODUCT(--($AL78:$AP78&gt;AL78))+SUMPRODUCT(--($AL78:AL78=AL78))=1,1,IF(SUMPRODUCT(--($AL78:$AP78&gt;AM78))+SUMPRODUCT(--($AL78:AM78=AM78))=1,2,IF(SUMPRODUCT(--($AL78:$AP78&gt;AN78))+SUMPRODUCT(--($AL78:AN78=AN78))=1,3,IF(SUMPRODUCT(--($AL78:$AP78&gt;AO78))+SUMPRODUCT(--($AL78:AO78=AO78))=1,4,5)))),"")</f>
        <v/>
      </c>
      <c r="AR78" s="87" t="str">
        <f aca="false">IF($AJ78=Constants!$B$7,IF(SUMPRODUCT(--($AL78:$AP78&gt;AL78))+SUMPRODUCT(--($AL78:AL78=AL78))=2,1,IF(SUMPRODUCT(--($AL78:$AP78&gt;AM78))+SUMPRODUCT(--($AL78:AM78=AM78))=2,2,IF(SUMPRODUCT(--($AL78:$AP78&gt;AN78))+SUMPRODUCT(--($AL78:AN78=AN78))=2,3,IF(SUMPRODUCT(--($AL78:$AP78&gt;AO78))+SUMPRODUCT(--($AL78:AO78=AO78))=2,4,5)))),"")</f>
        <v/>
      </c>
      <c r="AS78" s="87" t="str">
        <f aca="false">IF($AJ78=Constants!$B$7,IF(SUMPRODUCT(--($AL78:$AP78&gt;AL78))+SUMPRODUCT(--($AL78:AL78=AL78))=3,1,IF(SUMPRODUCT(--($AL78:$AP78&gt;AM78))+SUMPRODUCT(--($AL78:AM78=AM78))=3,2,IF(SUMPRODUCT(--($AL78:$AP78&gt;AN78))+SUMPRODUCT(--($AL78:AN78=AN78))=3,3,IF(SUMPRODUCT(--($AL78:$AP78&gt;AO78))+SUMPRODUCT(--($AL78:AO78=AO78))=3,4,5)))),"")</f>
        <v/>
      </c>
      <c r="AT78" s="87" t="str">
        <f aca="false">IF($AJ78=Constants!$B$7,LARGE(AL78:AP78,1)+LARGE(AL78:AP78,2)+LARGE(AL78:AP78,3),"")</f>
        <v/>
      </c>
      <c r="AU78" s="87" t="str">
        <f aca="false">IF(ISBLANK($C78),"",IF($AJ78&lt;&gt;Constants!$B$7,$AJ78,AT78*W78))</f>
        <v/>
      </c>
      <c r="AV78" s="87" t="str">
        <f aca="false">IF(ISBLANK($C78),"",IF($AJ78=Constants!$B$7,IF(ISNUMBER(AU78),RANK(AU78,$AU$8:$AU$507),Constants!$B$14),$AJ78))</f>
        <v/>
      </c>
      <c r="AW78" s="87" t="str">
        <f aca="false">IF(ISBLANK($C78),"",IF($AJ78=Constants!$B$7,IF(ISNUMBER(AV78),COUNTIFS($AK$8:$AK$507,"&lt;"&amp;$AK78)+COUNTIFS($AK$8:$AK$507,$AK78,$AV$8:$AV$507,"&lt;"&amp;$AV78)+1,Constants!$B$14),$AJ78))</f>
        <v/>
      </c>
      <c r="AX78" s="87" t="str">
        <f aca="false">IF(ISBLANK($C78),"",IF($AJ78=Constants!$B$7,LARGE(AL78:AP78,4)*W78,""))</f>
        <v/>
      </c>
      <c r="AY78" s="87" t="str">
        <f aca="false">IF(ISBLANK($C78),"",IF($AJ78=Constants!$B$7,RANK(AX78,$AX$8:$AX$507),$AJ78))</f>
        <v/>
      </c>
      <c r="AZ78" s="87" t="str">
        <f aca="false">IF(ISBLANK($C78),"",IF($AJ78=Constants!$B$7,IF(ISNUMBER(AV78),COUNTIFS($AK$8:$AK$507,"&lt;"&amp;$AK78)+COUNTIFS($AK$8:$AK$507,$AK78,$AV$8:$AV$507,"&lt;"&amp;$AV78)+COUNTIFS($AK$8:$AK$507,$AK78,$AV$8:$AV$507,$AV78,$AY$8:$AY$507,"&lt;"&amp;$AY78)+1,Constants!$B$14),$AJ78))</f>
        <v/>
      </c>
      <c r="BA78" s="87" t="str">
        <f aca="false">IF(ISBLANK($C78),"",IF($AJ78=Constants!$B$7,IF(ISNUMBER(AW78),AW78-AZ78,Constants!$B$14),$AJ78))</f>
        <v/>
      </c>
      <c r="BB78" s="88"/>
      <c r="BC78" s="89" t="str">
        <f aca="false">IF(ISBLANK($C78),"",IF($AJ78&lt;&gt;Constants!$B$7,$AJ78,SMALL(AQ78:AS78,1)&amp;", "&amp;SMALL(AQ78:AS78,2)&amp;", "&amp;SMALL(AQ78:AS78,3)))</f>
        <v/>
      </c>
      <c r="BD78" s="90" t="str">
        <f aca="false">IF(ISBLANK($C78),"",IF($AJ78&lt;&gt;Constants!$B$7,$AJ78,W78))</f>
        <v/>
      </c>
      <c r="BE78" s="91" t="str">
        <f aca="false">IF(ISBLANK($C78),"",IF($AJ78&lt;&gt;Constants!$B$7,$AJ78,AU78))</f>
        <v/>
      </c>
      <c r="BF78" s="92" t="str">
        <f aca="false">IF(ISBLANK($C78),"",IF($AJ78&lt;&gt;Constants!$B$7,$AJ78,AK78))</f>
        <v/>
      </c>
      <c r="BG78" s="90" t="str">
        <f aca="false">IF(ISBLANK($C78),"",BA78)</f>
        <v/>
      </c>
      <c r="BH78" s="90" t="str">
        <f aca="false">IF(ISBLANK($C78),"",AZ78)</f>
        <v/>
      </c>
      <c r="BI78" s="93" t="str">
        <f aca="false">IF(ISBLANK($C78),"",IF(BH78=Constants!$B$4,COUNTA($C$8:$C$507)+2,IF(BH78=Constants!$B$5,COUNTA($C$8:$C$507)+1,IF(BH78=Constants!$B$6,COUNTA($C$8:$C$507),BH78))))</f>
        <v/>
      </c>
      <c r="BJ78" s="5"/>
      <c r="BK78" s="94" t="n">
        <f aca="false">IF(OR(ISNUMBER(BH78),BH78=Constants!$B$4,BH78=Constants!$B$6,BH78=Constants!$B$5),1,0)</f>
        <v>0</v>
      </c>
      <c r="BL78" s="94" t="n">
        <v>71</v>
      </c>
      <c r="BM78" s="94" t="str">
        <f aca="false">IF(ISBLANK($C78),"",IF(ISNUMBER(BI78),BI78+ROW($B78)/1000,""))</f>
        <v/>
      </c>
      <c r="BN78" s="94" t="str">
        <f aca="false">IF(ISNUMBER(BM78),RANK(BM78,$BM$8:$BM$507,1),"")</f>
        <v/>
      </c>
      <c r="BO78" s="94" t="str">
        <f aca="false">IF(ISBLANK($C78),"",$B78)</f>
        <v/>
      </c>
      <c r="BP78" s="94" t="str">
        <f aca="false">IF(ISBLANK($C78),"",$C78)</f>
        <v/>
      </c>
      <c r="BQ78" s="94" t="str">
        <f aca="false">IF(ISBLANK($C78),"",$D78)</f>
        <v/>
      </c>
      <c r="BR78" s="95" t="str">
        <f aca="false">BF78</f>
        <v/>
      </c>
      <c r="BS78" s="96" t="str">
        <f aca="false">BE78</f>
        <v/>
      </c>
      <c r="BT78" s="94" t="str">
        <f aca="false">IF(ISBLANK($C78),"",BH78)</f>
        <v/>
      </c>
      <c r="BU78" s="97" t="str">
        <f aca="false">IF($BL78&gt;$BK$7,"",VLOOKUP($BL78,$BN$8:$BT$507,7,FALSE()))</f>
        <v/>
      </c>
      <c r="BV78" s="98" t="str">
        <f aca="false">IF($BL78&gt;$BK$7,"",VLOOKUP($BL78,$BN$8:$BT$507,2,FALSE()))</f>
        <v/>
      </c>
      <c r="BW78" s="98" t="str">
        <f aca="false">IF($BL78&gt;$BK$7,"",VLOOKUP($BL78,$BN$8:$BT$507,3,FALSE()))</f>
        <v/>
      </c>
      <c r="BX78" s="98" t="str">
        <f aca="false">IF($BL78&gt;$BK$7,"",VLOOKUP($BL78,$BN$8:$BT$507,4,FALSE()))</f>
        <v/>
      </c>
      <c r="BY78" s="98" t="str">
        <f aca="false">IF($BL78&gt;$BK$7,"",VLOOKUP($BL78,$BN$8:$BT$507,5,FALSE()))</f>
        <v/>
      </c>
      <c r="BZ78" s="99" t="str">
        <f aca="false">IF($BL78&gt;$BK$7,"",VLOOKUP($BL78,$BN$8:$BT$507,6,FALSE()))</f>
        <v/>
      </c>
      <c r="CA78" s="48"/>
    </row>
    <row r="79" customFormat="false" ht="15.75" hidden="false" customHeight="false" outlineLevel="0" collapsed="false">
      <c r="A79" s="5"/>
      <c r="B79" s="114"/>
      <c r="C79" s="115"/>
      <c r="D79" s="100"/>
      <c r="E79" s="120"/>
      <c r="F79" s="125"/>
      <c r="G79" s="82"/>
      <c r="H79" s="126"/>
      <c r="I79" s="127"/>
      <c r="J79" s="82"/>
      <c r="K79" s="126"/>
      <c r="L79" s="82"/>
      <c r="M79" s="126"/>
      <c r="N79" s="82"/>
      <c r="O79" s="126"/>
      <c r="P79" s="82"/>
      <c r="Q79" s="126"/>
      <c r="R79" s="82"/>
      <c r="S79" s="120"/>
      <c r="T79" s="86"/>
      <c r="U79" s="87" t="str">
        <f aca="false">IF(ISBLANK($C79),"",IF(E79=Constants!$B$2, TRUE(), IF(E79=Constants!$B$3, FALSE(), TRUE())))</f>
        <v/>
      </c>
      <c r="V79" s="87" t="str">
        <f aca="false">IF(ISBLANK($C79),"",IF(F79=Constants!$B$2, TRUE(), IF(F79=Constants!$B$3, FALSE(), TRUE())))</f>
        <v/>
      </c>
      <c r="W79" s="87" t="str">
        <f aca="false">IF(ISBLANK($C79),"",IF(G79=Constants!$B$15,Constants!$B$8,IF(G79=Constants!$B$16,Constants!$B$9,Constants!$B$10)))</f>
        <v/>
      </c>
      <c r="X79" s="87" t="str">
        <f aca="false">IF(ISBLANK($C79),"",IF(H79=Constants!$B$2, TRUE(), IF(H79=Constants!$B$3, FALSE(), TRUE())))</f>
        <v/>
      </c>
      <c r="Y79" s="87" t="str">
        <f aca="false">IF(ISBLANK($C79),"",IF(I79=Constants!$B$19,Constants!$B$19,Constants!$B$18))</f>
        <v/>
      </c>
      <c r="Z79" s="87" t="str">
        <f aca="false">IF(ISBLANK($C79),"",IF(ISNUMBER(J79),IF(J79&gt;=0,J79,""),""))</f>
        <v/>
      </c>
      <c r="AA79" s="87" t="str">
        <f aca="false">IF(ISBLANK($C79),"",IF(K79=Constants!$B$19,Constants!$B$19,Constants!$B$18))</f>
        <v/>
      </c>
      <c r="AB79" s="87" t="str">
        <f aca="false">IF(ISBLANK($C79),"",IF(ISNUMBER(L79),IF(L79&gt;=0,L79,""),""))</f>
        <v/>
      </c>
      <c r="AC79" s="87" t="str">
        <f aca="false">IF(ISBLANK($C79),"",IF(M79=Constants!$B$19,Constants!$B$19,Constants!$B$18))</f>
        <v/>
      </c>
      <c r="AD79" s="87" t="str">
        <f aca="false">IF(ISBLANK($C79),"",IF(ISNUMBER(N79),IF(N79&gt;=0,N79,""),""))</f>
        <v/>
      </c>
      <c r="AE79" s="87" t="str">
        <f aca="false">IF(ISBLANK($C79),"",IF(O79=Constants!$B$19,Constants!$B$19,Constants!$B$18))</f>
        <v/>
      </c>
      <c r="AF79" s="87" t="str">
        <f aca="false">IF(ISBLANK($C79),"",IF(ISNUMBER(P79),IF(P79&gt;=0,P79,""),""))</f>
        <v/>
      </c>
      <c r="AG79" s="87" t="str">
        <f aca="false">IF(ISBLANK($C79),"",IF(Q79=Constants!$B$19,Constants!$B$19,Constants!$B$18))</f>
        <v/>
      </c>
      <c r="AH79" s="87" t="str">
        <f aca="false">IF(ISBLANK($C79),"",IF(ISNUMBER(R79),IF(R79&gt;=0,R79,""),""))</f>
        <v/>
      </c>
      <c r="AI79" s="87" t="str">
        <f aca="false">IF(ISBLANK($C79),"",IF(S79=Constants!$B$2, TRUE(), IF(S79=Constants!$B$3, FALSE(), FALSE())))</f>
        <v/>
      </c>
      <c r="AJ79" s="87" t="str">
        <f aca="false">IF(ISBLANK($C79),"",IF(AI79,Constants!$B$4,IF(COUNTA(E79:R79)=0,Constants!$B$5,IF(COUNTA(J79,L79,N79,P79,R79)=0,Constants!$B$6,Constants!$B$7))))</f>
        <v/>
      </c>
      <c r="AK79" s="87" t="str">
        <f aca="false">IF(ISBLANK($C79),"",IF($AJ79&lt;&gt;Constants!$B$7,$AJ79,IF(OR(NOT(X79),AND(NOT(U79),COUNTIFS(Y79:AG79,Constants!$B$18,Z79:AH79,"&gt;=0")&gt;0),AND(NOT(V79),COUNTIFS(Y79:AG79,Constants!$B$19,Z79:AH79,"&gt;=0")&gt;0)),Constants!$B$12,Constants!$B$11)))</f>
        <v/>
      </c>
      <c r="AL79" s="87" t="str">
        <f aca="false">IF($AJ79=Constants!$B$7,IF(Z79="",Constants!$B$13,Z79),"")</f>
        <v/>
      </c>
      <c r="AM79" s="87" t="str">
        <f aca="false">IF($AJ79=Constants!$B$7,IF(AB79="",Constants!$B$13,AB79),"")</f>
        <v/>
      </c>
      <c r="AN79" s="87" t="str">
        <f aca="false">IF($AJ79=Constants!$B$7,IF(AD79="",Constants!$B$13,AD79),"")</f>
        <v/>
      </c>
      <c r="AO79" s="87" t="str">
        <f aca="false">IF($AJ79=Constants!$B$7,IF(AF79="",Constants!$B$13,AF79),"")</f>
        <v/>
      </c>
      <c r="AP79" s="87" t="str">
        <f aca="false">IF($AJ79=Constants!$B$7,IF(AH79="",Constants!$B$13,AH79),"")</f>
        <v/>
      </c>
      <c r="AQ79" s="87" t="str">
        <f aca="false">IF($AJ79=Constants!$B$7,IF(SUMPRODUCT(--($AL79:$AP79&gt;AL79))+SUMPRODUCT(--($AL79:AL79=AL79))=1,1,IF(SUMPRODUCT(--($AL79:$AP79&gt;AM79))+SUMPRODUCT(--($AL79:AM79=AM79))=1,2,IF(SUMPRODUCT(--($AL79:$AP79&gt;AN79))+SUMPRODUCT(--($AL79:AN79=AN79))=1,3,IF(SUMPRODUCT(--($AL79:$AP79&gt;AO79))+SUMPRODUCT(--($AL79:AO79=AO79))=1,4,5)))),"")</f>
        <v/>
      </c>
      <c r="AR79" s="87" t="str">
        <f aca="false">IF($AJ79=Constants!$B$7,IF(SUMPRODUCT(--($AL79:$AP79&gt;AL79))+SUMPRODUCT(--($AL79:AL79=AL79))=2,1,IF(SUMPRODUCT(--($AL79:$AP79&gt;AM79))+SUMPRODUCT(--($AL79:AM79=AM79))=2,2,IF(SUMPRODUCT(--($AL79:$AP79&gt;AN79))+SUMPRODUCT(--($AL79:AN79=AN79))=2,3,IF(SUMPRODUCT(--($AL79:$AP79&gt;AO79))+SUMPRODUCT(--($AL79:AO79=AO79))=2,4,5)))),"")</f>
        <v/>
      </c>
      <c r="AS79" s="87" t="str">
        <f aca="false">IF($AJ79=Constants!$B$7,IF(SUMPRODUCT(--($AL79:$AP79&gt;AL79))+SUMPRODUCT(--($AL79:AL79=AL79))=3,1,IF(SUMPRODUCT(--($AL79:$AP79&gt;AM79))+SUMPRODUCT(--($AL79:AM79=AM79))=3,2,IF(SUMPRODUCT(--($AL79:$AP79&gt;AN79))+SUMPRODUCT(--($AL79:AN79=AN79))=3,3,IF(SUMPRODUCT(--($AL79:$AP79&gt;AO79))+SUMPRODUCT(--($AL79:AO79=AO79))=3,4,5)))),"")</f>
        <v/>
      </c>
      <c r="AT79" s="87" t="str">
        <f aca="false">IF($AJ79=Constants!$B$7,LARGE(AL79:AP79,1)+LARGE(AL79:AP79,2)+LARGE(AL79:AP79,3),"")</f>
        <v/>
      </c>
      <c r="AU79" s="87" t="str">
        <f aca="false">IF(ISBLANK($C79),"",IF($AJ79&lt;&gt;Constants!$B$7,$AJ79,AT79*W79))</f>
        <v/>
      </c>
      <c r="AV79" s="87" t="str">
        <f aca="false">IF(ISBLANK($C79),"",IF($AJ79=Constants!$B$7,IF(ISNUMBER(AU79),RANK(AU79,$AU$8:$AU$507),Constants!$B$14),$AJ79))</f>
        <v/>
      </c>
      <c r="AW79" s="87" t="str">
        <f aca="false">IF(ISBLANK($C79),"",IF($AJ79=Constants!$B$7,IF(ISNUMBER(AV79),COUNTIFS($AK$8:$AK$507,"&lt;"&amp;$AK79)+COUNTIFS($AK$8:$AK$507,$AK79,$AV$8:$AV$507,"&lt;"&amp;$AV79)+1,Constants!$B$14),$AJ79))</f>
        <v/>
      </c>
      <c r="AX79" s="87" t="str">
        <f aca="false">IF(ISBLANK($C79),"",IF($AJ79=Constants!$B$7,LARGE(AL79:AP79,4)*W79,""))</f>
        <v/>
      </c>
      <c r="AY79" s="87" t="str">
        <f aca="false">IF(ISBLANK($C79),"",IF($AJ79=Constants!$B$7,RANK(AX79,$AX$8:$AX$507),$AJ79))</f>
        <v/>
      </c>
      <c r="AZ79" s="87" t="str">
        <f aca="false">IF(ISBLANK($C79),"",IF($AJ79=Constants!$B$7,IF(ISNUMBER(AV79),COUNTIFS($AK$8:$AK$507,"&lt;"&amp;$AK79)+COUNTIFS($AK$8:$AK$507,$AK79,$AV$8:$AV$507,"&lt;"&amp;$AV79)+COUNTIFS($AK$8:$AK$507,$AK79,$AV$8:$AV$507,$AV79,$AY$8:$AY$507,"&lt;"&amp;$AY79)+1,Constants!$B$14),$AJ79))</f>
        <v/>
      </c>
      <c r="BA79" s="87" t="str">
        <f aca="false">IF(ISBLANK($C79),"",IF($AJ79=Constants!$B$7,IF(ISNUMBER(AW79),AW79-AZ79,Constants!$B$14),$AJ79))</f>
        <v/>
      </c>
      <c r="BB79" s="88"/>
      <c r="BC79" s="89" t="str">
        <f aca="false">IF(ISBLANK($C79),"",IF($AJ79&lt;&gt;Constants!$B$7,$AJ79,SMALL(AQ79:AS79,1)&amp;", "&amp;SMALL(AQ79:AS79,2)&amp;", "&amp;SMALL(AQ79:AS79,3)))</f>
        <v/>
      </c>
      <c r="BD79" s="90" t="str">
        <f aca="false">IF(ISBLANK($C79),"",IF($AJ79&lt;&gt;Constants!$B$7,$AJ79,W79))</f>
        <v/>
      </c>
      <c r="BE79" s="91" t="str">
        <f aca="false">IF(ISBLANK($C79),"",IF($AJ79&lt;&gt;Constants!$B$7,$AJ79,AU79))</f>
        <v/>
      </c>
      <c r="BF79" s="92" t="str">
        <f aca="false">IF(ISBLANK($C79),"",IF($AJ79&lt;&gt;Constants!$B$7,$AJ79,AK79))</f>
        <v/>
      </c>
      <c r="BG79" s="90" t="str">
        <f aca="false">IF(ISBLANK($C79),"",BA79)</f>
        <v/>
      </c>
      <c r="BH79" s="90" t="str">
        <f aca="false">IF(ISBLANK($C79),"",AZ79)</f>
        <v/>
      </c>
      <c r="BI79" s="93" t="str">
        <f aca="false">IF(ISBLANK($C79),"",IF(BH79=Constants!$B$4,COUNTA($C$8:$C$507)+2,IF(BH79=Constants!$B$5,COUNTA($C$8:$C$507)+1,IF(BH79=Constants!$B$6,COUNTA($C$8:$C$507),BH79))))</f>
        <v/>
      </c>
      <c r="BJ79" s="5"/>
      <c r="BK79" s="94" t="n">
        <f aca="false">IF(OR(ISNUMBER(BH79),BH79=Constants!$B$4,BH79=Constants!$B$6,BH79=Constants!$B$5),1,0)</f>
        <v>0</v>
      </c>
      <c r="BL79" s="94" t="n">
        <v>72</v>
      </c>
      <c r="BM79" s="94" t="str">
        <f aca="false">IF(ISBLANK($C79),"",IF(ISNUMBER(BI79),BI79+ROW($B79)/1000,""))</f>
        <v/>
      </c>
      <c r="BN79" s="94" t="str">
        <f aca="false">IF(ISNUMBER(BM79),RANK(BM79,$BM$8:$BM$507,1),"")</f>
        <v/>
      </c>
      <c r="BO79" s="94" t="str">
        <f aca="false">IF(ISBLANK($C79),"",$B79)</f>
        <v/>
      </c>
      <c r="BP79" s="94" t="str">
        <f aca="false">IF(ISBLANK($C79),"",$C79)</f>
        <v/>
      </c>
      <c r="BQ79" s="94" t="str">
        <f aca="false">IF(ISBLANK($C79),"",$D79)</f>
        <v/>
      </c>
      <c r="BR79" s="95" t="str">
        <f aca="false">BF79</f>
        <v/>
      </c>
      <c r="BS79" s="96" t="str">
        <f aca="false">BE79</f>
        <v/>
      </c>
      <c r="BT79" s="94" t="str">
        <f aca="false">IF(ISBLANK($C79),"",BH79)</f>
        <v/>
      </c>
      <c r="BU79" s="97" t="str">
        <f aca="false">IF($BL79&gt;$BK$7,"",VLOOKUP($BL79,$BN$8:$BT$507,7,FALSE()))</f>
        <v/>
      </c>
      <c r="BV79" s="98" t="str">
        <f aca="false">IF($BL79&gt;$BK$7,"",VLOOKUP($BL79,$BN$8:$BT$507,2,FALSE()))</f>
        <v/>
      </c>
      <c r="BW79" s="98" t="str">
        <f aca="false">IF($BL79&gt;$BK$7,"",VLOOKUP($BL79,$BN$8:$BT$507,3,FALSE()))</f>
        <v/>
      </c>
      <c r="BX79" s="98" t="str">
        <f aca="false">IF($BL79&gt;$BK$7,"",VLOOKUP($BL79,$BN$8:$BT$507,4,FALSE()))</f>
        <v/>
      </c>
      <c r="BY79" s="98" t="str">
        <f aca="false">IF($BL79&gt;$BK$7,"",VLOOKUP($BL79,$BN$8:$BT$507,5,FALSE()))</f>
        <v/>
      </c>
      <c r="BZ79" s="99" t="str">
        <f aca="false">IF($BL79&gt;$BK$7,"",VLOOKUP($BL79,$BN$8:$BT$507,6,FALSE()))</f>
        <v/>
      </c>
      <c r="CA79" s="48"/>
    </row>
    <row r="80" customFormat="false" ht="15.75" hidden="false" customHeight="false" outlineLevel="0" collapsed="false">
      <c r="A80" s="5"/>
      <c r="B80" s="121"/>
      <c r="C80" s="50"/>
      <c r="D80" s="51"/>
      <c r="E80" s="74"/>
      <c r="F80" s="122"/>
      <c r="G80" s="54"/>
      <c r="H80" s="123"/>
      <c r="I80" s="124"/>
      <c r="J80" s="54"/>
      <c r="K80" s="123"/>
      <c r="L80" s="54"/>
      <c r="M80" s="123"/>
      <c r="N80" s="54"/>
      <c r="O80" s="123"/>
      <c r="P80" s="54"/>
      <c r="Q80" s="123"/>
      <c r="R80" s="54"/>
      <c r="S80" s="74"/>
      <c r="T80" s="58"/>
      <c r="U80" s="59" t="str">
        <f aca="false">IF(ISBLANK($C80),"",IF(E80=Constants!$B$2, TRUE(), IF(E80=Constants!$B$3, FALSE(), TRUE())))</f>
        <v/>
      </c>
      <c r="V80" s="59" t="str">
        <f aca="false">IF(ISBLANK($C80),"",IF(F80=Constants!$B$2, TRUE(), IF(F80=Constants!$B$3, FALSE(), TRUE())))</f>
        <v/>
      </c>
      <c r="W80" s="59" t="str">
        <f aca="false">IF(ISBLANK($C80),"",IF(G80=Constants!$B$15,Constants!$B$8,IF(G80=Constants!$B$16,Constants!$B$9,Constants!$B$10)))</f>
        <v/>
      </c>
      <c r="X80" s="59" t="str">
        <f aca="false">IF(ISBLANK($C80),"",IF(H80=Constants!$B$2, TRUE(), IF(H80=Constants!$B$3, FALSE(), TRUE())))</f>
        <v/>
      </c>
      <c r="Y80" s="59" t="str">
        <f aca="false">IF(ISBLANK($C80),"",IF(I80=Constants!$B$19,Constants!$B$19,Constants!$B$18))</f>
        <v/>
      </c>
      <c r="Z80" s="59" t="str">
        <f aca="false">IF(ISBLANK($C80),"",IF(ISNUMBER(J80),IF(J80&gt;=0,J80,""),""))</f>
        <v/>
      </c>
      <c r="AA80" s="59" t="str">
        <f aca="false">IF(ISBLANK($C80),"",IF(K80=Constants!$B$19,Constants!$B$19,Constants!$B$18))</f>
        <v/>
      </c>
      <c r="AB80" s="59" t="str">
        <f aca="false">IF(ISBLANK($C80),"",IF(ISNUMBER(L80),IF(L80&gt;=0,L80,""),""))</f>
        <v/>
      </c>
      <c r="AC80" s="59" t="str">
        <f aca="false">IF(ISBLANK($C80),"",IF(M80=Constants!$B$19,Constants!$B$19,Constants!$B$18))</f>
        <v/>
      </c>
      <c r="AD80" s="59" t="str">
        <f aca="false">IF(ISBLANK($C80),"",IF(ISNUMBER(N80),IF(N80&gt;=0,N80,""),""))</f>
        <v/>
      </c>
      <c r="AE80" s="59" t="str">
        <f aca="false">IF(ISBLANK($C80),"",IF(O80=Constants!$B$19,Constants!$B$19,Constants!$B$18))</f>
        <v/>
      </c>
      <c r="AF80" s="59" t="str">
        <f aca="false">IF(ISBLANK($C80),"",IF(ISNUMBER(P80),IF(P80&gt;=0,P80,""),""))</f>
        <v/>
      </c>
      <c r="AG80" s="59" t="str">
        <f aca="false">IF(ISBLANK($C80),"",IF(Q80=Constants!$B$19,Constants!$B$19,Constants!$B$18))</f>
        <v/>
      </c>
      <c r="AH80" s="59" t="str">
        <f aca="false">IF(ISBLANK($C80),"",IF(ISNUMBER(R80),IF(R80&gt;=0,R80,""),""))</f>
        <v/>
      </c>
      <c r="AI80" s="59" t="str">
        <f aca="false">IF(ISBLANK($C80),"",IF(S80=Constants!$B$2, TRUE(), IF(S80=Constants!$B$3, FALSE(), FALSE())))</f>
        <v/>
      </c>
      <c r="AJ80" s="59" t="str">
        <f aca="false">IF(ISBLANK($C80),"",IF(AI80,Constants!$B$4,IF(COUNTA(E80:R80)=0,Constants!$B$5,IF(COUNTA(J80,L80,N80,P80,R80)=0,Constants!$B$6,Constants!$B$7))))</f>
        <v/>
      </c>
      <c r="AK80" s="59" t="str">
        <f aca="false">IF(ISBLANK($C80),"",IF($AJ80&lt;&gt;Constants!$B$7,$AJ80,IF(OR(NOT(X80),AND(NOT(U80),COUNTIFS(Y80:AG80,Constants!$B$18,Z80:AH80,"&gt;=0")&gt;0),AND(NOT(V80),COUNTIFS(Y80:AG80,Constants!$B$19,Z80:AH80,"&gt;=0")&gt;0)),Constants!$B$12,Constants!$B$11)))</f>
        <v/>
      </c>
      <c r="AL80" s="59" t="str">
        <f aca="false">IF($AJ80=Constants!$B$7,IF(Z80="",Constants!$B$13,Z80),"")</f>
        <v/>
      </c>
      <c r="AM80" s="59" t="str">
        <f aca="false">IF($AJ80=Constants!$B$7,IF(AB80="",Constants!$B$13,AB80),"")</f>
        <v/>
      </c>
      <c r="AN80" s="59" t="str">
        <f aca="false">IF($AJ80=Constants!$B$7,IF(AD80="",Constants!$B$13,AD80),"")</f>
        <v/>
      </c>
      <c r="AO80" s="59" t="str">
        <f aca="false">IF($AJ80=Constants!$B$7,IF(AF80="",Constants!$B$13,AF80),"")</f>
        <v/>
      </c>
      <c r="AP80" s="59" t="str">
        <f aca="false">IF($AJ80=Constants!$B$7,IF(AH80="",Constants!$B$13,AH80),"")</f>
        <v/>
      </c>
      <c r="AQ80" s="59" t="str">
        <f aca="false">IF($AJ80=Constants!$B$7,IF(SUMPRODUCT(--($AL80:$AP80&gt;AL80))+SUMPRODUCT(--($AL80:AL80=AL80))=1,1,IF(SUMPRODUCT(--($AL80:$AP80&gt;AM80))+SUMPRODUCT(--($AL80:AM80=AM80))=1,2,IF(SUMPRODUCT(--($AL80:$AP80&gt;AN80))+SUMPRODUCT(--($AL80:AN80=AN80))=1,3,IF(SUMPRODUCT(--($AL80:$AP80&gt;AO80))+SUMPRODUCT(--($AL80:AO80=AO80))=1,4,5)))),"")</f>
        <v/>
      </c>
      <c r="AR80" s="59" t="str">
        <f aca="false">IF($AJ80=Constants!$B$7,IF(SUMPRODUCT(--($AL80:$AP80&gt;AL80))+SUMPRODUCT(--($AL80:AL80=AL80))=2,1,IF(SUMPRODUCT(--($AL80:$AP80&gt;AM80))+SUMPRODUCT(--($AL80:AM80=AM80))=2,2,IF(SUMPRODUCT(--($AL80:$AP80&gt;AN80))+SUMPRODUCT(--($AL80:AN80=AN80))=2,3,IF(SUMPRODUCT(--($AL80:$AP80&gt;AO80))+SUMPRODUCT(--($AL80:AO80=AO80))=2,4,5)))),"")</f>
        <v/>
      </c>
      <c r="AS80" s="59" t="str">
        <f aca="false">IF($AJ80=Constants!$B$7,IF(SUMPRODUCT(--($AL80:$AP80&gt;AL80))+SUMPRODUCT(--($AL80:AL80=AL80))=3,1,IF(SUMPRODUCT(--($AL80:$AP80&gt;AM80))+SUMPRODUCT(--($AL80:AM80=AM80))=3,2,IF(SUMPRODUCT(--($AL80:$AP80&gt;AN80))+SUMPRODUCT(--($AL80:AN80=AN80))=3,3,IF(SUMPRODUCT(--($AL80:$AP80&gt;AO80))+SUMPRODUCT(--($AL80:AO80=AO80))=3,4,5)))),"")</f>
        <v/>
      </c>
      <c r="AT80" s="59" t="str">
        <f aca="false">IF($AJ80=Constants!$B$7,LARGE(AL80:AP80,1)+LARGE(AL80:AP80,2)+LARGE(AL80:AP80,3),"")</f>
        <v/>
      </c>
      <c r="AU80" s="59" t="str">
        <f aca="false">IF(ISBLANK($C80),"",IF($AJ80&lt;&gt;Constants!$B$7,$AJ80,AT80*W80))</f>
        <v/>
      </c>
      <c r="AV80" s="59" t="str">
        <f aca="false">IF(ISBLANK($C80),"",IF($AJ80=Constants!$B$7,IF(ISNUMBER(AU80),RANK(AU80,$AU$8:$AU$507),Constants!$B$14),$AJ80))</f>
        <v/>
      </c>
      <c r="AW80" s="59" t="str">
        <f aca="false">IF(ISBLANK($C80),"",IF($AJ80=Constants!$B$7,IF(ISNUMBER(AV80),COUNTIFS($AK$8:$AK$507,"&lt;"&amp;$AK80)+COUNTIFS($AK$8:$AK$507,$AK80,$AV$8:$AV$507,"&lt;"&amp;$AV80)+1,Constants!$B$14),$AJ80))</f>
        <v/>
      </c>
      <c r="AX80" s="59" t="str">
        <f aca="false">IF(ISBLANK($C80),"",IF($AJ80=Constants!$B$7,LARGE(AL80:AP80,4)*W80,""))</f>
        <v/>
      </c>
      <c r="AY80" s="59" t="str">
        <f aca="false">IF(ISBLANK($C80),"",IF($AJ80=Constants!$B$7,RANK(AX80,$AX$8:$AX$507),$AJ80))</f>
        <v/>
      </c>
      <c r="AZ80" s="59" t="str">
        <f aca="false">IF(ISBLANK($C80),"",IF($AJ80=Constants!$B$7,IF(ISNUMBER(AV80),COUNTIFS($AK$8:$AK$507,"&lt;"&amp;$AK80)+COUNTIFS($AK$8:$AK$507,$AK80,$AV$8:$AV$507,"&lt;"&amp;$AV80)+COUNTIFS($AK$8:$AK$507,$AK80,$AV$8:$AV$507,$AV80,$AY$8:$AY$507,"&lt;"&amp;$AY80)+1,Constants!$B$14),$AJ80))</f>
        <v/>
      </c>
      <c r="BA80" s="59" t="str">
        <f aca="false">IF(ISBLANK($C80),"",IF($AJ80=Constants!$B$7,IF(ISNUMBER(AW80),AW80-AZ80,Constants!$B$14),$AJ80))</f>
        <v/>
      </c>
      <c r="BB80" s="61"/>
      <c r="BC80" s="62" t="str">
        <f aca="false">IF(ISBLANK($C80),"",IF($AJ80&lt;&gt;Constants!$B$7,$AJ80,SMALL(AQ80:AS80,1)&amp;", "&amp;SMALL(AQ80:AS80,2)&amp;", "&amp;SMALL(AQ80:AS80,3)))</f>
        <v/>
      </c>
      <c r="BD80" s="63" t="str">
        <f aca="false">IF(ISBLANK($C80),"",IF($AJ80&lt;&gt;Constants!$B$7,$AJ80,W80))</f>
        <v/>
      </c>
      <c r="BE80" s="64" t="str">
        <f aca="false">IF(ISBLANK($C80),"",IF($AJ80&lt;&gt;Constants!$B$7,$AJ80,AU80))</f>
        <v/>
      </c>
      <c r="BF80" s="65" t="str">
        <f aca="false">IF(ISBLANK($C80),"",IF($AJ80&lt;&gt;Constants!$B$7,$AJ80,AK80))</f>
        <v/>
      </c>
      <c r="BG80" s="63" t="str">
        <f aca="false">IF(ISBLANK($C80),"",BA80)</f>
        <v/>
      </c>
      <c r="BH80" s="63" t="str">
        <f aca="false">IF(ISBLANK($C80),"",AZ80)</f>
        <v/>
      </c>
      <c r="BI80" s="66" t="str">
        <f aca="false">IF(ISBLANK($C80),"",IF(BH80=Constants!$B$4,COUNTA($C$8:$C$507)+2,IF(BH80=Constants!$B$5,COUNTA($C$8:$C$507)+1,IF(BH80=Constants!$B$6,COUNTA($C$8:$C$507),BH80))))</f>
        <v/>
      </c>
      <c r="BJ80" s="5"/>
      <c r="BK80" s="67" t="n">
        <f aca="false">IF(OR(ISNUMBER(BH80),BH80=Constants!$B$4,BH80=Constants!$B$6,BH80=Constants!$B$5),1,0)</f>
        <v>0</v>
      </c>
      <c r="BL80" s="67" t="n">
        <v>73</v>
      </c>
      <c r="BM80" s="67" t="str">
        <f aca="false">IF(ISBLANK($C80),"",IF(ISNUMBER(BI80),BI80+ROW($B80)/1000,""))</f>
        <v/>
      </c>
      <c r="BN80" s="67" t="str">
        <f aca="false">IF(ISNUMBER(BM80),RANK(BM80,$BM$8:$BM$507,1),"")</f>
        <v/>
      </c>
      <c r="BO80" s="67" t="str">
        <f aca="false">IF(ISBLANK($C80),"",$B80)</f>
        <v/>
      </c>
      <c r="BP80" s="67" t="str">
        <f aca="false">IF(ISBLANK($C80),"",$C80)</f>
        <v/>
      </c>
      <c r="BQ80" s="67" t="str">
        <f aca="false">IF(ISBLANK($C80),"",$D80)</f>
        <v/>
      </c>
      <c r="BR80" s="68" t="str">
        <f aca="false">BF80</f>
        <v/>
      </c>
      <c r="BS80" s="69" t="str">
        <f aca="false">BE80</f>
        <v/>
      </c>
      <c r="BT80" s="67" t="str">
        <f aca="false">IF(ISBLANK($C80),"",BH80)</f>
        <v/>
      </c>
      <c r="BU80" s="70" t="str">
        <f aca="false">IF($BL80&gt;$BK$7,"",VLOOKUP($BL80,$BN$8:$BT$507,7,FALSE()))</f>
        <v/>
      </c>
      <c r="BV80" s="71" t="str">
        <f aca="false">IF($BL80&gt;$BK$7,"",VLOOKUP($BL80,$BN$8:$BT$507,2,FALSE()))</f>
        <v/>
      </c>
      <c r="BW80" s="71" t="str">
        <f aca="false">IF($BL80&gt;$BK$7,"",VLOOKUP($BL80,$BN$8:$BT$507,3,FALSE()))</f>
        <v/>
      </c>
      <c r="BX80" s="71" t="str">
        <f aca="false">IF($BL80&gt;$BK$7,"",VLOOKUP($BL80,$BN$8:$BT$507,4,FALSE()))</f>
        <v/>
      </c>
      <c r="BY80" s="71" t="str">
        <f aca="false">IF($BL80&gt;$BK$7,"",VLOOKUP($BL80,$BN$8:$BT$507,5,FALSE()))</f>
        <v/>
      </c>
      <c r="BZ80" s="72" t="str">
        <f aca="false">IF($BL80&gt;$BK$7,"",VLOOKUP($BL80,$BN$8:$BT$507,6,FALSE()))</f>
        <v/>
      </c>
      <c r="CA80" s="48"/>
    </row>
    <row r="81" customFormat="false" ht="15.75" hidden="false" customHeight="false" outlineLevel="0" collapsed="false">
      <c r="A81" s="5"/>
      <c r="B81" s="121"/>
      <c r="C81" s="50"/>
      <c r="D81" s="51"/>
      <c r="E81" s="74"/>
      <c r="F81" s="122"/>
      <c r="G81" s="54"/>
      <c r="H81" s="123"/>
      <c r="I81" s="124"/>
      <c r="J81" s="54"/>
      <c r="K81" s="123"/>
      <c r="L81" s="54"/>
      <c r="M81" s="123"/>
      <c r="N81" s="54"/>
      <c r="O81" s="123"/>
      <c r="P81" s="54"/>
      <c r="Q81" s="123"/>
      <c r="R81" s="54"/>
      <c r="S81" s="74"/>
      <c r="T81" s="58"/>
      <c r="U81" s="59" t="str">
        <f aca="false">IF(ISBLANK($C81),"",IF(E81=Constants!$B$2, TRUE(), IF(E81=Constants!$B$3, FALSE(), TRUE())))</f>
        <v/>
      </c>
      <c r="V81" s="59" t="str">
        <f aca="false">IF(ISBLANK($C81),"",IF(F81=Constants!$B$2, TRUE(), IF(F81=Constants!$B$3, FALSE(), TRUE())))</f>
        <v/>
      </c>
      <c r="W81" s="59" t="str">
        <f aca="false">IF(ISBLANK($C81),"",IF(G81=Constants!$B$15,Constants!$B$8,IF(G81=Constants!$B$16,Constants!$B$9,Constants!$B$10)))</f>
        <v/>
      </c>
      <c r="X81" s="59" t="str">
        <f aca="false">IF(ISBLANK($C81),"",IF(H81=Constants!$B$2, TRUE(), IF(H81=Constants!$B$3, FALSE(), TRUE())))</f>
        <v/>
      </c>
      <c r="Y81" s="59" t="str">
        <f aca="false">IF(ISBLANK($C81),"",IF(I81=Constants!$B$19,Constants!$B$19,Constants!$B$18))</f>
        <v/>
      </c>
      <c r="Z81" s="59" t="str">
        <f aca="false">IF(ISBLANK($C81),"",IF(ISNUMBER(J81),IF(J81&gt;=0,J81,""),""))</f>
        <v/>
      </c>
      <c r="AA81" s="59" t="str">
        <f aca="false">IF(ISBLANK($C81),"",IF(K81=Constants!$B$19,Constants!$B$19,Constants!$B$18))</f>
        <v/>
      </c>
      <c r="AB81" s="59" t="str">
        <f aca="false">IF(ISBLANK($C81),"",IF(ISNUMBER(L81),IF(L81&gt;=0,L81,""),""))</f>
        <v/>
      </c>
      <c r="AC81" s="59" t="str">
        <f aca="false">IF(ISBLANK($C81),"",IF(M81=Constants!$B$19,Constants!$B$19,Constants!$B$18))</f>
        <v/>
      </c>
      <c r="AD81" s="59" t="str">
        <f aca="false">IF(ISBLANK($C81),"",IF(ISNUMBER(N81),IF(N81&gt;=0,N81,""),""))</f>
        <v/>
      </c>
      <c r="AE81" s="59" t="str">
        <f aca="false">IF(ISBLANK($C81),"",IF(O81=Constants!$B$19,Constants!$B$19,Constants!$B$18))</f>
        <v/>
      </c>
      <c r="AF81" s="59" t="str">
        <f aca="false">IF(ISBLANK($C81),"",IF(ISNUMBER(P81),IF(P81&gt;=0,P81,""),""))</f>
        <v/>
      </c>
      <c r="AG81" s="59" t="str">
        <f aca="false">IF(ISBLANK($C81),"",IF(Q81=Constants!$B$19,Constants!$B$19,Constants!$B$18))</f>
        <v/>
      </c>
      <c r="AH81" s="59" t="str">
        <f aca="false">IF(ISBLANK($C81),"",IF(ISNUMBER(R81),IF(R81&gt;=0,R81,""),""))</f>
        <v/>
      </c>
      <c r="AI81" s="59" t="str">
        <f aca="false">IF(ISBLANK($C81),"",IF(S81=Constants!$B$2, TRUE(), IF(S81=Constants!$B$3, FALSE(), FALSE())))</f>
        <v/>
      </c>
      <c r="AJ81" s="59" t="str">
        <f aca="false">IF(ISBLANK($C81),"",IF(AI81,Constants!$B$4,IF(COUNTA(E81:R81)=0,Constants!$B$5,IF(COUNTA(J81,L81,N81,P81,R81)=0,Constants!$B$6,Constants!$B$7))))</f>
        <v/>
      </c>
      <c r="AK81" s="59" t="str">
        <f aca="false">IF(ISBLANK($C81),"",IF($AJ81&lt;&gt;Constants!$B$7,$AJ81,IF(OR(NOT(X81),AND(NOT(U81),COUNTIFS(Y81:AG81,Constants!$B$18,Z81:AH81,"&gt;=0")&gt;0),AND(NOT(V81),COUNTIFS(Y81:AG81,Constants!$B$19,Z81:AH81,"&gt;=0")&gt;0)),Constants!$B$12,Constants!$B$11)))</f>
        <v/>
      </c>
      <c r="AL81" s="59" t="str">
        <f aca="false">IF($AJ81=Constants!$B$7,IF(Z81="",Constants!$B$13,Z81),"")</f>
        <v/>
      </c>
      <c r="AM81" s="59" t="str">
        <f aca="false">IF($AJ81=Constants!$B$7,IF(AB81="",Constants!$B$13,AB81),"")</f>
        <v/>
      </c>
      <c r="AN81" s="59" t="str">
        <f aca="false">IF($AJ81=Constants!$B$7,IF(AD81="",Constants!$B$13,AD81),"")</f>
        <v/>
      </c>
      <c r="AO81" s="59" t="str">
        <f aca="false">IF($AJ81=Constants!$B$7,IF(AF81="",Constants!$B$13,AF81),"")</f>
        <v/>
      </c>
      <c r="AP81" s="59" t="str">
        <f aca="false">IF($AJ81=Constants!$B$7,IF(AH81="",Constants!$B$13,AH81),"")</f>
        <v/>
      </c>
      <c r="AQ81" s="59" t="str">
        <f aca="false">IF($AJ81=Constants!$B$7,IF(SUMPRODUCT(--($AL81:$AP81&gt;AL81))+SUMPRODUCT(--($AL81:AL81=AL81))=1,1,IF(SUMPRODUCT(--($AL81:$AP81&gt;AM81))+SUMPRODUCT(--($AL81:AM81=AM81))=1,2,IF(SUMPRODUCT(--($AL81:$AP81&gt;AN81))+SUMPRODUCT(--($AL81:AN81=AN81))=1,3,IF(SUMPRODUCT(--($AL81:$AP81&gt;AO81))+SUMPRODUCT(--($AL81:AO81=AO81))=1,4,5)))),"")</f>
        <v/>
      </c>
      <c r="AR81" s="59" t="str">
        <f aca="false">IF($AJ81=Constants!$B$7,IF(SUMPRODUCT(--($AL81:$AP81&gt;AL81))+SUMPRODUCT(--($AL81:AL81=AL81))=2,1,IF(SUMPRODUCT(--($AL81:$AP81&gt;AM81))+SUMPRODUCT(--($AL81:AM81=AM81))=2,2,IF(SUMPRODUCT(--($AL81:$AP81&gt;AN81))+SUMPRODUCT(--($AL81:AN81=AN81))=2,3,IF(SUMPRODUCT(--($AL81:$AP81&gt;AO81))+SUMPRODUCT(--($AL81:AO81=AO81))=2,4,5)))),"")</f>
        <v/>
      </c>
      <c r="AS81" s="59" t="str">
        <f aca="false">IF($AJ81=Constants!$B$7,IF(SUMPRODUCT(--($AL81:$AP81&gt;AL81))+SUMPRODUCT(--($AL81:AL81=AL81))=3,1,IF(SUMPRODUCT(--($AL81:$AP81&gt;AM81))+SUMPRODUCT(--($AL81:AM81=AM81))=3,2,IF(SUMPRODUCT(--($AL81:$AP81&gt;AN81))+SUMPRODUCT(--($AL81:AN81=AN81))=3,3,IF(SUMPRODUCT(--($AL81:$AP81&gt;AO81))+SUMPRODUCT(--($AL81:AO81=AO81))=3,4,5)))),"")</f>
        <v/>
      </c>
      <c r="AT81" s="59" t="str">
        <f aca="false">IF($AJ81=Constants!$B$7,LARGE(AL81:AP81,1)+LARGE(AL81:AP81,2)+LARGE(AL81:AP81,3),"")</f>
        <v/>
      </c>
      <c r="AU81" s="59" t="str">
        <f aca="false">IF(ISBLANK($C81),"",IF($AJ81&lt;&gt;Constants!$B$7,$AJ81,AT81*W81))</f>
        <v/>
      </c>
      <c r="AV81" s="59" t="str">
        <f aca="false">IF(ISBLANK($C81),"",IF($AJ81=Constants!$B$7,IF(ISNUMBER(AU81),RANK(AU81,$AU$8:$AU$507),Constants!$B$14),$AJ81))</f>
        <v/>
      </c>
      <c r="AW81" s="59" t="str">
        <f aca="false">IF(ISBLANK($C81),"",IF($AJ81=Constants!$B$7,IF(ISNUMBER(AV81),COUNTIFS($AK$8:$AK$507,"&lt;"&amp;$AK81)+COUNTIFS($AK$8:$AK$507,$AK81,$AV$8:$AV$507,"&lt;"&amp;$AV81)+1,Constants!$B$14),$AJ81))</f>
        <v/>
      </c>
      <c r="AX81" s="59" t="str">
        <f aca="false">IF(ISBLANK($C81),"",IF($AJ81=Constants!$B$7,LARGE(AL81:AP81,4)*W81,""))</f>
        <v/>
      </c>
      <c r="AY81" s="59" t="str">
        <f aca="false">IF(ISBLANK($C81),"",IF($AJ81=Constants!$B$7,RANK(AX81,$AX$8:$AX$507),$AJ81))</f>
        <v/>
      </c>
      <c r="AZ81" s="59" t="str">
        <f aca="false">IF(ISBLANK($C81),"",IF($AJ81=Constants!$B$7,IF(ISNUMBER(AV81),COUNTIFS($AK$8:$AK$507,"&lt;"&amp;$AK81)+COUNTIFS($AK$8:$AK$507,$AK81,$AV$8:$AV$507,"&lt;"&amp;$AV81)+COUNTIFS($AK$8:$AK$507,$AK81,$AV$8:$AV$507,$AV81,$AY$8:$AY$507,"&lt;"&amp;$AY81)+1,Constants!$B$14),$AJ81))</f>
        <v/>
      </c>
      <c r="BA81" s="59" t="str">
        <f aca="false">IF(ISBLANK($C81),"",IF($AJ81=Constants!$B$7,IF(ISNUMBER(AW81),AW81-AZ81,Constants!$B$14),$AJ81))</f>
        <v/>
      </c>
      <c r="BB81" s="61"/>
      <c r="BC81" s="62" t="str">
        <f aca="false">IF(ISBLANK($C81),"",IF($AJ81&lt;&gt;Constants!$B$7,$AJ81,SMALL(AQ81:AS81,1)&amp;", "&amp;SMALL(AQ81:AS81,2)&amp;", "&amp;SMALL(AQ81:AS81,3)))</f>
        <v/>
      </c>
      <c r="BD81" s="63" t="str">
        <f aca="false">IF(ISBLANK($C81),"",IF($AJ81&lt;&gt;Constants!$B$7,$AJ81,W81))</f>
        <v/>
      </c>
      <c r="BE81" s="64" t="str">
        <f aca="false">IF(ISBLANK($C81),"",IF($AJ81&lt;&gt;Constants!$B$7,$AJ81,AU81))</f>
        <v/>
      </c>
      <c r="BF81" s="65" t="str">
        <f aca="false">IF(ISBLANK($C81),"",IF($AJ81&lt;&gt;Constants!$B$7,$AJ81,AK81))</f>
        <v/>
      </c>
      <c r="BG81" s="63" t="str">
        <f aca="false">IF(ISBLANK($C81),"",BA81)</f>
        <v/>
      </c>
      <c r="BH81" s="63" t="str">
        <f aca="false">IF(ISBLANK($C81),"",AZ81)</f>
        <v/>
      </c>
      <c r="BI81" s="66" t="str">
        <f aca="false">IF(ISBLANK($C81),"",IF(BH81=Constants!$B$4,COUNTA($C$8:$C$507)+2,IF(BH81=Constants!$B$5,COUNTA($C$8:$C$507)+1,IF(BH81=Constants!$B$6,COUNTA($C$8:$C$507),BH81))))</f>
        <v/>
      </c>
      <c r="BJ81" s="5"/>
      <c r="BK81" s="67" t="n">
        <f aca="false">IF(OR(ISNUMBER(BH81),BH81=Constants!$B$4,BH81=Constants!$B$6,BH81=Constants!$B$5),1,0)</f>
        <v>0</v>
      </c>
      <c r="BL81" s="67" t="n">
        <v>74</v>
      </c>
      <c r="BM81" s="67" t="str">
        <f aca="false">IF(ISBLANK($C81),"",IF(ISNUMBER(BI81),BI81+ROW($B81)/1000,""))</f>
        <v/>
      </c>
      <c r="BN81" s="67" t="str">
        <f aca="false">IF(ISNUMBER(BM81),RANK(BM81,$BM$8:$BM$507,1),"")</f>
        <v/>
      </c>
      <c r="BO81" s="67" t="str">
        <f aca="false">IF(ISBLANK($C81),"",$B81)</f>
        <v/>
      </c>
      <c r="BP81" s="67" t="str">
        <f aca="false">IF(ISBLANK($C81),"",$C81)</f>
        <v/>
      </c>
      <c r="BQ81" s="67" t="str">
        <f aca="false">IF(ISBLANK($C81),"",$D81)</f>
        <v/>
      </c>
      <c r="BR81" s="68" t="str">
        <f aca="false">BF81</f>
        <v/>
      </c>
      <c r="BS81" s="69" t="str">
        <f aca="false">BE81</f>
        <v/>
      </c>
      <c r="BT81" s="67" t="str">
        <f aca="false">IF(ISBLANK($C81),"",BH81)</f>
        <v/>
      </c>
      <c r="BU81" s="70" t="str">
        <f aca="false">IF($BL81&gt;$BK$7,"",VLOOKUP($BL81,$BN$8:$BT$507,7,FALSE()))</f>
        <v/>
      </c>
      <c r="BV81" s="71" t="str">
        <f aca="false">IF($BL81&gt;$BK$7,"",VLOOKUP($BL81,$BN$8:$BT$507,2,FALSE()))</f>
        <v/>
      </c>
      <c r="BW81" s="71" t="str">
        <f aca="false">IF($BL81&gt;$BK$7,"",VLOOKUP($BL81,$BN$8:$BT$507,3,FALSE()))</f>
        <v/>
      </c>
      <c r="BX81" s="71" t="str">
        <f aca="false">IF($BL81&gt;$BK$7,"",VLOOKUP($BL81,$BN$8:$BT$507,4,FALSE()))</f>
        <v/>
      </c>
      <c r="BY81" s="71" t="str">
        <f aca="false">IF($BL81&gt;$BK$7,"",VLOOKUP($BL81,$BN$8:$BT$507,5,FALSE()))</f>
        <v/>
      </c>
      <c r="BZ81" s="72" t="str">
        <f aca="false">IF($BL81&gt;$BK$7,"",VLOOKUP($BL81,$BN$8:$BT$507,6,FALSE()))</f>
        <v/>
      </c>
      <c r="CA81" s="48"/>
    </row>
    <row r="82" customFormat="false" ht="15.75" hidden="false" customHeight="false" outlineLevel="0" collapsed="false">
      <c r="A82" s="5"/>
      <c r="B82" s="121"/>
      <c r="C82" s="50"/>
      <c r="D82" s="51"/>
      <c r="E82" s="74"/>
      <c r="F82" s="122"/>
      <c r="G82" s="54"/>
      <c r="H82" s="123"/>
      <c r="I82" s="124"/>
      <c r="J82" s="54"/>
      <c r="K82" s="123"/>
      <c r="L82" s="54"/>
      <c r="M82" s="123"/>
      <c r="N82" s="54"/>
      <c r="O82" s="123"/>
      <c r="P82" s="54"/>
      <c r="Q82" s="123"/>
      <c r="R82" s="54"/>
      <c r="S82" s="74"/>
      <c r="T82" s="58"/>
      <c r="U82" s="59" t="str">
        <f aca="false">IF(ISBLANK($C82),"",IF(E82=Constants!$B$2, TRUE(), IF(E82=Constants!$B$3, FALSE(), TRUE())))</f>
        <v/>
      </c>
      <c r="V82" s="59" t="str">
        <f aca="false">IF(ISBLANK($C82),"",IF(F82=Constants!$B$2, TRUE(), IF(F82=Constants!$B$3, FALSE(), TRUE())))</f>
        <v/>
      </c>
      <c r="W82" s="59" t="str">
        <f aca="false">IF(ISBLANK($C82),"",IF(G82=Constants!$B$15,Constants!$B$8,IF(G82=Constants!$B$16,Constants!$B$9,Constants!$B$10)))</f>
        <v/>
      </c>
      <c r="X82" s="59" t="str">
        <f aca="false">IF(ISBLANK($C82),"",IF(H82=Constants!$B$2, TRUE(), IF(H82=Constants!$B$3, FALSE(), TRUE())))</f>
        <v/>
      </c>
      <c r="Y82" s="59" t="str">
        <f aca="false">IF(ISBLANK($C82),"",IF(I82=Constants!$B$19,Constants!$B$19,Constants!$B$18))</f>
        <v/>
      </c>
      <c r="Z82" s="59" t="str">
        <f aca="false">IF(ISBLANK($C82),"",IF(ISNUMBER(J82),IF(J82&gt;=0,J82,""),""))</f>
        <v/>
      </c>
      <c r="AA82" s="59" t="str">
        <f aca="false">IF(ISBLANK($C82),"",IF(K82=Constants!$B$19,Constants!$B$19,Constants!$B$18))</f>
        <v/>
      </c>
      <c r="AB82" s="59" t="str">
        <f aca="false">IF(ISBLANK($C82),"",IF(ISNUMBER(L82),IF(L82&gt;=0,L82,""),""))</f>
        <v/>
      </c>
      <c r="AC82" s="59" t="str">
        <f aca="false">IF(ISBLANK($C82),"",IF(M82=Constants!$B$19,Constants!$B$19,Constants!$B$18))</f>
        <v/>
      </c>
      <c r="AD82" s="59" t="str">
        <f aca="false">IF(ISBLANK($C82),"",IF(ISNUMBER(N82),IF(N82&gt;=0,N82,""),""))</f>
        <v/>
      </c>
      <c r="AE82" s="59" t="str">
        <f aca="false">IF(ISBLANK($C82),"",IF(O82=Constants!$B$19,Constants!$B$19,Constants!$B$18))</f>
        <v/>
      </c>
      <c r="AF82" s="59" t="str">
        <f aca="false">IF(ISBLANK($C82),"",IF(ISNUMBER(P82),IF(P82&gt;=0,P82,""),""))</f>
        <v/>
      </c>
      <c r="AG82" s="59" t="str">
        <f aca="false">IF(ISBLANK($C82),"",IF(Q82=Constants!$B$19,Constants!$B$19,Constants!$B$18))</f>
        <v/>
      </c>
      <c r="AH82" s="59" t="str">
        <f aca="false">IF(ISBLANK($C82),"",IF(ISNUMBER(R82),IF(R82&gt;=0,R82,""),""))</f>
        <v/>
      </c>
      <c r="AI82" s="59" t="str">
        <f aca="false">IF(ISBLANK($C82),"",IF(S82=Constants!$B$2, TRUE(), IF(S82=Constants!$B$3, FALSE(), FALSE())))</f>
        <v/>
      </c>
      <c r="AJ82" s="59" t="str">
        <f aca="false">IF(ISBLANK($C82),"",IF(AI82,Constants!$B$4,IF(COUNTA(E82:R82)=0,Constants!$B$5,IF(COUNTA(J82,L82,N82,P82,R82)=0,Constants!$B$6,Constants!$B$7))))</f>
        <v/>
      </c>
      <c r="AK82" s="59" t="str">
        <f aca="false">IF(ISBLANK($C82),"",IF($AJ82&lt;&gt;Constants!$B$7,$AJ82,IF(OR(NOT(X82),AND(NOT(U82),COUNTIFS(Y82:AG82,Constants!$B$18,Z82:AH82,"&gt;=0")&gt;0),AND(NOT(V82),COUNTIFS(Y82:AG82,Constants!$B$19,Z82:AH82,"&gt;=0")&gt;0)),Constants!$B$12,Constants!$B$11)))</f>
        <v/>
      </c>
      <c r="AL82" s="59" t="str">
        <f aca="false">IF($AJ82=Constants!$B$7,IF(Z82="",Constants!$B$13,Z82),"")</f>
        <v/>
      </c>
      <c r="AM82" s="59" t="str">
        <f aca="false">IF($AJ82=Constants!$B$7,IF(AB82="",Constants!$B$13,AB82),"")</f>
        <v/>
      </c>
      <c r="AN82" s="59" t="str">
        <f aca="false">IF($AJ82=Constants!$B$7,IF(AD82="",Constants!$B$13,AD82),"")</f>
        <v/>
      </c>
      <c r="AO82" s="59" t="str">
        <f aca="false">IF($AJ82=Constants!$B$7,IF(AF82="",Constants!$B$13,AF82),"")</f>
        <v/>
      </c>
      <c r="AP82" s="59" t="str">
        <f aca="false">IF($AJ82=Constants!$B$7,IF(AH82="",Constants!$B$13,AH82),"")</f>
        <v/>
      </c>
      <c r="AQ82" s="59" t="str">
        <f aca="false">IF($AJ82=Constants!$B$7,IF(SUMPRODUCT(--($AL82:$AP82&gt;AL82))+SUMPRODUCT(--($AL82:AL82=AL82))=1,1,IF(SUMPRODUCT(--($AL82:$AP82&gt;AM82))+SUMPRODUCT(--($AL82:AM82=AM82))=1,2,IF(SUMPRODUCT(--($AL82:$AP82&gt;AN82))+SUMPRODUCT(--($AL82:AN82=AN82))=1,3,IF(SUMPRODUCT(--($AL82:$AP82&gt;AO82))+SUMPRODUCT(--($AL82:AO82=AO82))=1,4,5)))),"")</f>
        <v/>
      </c>
      <c r="AR82" s="59" t="str">
        <f aca="false">IF($AJ82=Constants!$B$7,IF(SUMPRODUCT(--($AL82:$AP82&gt;AL82))+SUMPRODUCT(--($AL82:AL82=AL82))=2,1,IF(SUMPRODUCT(--($AL82:$AP82&gt;AM82))+SUMPRODUCT(--($AL82:AM82=AM82))=2,2,IF(SUMPRODUCT(--($AL82:$AP82&gt;AN82))+SUMPRODUCT(--($AL82:AN82=AN82))=2,3,IF(SUMPRODUCT(--($AL82:$AP82&gt;AO82))+SUMPRODUCT(--($AL82:AO82=AO82))=2,4,5)))),"")</f>
        <v/>
      </c>
      <c r="AS82" s="59" t="str">
        <f aca="false">IF($AJ82=Constants!$B$7,IF(SUMPRODUCT(--($AL82:$AP82&gt;AL82))+SUMPRODUCT(--($AL82:AL82=AL82))=3,1,IF(SUMPRODUCT(--($AL82:$AP82&gt;AM82))+SUMPRODUCT(--($AL82:AM82=AM82))=3,2,IF(SUMPRODUCT(--($AL82:$AP82&gt;AN82))+SUMPRODUCT(--($AL82:AN82=AN82))=3,3,IF(SUMPRODUCT(--($AL82:$AP82&gt;AO82))+SUMPRODUCT(--($AL82:AO82=AO82))=3,4,5)))),"")</f>
        <v/>
      </c>
      <c r="AT82" s="59" t="str">
        <f aca="false">IF($AJ82=Constants!$B$7,LARGE(AL82:AP82,1)+LARGE(AL82:AP82,2)+LARGE(AL82:AP82,3),"")</f>
        <v/>
      </c>
      <c r="AU82" s="59" t="str">
        <f aca="false">IF(ISBLANK($C82),"",IF($AJ82&lt;&gt;Constants!$B$7,$AJ82,AT82*W82))</f>
        <v/>
      </c>
      <c r="AV82" s="59" t="str">
        <f aca="false">IF(ISBLANK($C82),"",IF($AJ82=Constants!$B$7,IF(ISNUMBER(AU82),RANK(AU82,$AU$8:$AU$507),Constants!$B$14),$AJ82))</f>
        <v/>
      </c>
      <c r="AW82" s="59" t="str">
        <f aca="false">IF(ISBLANK($C82),"",IF($AJ82=Constants!$B$7,IF(ISNUMBER(AV82),COUNTIFS($AK$8:$AK$507,"&lt;"&amp;$AK82)+COUNTIFS($AK$8:$AK$507,$AK82,$AV$8:$AV$507,"&lt;"&amp;$AV82)+1,Constants!$B$14),$AJ82))</f>
        <v/>
      </c>
      <c r="AX82" s="59" t="str">
        <f aca="false">IF(ISBLANK($C82),"",IF($AJ82=Constants!$B$7,LARGE(AL82:AP82,4)*W82,""))</f>
        <v/>
      </c>
      <c r="AY82" s="59" t="str">
        <f aca="false">IF(ISBLANK($C82),"",IF($AJ82=Constants!$B$7,RANK(AX82,$AX$8:$AX$507),$AJ82))</f>
        <v/>
      </c>
      <c r="AZ82" s="59" t="str">
        <f aca="false">IF(ISBLANK($C82),"",IF($AJ82=Constants!$B$7,IF(ISNUMBER(AV82),COUNTIFS($AK$8:$AK$507,"&lt;"&amp;$AK82)+COUNTIFS($AK$8:$AK$507,$AK82,$AV$8:$AV$507,"&lt;"&amp;$AV82)+COUNTIFS($AK$8:$AK$507,$AK82,$AV$8:$AV$507,$AV82,$AY$8:$AY$507,"&lt;"&amp;$AY82)+1,Constants!$B$14),$AJ82))</f>
        <v/>
      </c>
      <c r="BA82" s="59" t="str">
        <f aca="false">IF(ISBLANK($C82),"",IF($AJ82=Constants!$B$7,IF(ISNUMBER(AW82),AW82-AZ82,Constants!$B$14),$AJ82))</f>
        <v/>
      </c>
      <c r="BB82" s="61"/>
      <c r="BC82" s="62" t="str">
        <f aca="false">IF(ISBLANK($C82),"",IF($AJ82&lt;&gt;Constants!$B$7,$AJ82,SMALL(AQ82:AS82,1)&amp;", "&amp;SMALL(AQ82:AS82,2)&amp;", "&amp;SMALL(AQ82:AS82,3)))</f>
        <v/>
      </c>
      <c r="BD82" s="63" t="str">
        <f aca="false">IF(ISBLANK($C82),"",IF($AJ82&lt;&gt;Constants!$B$7,$AJ82,W82))</f>
        <v/>
      </c>
      <c r="BE82" s="64" t="str">
        <f aca="false">IF(ISBLANK($C82),"",IF($AJ82&lt;&gt;Constants!$B$7,$AJ82,AU82))</f>
        <v/>
      </c>
      <c r="BF82" s="65" t="str">
        <f aca="false">IF(ISBLANK($C82),"",IF($AJ82&lt;&gt;Constants!$B$7,$AJ82,AK82))</f>
        <v/>
      </c>
      <c r="BG82" s="63" t="str">
        <f aca="false">IF(ISBLANK($C82),"",BA82)</f>
        <v/>
      </c>
      <c r="BH82" s="63" t="str">
        <f aca="false">IF(ISBLANK($C82),"",AZ82)</f>
        <v/>
      </c>
      <c r="BI82" s="66" t="str">
        <f aca="false">IF(ISBLANK($C82),"",IF(BH82=Constants!$B$4,COUNTA($C$8:$C$507)+2,IF(BH82=Constants!$B$5,COUNTA($C$8:$C$507)+1,IF(BH82=Constants!$B$6,COUNTA($C$8:$C$507),BH82))))</f>
        <v/>
      </c>
      <c r="BJ82" s="5"/>
      <c r="BK82" s="67" t="n">
        <f aca="false">IF(OR(ISNUMBER(BH82),BH82=Constants!$B$4,BH82=Constants!$B$6,BH82=Constants!$B$5),1,0)</f>
        <v>0</v>
      </c>
      <c r="BL82" s="67" t="n">
        <v>75</v>
      </c>
      <c r="BM82" s="67" t="str">
        <f aca="false">IF(ISBLANK($C82),"",IF(ISNUMBER(BI82),BI82+ROW($B82)/1000,""))</f>
        <v/>
      </c>
      <c r="BN82" s="67" t="str">
        <f aca="false">IF(ISNUMBER(BM82),RANK(BM82,$BM$8:$BM$507,1),"")</f>
        <v/>
      </c>
      <c r="BO82" s="67" t="str">
        <f aca="false">IF(ISBLANK($C82),"",$B82)</f>
        <v/>
      </c>
      <c r="BP82" s="67" t="str">
        <f aca="false">IF(ISBLANK($C82),"",$C82)</f>
        <v/>
      </c>
      <c r="BQ82" s="67" t="str">
        <f aca="false">IF(ISBLANK($C82),"",$D82)</f>
        <v/>
      </c>
      <c r="BR82" s="68" t="str">
        <f aca="false">BF82</f>
        <v/>
      </c>
      <c r="BS82" s="69" t="str">
        <f aca="false">BE82</f>
        <v/>
      </c>
      <c r="BT82" s="67" t="str">
        <f aca="false">IF(ISBLANK($C82),"",BH82)</f>
        <v/>
      </c>
      <c r="BU82" s="70" t="str">
        <f aca="false">IF($BL82&gt;$BK$7,"",VLOOKUP($BL82,$BN$8:$BT$507,7,FALSE()))</f>
        <v/>
      </c>
      <c r="BV82" s="71" t="str">
        <f aca="false">IF($BL82&gt;$BK$7,"",VLOOKUP($BL82,$BN$8:$BT$507,2,FALSE()))</f>
        <v/>
      </c>
      <c r="BW82" s="71" t="str">
        <f aca="false">IF($BL82&gt;$BK$7,"",VLOOKUP($BL82,$BN$8:$BT$507,3,FALSE()))</f>
        <v/>
      </c>
      <c r="BX82" s="71" t="str">
        <f aca="false">IF($BL82&gt;$BK$7,"",VLOOKUP($BL82,$BN$8:$BT$507,4,FALSE()))</f>
        <v/>
      </c>
      <c r="BY82" s="71" t="str">
        <f aca="false">IF($BL82&gt;$BK$7,"",VLOOKUP($BL82,$BN$8:$BT$507,5,FALSE()))</f>
        <v/>
      </c>
      <c r="BZ82" s="72" t="str">
        <f aca="false">IF($BL82&gt;$BK$7,"",VLOOKUP($BL82,$BN$8:$BT$507,6,FALSE()))</f>
        <v/>
      </c>
      <c r="CA82" s="48"/>
    </row>
    <row r="83" customFormat="false" ht="15.75" hidden="false" customHeight="false" outlineLevel="0" collapsed="false">
      <c r="A83" s="5"/>
      <c r="B83" s="114"/>
      <c r="C83" s="115"/>
      <c r="D83" s="100"/>
      <c r="E83" s="120"/>
      <c r="F83" s="125"/>
      <c r="G83" s="82"/>
      <c r="H83" s="126"/>
      <c r="I83" s="127"/>
      <c r="J83" s="82"/>
      <c r="K83" s="126"/>
      <c r="L83" s="82"/>
      <c r="M83" s="126"/>
      <c r="N83" s="82"/>
      <c r="O83" s="126"/>
      <c r="P83" s="82"/>
      <c r="Q83" s="126"/>
      <c r="R83" s="82"/>
      <c r="S83" s="120"/>
      <c r="T83" s="86"/>
      <c r="U83" s="87" t="str">
        <f aca="false">IF(ISBLANK($C83),"",IF(E83=Constants!$B$2, TRUE(), IF(E83=Constants!$B$3, FALSE(), TRUE())))</f>
        <v/>
      </c>
      <c r="V83" s="87" t="str">
        <f aca="false">IF(ISBLANK($C83),"",IF(F83=Constants!$B$2, TRUE(), IF(F83=Constants!$B$3, FALSE(), TRUE())))</f>
        <v/>
      </c>
      <c r="W83" s="87" t="str">
        <f aca="false">IF(ISBLANK($C83),"",IF(G83=Constants!$B$15,Constants!$B$8,IF(G83=Constants!$B$16,Constants!$B$9,Constants!$B$10)))</f>
        <v/>
      </c>
      <c r="X83" s="87" t="str">
        <f aca="false">IF(ISBLANK($C83),"",IF(H83=Constants!$B$2, TRUE(), IF(H83=Constants!$B$3, FALSE(), TRUE())))</f>
        <v/>
      </c>
      <c r="Y83" s="87" t="str">
        <f aca="false">IF(ISBLANK($C83),"",IF(I83=Constants!$B$19,Constants!$B$19,Constants!$B$18))</f>
        <v/>
      </c>
      <c r="Z83" s="87" t="str">
        <f aca="false">IF(ISBLANK($C83),"",IF(ISNUMBER(J83),IF(J83&gt;=0,J83,""),""))</f>
        <v/>
      </c>
      <c r="AA83" s="87" t="str">
        <f aca="false">IF(ISBLANK($C83),"",IF(K83=Constants!$B$19,Constants!$B$19,Constants!$B$18))</f>
        <v/>
      </c>
      <c r="AB83" s="87" t="str">
        <f aca="false">IF(ISBLANK($C83),"",IF(ISNUMBER(L83),IF(L83&gt;=0,L83,""),""))</f>
        <v/>
      </c>
      <c r="AC83" s="87" t="str">
        <f aca="false">IF(ISBLANK($C83),"",IF(M83=Constants!$B$19,Constants!$B$19,Constants!$B$18))</f>
        <v/>
      </c>
      <c r="AD83" s="87" t="str">
        <f aca="false">IF(ISBLANK($C83),"",IF(ISNUMBER(N83),IF(N83&gt;=0,N83,""),""))</f>
        <v/>
      </c>
      <c r="AE83" s="87" t="str">
        <f aca="false">IF(ISBLANK($C83),"",IF(O83=Constants!$B$19,Constants!$B$19,Constants!$B$18))</f>
        <v/>
      </c>
      <c r="AF83" s="87" t="str">
        <f aca="false">IF(ISBLANK($C83),"",IF(ISNUMBER(P83),IF(P83&gt;=0,P83,""),""))</f>
        <v/>
      </c>
      <c r="AG83" s="87" t="str">
        <f aca="false">IF(ISBLANK($C83),"",IF(Q83=Constants!$B$19,Constants!$B$19,Constants!$B$18))</f>
        <v/>
      </c>
      <c r="AH83" s="87" t="str">
        <f aca="false">IF(ISBLANK($C83),"",IF(ISNUMBER(R83),IF(R83&gt;=0,R83,""),""))</f>
        <v/>
      </c>
      <c r="AI83" s="87" t="str">
        <f aca="false">IF(ISBLANK($C83),"",IF(S83=Constants!$B$2, TRUE(), IF(S83=Constants!$B$3, FALSE(), FALSE())))</f>
        <v/>
      </c>
      <c r="AJ83" s="87" t="str">
        <f aca="false">IF(ISBLANK($C83),"",IF(AI83,Constants!$B$4,IF(COUNTA(E83:R83)=0,Constants!$B$5,IF(COUNTA(J83,L83,N83,P83,R83)=0,Constants!$B$6,Constants!$B$7))))</f>
        <v/>
      </c>
      <c r="AK83" s="87" t="str">
        <f aca="false">IF(ISBLANK($C83),"",IF($AJ83&lt;&gt;Constants!$B$7,$AJ83,IF(OR(NOT(X83),AND(NOT(U83),COUNTIFS(Y83:AG83,Constants!$B$18,Z83:AH83,"&gt;=0")&gt;0),AND(NOT(V83),COUNTIFS(Y83:AG83,Constants!$B$19,Z83:AH83,"&gt;=0")&gt;0)),Constants!$B$12,Constants!$B$11)))</f>
        <v/>
      </c>
      <c r="AL83" s="87" t="str">
        <f aca="false">IF($AJ83=Constants!$B$7,IF(Z83="",Constants!$B$13,Z83),"")</f>
        <v/>
      </c>
      <c r="AM83" s="87" t="str">
        <f aca="false">IF($AJ83=Constants!$B$7,IF(AB83="",Constants!$B$13,AB83),"")</f>
        <v/>
      </c>
      <c r="AN83" s="87" t="str">
        <f aca="false">IF($AJ83=Constants!$B$7,IF(AD83="",Constants!$B$13,AD83),"")</f>
        <v/>
      </c>
      <c r="AO83" s="87" t="str">
        <f aca="false">IF($AJ83=Constants!$B$7,IF(AF83="",Constants!$B$13,AF83),"")</f>
        <v/>
      </c>
      <c r="AP83" s="87" t="str">
        <f aca="false">IF($AJ83=Constants!$B$7,IF(AH83="",Constants!$B$13,AH83),"")</f>
        <v/>
      </c>
      <c r="AQ83" s="87" t="str">
        <f aca="false">IF($AJ83=Constants!$B$7,IF(SUMPRODUCT(--($AL83:$AP83&gt;AL83))+SUMPRODUCT(--($AL83:AL83=AL83))=1,1,IF(SUMPRODUCT(--($AL83:$AP83&gt;AM83))+SUMPRODUCT(--($AL83:AM83=AM83))=1,2,IF(SUMPRODUCT(--($AL83:$AP83&gt;AN83))+SUMPRODUCT(--($AL83:AN83=AN83))=1,3,IF(SUMPRODUCT(--($AL83:$AP83&gt;AO83))+SUMPRODUCT(--($AL83:AO83=AO83))=1,4,5)))),"")</f>
        <v/>
      </c>
      <c r="AR83" s="87" t="str">
        <f aca="false">IF($AJ83=Constants!$B$7,IF(SUMPRODUCT(--($AL83:$AP83&gt;AL83))+SUMPRODUCT(--($AL83:AL83=AL83))=2,1,IF(SUMPRODUCT(--($AL83:$AP83&gt;AM83))+SUMPRODUCT(--($AL83:AM83=AM83))=2,2,IF(SUMPRODUCT(--($AL83:$AP83&gt;AN83))+SUMPRODUCT(--($AL83:AN83=AN83))=2,3,IF(SUMPRODUCT(--($AL83:$AP83&gt;AO83))+SUMPRODUCT(--($AL83:AO83=AO83))=2,4,5)))),"")</f>
        <v/>
      </c>
      <c r="AS83" s="87" t="str">
        <f aca="false">IF($AJ83=Constants!$B$7,IF(SUMPRODUCT(--($AL83:$AP83&gt;AL83))+SUMPRODUCT(--($AL83:AL83=AL83))=3,1,IF(SUMPRODUCT(--($AL83:$AP83&gt;AM83))+SUMPRODUCT(--($AL83:AM83=AM83))=3,2,IF(SUMPRODUCT(--($AL83:$AP83&gt;AN83))+SUMPRODUCT(--($AL83:AN83=AN83))=3,3,IF(SUMPRODUCT(--($AL83:$AP83&gt;AO83))+SUMPRODUCT(--($AL83:AO83=AO83))=3,4,5)))),"")</f>
        <v/>
      </c>
      <c r="AT83" s="87" t="str">
        <f aca="false">IF($AJ83=Constants!$B$7,LARGE(AL83:AP83,1)+LARGE(AL83:AP83,2)+LARGE(AL83:AP83,3),"")</f>
        <v/>
      </c>
      <c r="AU83" s="87" t="str">
        <f aca="false">IF(ISBLANK($C83),"",IF($AJ83&lt;&gt;Constants!$B$7,$AJ83,AT83*W83))</f>
        <v/>
      </c>
      <c r="AV83" s="87" t="str">
        <f aca="false">IF(ISBLANK($C83),"",IF($AJ83=Constants!$B$7,IF(ISNUMBER(AU83),RANK(AU83,$AU$8:$AU$507),Constants!$B$14),$AJ83))</f>
        <v/>
      </c>
      <c r="AW83" s="87" t="str">
        <f aca="false">IF(ISBLANK($C83),"",IF($AJ83=Constants!$B$7,IF(ISNUMBER(AV83),COUNTIFS($AK$8:$AK$507,"&lt;"&amp;$AK83)+COUNTIFS($AK$8:$AK$507,$AK83,$AV$8:$AV$507,"&lt;"&amp;$AV83)+1,Constants!$B$14),$AJ83))</f>
        <v/>
      </c>
      <c r="AX83" s="87" t="str">
        <f aca="false">IF(ISBLANK($C83),"",IF($AJ83=Constants!$B$7,LARGE(AL83:AP83,4)*W83,""))</f>
        <v/>
      </c>
      <c r="AY83" s="87" t="str">
        <f aca="false">IF(ISBLANK($C83),"",IF($AJ83=Constants!$B$7,RANK(AX83,$AX$8:$AX$507),$AJ83))</f>
        <v/>
      </c>
      <c r="AZ83" s="87" t="str">
        <f aca="false">IF(ISBLANK($C83),"",IF($AJ83=Constants!$B$7,IF(ISNUMBER(AV83),COUNTIFS($AK$8:$AK$507,"&lt;"&amp;$AK83)+COUNTIFS($AK$8:$AK$507,$AK83,$AV$8:$AV$507,"&lt;"&amp;$AV83)+COUNTIFS($AK$8:$AK$507,$AK83,$AV$8:$AV$507,$AV83,$AY$8:$AY$507,"&lt;"&amp;$AY83)+1,Constants!$B$14),$AJ83))</f>
        <v/>
      </c>
      <c r="BA83" s="87" t="str">
        <f aca="false">IF(ISBLANK($C83),"",IF($AJ83=Constants!$B$7,IF(ISNUMBER(AW83),AW83-AZ83,Constants!$B$14),$AJ83))</f>
        <v/>
      </c>
      <c r="BB83" s="88"/>
      <c r="BC83" s="89" t="str">
        <f aca="false">IF(ISBLANK($C83),"",IF($AJ83&lt;&gt;Constants!$B$7,$AJ83,SMALL(AQ83:AS83,1)&amp;", "&amp;SMALL(AQ83:AS83,2)&amp;", "&amp;SMALL(AQ83:AS83,3)))</f>
        <v/>
      </c>
      <c r="BD83" s="90" t="str">
        <f aca="false">IF(ISBLANK($C83),"",IF($AJ83&lt;&gt;Constants!$B$7,$AJ83,W83))</f>
        <v/>
      </c>
      <c r="BE83" s="91" t="str">
        <f aca="false">IF(ISBLANK($C83),"",IF($AJ83&lt;&gt;Constants!$B$7,$AJ83,AU83))</f>
        <v/>
      </c>
      <c r="BF83" s="92" t="str">
        <f aca="false">IF(ISBLANK($C83),"",IF($AJ83&lt;&gt;Constants!$B$7,$AJ83,AK83))</f>
        <v/>
      </c>
      <c r="BG83" s="90" t="str">
        <f aca="false">IF(ISBLANK($C83),"",BA83)</f>
        <v/>
      </c>
      <c r="BH83" s="90" t="str">
        <f aca="false">IF(ISBLANK($C83),"",AZ83)</f>
        <v/>
      </c>
      <c r="BI83" s="93" t="str">
        <f aca="false">IF(ISBLANK($C83),"",IF(BH83=Constants!$B$4,COUNTA($C$8:$C$507)+2,IF(BH83=Constants!$B$5,COUNTA($C$8:$C$507)+1,IF(BH83=Constants!$B$6,COUNTA($C$8:$C$507),BH83))))</f>
        <v/>
      </c>
      <c r="BJ83" s="5"/>
      <c r="BK83" s="94" t="n">
        <f aca="false">IF(OR(ISNUMBER(BH83),BH83=Constants!$B$4,BH83=Constants!$B$6,BH83=Constants!$B$5),1,0)</f>
        <v>0</v>
      </c>
      <c r="BL83" s="94" t="n">
        <v>76</v>
      </c>
      <c r="BM83" s="94" t="str">
        <f aca="false">IF(ISBLANK($C83),"",IF(ISNUMBER(BI83),BI83+ROW($B83)/1000,""))</f>
        <v/>
      </c>
      <c r="BN83" s="94" t="str">
        <f aca="false">IF(ISNUMBER(BM83),RANK(BM83,$BM$8:$BM$507,1),"")</f>
        <v/>
      </c>
      <c r="BO83" s="94" t="str">
        <f aca="false">IF(ISBLANK($C83),"",$B83)</f>
        <v/>
      </c>
      <c r="BP83" s="94" t="str">
        <f aca="false">IF(ISBLANK($C83),"",$C83)</f>
        <v/>
      </c>
      <c r="BQ83" s="94" t="str">
        <f aca="false">IF(ISBLANK($C83),"",$D83)</f>
        <v/>
      </c>
      <c r="BR83" s="95" t="str">
        <f aca="false">BF83</f>
        <v/>
      </c>
      <c r="BS83" s="96" t="str">
        <f aca="false">BE83</f>
        <v/>
      </c>
      <c r="BT83" s="94" t="str">
        <f aca="false">IF(ISBLANK($C83),"",BH83)</f>
        <v/>
      </c>
      <c r="BU83" s="97" t="str">
        <f aca="false">IF($BL83&gt;$BK$7,"",VLOOKUP($BL83,$BN$8:$BT$507,7,FALSE()))</f>
        <v/>
      </c>
      <c r="BV83" s="98" t="str">
        <f aca="false">IF($BL83&gt;$BK$7,"",VLOOKUP($BL83,$BN$8:$BT$507,2,FALSE()))</f>
        <v/>
      </c>
      <c r="BW83" s="98" t="str">
        <f aca="false">IF($BL83&gt;$BK$7,"",VLOOKUP($BL83,$BN$8:$BT$507,3,FALSE()))</f>
        <v/>
      </c>
      <c r="BX83" s="98" t="str">
        <f aca="false">IF($BL83&gt;$BK$7,"",VLOOKUP($BL83,$BN$8:$BT$507,4,FALSE()))</f>
        <v/>
      </c>
      <c r="BY83" s="98" t="str">
        <f aca="false">IF($BL83&gt;$BK$7,"",VLOOKUP($BL83,$BN$8:$BT$507,5,FALSE()))</f>
        <v/>
      </c>
      <c r="BZ83" s="99" t="str">
        <f aca="false">IF($BL83&gt;$BK$7,"",VLOOKUP($BL83,$BN$8:$BT$507,6,FALSE()))</f>
        <v/>
      </c>
      <c r="CA83" s="48"/>
    </row>
    <row r="84" customFormat="false" ht="15.75" hidden="false" customHeight="false" outlineLevel="0" collapsed="false">
      <c r="A84" s="5"/>
      <c r="B84" s="114"/>
      <c r="C84" s="115"/>
      <c r="D84" s="100"/>
      <c r="E84" s="120"/>
      <c r="F84" s="125"/>
      <c r="G84" s="82"/>
      <c r="H84" s="126"/>
      <c r="I84" s="127"/>
      <c r="J84" s="82"/>
      <c r="K84" s="126"/>
      <c r="L84" s="82"/>
      <c r="M84" s="126"/>
      <c r="N84" s="82"/>
      <c r="O84" s="126"/>
      <c r="P84" s="82"/>
      <c r="Q84" s="126"/>
      <c r="R84" s="82"/>
      <c r="S84" s="120"/>
      <c r="T84" s="86"/>
      <c r="U84" s="87" t="str">
        <f aca="false">IF(ISBLANK($C84),"",IF(E84=Constants!$B$2, TRUE(), IF(E84=Constants!$B$3, FALSE(), TRUE())))</f>
        <v/>
      </c>
      <c r="V84" s="87" t="str">
        <f aca="false">IF(ISBLANK($C84),"",IF(F84=Constants!$B$2, TRUE(), IF(F84=Constants!$B$3, FALSE(), TRUE())))</f>
        <v/>
      </c>
      <c r="W84" s="87" t="str">
        <f aca="false">IF(ISBLANK($C84),"",IF(G84=Constants!$B$15,Constants!$B$8,IF(G84=Constants!$B$16,Constants!$B$9,Constants!$B$10)))</f>
        <v/>
      </c>
      <c r="X84" s="87" t="str">
        <f aca="false">IF(ISBLANK($C84),"",IF(H84=Constants!$B$2, TRUE(), IF(H84=Constants!$B$3, FALSE(), TRUE())))</f>
        <v/>
      </c>
      <c r="Y84" s="87" t="str">
        <f aca="false">IF(ISBLANK($C84),"",IF(I84=Constants!$B$19,Constants!$B$19,Constants!$B$18))</f>
        <v/>
      </c>
      <c r="Z84" s="87" t="str">
        <f aca="false">IF(ISBLANK($C84),"",IF(ISNUMBER(J84),IF(J84&gt;=0,J84,""),""))</f>
        <v/>
      </c>
      <c r="AA84" s="87" t="str">
        <f aca="false">IF(ISBLANK($C84),"",IF(K84=Constants!$B$19,Constants!$B$19,Constants!$B$18))</f>
        <v/>
      </c>
      <c r="AB84" s="87" t="str">
        <f aca="false">IF(ISBLANK($C84),"",IF(ISNUMBER(L84),IF(L84&gt;=0,L84,""),""))</f>
        <v/>
      </c>
      <c r="AC84" s="87" t="str">
        <f aca="false">IF(ISBLANK($C84),"",IF(M84=Constants!$B$19,Constants!$B$19,Constants!$B$18))</f>
        <v/>
      </c>
      <c r="AD84" s="87" t="str">
        <f aca="false">IF(ISBLANK($C84),"",IF(ISNUMBER(N84),IF(N84&gt;=0,N84,""),""))</f>
        <v/>
      </c>
      <c r="AE84" s="87" t="str">
        <f aca="false">IF(ISBLANK($C84),"",IF(O84=Constants!$B$19,Constants!$B$19,Constants!$B$18))</f>
        <v/>
      </c>
      <c r="AF84" s="87" t="str">
        <f aca="false">IF(ISBLANK($C84),"",IF(ISNUMBER(P84),IF(P84&gt;=0,P84,""),""))</f>
        <v/>
      </c>
      <c r="AG84" s="87" t="str">
        <f aca="false">IF(ISBLANK($C84),"",IF(Q84=Constants!$B$19,Constants!$B$19,Constants!$B$18))</f>
        <v/>
      </c>
      <c r="AH84" s="87" t="str">
        <f aca="false">IF(ISBLANK($C84),"",IF(ISNUMBER(R84),IF(R84&gt;=0,R84,""),""))</f>
        <v/>
      </c>
      <c r="AI84" s="87" t="str">
        <f aca="false">IF(ISBLANK($C84),"",IF(S84=Constants!$B$2, TRUE(), IF(S84=Constants!$B$3, FALSE(), FALSE())))</f>
        <v/>
      </c>
      <c r="AJ84" s="87" t="str">
        <f aca="false">IF(ISBLANK($C84),"",IF(AI84,Constants!$B$4,IF(COUNTA(E84:R84)=0,Constants!$B$5,IF(COUNTA(J84,L84,N84,P84,R84)=0,Constants!$B$6,Constants!$B$7))))</f>
        <v/>
      </c>
      <c r="AK84" s="87" t="str">
        <f aca="false">IF(ISBLANK($C84),"",IF($AJ84&lt;&gt;Constants!$B$7,$AJ84,IF(OR(NOT(X84),AND(NOT(U84),COUNTIFS(Y84:AG84,Constants!$B$18,Z84:AH84,"&gt;=0")&gt;0),AND(NOT(V84),COUNTIFS(Y84:AG84,Constants!$B$19,Z84:AH84,"&gt;=0")&gt;0)),Constants!$B$12,Constants!$B$11)))</f>
        <v/>
      </c>
      <c r="AL84" s="87" t="str">
        <f aca="false">IF($AJ84=Constants!$B$7,IF(Z84="",Constants!$B$13,Z84),"")</f>
        <v/>
      </c>
      <c r="AM84" s="87" t="str">
        <f aca="false">IF($AJ84=Constants!$B$7,IF(AB84="",Constants!$B$13,AB84),"")</f>
        <v/>
      </c>
      <c r="AN84" s="87" t="str">
        <f aca="false">IF($AJ84=Constants!$B$7,IF(AD84="",Constants!$B$13,AD84),"")</f>
        <v/>
      </c>
      <c r="AO84" s="87" t="str">
        <f aca="false">IF($AJ84=Constants!$B$7,IF(AF84="",Constants!$B$13,AF84),"")</f>
        <v/>
      </c>
      <c r="AP84" s="87" t="str">
        <f aca="false">IF($AJ84=Constants!$B$7,IF(AH84="",Constants!$B$13,AH84),"")</f>
        <v/>
      </c>
      <c r="AQ84" s="87" t="str">
        <f aca="false">IF($AJ84=Constants!$B$7,IF(SUMPRODUCT(--($AL84:$AP84&gt;AL84))+SUMPRODUCT(--($AL84:AL84=AL84))=1,1,IF(SUMPRODUCT(--($AL84:$AP84&gt;AM84))+SUMPRODUCT(--($AL84:AM84=AM84))=1,2,IF(SUMPRODUCT(--($AL84:$AP84&gt;AN84))+SUMPRODUCT(--($AL84:AN84=AN84))=1,3,IF(SUMPRODUCT(--($AL84:$AP84&gt;AO84))+SUMPRODUCT(--($AL84:AO84=AO84))=1,4,5)))),"")</f>
        <v/>
      </c>
      <c r="AR84" s="87" t="str">
        <f aca="false">IF($AJ84=Constants!$B$7,IF(SUMPRODUCT(--($AL84:$AP84&gt;AL84))+SUMPRODUCT(--($AL84:AL84=AL84))=2,1,IF(SUMPRODUCT(--($AL84:$AP84&gt;AM84))+SUMPRODUCT(--($AL84:AM84=AM84))=2,2,IF(SUMPRODUCT(--($AL84:$AP84&gt;AN84))+SUMPRODUCT(--($AL84:AN84=AN84))=2,3,IF(SUMPRODUCT(--($AL84:$AP84&gt;AO84))+SUMPRODUCT(--($AL84:AO84=AO84))=2,4,5)))),"")</f>
        <v/>
      </c>
      <c r="AS84" s="87" t="str">
        <f aca="false">IF($AJ84=Constants!$B$7,IF(SUMPRODUCT(--($AL84:$AP84&gt;AL84))+SUMPRODUCT(--($AL84:AL84=AL84))=3,1,IF(SUMPRODUCT(--($AL84:$AP84&gt;AM84))+SUMPRODUCT(--($AL84:AM84=AM84))=3,2,IF(SUMPRODUCT(--($AL84:$AP84&gt;AN84))+SUMPRODUCT(--($AL84:AN84=AN84))=3,3,IF(SUMPRODUCT(--($AL84:$AP84&gt;AO84))+SUMPRODUCT(--($AL84:AO84=AO84))=3,4,5)))),"")</f>
        <v/>
      </c>
      <c r="AT84" s="87" t="str">
        <f aca="false">IF($AJ84=Constants!$B$7,LARGE(AL84:AP84,1)+LARGE(AL84:AP84,2)+LARGE(AL84:AP84,3),"")</f>
        <v/>
      </c>
      <c r="AU84" s="87" t="str">
        <f aca="false">IF(ISBLANK($C84),"",IF($AJ84&lt;&gt;Constants!$B$7,$AJ84,AT84*W84))</f>
        <v/>
      </c>
      <c r="AV84" s="87" t="str">
        <f aca="false">IF(ISBLANK($C84),"",IF($AJ84=Constants!$B$7,IF(ISNUMBER(AU84),RANK(AU84,$AU$8:$AU$507),Constants!$B$14),$AJ84))</f>
        <v/>
      </c>
      <c r="AW84" s="87" t="str">
        <f aca="false">IF(ISBLANK($C84),"",IF($AJ84=Constants!$B$7,IF(ISNUMBER(AV84),COUNTIFS($AK$8:$AK$507,"&lt;"&amp;$AK84)+COUNTIFS($AK$8:$AK$507,$AK84,$AV$8:$AV$507,"&lt;"&amp;$AV84)+1,Constants!$B$14),$AJ84))</f>
        <v/>
      </c>
      <c r="AX84" s="87" t="str">
        <f aca="false">IF(ISBLANK($C84),"",IF($AJ84=Constants!$B$7,LARGE(AL84:AP84,4)*W84,""))</f>
        <v/>
      </c>
      <c r="AY84" s="87" t="str">
        <f aca="false">IF(ISBLANK($C84),"",IF($AJ84=Constants!$B$7,RANK(AX84,$AX$8:$AX$507),$AJ84))</f>
        <v/>
      </c>
      <c r="AZ84" s="87" t="str">
        <f aca="false">IF(ISBLANK($C84),"",IF($AJ84=Constants!$B$7,IF(ISNUMBER(AV84),COUNTIFS($AK$8:$AK$507,"&lt;"&amp;$AK84)+COUNTIFS($AK$8:$AK$507,$AK84,$AV$8:$AV$507,"&lt;"&amp;$AV84)+COUNTIFS($AK$8:$AK$507,$AK84,$AV$8:$AV$507,$AV84,$AY$8:$AY$507,"&lt;"&amp;$AY84)+1,Constants!$B$14),$AJ84))</f>
        <v/>
      </c>
      <c r="BA84" s="87" t="str">
        <f aca="false">IF(ISBLANK($C84),"",IF($AJ84=Constants!$B$7,IF(ISNUMBER(AW84),AW84-AZ84,Constants!$B$14),$AJ84))</f>
        <v/>
      </c>
      <c r="BB84" s="88"/>
      <c r="BC84" s="89" t="str">
        <f aca="false">IF(ISBLANK($C84),"",IF($AJ84&lt;&gt;Constants!$B$7,$AJ84,SMALL(AQ84:AS84,1)&amp;", "&amp;SMALL(AQ84:AS84,2)&amp;", "&amp;SMALL(AQ84:AS84,3)))</f>
        <v/>
      </c>
      <c r="BD84" s="90" t="str">
        <f aca="false">IF(ISBLANK($C84),"",IF($AJ84&lt;&gt;Constants!$B$7,$AJ84,W84))</f>
        <v/>
      </c>
      <c r="BE84" s="91" t="str">
        <f aca="false">IF(ISBLANK($C84),"",IF($AJ84&lt;&gt;Constants!$B$7,$AJ84,AU84))</f>
        <v/>
      </c>
      <c r="BF84" s="92" t="str">
        <f aca="false">IF(ISBLANK($C84),"",IF($AJ84&lt;&gt;Constants!$B$7,$AJ84,AK84))</f>
        <v/>
      </c>
      <c r="BG84" s="90" t="str">
        <f aca="false">IF(ISBLANK($C84),"",BA84)</f>
        <v/>
      </c>
      <c r="BH84" s="90" t="str">
        <f aca="false">IF(ISBLANK($C84),"",AZ84)</f>
        <v/>
      </c>
      <c r="BI84" s="93" t="str">
        <f aca="false">IF(ISBLANK($C84),"",IF(BH84=Constants!$B$4,COUNTA($C$8:$C$507)+2,IF(BH84=Constants!$B$5,COUNTA($C$8:$C$507)+1,IF(BH84=Constants!$B$6,COUNTA($C$8:$C$507),BH84))))</f>
        <v/>
      </c>
      <c r="BJ84" s="5"/>
      <c r="BK84" s="94" t="n">
        <f aca="false">IF(OR(ISNUMBER(BH84),BH84=Constants!$B$4,BH84=Constants!$B$6,BH84=Constants!$B$5),1,0)</f>
        <v>0</v>
      </c>
      <c r="BL84" s="94" t="n">
        <v>77</v>
      </c>
      <c r="BM84" s="94" t="str">
        <f aca="false">IF(ISBLANK($C84),"",IF(ISNUMBER(BI84),BI84+ROW($B84)/1000,""))</f>
        <v/>
      </c>
      <c r="BN84" s="94" t="str">
        <f aca="false">IF(ISNUMBER(BM84),RANK(BM84,$BM$8:$BM$507,1),"")</f>
        <v/>
      </c>
      <c r="BO84" s="94" t="str">
        <f aca="false">IF(ISBLANK($C84),"",$B84)</f>
        <v/>
      </c>
      <c r="BP84" s="94" t="str">
        <f aca="false">IF(ISBLANK($C84),"",$C84)</f>
        <v/>
      </c>
      <c r="BQ84" s="94" t="str">
        <f aca="false">IF(ISBLANK($C84),"",$D84)</f>
        <v/>
      </c>
      <c r="BR84" s="95" t="str">
        <f aca="false">BF84</f>
        <v/>
      </c>
      <c r="BS84" s="96" t="str">
        <f aca="false">BE84</f>
        <v/>
      </c>
      <c r="BT84" s="94" t="str">
        <f aca="false">IF(ISBLANK($C84),"",BH84)</f>
        <v/>
      </c>
      <c r="BU84" s="97" t="str">
        <f aca="false">IF($BL84&gt;$BK$7,"",VLOOKUP($BL84,$BN$8:$BT$507,7,FALSE()))</f>
        <v/>
      </c>
      <c r="BV84" s="98" t="str">
        <f aca="false">IF($BL84&gt;$BK$7,"",VLOOKUP($BL84,$BN$8:$BT$507,2,FALSE()))</f>
        <v/>
      </c>
      <c r="BW84" s="98" t="str">
        <f aca="false">IF($BL84&gt;$BK$7,"",VLOOKUP($BL84,$BN$8:$BT$507,3,FALSE()))</f>
        <v/>
      </c>
      <c r="BX84" s="98" t="str">
        <f aca="false">IF($BL84&gt;$BK$7,"",VLOOKUP($BL84,$BN$8:$BT$507,4,FALSE()))</f>
        <v/>
      </c>
      <c r="BY84" s="98" t="str">
        <f aca="false">IF($BL84&gt;$BK$7,"",VLOOKUP($BL84,$BN$8:$BT$507,5,FALSE()))</f>
        <v/>
      </c>
      <c r="BZ84" s="99" t="str">
        <f aca="false">IF($BL84&gt;$BK$7,"",VLOOKUP($BL84,$BN$8:$BT$507,6,FALSE()))</f>
        <v/>
      </c>
      <c r="CA84" s="48"/>
    </row>
    <row r="85" customFormat="false" ht="15.75" hidden="false" customHeight="false" outlineLevel="0" collapsed="false">
      <c r="A85" s="5"/>
      <c r="B85" s="114"/>
      <c r="C85" s="115"/>
      <c r="D85" s="100"/>
      <c r="E85" s="120"/>
      <c r="F85" s="125"/>
      <c r="G85" s="82"/>
      <c r="H85" s="126"/>
      <c r="I85" s="127"/>
      <c r="J85" s="82"/>
      <c r="K85" s="126"/>
      <c r="L85" s="82"/>
      <c r="M85" s="126"/>
      <c r="N85" s="82"/>
      <c r="O85" s="126"/>
      <c r="P85" s="82"/>
      <c r="Q85" s="126"/>
      <c r="R85" s="82"/>
      <c r="S85" s="120"/>
      <c r="T85" s="86"/>
      <c r="U85" s="87" t="str">
        <f aca="false">IF(ISBLANK($C85),"",IF(E85=Constants!$B$2, TRUE(), IF(E85=Constants!$B$3, FALSE(), TRUE())))</f>
        <v/>
      </c>
      <c r="V85" s="87" t="str">
        <f aca="false">IF(ISBLANK($C85),"",IF(F85=Constants!$B$2, TRUE(), IF(F85=Constants!$B$3, FALSE(), TRUE())))</f>
        <v/>
      </c>
      <c r="W85" s="87" t="str">
        <f aca="false">IF(ISBLANK($C85),"",IF(G85=Constants!$B$15,Constants!$B$8,IF(G85=Constants!$B$16,Constants!$B$9,Constants!$B$10)))</f>
        <v/>
      </c>
      <c r="X85" s="87" t="str">
        <f aca="false">IF(ISBLANK($C85),"",IF(H85=Constants!$B$2, TRUE(), IF(H85=Constants!$B$3, FALSE(), TRUE())))</f>
        <v/>
      </c>
      <c r="Y85" s="87" t="str">
        <f aca="false">IF(ISBLANK($C85),"",IF(I85=Constants!$B$19,Constants!$B$19,Constants!$B$18))</f>
        <v/>
      </c>
      <c r="Z85" s="87" t="str">
        <f aca="false">IF(ISBLANK($C85),"",IF(ISNUMBER(J85),IF(J85&gt;=0,J85,""),""))</f>
        <v/>
      </c>
      <c r="AA85" s="87" t="str">
        <f aca="false">IF(ISBLANK($C85),"",IF(K85=Constants!$B$19,Constants!$B$19,Constants!$B$18))</f>
        <v/>
      </c>
      <c r="AB85" s="87" t="str">
        <f aca="false">IF(ISBLANK($C85),"",IF(ISNUMBER(L85),IF(L85&gt;=0,L85,""),""))</f>
        <v/>
      </c>
      <c r="AC85" s="87" t="str">
        <f aca="false">IF(ISBLANK($C85),"",IF(M85=Constants!$B$19,Constants!$B$19,Constants!$B$18))</f>
        <v/>
      </c>
      <c r="AD85" s="87" t="str">
        <f aca="false">IF(ISBLANK($C85),"",IF(ISNUMBER(N85),IF(N85&gt;=0,N85,""),""))</f>
        <v/>
      </c>
      <c r="AE85" s="87" t="str">
        <f aca="false">IF(ISBLANK($C85),"",IF(O85=Constants!$B$19,Constants!$B$19,Constants!$B$18))</f>
        <v/>
      </c>
      <c r="AF85" s="87" t="str">
        <f aca="false">IF(ISBLANK($C85),"",IF(ISNUMBER(P85),IF(P85&gt;=0,P85,""),""))</f>
        <v/>
      </c>
      <c r="AG85" s="87" t="str">
        <f aca="false">IF(ISBLANK($C85),"",IF(Q85=Constants!$B$19,Constants!$B$19,Constants!$B$18))</f>
        <v/>
      </c>
      <c r="AH85" s="87" t="str">
        <f aca="false">IF(ISBLANK($C85),"",IF(ISNUMBER(R85),IF(R85&gt;=0,R85,""),""))</f>
        <v/>
      </c>
      <c r="AI85" s="87" t="str">
        <f aca="false">IF(ISBLANK($C85),"",IF(S85=Constants!$B$2, TRUE(), IF(S85=Constants!$B$3, FALSE(), FALSE())))</f>
        <v/>
      </c>
      <c r="AJ85" s="87" t="str">
        <f aca="false">IF(ISBLANK($C85),"",IF(AI85,Constants!$B$4,IF(COUNTA(E85:R85)=0,Constants!$B$5,IF(COUNTA(J85,L85,N85,P85,R85)=0,Constants!$B$6,Constants!$B$7))))</f>
        <v/>
      </c>
      <c r="AK85" s="87" t="str">
        <f aca="false">IF(ISBLANK($C85),"",IF($AJ85&lt;&gt;Constants!$B$7,$AJ85,IF(OR(NOT(X85),AND(NOT(U85),COUNTIFS(Y85:AG85,Constants!$B$18,Z85:AH85,"&gt;=0")&gt;0),AND(NOT(V85),COUNTIFS(Y85:AG85,Constants!$B$19,Z85:AH85,"&gt;=0")&gt;0)),Constants!$B$12,Constants!$B$11)))</f>
        <v/>
      </c>
      <c r="AL85" s="87" t="str">
        <f aca="false">IF($AJ85=Constants!$B$7,IF(Z85="",Constants!$B$13,Z85),"")</f>
        <v/>
      </c>
      <c r="AM85" s="87" t="str">
        <f aca="false">IF($AJ85=Constants!$B$7,IF(AB85="",Constants!$B$13,AB85),"")</f>
        <v/>
      </c>
      <c r="AN85" s="87" t="str">
        <f aca="false">IF($AJ85=Constants!$B$7,IF(AD85="",Constants!$B$13,AD85),"")</f>
        <v/>
      </c>
      <c r="AO85" s="87" t="str">
        <f aca="false">IF($AJ85=Constants!$B$7,IF(AF85="",Constants!$B$13,AF85),"")</f>
        <v/>
      </c>
      <c r="AP85" s="87" t="str">
        <f aca="false">IF($AJ85=Constants!$B$7,IF(AH85="",Constants!$B$13,AH85),"")</f>
        <v/>
      </c>
      <c r="AQ85" s="87" t="str">
        <f aca="false">IF($AJ85=Constants!$B$7,IF(SUMPRODUCT(--($AL85:$AP85&gt;AL85))+SUMPRODUCT(--($AL85:AL85=AL85))=1,1,IF(SUMPRODUCT(--($AL85:$AP85&gt;AM85))+SUMPRODUCT(--($AL85:AM85=AM85))=1,2,IF(SUMPRODUCT(--($AL85:$AP85&gt;AN85))+SUMPRODUCT(--($AL85:AN85=AN85))=1,3,IF(SUMPRODUCT(--($AL85:$AP85&gt;AO85))+SUMPRODUCT(--($AL85:AO85=AO85))=1,4,5)))),"")</f>
        <v/>
      </c>
      <c r="AR85" s="87" t="str">
        <f aca="false">IF($AJ85=Constants!$B$7,IF(SUMPRODUCT(--($AL85:$AP85&gt;AL85))+SUMPRODUCT(--($AL85:AL85=AL85))=2,1,IF(SUMPRODUCT(--($AL85:$AP85&gt;AM85))+SUMPRODUCT(--($AL85:AM85=AM85))=2,2,IF(SUMPRODUCT(--($AL85:$AP85&gt;AN85))+SUMPRODUCT(--($AL85:AN85=AN85))=2,3,IF(SUMPRODUCT(--($AL85:$AP85&gt;AO85))+SUMPRODUCT(--($AL85:AO85=AO85))=2,4,5)))),"")</f>
        <v/>
      </c>
      <c r="AS85" s="87" t="str">
        <f aca="false">IF($AJ85=Constants!$B$7,IF(SUMPRODUCT(--($AL85:$AP85&gt;AL85))+SUMPRODUCT(--($AL85:AL85=AL85))=3,1,IF(SUMPRODUCT(--($AL85:$AP85&gt;AM85))+SUMPRODUCT(--($AL85:AM85=AM85))=3,2,IF(SUMPRODUCT(--($AL85:$AP85&gt;AN85))+SUMPRODUCT(--($AL85:AN85=AN85))=3,3,IF(SUMPRODUCT(--($AL85:$AP85&gt;AO85))+SUMPRODUCT(--($AL85:AO85=AO85))=3,4,5)))),"")</f>
        <v/>
      </c>
      <c r="AT85" s="87" t="str">
        <f aca="false">IF($AJ85=Constants!$B$7,LARGE(AL85:AP85,1)+LARGE(AL85:AP85,2)+LARGE(AL85:AP85,3),"")</f>
        <v/>
      </c>
      <c r="AU85" s="87" t="str">
        <f aca="false">IF(ISBLANK($C85),"",IF($AJ85&lt;&gt;Constants!$B$7,$AJ85,AT85*W85))</f>
        <v/>
      </c>
      <c r="AV85" s="87" t="str">
        <f aca="false">IF(ISBLANK($C85),"",IF($AJ85=Constants!$B$7,IF(ISNUMBER(AU85),RANK(AU85,$AU$8:$AU$507),Constants!$B$14),$AJ85))</f>
        <v/>
      </c>
      <c r="AW85" s="87" t="str">
        <f aca="false">IF(ISBLANK($C85),"",IF($AJ85=Constants!$B$7,IF(ISNUMBER(AV85),COUNTIFS($AK$8:$AK$507,"&lt;"&amp;$AK85)+COUNTIFS($AK$8:$AK$507,$AK85,$AV$8:$AV$507,"&lt;"&amp;$AV85)+1,Constants!$B$14),$AJ85))</f>
        <v/>
      </c>
      <c r="AX85" s="87" t="str">
        <f aca="false">IF(ISBLANK($C85),"",IF($AJ85=Constants!$B$7,LARGE(AL85:AP85,4)*W85,""))</f>
        <v/>
      </c>
      <c r="AY85" s="87" t="str">
        <f aca="false">IF(ISBLANK($C85),"",IF($AJ85=Constants!$B$7,RANK(AX85,$AX$8:$AX$507),$AJ85))</f>
        <v/>
      </c>
      <c r="AZ85" s="87" t="str">
        <f aca="false">IF(ISBLANK($C85),"",IF($AJ85=Constants!$B$7,IF(ISNUMBER(AV85),COUNTIFS($AK$8:$AK$507,"&lt;"&amp;$AK85)+COUNTIFS($AK$8:$AK$507,$AK85,$AV$8:$AV$507,"&lt;"&amp;$AV85)+COUNTIFS($AK$8:$AK$507,$AK85,$AV$8:$AV$507,$AV85,$AY$8:$AY$507,"&lt;"&amp;$AY85)+1,Constants!$B$14),$AJ85))</f>
        <v/>
      </c>
      <c r="BA85" s="87" t="str">
        <f aca="false">IF(ISBLANK($C85),"",IF($AJ85=Constants!$B$7,IF(ISNUMBER(AW85),AW85-AZ85,Constants!$B$14),$AJ85))</f>
        <v/>
      </c>
      <c r="BB85" s="88"/>
      <c r="BC85" s="89" t="str">
        <f aca="false">IF(ISBLANK($C85),"",IF($AJ85&lt;&gt;Constants!$B$7,$AJ85,SMALL(AQ85:AS85,1)&amp;", "&amp;SMALL(AQ85:AS85,2)&amp;", "&amp;SMALL(AQ85:AS85,3)))</f>
        <v/>
      </c>
      <c r="BD85" s="90" t="str">
        <f aca="false">IF(ISBLANK($C85),"",IF($AJ85&lt;&gt;Constants!$B$7,$AJ85,W85))</f>
        <v/>
      </c>
      <c r="BE85" s="91" t="str">
        <f aca="false">IF(ISBLANK($C85),"",IF($AJ85&lt;&gt;Constants!$B$7,$AJ85,AU85))</f>
        <v/>
      </c>
      <c r="BF85" s="92" t="str">
        <f aca="false">IF(ISBLANK($C85),"",IF($AJ85&lt;&gt;Constants!$B$7,$AJ85,AK85))</f>
        <v/>
      </c>
      <c r="BG85" s="90" t="str">
        <f aca="false">IF(ISBLANK($C85),"",BA85)</f>
        <v/>
      </c>
      <c r="BH85" s="90" t="str">
        <f aca="false">IF(ISBLANK($C85),"",AZ85)</f>
        <v/>
      </c>
      <c r="BI85" s="93" t="str">
        <f aca="false">IF(ISBLANK($C85),"",IF(BH85=Constants!$B$4,COUNTA($C$8:$C$507)+2,IF(BH85=Constants!$B$5,COUNTA($C$8:$C$507)+1,IF(BH85=Constants!$B$6,COUNTA($C$8:$C$507),BH85))))</f>
        <v/>
      </c>
      <c r="BJ85" s="5"/>
      <c r="BK85" s="94" t="n">
        <f aca="false">IF(OR(ISNUMBER(BH85),BH85=Constants!$B$4,BH85=Constants!$B$6,BH85=Constants!$B$5),1,0)</f>
        <v>0</v>
      </c>
      <c r="BL85" s="94" t="n">
        <v>78</v>
      </c>
      <c r="BM85" s="94" t="str">
        <f aca="false">IF(ISBLANK($C85),"",IF(ISNUMBER(BI85),BI85+ROW($B85)/1000,""))</f>
        <v/>
      </c>
      <c r="BN85" s="94" t="str">
        <f aca="false">IF(ISNUMBER(BM85),RANK(BM85,$BM$8:$BM$507,1),"")</f>
        <v/>
      </c>
      <c r="BO85" s="94" t="str">
        <f aca="false">IF(ISBLANK($C85),"",$B85)</f>
        <v/>
      </c>
      <c r="BP85" s="94" t="str">
        <f aca="false">IF(ISBLANK($C85),"",$C85)</f>
        <v/>
      </c>
      <c r="BQ85" s="94" t="str">
        <f aca="false">IF(ISBLANK($C85),"",$D85)</f>
        <v/>
      </c>
      <c r="BR85" s="95" t="str">
        <f aca="false">BF85</f>
        <v/>
      </c>
      <c r="BS85" s="96" t="str">
        <f aca="false">BE85</f>
        <v/>
      </c>
      <c r="BT85" s="94" t="str">
        <f aca="false">IF(ISBLANK($C85),"",BH85)</f>
        <v/>
      </c>
      <c r="BU85" s="97" t="str">
        <f aca="false">IF($BL85&gt;$BK$7,"",VLOOKUP($BL85,$BN$8:$BT$507,7,FALSE()))</f>
        <v/>
      </c>
      <c r="BV85" s="98" t="str">
        <f aca="false">IF($BL85&gt;$BK$7,"",VLOOKUP($BL85,$BN$8:$BT$507,2,FALSE()))</f>
        <v/>
      </c>
      <c r="BW85" s="98" t="str">
        <f aca="false">IF($BL85&gt;$BK$7,"",VLOOKUP($BL85,$BN$8:$BT$507,3,FALSE()))</f>
        <v/>
      </c>
      <c r="BX85" s="98" t="str">
        <f aca="false">IF($BL85&gt;$BK$7,"",VLOOKUP($BL85,$BN$8:$BT$507,4,FALSE()))</f>
        <v/>
      </c>
      <c r="BY85" s="98" t="str">
        <f aca="false">IF($BL85&gt;$BK$7,"",VLOOKUP($BL85,$BN$8:$BT$507,5,FALSE()))</f>
        <v/>
      </c>
      <c r="BZ85" s="99" t="str">
        <f aca="false">IF($BL85&gt;$BK$7,"",VLOOKUP($BL85,$BN$8:$BT$507,6,FALSE()))</f>
        <v/>
      </c>
      <c r="CA85" s="48"/>
    </row>
    <row r="86" customFormat="false" ht="15.75" hidden="false" customHeight="false" outlineLevel="0" collapsed="false">
      <c r="A86" s="5"/>
      <c r="B86" s="121"/>
      <c r="C86" s="50"/>
      <c r="D86" s="51"/>
      <c r="E86" s="74"/>
      <c r="F86" s="122"/>
      <c r="G86" s="54"/>
      <c r="H86" s="123"/>
      <c r="I86" s="124"/>
      <c r="J86" s="54"/>
      <c r="K86" s="123"/>
      <c r="L86" s="54"/>
      <c r="M86" s="123"/>
      <c r="N86" s="54"/>
      <c r="O86" s="123"/>
      <c r="P86" s="54"/>
      <c r="Q86" s="123"/>
      <c r="R86" s="54"/>
      <c r="S86" s="74"/>
      <c r="T86" s="58"/>
      <c r="U86" s="59" t="str">
        <f aca="false">IF(ISBLANK($C86),"",IF(E86=Constants!$B$2, TRUE(), IF(E86=Constants!$B$3, FALSE(), TRUE())))</f>
        <v/>
      </c>
      <c r="V86" s="59" t="str">
        <f aca="false">IF(ISBLANK($C86),"",IF(F86=Constants!$B$2, TRUE(), IF(F86=Constants!$B$3, FALSE(), TRUE())))</f>
        <v/>
      </c>
      <c r="W86" s="59" t="str">
        <f aca="false">IF(ISBLANK($C86),"",IF(G86=Constants!$B$15,Constants!$B$8,IF(G86=Constants!$B$16,Constants!$B$9,Constants!$B$10)))</f>
        <v/>
      </c>
      <c r="X86" s="59" t="str">
        <f aca="false">IF(ISBLANK($C86),"",IF(H86=Constants!$B$2, TRUE(), IF(H86=Constants!$B$3, FALSE(), TRUE())))</f>
        <v/>
      </c>
      <c r="Y86" s="59" t="str">
        <f aca="false">IF(ISBLANK($C86),"",IF(I86=Constants!$B$19,Constants!$B$19,Constants!$B$18))</f>
        <v/>
      </c>
      <c r="Z86" s="59" t="str">
        <f aca="false">IF(ISBLANK($C86),"",IF(ISNUMBER(J86),IF(J86&gt;=0,J86,""),""))</f>
        <v/>
      </c>
      <c r="AA86" s="59" t="str">
        <f aca="false">IF(ISBLANK($C86),"",IF(K86=Constants!$B$19,Constants!$B$19,Constants!$B$18))</f>
        <v/>
      </c>
      <c r="AB86" s="59" t="str">
        <f aca="false">IF(ISBLANK($C86),"",IF(ISNUMBER(L86),IF(L86&gt;=0,L86,""),""))</f>
        <v/>
      </c>
      <c r="AC86" s="59" t="str">
        <f aca="false">IF(ISBLANK($C86),"",IF(M86=Constants!$B$19,Constants!$B$19,Constants!$B$18))</f>
        <v/>
      </c>
      <c r="AD86" s="59" t="str">
        <f aca="false">IF(ISBLANK($C86),"",IF(ISNUMBER(N86),IF(N86&gt;=0,N86,""),""))</f>
        <v/>
      </c>
      <c r="AE86" s="59" t="str">
        <f aca="false">IF(ISBLANK($C86),"",IF(O86=Constants!$B$19,Constants!$B$19,Constants!$B$18))</f>
        <v/>
      </c>
      <c r="AF86" s="59" t="str">
        <f aca="false">IF(ISBLANK($C86),"",IF(ISNUMBER(P86),IF(P86&gt;=0,P86,""),""))</f>
        <v/>
      </c>
      <c r="AG86" s="59" t="str">
        <f aca="false">IF(ISBLANK($C86),"",IF(Q86=Constants!$B$19,Constants!$B$19,Constants!$B$18))</f>
        <v/>
      </c>
      <c r="AH86" s="59" t="str">
        <f aca="false">IF(ISBLANK($C86),"",IF(ISNUMBER(R86),IF(R86&gt;=0,R86,""),""))</f>
        <v/>
      </c>
      <c r="AI86" s="59" t="str">
        <f aca="false">IF(ISBLANK($C86),"",IF(S86=Constants!$B$2, TRUE(), IF(S86=Constants!$B$3, FALSE(), FALSE())))</f>
        <v/>
      </c>
      <c r="AJ86" s="59" t="str">
        <f aca="false">IF(ISBLANK($C86),"",IF(AI86,Constants!$B$4,IF(COUNTA(E86:R86)=0,Constants!$B$5,IF(COUNTA(J86,L86,N86,P86,R86)=0,Constants!$B$6,Constants!$B$7))))</f>
        <v/>
      </c>
      <c r="AK86" s="59" t="str">
        <f aca="false">IF(ISBLANK($C86),"",IF($AJ86&lt;&gt;Constants!$B$7,$AJ86,IF(OR(NOT(X86),AND(NOT(U86),COUNTIFS(Y86:AG86,Constants!$B$18,Z86:AH86,"&gt;=0")&gt;0),AND(NOT(V86),COUNTIFS(Y86:AG86,Constants!$B$19,Z86:AH86,"&gt;=0")&gt;0)),Constants!$B$12,Constants!$B$11)))</f>
        <v/>
      </c>
      <c r="AL86" s="59" t="str">
        <f aca="false">IF($AJ86=Constants!$B$7,IF(Z86="",Constants!$B$13,Z86),"")</f>
        <v/>
      </c>
      <c r="AM86" s="59" t="str">
        <f aca="false">IF($AJ86=Constants!$B$7,IF(AB86="",Constants!$B$13,AB86),"")</f>
        <v/>
      </c>
      <c r="AN86" s="59" t="str">
        <f aca="false">IF($AJ86=Constants!$B$7,IF(AD86="",Constants!$B$13,AD86),"")</f>
        <v/>
      </c>
      <c r="AO86" s="59" t="str">
        <f aca="false">IF($AJ86=Constants!$B$7,IF(AF86="",Constants!$B$13,AF86),"")</f>
        <v/>
      </c>
      <c r="AP86" s="59" t="str">
        <f aca="false">IF($AJ86=Constants!$B$7,IF(AH86="",Constants!$B$13,AH86),"")</f>
        <v/>
      </c>
      <c r="AQ86" s="59" t="str">
        <f aca="false">IF($AJ86=Constants!$B$7,IF(SUMPRODUCT(--($AL86:$AP86&gt;AL86))+SUMPRODUCT(--($AL86:AL86=AL86))=1,1,IF(SUMPRODUCT(--($AL86:$AP86&gt;AM86))+SUMPRODUCT(--($AL86:AM86=AM86))=1,2,IF(SUMPRODUCT(--($AL86:$AP86&gt;AN86))+SUMPRODUCT(--($AL86:AN86=AN86))=1,3,IF(SUMPRODUCT(--($AL86:$AP86&gt;AO86))+SUMPRODUCT(--($AL86:AO86=AO86))=1,4,5)))),"")</f>
        <v/>
      </c>
      <c r="AR86" s="59" t="str">
        <f aca="false">IF($AJ86=Constants!$B$7,IF(SUMPRODUCT(--($AL86:$AP86&gt;AL86))+SUMPRODUCT(--($AL86:AL86=AL86))=2,1,IF(SUMPRODUCT(--($AL86:$AP86&gt;AM86))+SUMPRODUCT(--($AL86:AM86=AM86))=2,2,IF(SUMPRODUCT(--($AL86:$AP86&gt;AN86))+SUMPRODUCT(--($AL86:AN86=AN86))=2,3,IF(SUMPRODUCT(--($AL86:$AP86&gt;AO86))+SUMPRODUCT(--($AL86:AO86=AO86))=2,4,5)))),"")</f>
        <v/>
      </c>
      <c r="AS86" s="59" t="str">
        <f aca="false">IF($AJ86=Constants!$B$7,IF(SUMPRODUCT(--($AL86:$AP86&gt;AL86))+SUMPRODUCT(--($AL86:AL86=AL86))=3,1,IF(SUMPRODUCT(--($AL86:$AP86&gt;AM86))+SUMPRODUCT(--($AL86:AM86=AM86))=3,2,IF(SUMPRODUCT(--($AL86:$AP86&gt;AN86))+SUMPRODUCT(--($AL86:AN86=AN86))=3,3,IF(SUMPRODUCT(--($AL86:$AP86&gt;AO86))+SUMPRODUCT(--($AL86:AO86=AO86))=3,4,5)))),"")</f>
        <v/>
      </c>
      <c r="AT86" s="59" t="str">
        <f aca="false">IF($AJ86=Constants!$B$7,LARGE(AL86:AP86,1)+LARGE(AL86:AP86,2)+LARGE(AL86:AP86,3),"")</f>
        <v/>
      </c>
      <c r="AU86" s="59" t="str">
        <f aca="false">IF(ISBLANK($C86),"",IF($AJ86&lt;&gt;Constants!$B$7,$AJ86,AT86*W86))</f>
        <v/>
      </c>
      <c r="AV86" s="59" t="str">
        <f aca="false">IF(ISBLANK($C86),"",IF($AJ86=Constants!$B$7,IF(ISNUMBER(AU86),RANK(AU86,$AU$8:$AU$507),Constants!$B$14),$AJ86))</f>
        <v/>
      </c>
      <c r="AW86" s="59" t="str">
        <f aca="false">IF(ISBLANK($C86),"",IF($AJ86=Constants!$B$7,IF(ISNUMBER(AV86),COUNTIFS($AK$8:$AK$507,"&lt;"&amp;$AK86)+COUNTIFS($AK$8:$AK$507,$AK86,$AV$8:$AV$507,"&lt;"&amp;$AV86)+1,Constants!$B$14),$AJ86))</f>
        <v/>
      </c>
      <c r="AX86" s="59" t="str">
        <f aca="false">IF(ISBLANK($C86),"",IF($AJ86=Constants!$B$7,LARGE(AL86:AP86,4)*W86,""))</f>
        <v/>
      </c>
      <c r="AY86" s="59" t="str">
        <f aca="false">IF(ISBLANK($C86),"",IF($AJ86=Constants!$B$7,RANK(AX86,$AX$8:$AX$507),$AJ86))</f>
        <v/>
      </c>
      <c r="AZ86" s="59" t="str">
        <f aca="false">IF(ISBLANK($C86),"",IF($AJ86=Constants!$B$7,IF(ISNUMBER(AV86),COUNTIFS($AK$8:$AK$507,"&lt;"&amp;$AK86)+COUNTIFS($AK$8:$AK$507,$AK86,$AV$8:$AV$507,"&lt;"&amp;$AV86)+COUNTIFS($AK$8:$AK$507,$AK86,$AV$8:$AV$507,$AV86,$AY$8:$AY$507,"&lt;"&amp;$AY86)+1,Constants!$B$14),$AJ86))</f>
        <v/>
      </c>
      <c r="BA86" s="59" t="str">
        <f aca="false">IF(ISBLANK($C86),"",IF($AJ86=Constants!$B$7,IF(ISNUMBER(AW86),AW86-AZ86,Constants!$B$14),$AJ86))</f>
        <v/>
      </c>
      <c r="BB86" s="61"/>
      <c r="BC86" s="62" t="str">
        <f aca="false">IF(ISBLANK($C86),"",IF($AJ86&lt;&gt;Constants!$B$7,$AJ86,SMALL(AQ86:AS86,1)&amp;", "&amp;SMALL(AQ86:AS86,2)&amp;", "&amp;SMALL(AQ86:AS86,3)))</f>
        <v/>
      </c>
      <c r="BD86" s="63" t="str">
        <f aca="false">IF(ISBLANK($C86),"",IF($AJ86&lt;&gt;Constants!$B$7,$AJ86,W86))</f>
        <v/>
      </c>
      <c r="BE86" s="64" t="str">
        <f aca="false">IF(ISBLANK($C86),"",IF($AJ86&lt;&gt;Constants!$B$7,$AJ86,AU86))</f>
        <v/>
      </c>
      <c r="BF86" s="65" t="str">
        <f aca="false">IF(ISBLANK($C86),"",IF($AJ86&lt;&gt;Constants!$B$7,$AJ86,AK86))</f>
        <v/>
      </c>
      <c r="BG86" s="63" t="str">
        <f aca="false">IF(ISBLANK($C86),"",BA86)</f>
        <v/>
      </c>
      <c r="BH86" s="63" t="str">
        <f aca="false">IF(ISBLANK($C86),"",AZ86)</f>
        <v/>
      </c>
      <c r="BI86" s="66" t="str">
        <f aca="false">IF(ISBLANK($C86),"",IF(BH86=Constants!$B$4,COUNTA($C$8:$C$507)+2,IF(BH86=Constants!$B$5,COUNTA($C$8:$C$507)+1,IF(BH86=Constants!$B$6,COUNTA($C$8:$C$507),BH86))))</f>
        <v/>
      </c>
      <c r="BJ86" s="5"/>
      <c r="BK86" s="67" t="n">
        <f aca="false">IF(OR(ISNUMBER(BH86),BH86=Constants!$B$4,BH86=Constants!$B$6,BH86=Constants!$B$5),1,0)</f>
        <v>0</v>
      </c>
      <c r="BL86" s="67" t="n">
        <v>79</v>
      </c>
      <c r="BM86" s="67" t="str">
        <f aca="false">IF(ISBLANK($C86),"",IF(ISNUMBER(BI86),BI86+ROW($B86)/1000,""))</f>
        <v/>
      </c>
      <c r="BN86" s="67" t="str">
        <f aca="false">IF(ISNUMBER(BM86),RANK(BM86,$BM$8:$BM$507,1),"")</f>
        <v/>
      </c>
      <c r="BO86" s="67" t="str">
        <f aca="false">IF(ISBLANK($C86),"",$B86)</f>
        <v/>
      </c>
      <c r="BP86" s="67" t="str">
        <f aca="false">IF(ISBLANK($C86),"",$C86)</f>
        <v/>
      </c>
      <c r="BQ86" s="67" t="str">
        <f aca="false">IF(ISBLANK($C86),"",$D86)</f>
        <v/>
      </c>
      <c r="BR86" s="68" t="str">
        <f aca="false">BF86</f>
        <v/>
      </c>
      <c r="BS86" s="69" t="str">
        <f aca="false">BE86</f>
        <v/>
      </c>
      <c r="BT86" s="67" t="str">
        <f aca="false">IF(ISBLANK($C86),"",BH86)</f>
        <v/>
      </c>
      <c r="BU86" s="70" t="str">
        <f aca="false">IF($BL86&gt;$BK$7,"",VLOOKUP($BL86,$BN$8:$BT$507,7,FALSE()))</f>
        <v/>
      </c>
      <c r="BV86" s="71" t="str">
        <f aca="false">IF($BL86&gt;$BK$7,"",VLOOKUP($BL86,$BN$8:$BT$507,2,FALSE()))</f>
        <v/>
      </c>
      <c r="BW86" s="71" t="str">
        <f aca="false">IF($BL86&gt;$BK$7,"",VLOOKUP($BL86,$BN$8:$BT$507,3,FALSE()))</f>
        <v/>
      </c>
      <c r="BX86" s="71" t="str">
        <f aca="false">IF($BL86&gt;$BK$7,"",VLOOKUP($BL86,$BN$8:$BT$507,4,FALSE()))</f>
        <v/>
      </c>
      <c r="BY86" s="71" t="str">
        <f aca="false">IF($BL86&gt;$BK$7,"",VLOOKUP($BL86,$BN$8:$BT$507,5,FALSE()))</f>
        <v/>
      </c>
      <c r="BZ86" s="72" t="str">
        <f aca="false">IF($BL86&gt;$BK$7,"",VLOOKUP($BL86,$BN$8:$BT$507,6,FALSE()))</f>
        <v/>
      </c>
      <c r="CA86" s="48"/>
    </row>
    <row r="87" customFormat="false" ht="15.75" hidden="false" customHeight="false" outlineLevel="0" collapsed="false">
      <c r="A87" s="5"/>
      <c r="B87" s="121"/>
      <c r="C87" s="50"/>
      <c r="D87" s="51"/>
      <c r="E87" s="74"/>
      <c r="F87" s="122"/>
      <c r="G87" s="54"/>
      <c r="H87" s="123"/>
      <c r="I87" s="124"/>
      <c r="J87" s="54"/>
      <c r="K87" s="123"/>
      <c r="L87" s="54"/>
      <c r="M87" s="123"/>
      <c r="N87" s="54"/>
      <c r="O87" s="123"/>
      <c r="P87" s="54"/>
      <c r="Q87" s="123"/>
      <c r="R87" s="54"/>
      <c r="S87" s="74"/>
      <c r="T87" s="58"/>
      <c r="U87" s="59" t="str">
        <f aca="false">IF(ISBLANK($C87),"",IF(E87=Constants!$B$2, TRUE(), IF(E87=Constants!$B$3, FALSE(), TRUE())))</f>
        <v/>
      </c>
      <c r="V87" s="59" t="str">
        <f aca="false">IF(ISBLANK($C87),"",IF(F87=Constants!$B$2, TRUE(), IF(F87=Constants!$B$3, FALSE(), TRUE())))</f>
        <v/>
      </c>
      <c r="W87" s="59" t="str">
        <f aca="false">IF(ISBLANK($C87),"",IF(G87=Constants!$B$15,Constants!$B$8,IF(G87=Constants!$B$16,Constants!$B$9,Constants!$B$10)))</f>
        <v/>
      </c>
      <c r="X87" s="59" t="str">
        <f aca="false">IF(ISBLANK($C87),"",IF(H87=Constants!$B$2, TRUE(), IF(H87=Constants!$B$3, FALSE(), TRUE())))</f>
        <v/>
      </c>
      <c r="Y87" s="59" t="str">
        <f aca="false">IF(ISBLANK($C87),"",IF(I87=Constants!$B$19,Constants!$B$19,Constants!$B$18))</f>
        <v/>
      </c>
      <c r="Z87" s="59" t="str">
        <f aca="false">IF(ISBLANK($C87),"",IF(ISNUMBER(J87),IF(J87&gt;=0,J87,""),""))</f>
        <v/>
      </c>
      <c r="AA87" s="59" t="str">
        <f aca="false">IF(ISBLANK($C87),"",IF(K87=Constants!$B$19,Constants!$B$19,Constants!$B$18))</f>
        <v/>
      </c>
      <c r="AB87" s="59" t="str">
        <f aca="false">IF(ISBLANK($C87),"",IF(ISNUMBER(L87),IF(L87&gt;=0,L87,""),""))</f>
        <v/>
      </c>
      <c r="AC87" s="59" t="str">
        <f aca="false">IF(ISBLANK($C87),"",IF(M87=Constants!$B$19,Constants!$B$19,Constants!$B$18))</f>
        <v/>
      </c>
      <c r="AD87" s="59" t="str">
        <f aca="false">IF(ISBLANK($C87),"",IF(ISNUMBER(N87),IF(N87&gt;=0,N87,""),""))</f>
        <v/>
      </c>
      <c r="AE87" s="59" t="str">
        <f aca="false">IF(ISBLANK($C87),"",IF(O87=Constants!$B$19,Constants!$B$19,Constants!$B$18))</f>
        <v/>
      </c>
      <c r="AF87" s="59" t="str">
        <f aca="false">IF(ISBLANK($C87),"",IF(ISNUMBER(P87),IF(P87&gt;=0,P87,""),""))</f>
        <v/>
      </c>
      <c r="AG87" s="59" t="str">
        <f aca="false">IF(ISBLANK($C87),"",IF(Q87=Constants!$B$19,Constants!$B$19,Constants!$B$18))</f>
        <v/>
      </c>
      <c r="AH87" s="59" t="str">
        <f aca="false">IF(ISBLANK($C87),"",IF(ISNUMBER(R87),IF(R87&gt;=0,R87,""),""))</f>
        <v/>
      </c>
      <c r="AI87" s="59" t="str">
        <f aca="false">IF(ISBLANK($C87),"",IF(S87=Constants!$B$2, TRUE(), IF(S87=Constants!$B$3, FALSE(), FALSE())))</f>
        <v/>
      </c>
      <c r="AJ87" s="59" t="str">
        <f aca="false">IF(ISBLANK($C87),"",IF(AI87,Constants!$B$4,IF(COUNTA(E87:R87)=0,Constants!$B$5,IF(COUNTA(J87,L87,N87,P87,R87)=0,Constants!$B$6,Constants!$B$7))))</f>
        <v/>
      </c>
      <c r="AK87" s="59" t="str">
        <f aca="false">IF(ISBLANK($C87),"",IF($AJ87&lt;&gt;Constants!$B$7,$AJ87,IF(OR(NOT(X87),AND(NOT(U87),COUNTIFS(Y87:AG87,Constants!$B$18,Z87:AH87,"&gt;=0")&gt;0),AND(NOT(V87),COUNTIFS(Y87:AG87,Constants!$B$19,Z87:AH87,"&gt;=0")&gt;0)),Constants!$B$12,Constants!$B$11)))</f>
        <v/>
      </c>
      <c r="AL87" s="59" t="str">
        <f aca="false">IF($AJ87=Constants!$B$7,IF(Z87="",Constants!$B$13,Z87),"")</f>
        <v/>
      </c>
      <c r="AM87" s="59" t="str">
        <f aca="false">IF($AJ87=Constants!$B$7,IF(AB87="",Constants!$B$13,AB87),"")</f>
        <v/>
      </c>
      <c r="AN87" s="59" t="str">
        <f aca="false">IF($AJ87=Constants!$B$7,IF(AD87="",Constants!$B$13,AD87),"")</f>
        <v/>
      </c>
      <c r="AO87" s="59" t="str">
        <f aca="false">IF($AJ87=Constants!$B$7,IF(AF87="",Constants!$B$13,AF87),"")</f>
        <v/>
      </c>
      <c r="AP87" s="59" t="str">
        <f aca="false">IF($AJ87=Constants!$B$7,IF(AH87="",Constants!$B$13,AH87),"")</f>
        <v/>
      </c>
      <c r="AQ87" s="59" t="str">
        <f aca="false">IF($AJ87=Constants!$B$7,IF(SUMPRODUCT(--($AL87:$AP87&gt;AL87))+SUMPRODUCT(--($AL87:AL87=AL87))=1,1,IF(SUMPRODUCT(--($AL87:$AP87&gt;AM87))+SUMPRODUCT(--($AL87:AM87=AM87))=1,2,IF(SUMPRODUCT(--($AL87:$AP87&gt;AN87))+SUMPRODUCT(--($AL87:AN87=AN87))=1,3,IF(SUMPRODUCT(--($AL87:$AP87&gt;AO87))+SUMPRODUCT(--($AL87:AO87=AO87))=1,4,5)))),"")</f>
        <v/>
      </c>
      <c r="AR87" s="59" t="str">
        <f aca="false">IF($AJ87=Constants!$B$7,IF(SUMPRODUCT(--($AL87:$AP87&gt;AL87))+SUMPRODUCT(--($AL87:AL87=AL87))=2,1,IF(SUMPRODUCT(--($AL87:$AP87&gt;AM87))+SUMPRODUCT(--($AL87:AM87=AM87))=2,2,IF(SUMPRODUCT(--($AL87:$AP87&gt;AN87))+SUMPRODUCT(--($AL87:AN87=AN87))=2,3,IF(SUMPRODUCT(--($AL87:$AP87&gt;AO87))+SUMPRODUCT(--($AL87:AO87=AO87))=2,4,5)))),"")</f>
        <v/>
      </c>
      <c r="AS87" s="59" t="str">
        <f aca="false">IF($AJ87=Constants!$B$7,IF(SUMPRODUCT(--($AL87:$AP87&gt;AL87))+SUMPRODUCT(--($AL87:AL87=AL87))=3,1,IF(SUMPRODUCT(--($AL87:$AP87&gt;AM87))+SUMPRODUCT(--($AL87:AM87=AM87))=3,2,IF(SUMPRODUCT(--($AL87:$AP87&gt;AN87))+SUMPRODUCT(--($AL87:AN87=AN87))=3,3,IF(SUMPRODUCT(--($AL87:$AP87&gt;AO87))+SUMPRODUCT(--($AL87:AO87=AO87))=3,4,5)))),"")</f>
        <v/>
      </c>
      <c r="AT87" s="59" t="str">
        <f aca="false">IF($AJ87=Constants!$B$7,LARGE(AL87:AP87,1)+LARGE(AL87:AP87,2)+LARGE(AL87:AP87,3),"")</f>
        <v/>
      </c>
      <c r="AU87" s="59" t="str">
        <f aca="false">IF(ISBLANK($C87),"",IF($AJ87&lt;&gt;Constants!$B$7,$AJ87,AT87*W87))</f>
        <v/>
      </c>
      <c r="AV87" s="59" t="str">
        <f aca="false">IF(ISBLANK($C87),"",IF($AJ87=Constants!$B$7,IF(ISNUMBER(AU87),RANK(AU87,$AU$8:$AU$507),Constants!$B$14),$AJ87))</f>
        <v/>
      </c>
      <c r="AW87" s="59" t="str">
        <f aca="false">IF(ISBLANK($C87),"",IF($AJ87=Constants!$B$7,IF(ISNUMBER(AV87),COUNTIFS($AK$8:$AK$507,"&lt;"&amp;$AK87)+COUNTIFS($AK$8:$AK$507,$AK87,$AV$8:$AV$507,"&lt;"&amp;$AV87)+1,Constants!$B$14),$AJ87))</f>
        <v/>
      </c>
      <c r="AX87" s="59" t="str">
        <f aca="false">IF(ISBLANK($C87),"",IF($AJ87=Constants!$B$7,LARGE(AL87:AP87,4)*W87,""))</f>
        <v/>
      </c>
      <c r="AY87" s="59" t="str">
        <f aca="false">IF(ISBLANK($C87),"",IF($AJ87=Constants!$B$7,RANK(AX87,$AX$8:$AX$507),$AJ87))</f>
        <v/>
      </c>
      <c r="AZ87" s="59" t="str">
        <f aca="false">IF(ISBLANK($C87),"",IF($AJ87=Constants!$B$7,IF(ISNUMBER(AV87),COUNTIFS($AK$8:$AK$507,"&lt;"&amp;$AK87)+COUNTIFS($AK$8:$AK$507,$AK87,$AV$8:$AV$507,"&lt;"&amp;$AV87)+COUNTIFS($AK$8:$AK$507,$AK87,$AV$8:$AV$507,$AV87,$AY$8:$AY$507,"&lt;"&amp;$AY87)+1,Constants!$B$14),$AJ87))</f>
        <v/>
      </c>
      <c r="BA87" s="59" t="str">
        <f aca="false">IF(ISBLANK($C87),"",IF($AJ87=Constants!$B$7,IF(ISNUMBER(AW87),AW87-AZ87,Constants!$B$14),$AJ87))</f>
        <v/>
      </c>
      <c r="BB87" s="61"/>
      <c r="BC87" s="62" t="str">
        <f aca="false">IF(ISBLANK($C87),"",IF($AJ87&lt;&gt;Constants!$B$7,$AJ87,SMALL(AQ87:AS87,1)&amp;", "&amp;SMALL(AQ87:AS87,2)&amp;", "&amp;SMALL(AQ87:AS87,3)))</f>
        <v/>
      </c>
      <c r="BD87" s="63" t="str">
        <f aca="false">IF(ISBLANK($C87),"",IF($AJ87&lt;&gt;Constants!$B$7,$AJ87,W87))</f>
        <v/>
      </c>
      <c r="BE87" s="64" t="str">
        <f aca="false">IF(ISBLANK($C87),"",IF($AJ87&lt;&gt;Constants!$B$7,$AJ87,AU87))</f>
        <v/>
      </c>
      <c r="BF87" s="65" t="str">
        <f aca="false">IF(ISBLANK($C87),"",IF($AJ87&lt;&gt;Constants!$B$7,$AJ87,AK87))</f>
        <v/>
      </c>
      <c r="BG87" s="63" t="str">
        <f aca="false">IF(ISBLANK($C87),"",BA87)</f>
        <v/>
      </c>
      <c r="BH87" s="63" t="str">
        <f aca="false">IF(ISBLANK($C87),"",AZ87)</f>
        <v/>
      </c>
      <c r="BI87" s="66" t="str">
        <f aca="false">IF(ISBLANK($C87),"",IF(BH87=Constants!$B$4,COUNTA($C$8:$C$507)+2,IF(BH87=Constants!$B$5,COUNTA($C$8:$C$507)+1,IF(BH87=Constants!$B$6,COUNTA($C$8:$C$507),BH87))))</f>
        <v/>
      </c>
      <c r="BJ87" s="5"/>
      <c r="BK87" s="67" t="n">
        <f aca="false">IF(OR(ISNUMBER(BH87),BH87=Constants!$B$4,BH87=Constants!$B$6,BH87=Constants!$B$5),1,0)</f>
        <v>0</v>
      </c>
      <c r="BL87" s="67" t="n">
        <v>80</v>
      </c>
      <c r="BM87" s="67" t="str">
        <f aca="false">IF(ISBLANK($C87),"",IF(ISNUMBER(BI87),BI87+ROW($B87)/1000,""))</f>
        <v/>
      </c>
      <c r="BN87" s="67" t="str">
        <f aca="false">IF(ISNUMBER(BM87),RANK(BM87,$BM$8:$BM$507,1),"")</f>
        <v/>
      </c>
      <c r="BO87" s="67" t="str">
        <f aca="false">IF(ISBLANK($C87),"",$B87)</f>
        <v/>
      </c>
      <c r="BP87" s="67" t="str">
        <f aca="false">IF(ISBLANK($C87),"",$C87)</f>
        <v/>
      </c>
      <c r="BQ87" s="67" t="str">
        <f aca="false">IF(ISBLANK($C87),"",$D87)</f>
        <v/>
      </c>
      <c r="BR87" s="68" t="str">
        <f aca="false">BF87</f>
        <v/>
      </c>
      <c r="BS87" s="69" t="str">
        <f aca="false">BE87</f>
        <v/>
      </c>
      <c r="BT87" s="67" t="str">
        <f aca="false">IF(ISBLANK($C87),"",BH87)</f>
        <v/>
      </c>
      <c r="BU87" s="70" t="str">
        <f aca="false">IF($BL87&gt;$BK$7,"",VLOOKUP($BL87,$BN$8:$BT$507,7,FALSE()))</f>
        <v/>
      </c>
      <c r="BV87" s="71" t="str">
        <f aca="false">IF($BL87&gt;$BK$7,"",VLOOKUP($BL87,$BN$8:$BT$507,2,FALSE()))</f>
        <v/>
      </c>
      <c r="BW87" s="71" t="str">
        <f aca="false">IF($BL87&gt;$BK$7,"",VLOOKUP($BL87,$BN$8:$BT$507,3,FALSE()))</f>
        <v/>
      </c>
      <c r="BX87" s="71" t="str">
        <f aca="false">IF($BL87&gt;$BK$7,"",VLOOKUP($BL87,$BN$8:$BT$507,4,FALSE()))</f>
        <v/>
      </c>
      <c r="BY87" s="71" t="str">
        <f aca="false">IF($BL87&gt;$BK$7,"",VLOOKUP($BL87,$BN$8:$BT$507,5,FALSE()))</f>
        <v/>
      </c>
      <c r="BZ87" s="72" t="str">
        <f aca="false">IF($BL87&gt;$BK$7,"",VLOOKUP($BL87,$BN$8:$BT$507,6,FALSE()))</f>
        <v/>
      </c>
      <c r="CA87" s="48"/>
    </row>
    <row r="88" customFormat="false" ht="15.75" hidden="false" customHeight="false" outlineLevel="0" collapsed="false">
      <c r="A88" s="5"/>
      <c r="B88" s="121"/>
      <c r="C88" s="50"/>
      <c r="D88" s="51"/>
      <c r="E88" s="74"/>
      <c r="F88" s="122"/>
      <c r="G88" s="54"/>
      <c r="H88" s="123"/>
      <c r="I88" s="124"/>
      <c r="J88" s="54"/>
      <c r="K88" s="123"/>
      <c r="L88" s="54"/>
      <c r="M88" s="123"/>
      <c r="N88" s="54"/>
      <c r="O88" s="123"/>
      <c r="P88" s="54"/>
      <c r="Q88" s="123"/>
      <c r="R88" s="54"/>
      <c r="S88" s="74"/>
      <c r="T88" s="58"/>
      <c r="U88" s="59" t="str">
        <f aca="false">IF(ISBLANK($C88),"",IF(E88=Constants!$B$2, TRUE(), IF(E88=Constants!$B$3, FALSE(), TRUE())))</f>
        <v/>
      </c>
      <c r="V88" s="59" t="str">
        <f aca="false">IF(ISBLANK($C88),"",IF(F88=Constants!$B$2, TRUE(), IF(F88=Constants!$B$3, FALSE(), TRUE())))</f>
        <v/>
      </c>
      <c r="W88" s="59" t="str">
        <f aca="false">IF(ISBLANK($C88),"",IF(G88=Constants!$B$15,Constants!$B$8,IF(G88=Constants!$B$16,Constants!$B$9,Constants!$B$10)))</f>
        <v/>
      </c>
      <c r="X88" s="59" t="str">
        <f aca="false">IF(ISBLANK($C88),"",IF(H88=Constants!$B$2, TRUE(), IF(H88=Constants!$B$3, FALSE(), TRUE())))</f>
        <v/>
      </c>
      <c r="Y88" s="59" t="str">
        <f aca="false">IF(ISBLANK($C88),"",IF(I88=Constants!$B$19,Constants!$B$19,Constants!$B$18))</f>
        <v/>
      </c>
      <c r="Z88" s="59" t="str">
        <f aca="false">IF(ISBLANK($C88),"",IF(ISNUMBER(J88),IF(J88&gt;=0,J88,""),""))</f>
        <v/>
      </c>
      <c r="AA88" s="59" t="str">
        <f aca="false">IF(ISBLANK($C88),"",IF(K88=Constants!$B$19,Constants!$B$19,Constants!$B$18))</f>
        <v/>
      </c>
      <c r="AB88" s="59" t="str">
        <f aca="false">IF(ISBLANK($C88),"",IF(ISNUMBER(L88),IF(L88&gt;=0,L88,""),""))</f>
        <v/>
      </c>
      <c r="AC88" s="59" t="str">
        <f aca="false">IF(ISBLANK($C88),"",IF(M88=Constants!$B$19,Constants!$B$19,Constants!$B$18))</f>
        <v/>
      </c>
      <c r="AD88" s="59" t="str">
        <f aca="false">IF(ISBLANK($C88),"",IF(ISNUMBER(N88),IF(N88&gt;=0,N88,""),""))</f>
        <v/>
      </c>
      <c r="AE88" s="59" t="str">
        <f aca="false">IF(ISBLANK($C88),"",IF(O88=Constants!$B$19,Constants!$B$19,Constants!$B$18))</f>
        <v/>
      </c>
      <c r="AF88" s="59" t="str">
        <f aca="false">IF(ISBLANK($C88),"",IF(ISNUMBER(P88),IF(P88&gt;=0,P88,""),""))</f>
        <v/>
      </c>
      <c r="AG88" s="59" t="str">
        <f aca="false">IF(ISBLANK($C88),"",IF(Q88=Constants!$B$19,Constants!$B$19,Constants!$B$18))</f>
        <v/>
      </c>
      <c r="AH88" s="59" t="str">
        <f aca="false">IF(ISBLANK($C88),"",IF(ISNUMBER(R88),IF(R88&gt;=0,R88,""),""))</f>
        <v/>
      </c>
      <c r="AI88" s="59" t="str">
        <f aca="false">IF(ISBLANK($C88),"",IF(S88=Constants!$B$2, TRUE(), IF(S88=Constants!$B$3, FALSE(), FALSE())))</f>
        <v/>
      </c>
      <c r="AJ88" s="59" t="str">
        <f aca="false">IF(ISBLANK($C88),"",IF(AI88,Constants!$B$4,IF(COUNTA(E88:R88)=0,Constants!$B$5,IF(COUNTA(J88,L88,N88,P88,R88)=0,Constants!$B$6,Constants!$B$7))))</f>
        <v/>
      </c>
      <c r="AK88" s="59" t="str">
        <f aca="false">IF(ISBLANK($C88),"",IF($AJ88&lt;&gt;Constants!$B$7,$AJ88,IF(OR(NOT(X88),AND(NOT(U88),COUNTIFS(Y88:AG88,Constants!$B$18,Z88:AH88,"&gt;=0")&gt;0),AND(NOT(V88),COUNTIFS(Y88:AG88,Constants!$B$19,Z88:AH88,"&gt;=0")&gt;0)),Constants!$B$12,Constants!$B$11)))</f>
        <v/>
      </c>
      <c r="AL88" s="59" t="str">
        <f aca="false">IF($AJ88=Constants!$B$7,IF(Z88="",Constants!$B$13,Z88),"")</f>
        <v/>
      </c>
      <c r="AM88" s="59" t="str">
        <f aca="false">IF($AJ88=Constants!$B$7,IF(AB88="",Constants!$B$13,AB88),"")</f>
        <v/>
      </c>
      <c r="AN88" s="59" t="str">
        <f aca="false">IF($AJ88=Constants!$B$7,IF(AD88="",Constants!$B$13,AD88),"")</f>
        <v/>
      </c>
      <c r="AO88" s="59" t="str">
        <f aca="false">IF($AJ88=Constants!$B$7,IF(AF88="",Constants!$B$13,AF88),"")</f>
        <v/>
      </c>
      <c r="AP88" s="59" t="str">
        <f aca="false">IF($AJ88=Constants!$B$7,IF(AH88="",Constants!$B$13,AH88),"")</f>
        <v/>
      </c>
      <c r="AQ88" s="59" t="str">
        <f aca="false">IF($AJ88=Constants!$B$7,IF(SUMPRODUCT(--($AL88:$AP88&gt;AL88))+SUMPRODUCT(--($AL88:AL88=AL88))=1,1,IF(SUMPRODUCT(--($AL88:$AP88&gt;AM88))+SUMPRODUCT(--($AL88:AM88=AM88))=1,2,IF(SUMPRODUCT(--($AL88:$AP88&gt;AN88))+SUMPRODUCT(--($AL88:AN88=AN88))=1,3,IF(SUMPRODUCT(--($AL88:$AP88&gt;AO88))+SUMPRODUCT(--($AL88:AO88=AO88))=1,4,5)))),"")</f>
        <v/>
      </c>
      <c r="AR88" s="59" t="str">
        <f aca="false">IF($AJ88=Constants!$B$7,IF(SUMPRODUCT(--($AL88:$AP88&gt;AL88))+SUMPRODUCT(--($AL88:AL88=AL88))=2,1,IF(SUMPRODUCT(--($AL88:$AP88&gt;AM88))+SUMPRODUCT(--($AL88:AM88=AM88))=2,2,IF(SUMPRODUCT(--($AL88:$AP88&gt;AN88))+SUMPRODUCT(--($AL88:AN88=AN88))=2,3,IF(SUMPRODUCT(--($AL88:$AP88&gt;AO88))+SUMPRODUCT(--($AL88:AO88=AO88))=2,4,5)))),"")</f>
        <v/>
      </c>
      <c r="AS88" s="59" t="str">
        <f aca="false">IF($AJ88=Constants!$B$7,IF(SUMPRODUCT(--($AL88:$AP88&gt;AL88))+SUMPRODUCT(--($AL88:AL88=AL88))=3,1,IF(SUMPRODUCT(--($AL88:$AP88&gt;AM88))+SUMPRODUCT(--($AL88:AM88=AM88))=3,2,IF(SUMPRODUCT(--($AL88:$AP88&gt;AN88))+SUMPRODUCT(--($AL88:AN88=AN88))=3,3,IF(SUMPRODUCT(--($AL88:$AP88&gt;AO88))+SUMPRODUCT(--($AL88:AO88=AO88))=3,4,5)))),"")</f>
        <v/>
      </c>
      <c r="AT88" s="59" t="str">
        <f aca="false">IF($AJ88=Constants!$B$7,LARGE(AL88:AP88,1)+LARGE(AL88:AP88,2)+LARGE(AL88:AP88,3),"")</f>
        <v/>
      </c>
      <c r="AU88" s="59" t="str">
        <f aca="false">IF(ISBLANK($C88),"",IF($AJ88&lt;&gt;Constants!$B$7,$AJ88,AT88*W88))</f>
        <v/>
      </c>
      <c r="AV88" s="59" t="str">
        <f aca="false">IF(ISBLANK($C88),"",IF($AJ88=Constants!$B$7,IF(ISNUMBER(AU88),RANK(AU88,$AU$8:$AU$507),Constants!$B$14),$AJ88))</f>
        <v/>
      </c>
      <c r="AW88" s="59" t="str">
        <f aca="false">IF(ISBLANK($C88),"",IF($AJ88=Constants!$B$7,IF(ISNUMBER(AV88),COUNTIFS($AK$8:$AK$507,"&lt;"&amp;$AK88)+COUNTIFS($AK$8:$AK$507,$AK88,$AV$8:$AV$507,"&lt;"&amp;$AV88)+1,Constants!$B$14),$AJ88))</f>
        <v/>
      </c>
      <c r="AX88" s="59" t="str">
        <f aca="false">IF(ISBLANK($C88),"",IF($AJ88=Constants!$B$7,LARGE(AL88:AP88,4)*W88,""))</f>
        <v/>
      </c>
      <c r="AY88" s="59" t="str">
        <f aca="false">IF(ISBLANK($C88),"",IF($AJ88=Constants!$B$7,RANK(AX88,$AX$8:$AX$507),$AJ88))</f>
        <v/>
      </c>
      <c r="AZ88" s="59" t="str">
        <f aca="false">IF(ISBLANK($C88),"",IF($AJ88=Constants!$B$7,IF(ISNUMBER(AV88),COUNTIFS($AK$8:$AK$507,"&lt;"&amp;$AK88)+COUNTIFS($AK$8:$AK$507,$AK88,$AV$8:$AV$507,"&lt;"&amp;$AV88)+COUNTIFS($AK$8:$AK$507,$AK88,$AV$8:$AV$507,$AV88,$AY$8:$AY$507,"&lt;"&amp;$AY88)+1,Constants!$B$14),$AJ88))</f>
        <v/>
      </c>
      <c r="BA88" s="59" t="str">
        <f aca="false">IF(ISBLANK($C88),"",IF($AJ88=Constants!$B$7,IF(ISNUMBER(AW88),AW88-AZ88,Constants!$B$14),$AJ88))</f>
        <v/>
      </c>
      <c r="BB88" s="61"/>
      <c r="BC88" s="62" t="str">
        <f aca="false">IF(ISBLANK($C88),"",IF($AJ88&lt;&gt;Constants!$B$7,$AJ88,SMALL(AQ88:AS88,1)&amp;", "&amp;SMALL(AQ88:AS88,2)&amp;", "&amp;SMALL(AQ88:AS88,3)))</f>
        <v/>
      </c>
      <c r="BD88" s="63" t="str">
        <f aca="false">IF(ISBLANK($C88),"",IF($AJ88&lt;&gt;Constants!$B$7,$AJ88,W88))</f>
        <v/>
      </c>
      <c r="BE88" s="64" t="str">
        <f aca="false">IF(ISBLANK($C88),"",IF($AJ88&lt;&gt;Constants!$B$7,$AJ88,AU88))</f>
        <v/>
      </c>
      <c r="BF88" s="65" t="str">
        <f aca="false">IF(ISBLANK($C88),"",IF($AJ88&lt;&gt;Constants!$B$7,$AJ88,AK88))</f>
        <v/>
      </c>
      <c r="BG88" s="63" t="str">
        <f aca="false">IF(ISBLANK($C88),"",BA88)</f>
        <v/>
      </c>
      <c r="BH88" s="63" t="str">
        <f aca="false">IF(ISBLANK($C88),"",AZ88)</f>
        <v/>
      </c>
      <c r="BI88" s="66" t="str">
        <f aca="false">IF(ISBLANK($C88),"",IF(BH88=Constants!$B$4,COUNTA($C$8:$C$507)+2,IF(BH88=Constants!$B$5,COUNTA($C$8:$C$507)+1,IF(BH88=Constants!$B$6,COUNTA($C$8:$C$507),BH88))))</f>
        <v/>
      </c>
      <c r="BJ88" s="5"/>
      <c r="BK88" s="67" t="n">
        <f aca="false">IF(OR(ISNUMBER(BH88),BH88=Constants!$B$4,BH88=Constants!$B$6,BH88=Constants!$B$5),1,0)</f>
        <v>0</v>
      </c>
      <c r="BL88" s="67" t="n">
        <v>81</v>
      </c>
      <c r="BM88" s="67" t="str">
        <f aca="false">IF(ISBLANK($C88),"",IF(ISNUMBER(BI88),BI88+ROW($B88)/1000,""))</f>
        <v/>
      </c>
      <c r="BN88" s="67" t="str">
        <f aca="false">IF(ISNUMBER(BM88),RANK(BM88,$BM$8:$BM$507,1),"")</f>
        <v/>
      </c>
      <c r="BO88" s="67" t="str">
        <f aca="false">IF(ISBLANK($C88),"",$B88)</f>
        <v/>
      </c>
      <c r="BP88" s="67" t="str">
        <f aca="false">IF(ISBLANK($C88),"",$C88)</f>
        <v/>
      </c>
      <c r="BQ88" s="67" t="str">
        <f aca="false">IF(ISBLANK($C88),"",$D88)</f>
        <v/>
      </c>
      <c r="BR88" s="68" t="str">
        <f aca="false">BF88</f>
        <v/>
      </c>
      <c r="BS88" s="69" t="str">
        <f aca="false">BE88</f>
        <v/>
      </c>
      <c r="BT88" s="67" t="str">
        <f aca="false">IF(ISBLANK($C88),"",BH88)</f>
        <v/>
      </c>
      <c r="BU88" s="70" t="str">
        <f aca="false">IF($BL88&gt;$BK$7,"",VLOOKUP($BL88,$BN$8:$BT$507,7,FALSE()))</f>
        <v/>
      </c>
      <c r="BV88" s="71" t="str">
        <f aca="false">IF($BL88&gt;$BK$7,"",VLOOKUP($BL88,$BN$8:$BT$507,2,FALSE()))</f>
        <v/>
      </c>
      <c r="BW88" s="71" t="str">
        <f aca="false">IF($BL88&gt;$BK$7,"",VLOOKUP($BL88,$BN$8:$BT$507,3,FALSE()))</f>
        <v/>
      </c>
      <c r="BX88" s="71" t="str">
        <f aca="false">IF($BL88&gt;$BK$7,"",VLOOKUP($BL88,$BN$8:$BT$507,4,FALSE()))</f>
        <v/>
      </c>
      <c r="BY88" s="71" t="str">
        <f aca="false">IF($BL88&gt;$BK$7,"",VLOOKUP($BL88,$BN$8:$BT$507,5,FALSE()))</f>
        <v/>
      </c>
      <c r="BZ88" s="72" t="str">
        <f aca="false">IF($BL88&gt;$BK$7,"",VLOOKUP($BL88,$BN$8:$BT$507,6,FALSE()))</f>
        <v/>
      </c>
      <c r="CA88" s="48"/>
    </row>
    <row r="89" customFormat="false" ht="15.75" hidden="false" customHeight="false" outlineLevel="0" collapsed="false">
      <c r="A89" s="5"/>
      <c r="B89" s="114"/>
      <c r="C89" s="115"/>
      <c r="D89" s="100"/>
      <c r="E89" s="120"/>
      <c r="F89" s="125"/>
      <c r="G89" s="82"/>
      <c r="H89" s="126"/>
      <c r="I89" s="127"/>
      <c r="J89" s="82"/>
      <c r="K89" s="126"/>
      <c r="L89" s="82"/>
      <c r="M89" s="126"/>
      <c r="N89" s="82"/>
      <c r="O89" s="126"/>
      <c r="P89" s="82"/>
      <c r="Q89" s="126"/>
      <c r="R89" s="82"/>
      <c r="S89" s="120"/>
      <c r="T89" s="86"/>
      <c r="U89" s="87" t="str">
        <f aca="false">IF(ISBLANK($C89),"",IF(E89=Constants!$B$2, TRUE(), IF(E89=Constants!$B$3, FALSE(), TRUE())))</f>
        <v/>
      </c>
      <c r="V89" s="87" t="str">
        <f aca="false">IF(ISBLANK($C89),"",IF(F89=Constants!$B$2, TRUE(), IF(F89=Constants!$B$3, FALSE(), TRUE())))</f>
        <v/>
      </c>
      <c r="W89" s="87" t="str">
        <f aca="false">IF(ISBLANK($C89),"",IF(G89=Constants!$B$15,Constants!$B$8,IF(G89=Constants!$B$16,Constants!$B$9,Constants!$B$10)))</f>
        <v/>
      </c>
      <c r="X89" s="87" t="str">
        <f aca="false">IF(ISBLANK($C89),"",IF(H89=Constants!$B$2, TRUE(), IF(H89=Constants!$B$3, FALSE(), TRUE())))</f>
        <v/>
      </c>
      <c r="Y89" s="87" t="str">
        <f aca="false">IF(ISBLANK($C89),"",IF(I89=Constants!$B$19,Constants!$B$19,Constants!$B$18))</f>
        <v/>
      </c>
      <c r="Z89" s="87" t="str">
        <f aca="false">IF(ISBLANK($C89),"",IF(ISNUMBER(J89),IF(J89&gt;=0,J89,""),""))</f>
        <v/>
      </c>
      <c r="AA89" s="87" t="str">
        <f aca="false">IF(ISBLANK($C89),"",IF(K89=Constants!$B$19,Constants!$B$19,Constants!$B$18))</f>
        <v/>
      </c>
      <c r="AB89" s="87" t="str">
        <f aca="false">IF(ISBLANK($C89),"",IF(ISNUMBER(L89),IF(L89&gt;=0,L89,""),""))</f>
        <v/>
      </c>
      <c r="AC89" s="87" t="str">
        <f aca="false">IF(ISBLANK($C89),"",IF(M89=Constants!$B$19,Constants!$B$19,Constants!$B$18))</f>
        <v/>
      </c>
      <c r="AD89" s="87" t="str">
        <f aca="false">IF(ISBLANK($C89),"",IF(ISNUMBER(N89),IF(N89&gt;=0,N89,""),""))</f>
        <v/>
      </c>
      <c r="AE89" s="87" t="str">
        <f aca="false">IF(ISBLANK($C89),"",IF(O89=Constants!$B$19,Constants!$B$19,Constants!$B$18))</f>
        <v/>
      </c>
      <c r="AF89" s="87" t="str">
        <f aca="false">IF(ISBLANK($C89),"",IF(ISNUMBER(P89),IF(P89&gt;=0,P89,""),""))</f>
        <v/>
      </c>
      <c r="AG89" s="87" t="str">
        <f aca="false">IF(ISBLANK($C89),"",IF(Q89=Constants!$B$19,Constants!$B$19,Constants!$B$18))</f>
        <v/>
      </c>
      <c r="AH89" s="87" t="str">
        <f aca="false">IF(ISBLANK($C89),"",IF(ISNUMBER(R89),IF(R89&gt;=0,R89,""),""))</f>
        <v/>
      </c>
      <c r="AI89" s="87" t="str">
        <f aca="false">IF(ISBLANK($C89),"",IF(S89=Constants!$B$2, TRUE(), IF(S89=Constants!$B$3, FALSE(), FALSE())))</f>
        <v/>
      </c>
      <c r="AJ89" s="87" t="str">
        <f aca="false">IF(ISBLANK($C89),"",IF(AI89,Constants!$B$4,IF(COUNTA(E89:R89)=0,Constants!$B$5,IF(COUNTA(J89,L89,N89,P89,R89)=0,Constants!$B$6,Constants!$B$7))))</f>
        <v/>
      </c>
      <c r="AK89" s="87" t="str">
        <f aca="false">IF(ISBLANK($C89),"",IF($AJ89&lt;&gt;Constants!$B$7,$AJ89,IF(OR(NOT(X89),AND(NOT(U89),COUNTIFS(Y89:AG89,Constants!$B$18,Z89:AH89,"&gt;=0")&gt;0),AND(NOT(V89),COUNTIFS(Y89:AG89,Constants!$B$19,Z89:AH89,"&gt;=0")&gt;0)),Constants!$B$12,Constants!$B$11)))</f>
        <v/>
      </c>
      <c r="AL89" s="87" t="str">
        <f aca="false">IF($AJ89=Constants!$B$7,IF(Z89="",Constants!$B$13,Z89),"")</f>
        <v/>
      </c>
      <c r="AM89" s="87" t="str">
        <f aca="false">IF($AJ89=Constants!$B$7,IF(AB89="",Constants!$B$13,AB89),"")</f>
        <v/>
      </c>
      <c r="AN89" s="87" t="str">
        <f aca="false">IF($AJ89=Constants!$B$7,IF(AD89="",Constants!$B$13,AD89),"")</f>
        <v/>
      </c>
      <c r="AO89" s="87" t="str">
        <f aca="false">IF($AJ89=Constants!$B$7,IF(AF89="",Constants!$B$13,AF89),"")</f>
        <v/>
      </c>
      <c r="AP89" s="87" t="str">
        <f aca="false">IF($AJ89=Constants!$B$7,IF(AH89="",Constants!$B$13,AH89),"")</f>
        <v/>
      </c>
      <c r="AQ89" s="87" t="str">
        <f aca="false">IF($AJ89=Constants!$B$7,IF(SUMPRODUCT(--($AL89:$AP89&gt;AL89))+SUMPRODUCT(--($AL89:AL89=AL89))=1,1,IF(SUMPRODUCT(--($AL89:$AP89&gt;AM89))+SUMPRODUCT(--($AL89:AM89=AM89))=1,2,IF(SUMPRODUCT(--($AL89:$AP89&gt;AN89))+SUMPRODUCT(--($AL89:AN89=AN89))=1,3,IF(SUMPRODUCT(--($AL89:$AP89&gt;AO89))+SUMPRODUCT(--($AL89:AO89=AO89))=1,4,5)))),"")</f>
        <v/>
      </c>
      <c r="AR89" s="87" t="str">
        <f aca="false">IF($AJ89=Constants!$B$7,IF(SUMPRODUCT(--($AL89:$AP89&gt;AL89))+SUMPRODUCT(--($AL89:AL89=AL89))=2,1,IF(SUMPRODUCT(--($AL89:$AP89&gt;AM89))+SUMPRODUCT(--($AL89:AM89=AM89))=2,2,IF(SUMPRODUCT(--($AL89:$AP89&gt;AN89))+SUMPRODUCT(--($AL89:AN89=AN89))=2,3,IF(SUMPRODUCT(--($AL89:$AP89&gt;AO89))+SUMPRODUCT(--($AL89:AO89=AO89))=2,4,5)))),"")</f>
        <v/>
      </c>
      <c r="AS89" s="87" t="str">
        <f aca="false">IF($AJ89=Constants!$B$7,IF(SUMPRODUCT(--($AL89:$AP89&gt;AL89))+SUMPRODUCT(--($AL89:AL89=AL89))=3,1,IF(SUMPRODUCT(--($AL89:$AP89&gt;AM89))+SUMPRODUCT(--($AL89:AM89=AM89))=3,2,IF(SUMPRODUCT(--($AL89:$AP89&gt;AN89))+SUMPRODUCT(--($AL89:AN89=AN89))=3,3,IF(SUMPRODUCT(--($AL89:$AP89&gt;AO89))+SUMPRODUCT(--($AL89:AO89=AO89))=3,4,5)))),"")</f>
        <v/>
      </c>
      <c r="AT89" s="87" t="str">
        <f aca="false">IF($AJ89=Constants!$B$7,LARGE(AL89:AP89,1)+LARGE(AL89:AP89,2)+LARGE(AL89:AP89,3),"")</f>
        <v/>
      </c>
      <c r="AU89" s="87" t="str">
        <f aca="false">IF(ISBLANK($C89),"",IF($AJ89&lt;&gt;Constants!$B$7,$AJ89,AT89*W89))</f>
        <v/>
      </c>
      <c r="AV89" s="87" t="str">
        <f aca="false">IF(ISBLANK($C89),"",IF($AJ89=Constants!$B$7,IF(ISNUMBER(AU89),RANK(AU89,$AU$8:$AU$507),Constants!$B$14),$AJ89))</f>
        <v/>
      </c>
      <c r="AW89" s="87" t="str">
        <f aca="false">IF(ISBLANK($C89),"",IF($AJ89=Constants!$B$7,IF(ISNUMBER(AV89),COUNTIFS($AK$8:$AK$507,"&lt;"&amp;$AK89)+COUNTIFS($AK$8:$AK$507,$AK89,$AV$8:$AV$507,"&lt;"&amp;$AV89)+1,Constants!$B$14),$AJ89))</f>
        <v/>
      </c>
      <c r="AX89" s="87" t="str">
        <f aca="false">IF(ISBLANK($C89),"",IF($AJ89=Constants!$B$7,LARGE(AL89:AP89,4)*W89,""))</f>
        <v/>
      </c>
      <c r="AY89" s="87" t="str">
        <f aca="false">IF(ISBLANK($C89),"",IF($AJ89=Constants!$B$7,RANK(AX89,$AX$8:$AX$507),$AJ89))</f>
        <v/>
      </c>
      <c r="AZ89" s="87" t="str">
        <f aca="false">IF(ISBLANK($C89),"",IF($AJ89=Constants!$B$7,IF(ISNUMBER(AV89),COUNTIFS($AK$8:$AK$507,"&lt;"&amp;$AK89)+COUNTIFS($AK$8:$AK$507,$AK89,$AV$8:$AV$507,"&lt;"&amp;$AV89)+COUNTIFS($AK$8:$AK$507,$AK89,$AV$8:$AV$507,$AV89,$AY$8:$AY$507,"&lt;"&amp;$AY89)+1,Constants!$B$14),$AJ89))</f>
        <v/>
      </c>
      <c r="BA89" s="87" t="str">
        <f aca="false">IF(ISBLANK($C89),"",IF($AJ89=Constants!$B$7,IF(ISNUMBER(AW89),AW89-AZ89,Constants!$B$14),$AJ89))</f>
        <v/>
      </c>
      <c r="BB89" s="88"/>
      <c r="BC89" s="89" t="str">
        <f aca="false">IF(ISBLANK($C89),"",IF($AJ89&lt;&gt;Constants!$B$7,$AJ89,SMALL(AQ89:AS89,1)&amp;", "&amp;SMALL(AQ89:AS89,2)&amp;", "&amp;SMALL(AQ89:AS89,3)))</f>
        <v/>
      </c>
      <c r="BD89" s="90" t="str">
        <f aca="false">IF(ISBLANK($C89),"",IF($AJ89&lt;&gt;Constants!$B$7,$AJ89,W89))</f>
        <v/>
      </c>
      <c r="BE89" s="91" t="str">
        <f aca="false">IF(ISBLANK($C89),"",IF($AJ89&lt;&gt;Constants!$B$7,$AJ89,AU89))</f>
        <v/>
      </c>
      <c r="BF89" s="92" t="str">
        <f aca="false">IF(ISBLANK($C89),"",IF($AJ89&lt;&gt;Constants!$B$7,$AJ89,AK89))</f>
        <v/>
      </c>
      <c r="BG89" s="90" t="str">
        <f aca="false">IF(ISBLANK($C89),"",BA89)</f>
        <v/>
      </c>
      <c r="BH89" s="90" t="str">
        <f aca="false">IF(ISBLANK($C89),"",AZ89)</f>
        <v/>
      </c>
      <c r="BI89" s="93" t="str">
        <f aca="false">IF(ISBLANK($C89),"",IF(BH89=Constants!$B$4,COUNTA($C$8:$C$507)+2,IF(BH89=Constants!$B$5,COUNTA($C$8:$C$507)+1,IF(BH89=Constants!$B$6,COUNTA($C$8:$C$507),BH89))))</f>
        <v/>
      </c>
      <c r="BJ89" s="5"/>
      <c r="BK89" s="94" t="n">
        <f aca="false">IF(OR(ISNUMBER(BH89),BH89=Constants!$B$4,BH89=Constants!$B$6,BH89=Constants!$B$5),1,0)</f>
        <v>0</v>
      </c>
      <c r="BL89" s="94" t="n">
        <v>82</v>
      </c>
      <c r="BM89" s="94" t="str">
        <f aca="false">IF(ISBLANK($C89),"",IF(ISNUMBER(BI89),BI89+ROW($B89)/1000,""))</f>
        <v/>
      </c>
      <c r="BN89" s="94" t="str">
        <f aca="false">IF(ISNUMBER(BM89),RANK(BM89,$BM$8:$BM$507,1),"")</f>
        <v/>
      </c>
      <c r="BO89" s="94" t="str">
        <f aca="false">IF(ISBLANK($C89),"",$B89)</f>
        <v/>
      </c>
      <c r="BP89" s="94" t="str">
        <f aca="false">IF(ISBLANK($C89),"",$C89)</f>
        <v/>
      </c>
      <c r="BQ89" s="94" t="str">
        <f aca="false">IF(ISBLANK($C89),"",$D89)</f>
        <v/>
      </c>
      <c r="BR89" s="95" t="str">
        <f aca="false">BF89</f>
        <v/>
      </c>
      <c r="BS89" s="96" t="str">
        <f aca="false">BE89</f>
        <v/>
      </c>
      <c r="BT89" s="94" t="str">
        <f aca="false">IF(ISBLANK($C89),"",BH89)</f>
        <v/>
      </c>
      <c r="BU89" s="97" t="str">
        <f aca="false">IF($BL89&gt;$BK$7,"",VLOOKUP($BL89,$BN$8:$BT$507,7,FALSE()))</f>
        <v/>
      </c>
      <c r="BV89" s="98" t="str">
        <f aca="false">IF($BL89&gt;$BK$7,"",VLOOKUP($BL89,$BN$8:$BT$507,2,FALSE()))</f>
        <v/>
      </c>
      <c r="BW89" s="98" t="str">
        <f aca="false">IF($BL89&gt;$BK$7,"",VLOOKUP($BL89,$BN$8:$BT$507,3,FALSE()))</f>
        <v/>
      </c>
      <c r="BX89" s="98" t="str">
        <f aca="false">IF($BL89&gt;$BK$7,"",VLOOKUP($BL89,$BN$8:$BT$507,4,FALSE()))</f>
        <v/>
      </c>
      <c r="BY89" s="98" t="str">
        <f aca="false">IF($BL89&gt;$BK$7,"",VLOOKUP($BL89,$BN$8:$BT$507,5,FALSE()))</f>
        <v/>
      </c>
      <c r="BZ89" s="99" t="str">
        <f aca="false">IF($BL89&gt;$BK$7,"",VLOOKUP($BL89,$BN$8:$BT$507,6,FALSE()))</f>
        <v/>
      </c>
      <c r="CA89" s="48"/>
    </row>
    <row r="90" customFormat="false" ht="15.75" hidden="false" customHeight="false" outlineLevel="0" collapsed="false">
      <c r="A90" s="5"/>
      <c r="B90" s="114"/>
      <c r="C90" s="115"/>
      <c r="D90" s="100"/>
      <c r="E90" s="120"/>
      <c r="F90" s="125"/>
      <c r="G90" s="82"/>
      <c r="H90" s="126"/>
      <c r="I90" s="127"/>
      <c r="J90" s="82"/>
      <c r="K90" s="126"/>
      <c r="L90" s="82"/>
      <c r="M90" s="126"/>
      <c r="N90" s="82"/>
      <c r="O90" s="126"/>
      <c r="P90" s="82"/>
      <c r="Q90" s="126"/>
      <c r="R90" s="82"/>
      <c r="S90" s="120"/>
      <c r="T90" s="86"/>
      <c r="U90" s="87" t="str">
        <f aca="false">IF(ISBLANK($C90),"",IF(E90=Constants!$B$2, TRUE(), IF(E90=Constants!$B$3, FALSE(), TRUE())))</f>
        <v/>
      </c>
      <c r="V90" s="87" t="str">
        <f aca="false">IF(ISBLANK($C90),"",IF(F90=Constants!$B$2, TRUE(), IF(F90=Constants!$B$3, FALSE(), TRUE())))</f>
        <v/>
      </c>
      <c r="W90" s="87" t="str">
        <f aca="false">IF(ISBLANK($C90),"",IF(G90=Constants!$B$15,Constants!$B$8,IF(G90=Constants!$B$16,Constants!$B$9,Constants!$B$10)))</f>
        <v/>
      </c>
      <c r="X90" s="87" t="str">
        <f aca="false">IF(ISBLANK($C90),"",IF(H90=Constants!$B$2, TRUE(), IF(H90=Constants!$B$3, FALSE(), TRUE())))</f>
        <v/>
      </c>
      <c r="Y90" s="87" t="str">
        <f aca="false">IF(ISBLANK($C90),"",IF(I90=Constants!$B$19,Constants!$B$19,Constants!$B$18))</f>
        <v/>
      </c>
      <c r="Z90" s="87" t="str">
        <f aca="false">IF(ISBLANK($C90),"",IF(ISNUMBER(J90),IF(J90&gt;=0,J90,""),""))</f>
        <v/>
      </c>
      <c r="AA90" s="87" t="str">
        <f aca="false">IF(ISBLANK($C90),"",IF(K90=Constants!$B$19,Constants!$B$19,Constants!$B$18))</f>
        <v/>
      </c>
      <c r="AB90" s="87" t="str">
        <f aca="false">IF(ISBLANK($C90),"",IF(ISNUMBER(L90),IF(L90&gt;=0,L90,""),""))</f>
        <v/>
      </c>
      <c r="AC90" s="87" t="str">
        <f aca="false">IF(ISBLANK($C90),"",IF(M90=Constants!$B$19,Constants!$B$19,Constants!$B$18))</f>
        <v/>
      </c>
      <c r="AD90" s="87" t="str">
        <f aca="false">IF(ISBLANK($C90),"",IF(ISNUMBER(N90),IF(N90&gt;=0,N90,""),""))</f>
        <v/>
      </c>
      <c r="AE90" s="87" t="str">
        <f aca="false">IF(ISBLANK($C90),"",IF(O90=Constants!$B$19,Constants!$B$19,Constants!$B$18))</f>
        <v/>
      </c>
      <c r="AF90" s="87" t="str">
        <f aca="false">IF(ISBLANK($C90),"",IF(ISNUMBER(P90),IF(P90&gt;=0,P90,""),""))</f>
        <v/>
      </c>
      <c r="AG90" s="87" t="str">
        <f aca="false">IF(ISBLANK($C90),"",IF(Q90=Constants!$B$19,Constants!$B$19,Constants!$B$18))</f>
        <v/>
      </c>
      <c r="AH90" s="87" t="str">
        <f aca="false">IF(ISBLANK($C90),"",IF(ISNUMBER(R90),IF(R90&gt;=0,R90,""),""))</f>
        <v/>
      </c>
      <c r="AI90" s="87" t="str">
        <f aca="false">IF(ISBLANK($C90),"",IF(S90=Constants!$B$2, TRUE(), IF(S90=Constants!$B$3, FALSE(), FALSE())))</f>
        <v/>
      </c>
      <c r="AJ90" s="87" t="str">
        <f aca="false">IF(ISBLANK($C90),"",IF(AI90,Constants!$B$4,IF(COUNTA(E90:R90)=0,Constants!$B$5,IF(COUNTA(J90,L90,N90,P90,R90)=0,Constants!$B$6,Constants!$B$7))))</f>
        <v/>
      </c>
      <c r="AK90" s="87" t="str">
        <f aca="false">IF(ISBLANK($C90),"",IF($AJ90&lt;&gt;Constants!$B$7,$AJ90,IF(OR(NOT(X90),AND(NOT(U90),COUNTIFS(Y90:AG90,Constants!$B$18,Z90:AH90,"&gt;=0")&gt;0),AND(NOT(V90),COUNTIFS(Y90:AG90,Constants!$B$19,Z90:AH90,"&gt;=0")&gt;0)),Constants!$B$12,Constants!$B$11)))</f>
        <v/>
      </c>
      <c r="AL90" s="87" t="str">
        <f aca="false">IF($AJ90=Constants!$B$7,IF(Z90="",Constants!$B$13,Z90),"")</f>
        <v/>
      </c>
      <c r="AM90" s="87" t="str">
        <f aca="false">IF($AJ90=Constants!$B$7,IF(AB90="",Constants!$B$13,AB90),"")</f>
        <v/>
      </c>
      <c r="AN90" s="87" t="str">
        <f aca="false">IF($AJ90=Constants!$B$7,IF(AD90="",Constants!$B$13,AD90),"")</f>
        <v/>
      </c>
      <c r="AO90" s="87" t="str">
        <f aca="false">IF($AJ90=Constants!$B$7,IF(AF90="",Constants!$B$13,AF90),"")</f>
        <v/>
      </c>
      <c r="AP90" s="87" t="str">
        <f aca="false">IF($AJ90=Constants!$B$7,IF(AH90="",Constants!$B$13,AH90),"")</f>
        <v/>
      </c>
      <c r="AQ90" s="87" t="str">
        <f aca="false">IF($AJ90=Constants!$B$7,IF(SUMPRODUCT(--($AL90:$AP90&gt;AL90))+SUMPRODUCT(--($AL90:AL90=AL90))=1,1,IF(SUMPRODUCT(--($AL90:$AP90&gt;AM90))+SUMPRODUCT(--($AL90:AM90=AM90))=1,2,IF(SUMPRODUCT(--($AL90:$AP90&gt;AN90))+SUMPRODUCT(--($AL90:AN90=AN90))=1,3,IF(SUMPRODUCT(--($AL90:$AP90&gt;AO90))+SUMPRODUCT(--($AL90:AO90=AO90))=1,4,5)))),"")</f>
        <v/>
      </c>
      <c r="AR90" s="87" t="str">
        <f aca="false">IF($AJ90=Constants!$B$7,IF(SUMPRODUCT(--($AL90:$AP90&gt;AL90))+SUMPRODUCT(--($AL90:AL90=AL90))=2,1,IF(SUMPRODUCT(--($AL90:$AP90&gt;AM90))+SUMPRODUCT(--($AL90:AM90=AM90))=2,2,IF(SUMPRODUCT(--($AL90:$AP90&gt;AN90))+SUMPRODUCT(--($AL90:AN90=AN90))=2,3,IF(SUMPRODUCT(--($AL90:$AP90&gt;AO90))+SUMPRODUCT(--($AL90:AO90=AO90))=2,4,5)))),"")</f>
        <v/>
      </c>
      <c r="AS90" s="87" t="str">
        <f aca="false">IF($AJ90=Constants!$B$7,IF(SUMPRODUCT(--($AL90:$AP90&gt;AL90))+SUMPRODUCT(--($AL90:AL90=AL90))=3,1,IF(SUMPRODUCT(--($AL90:$AP90&gt;AM90))+SUMPRODUCT(--($AL90:AM90=AM90))=3,2,IF(SUMPRODUCT(--($AL90:$AP90&gt;AN90))+SUMPRODUCT(--($AL90:AN90=AN90))=3,3,IF(SUMPRODUCT(--($AL90:$AP90&gt;AO90))+SUMPRODUCT(--($AL90:AO90=AO90))=3,4,5)))),"")</f>
        <v/>
      </c>
      <c r="AT90" s="87" t="str">
        <f aca="false">IF($AJ90=Constants!$B$7,LARGE(AL90:AP90,1)+LARGE(AL90:AP90,2)+LARGE(AL90:AP90,3),"")</f>
        <v/>
      </c>
      <c r="AU90" s="87" t="str">
        <f aca="false">IF(ISBLANK($C90),"",IF($AJ90&lt;&gt;Constants!$B$7,$AJ90,AT90*W90))</f>
        <v/>
      </c>
      <c r="AV90" s="87" t="str">
        <f aca="false">IF(ISBLANK($C90),"",IF($AJ90=Constants!$B$7,IF(ISNUMBER(AU90),RANK(AU90,$AU$8:$AU$507),Constants!$B$14),$AJ90))</f>
        <v/>
      </c>
      <c r="AW90" s="87" t="str">
        <f aca="false">IF(ISBLANK($C90),"",IF($AJ90=Constants!$B$7,IF(ISNUMBER(AV90),COUNTIFS($AK$8:$AK$507,"&lt;"&amp;$AK90)+COUNTIFS($AK$8:$AK$507,$AK90,$AV$8:$AV$507,"&lt;"&amp;$AV90)+1,Constants!$B$14),$AJ90))</f>
        <v/>
      </c>
      <c r="AX90" s="87" t="str">
        <f aca="false">IF(ISBLANK($C90),"",IF($AJ90=Constants!$B$7,LARGE(AL90:AP90,4)*W90,""))</f>
        <v/>
      </c>
      <c r="AY90" s="87" t="str">
        <f aca="false">IF(ISBLANK($C90),"",IF($AJ90=Constants!$B$7,RANK(AX90,$AX$8:$AX$507),$AJ90))</f>
        <v/>
      </c>
      <c r="AZ90" s="87" t="str">
        <f aca="false">IF(ISBLANK($C90),"",IF($AJ90=Constants!$B$7,IF(ISNUMBER(AV90),COUNTIFS($AK$8:$AK$507,"&lt;"&amp;$AK90)+COUNTIFS($AK$8:$AK$507,$AK90,$AV$8:$AV$507,"&lt;"&amp;$AV90)+COUNTIFS($AK$8:$AK$507,$AK90,$AV$8:$AV$507,$AV90,$AY$8:$AY$507,"&lt;"&amp;$AY90)+1,Constants!$B$14),$AJ90))</f>
        <v/>
      </c>
      <c r="BA90" s="87" t="str">
        <f aca="false">IF(ISBLANK($C90),"",IF($AJ90=Constants!$B$7,IF(ISNUMBER(AW90),AW90-AZ90,Constants!$B$14),$AJ90))</f>
        <v/>
      </c>
      <c r="BB90" s="88"/>
      <c r="BC90" s="89" t="str">
        <f aca="false">IF(ISBLANK($C90),"",IF($AJ90&lt;&gt;Constants!$B$7,$AJ90,SMALL(AQ90:AS90,1)&amp;", "&amp;SMALL(AQ90:AS90,2)&amp;", "&amp;SMALL(AQ90:AS90,3)))</f>
        <v/>
      </c>
      <c r="BD90" s="90" t="str">
        <f aca="false">IF(ISBLANK($C90),"",IF($AJ90&lt;&gt;Constants!$B$7,$AJ90,W90))</f>
        <v/>
      </c>
      <c r="BE90" s="91" t="str">
        <f aca="false">IF(ISBLANK($C90),"",IF($AJ90&lt;&gt;Constants!$B$7,$AJ90,AU90))</f>
        <v/>
      </c>
      <c r="BF90" s="92" t="str">
        <f aca="false">IF(ISBLANK($C90),"",IF($AJ90&lt;&gt;Constants!$B$7,$AJ90,AK90))</f>
        <v/>
      </c>
      <c r="BG90" s="90" t="str">
        <f aca="false">IF(ISBLANK($C90),"",BA90)</f>
        <v/>
      </c>
      <c r="BH90" s="90" t="str">
        <f aca="false">IF(ISBLANK($C90),"",AZ90)</f>
        <v/>
      </c>
      <c r="BI90" s="93" t="str">
        <f aca="false">IF(ISBLANK($C90),"",IF(BH90=Constants!$B$4,COUNTA($C$8:$C$507)+2,IF(BH90=Constants!$B$5,COUNTA($C$8:$C$507)+1,IF(BH90=Constants!$B$6,COUNTA($C$8:$C$507),BH90))))</f>
        <v/>
      </c>
      <c r="BJ90" s="5"/>
      <c r="BK90" s="94" t="n">
        <f aca="false">IF(OR(ISNUMBER(BH90),BH90=Constants!$B$4,BH90=Constants!$B$6,BH90=Constants!$B$5),1,0)</f>
        <v>0</v>
      </c>
      <c r="BL90" s="94" t="n">
        <v>83</v>
      </c>
      <c r="BM90" s="94" t="str">
        <f aca="false">IF(ISBLANK($C90),"",IF(ISNUMBER(BI90),BI90+ROW($B90)/1000,""))</f>
        <v/>
      </c>
      <c r="BN90" s="94" t="str">
        <f aca="false">IF(ISNUMBER(BM90),RANK(BM90,$BM$8:$BM$507,1),"")</f>
        <v/>
      </c>
      <c r="BO90" s="94" t="str">
        <f aca="false">IF(ISBLANK($C90),"",$B90)</f>
        <v/>
      </c>
      <c r="BP90" s="94" t="str">
        <f aca="false">IF(ISBLANK($C90),"",$C90)</f>
        <v/>
      </c>
      <c r="BQ90" s="94" t="str">
        <f aca="false">IF(ISBLANK($C90),"",$D90)</f>
        <v/>
      </c>
      <c r="BR90" s="95" t="str">
        <f aca="false">BF90</f>
        <v/>
      </c>
      <c r="BS90" s="96" t="str">
        <f aca="false">BE90</f>
        <v/>
      </c>
      <c r="BT90" s="94" t="str">
        <f aca="false">IF(ISBLANK($C90),"",BH90)</f>
        <v/>
      </c>
      <c r="BU90" s="97" t="str">
        <f aca="false">IF($BL90&gt;$BK$7,"",VLOOKUP($BL90,$BN$8:$BT$507,7,FALSE()))</f>
        <v/>
      </c>
      <c r="BV90" s="98" t="str">
        <f aca="false">IF($BL90&gt;$BK$7,"",VLOOKUP($BL90,$BN$8:$BT$507,2,FALSE()))</f>
        <v/>
      </c>
      <c r="BW90" s="98" t="str">
        <f aca="false">IF($BL90&gt;$BK$7,"",VLOOKUP($BL90,$BN$8:$BT$507,3,FALSE()))</f>
        <v/>
      </c>
      <c r="BX90" s="98" t="str">
        <f aca="false">IF($BL90&gt;$BK$7,"",VLOOKUP($BL90,$BN$8:$BT$507,4,FALSE()))</f>
        <v/>
      </c>
      <c r="BY90" s="98" t="str">
        <f aca="false">IF($BL90&gt;$BK$7,"",VLOOKUP($BL90,$BN$8:$BT$507,5,FALSE()))</f>
        <v/>
      </c>
      <c r="BZ90" s="99" t="str">
        <f aca="false">IF($BL90&gt;$BK$7,"",VLOOKUP($BL90,$BN$8:$BT$507,6,FALSE()))</f>
        <v/>
      </c>
      <c r="CA90" s="48"/>
    </row>
    <row r="91" customFormat="false" ht="15.75" hidden="false" customHeight="false" outlineLevel="0" collapsed="false">
      <c r="A91" s="5"/>
      <c r="B91" s="114"/>
      <c r="C91" s="115"/>
      <c r="D91" s="100"/>
      <c r="E91" s="120"/>
      <c r="F91" s="125"/>
      <c r="G91" s="82"/>
      <c r="H91" s="126"/>
      <c r="I91" s="127"/>
      <c r="J91" s="82"/>
      <c r="K91" s="126"/>
      <c r="L91" s="82"/>
      <c r="M91" s="126"/>
      <c r="N91" s="82"/>
      <c r="O91" s="126"/>
      <c r="P91" s="82"/>
      <c r="Q91" s="126"/>
      <c r="R91" s="82"/>
      <c r="S91" s="120"/>
      <c r="T91" s="86"/>
      <c r="U91" s="87" t="str">
        <f aca="false">IF(ISBLANK($C91),"",IF(E91=Constants!$B$2, TRUE(), IF(E91=Constants!$B$3, FALSE(), TRUE())))</f>
        <v/>
      </c>
      <c r="V91" s="87" t="str">
        <f aca="false">IF(ISBLANK($C91),"",IF(F91=Constants!$B$2, TRUE(), IF(F91=Constants!$B$3, FALSE(), TRUE())))</f>
        <v/>
      </c>
      <c r="W91" s="87" t="str">
        <f aca="false">IF(ISBLANK($C91),"",IF(G91=Constants!$B$15,Constants!$B$8,IF(G91=Constants!$B$16,Constants!$B$9,Constants!$B$10)))</f>
        <v/>
      </c>
      <c r="X91" s="87" t="str">
        <f aca="false">IF(ISBLANK($C91),"",IF(H91=Constants!$B$2, TRUE(), IF(H91=Constants!$B$3, FALSE(), TRUE())))</f>
        <v/>
      </c>
      <c r="Y91" s="87" t="str">
        <f aca="false">IF(ISBLANK($C91),"",IF(I91=Constants!$B$19,Constants!$B$19,Constants!$B$18))</f>
        <v/>
      </c>
      <c r="Z91" s="87" t="str">
        <f aca="false">IF(ISBLANK($C91),"",IF(ISNUMBER(J91),IF(J91&gt;=0,J91,""),""))</f>
        <v/>
      </c>
      <c r="AA91" s="87" t="str">
        <f aca="false">IF(ISBLANK($C91),"",IF(K91=Constants!$B$19,Constants!$B$19,Constants!$B$18))</f>
        <v/>
      </c>
      <c r="AB91" s="87" t="str">
        <f aca="false">IF(ISBLANK($C91),"",IF(ISNUMBER(L91),IF(L91&gt;=0,L91,""),""))</f>
        <v/>
      </c>
      <c r="AC91" s="87" t="str">
        <f aca="false">IF(ISBLANK($C91),"",IF(M91=Constants!$B$19,Constants!$B$19,Constants!$B$18))</f>
        <v/>
      </c>
      <c r="AD91" s="87" t="str">
        <f aca="false">IF(ISBLANK($C91),"",IF(ISNUMBER(N91),IF(N91&gt;=0,N91,""),""))</f>
        <v/>
      </c>
      <c r="AE91" s="87" t="str">
        <f aca="false">IF(ISBLANK($C91),"",IF(O91=Constants!$B$19,Constants!$B$19,Constants!$B$18))</f>
        <v/>
      </c>
      <c r="AF91" s="87" t="str">
        <f aca="false">IF(ISBLANK($C91),"",IF(ISNUMBER(P91),IF(P91&gt;=0,P91,""),""))</f>
        <v/>
      </c>
      <c r="AG91" s="87" t="str">
        <f aca="false">IF(ISBLANK($C91),"",IF(Q91=Constants!$B$19,Constants!$B$19,Constants!$B$18))</f>
        <v/>
      </c>
      <c r="AH91" s="87" t="str">
        <f aca="false">IF(ISBLANK($C91),"",IF(ISNUMBER(R91),IF(R91&gt;=0,R91,""),""))</f>
        <v/>
      </c>
      <c r="AI91" s="87" t="str">
        <f aca="false">IF(ISBLANK($C91),"",IF(S91=Constants!$B$2, TRUE(), IF(S91=Constants!$B$3, FALSE(), FALSE())))</f>
        <v/>
      </c>
      <c r="AJ91" s="87" t="str">
        <f aca="false">IF(ISBLANK($C91),"",IF(AI91,Constants!$B$4,IF(COUNTA(E91:R91)=0,Constants!$B$5,IF(COUNTA(J91,L91,N91,P91,R91)=0,Constants!$B$6,Constants!$B$7))))</f>
        <v/>
      </c>
      <c r="AK91" s="87" t="str">
        <f aca="false">IF(ISBLANK($C91),"",IF($AJ91&lt;&gt;Constants!$B$7,$AJ91,IF(OR(NOT(X91),AND(NOT(U91),COUNTIFS(Y91:AG91,Constants!$B$18,Z91:AH91,"&gt;=0")&gt;0),AND(NOT(V91),COUNTIFS(Y91:AG91,Constants!$B$19,Z91:AH91,"&gt;=0")&gt;0)),Constants!$B$12,Constants!$B$11)))</f>
        <v/>
      </c>
      <c r="AL91" s="87" t="str">
        <f aca="false">IF($AJ91=Constants!$B$7,IF(Z91="",Constants!$B$13,Z91),"")</f>
        <v/>
      </c>
      <c r="AM91" s="87" t="str">
        <f aca="false">IF($AJ91=Constants!$B$7,IF(AB91="",Constants!$B$13,AB91),"")</f>
        <v/>
      </c>
      <c r="AN91" s="87" t="str">
        <f aca="false">IF($AJ91=Constants!$B$7,IF(AD91="",Constants!$B$13,AD91),"")</f>
        <v/>
      </c>
      <c r="AO91" s="87" t="str">
        <f aca="false">IF($AJ91=Constants!$B$7,IF(AF91="",Constants!$B$13,AF91),"")</f>
        <v/>
      </c>
      <c r="AP91" s="87" t="str">
        <f aca="false">IF($AJ91=Constants!$B$7,IF(AH91="",Constants!$B$13,AH91),"")</f>
        <v/>
      </c>
      <c r="AQ91" s="87" t="str">
        <f aca="false">IF($AJ91=Constants!$B$7,IF(SUMPRODUCT(--($AL91:$AP91&gt;AL91))+SUMPRODUCT(--($AL91:AL91=AL91))=1,1,IF(SUMPRODUCT(--($AL91:$AP91&gt;AM91))+SUMPRODUCT(--($AL91:AM91=AM91))=1,2,IF(SUMPRODUCT(--($AL91:$AP91&gt;AN91))+SUMPRODUCT(--($AL91:AN91=AN91))=1,3,IF(SUMPRODUCT(--($AL91:$AP91&gt;AO91))+SUMPRODUCT(--($AL91:AO91=AO91))=1,4,5)))),"")</f>
        <v/>
      </c>
      <c r="AR91" s="87" t="str">
        <f aca="false">IF($AJ91=Constants!$B$7,IF(SUMPRODUCT(--($AL91:$AP91&gt;AL91))+SUMPRODUCT(--($AL91:AL91=AL91))=2,1,IF(SUMPRODUCT(--($AL91:$AP91&gt;AM91))+SUMPRODUCT(--($AL91:AM91=AM91))=2,2,IF(SUMPRODUCT(--($AL91:$AP91&gt;AN91))+SUMPRODUCT(--($AL91:AN91=AN91))=2,3,IF(SUMPRODUCT(--($AL91:$AP91&gt;AO91))+SUMPRODUCT(--($AL91:AO91=AO91))=2,4,5)))),"")</f>
        <v/>
      </c>
      <c r="AS91" s="87" t="str">
        <f aca="false">IF($AJ91=Constants!$B$7,IF(SUMPRODUCT(--($AL91:$AP91&gt;AL91))+SUMPRODUCT(--($AL91:AL91=AL91))=3,1,IF(SUMPRODUCT(--($AL91:$AP91&gt;AM91))+SUMPRODUCT(--($AL91:AM91=AM91))=3,2,IF(SUMPRODUCT(--($AL91:$AP91&gt;AN91))+SUMPRODUCT(--($AL91:AN91=AN91))=3,3,IF(SUMPRODUCT(--($AL91:$AP91&gt;AO91))+SUMPRODUCT(--($AL91:AO91=AO91))=3,4,5)))),"")</f>
        <v/>
      </c>
      <c r="AT91" s="87" t="str">
        <f aca="false">IF($AJ91=Constants!$B$7,LARGE(AL91:AP91,1)+LARGE(AL91:AP91,2)+LARGE(AL91:AP91,3),"")</f>
        <v/>
      </c>
      <c r="AU91" s="87" t="str">
        <f aca="false">IF(ISBLANK($C91),"",IF($AJ91&lt;&gt;Constants!$B$7,$AJ91,AT91*W91))</f>
        <v/>
      </c>
      <c r="AV91" s="87" t="str">
        <f aca="false">IF(ISBLANK($C91),"",IF($AJ91=Constants!$B$7,IF(ISNUMBER(AU91),RANK(AU91,$AU$8:$AU$507),Constants!$B$14),$AJ91))</f>
        <v/>
      </c>
      <c r="AW91" s="87" t="str">
        <f aca="false">IF(ISBLANK($C91),"",IF($AJ91=Constants!$B$7,IF(ISNUMBER(AV91),COUNTIFS($AK$8:$AK$507,"&lt;"&amp;$AK91)+COUNTIFS($AK$8:$AK$507,$AK91,$AV$8:$AV$507,"&lt;"&amp;$AV91)+1,Constants!$B$14),$AJ91))</f>
        <v/>
      </c>
      <c r="AX91" s="87" t="str">
        <f aca="false">IF(ISBLANK($C91),"",IF($AJ91=Constants!$B$7,LARGE(AL91:AP91,4)*W91,""))</f>
        <v/>
      </c>
      <c r="AY91" s="87" t="str">
        <f aca="false">IF(ISBLANK($C91),"",IF($AJ91=Constants!$B$7,RANK(AX91,$AX$8:$AX$507),$AJ91))</f>
        <v/>
      </c>
      <c r="AZ91" s="87" t="str">
        <f aca="false">IF(ISBLANK($C91),"",IF($AJ91=Constants!$B$7,IF(ISNUMBER(AV91),COUNTIFS($AK$8:$AK$507,"&lt;"&amp;$AK91)+COUNTIFS($AK$8:$AK$507,$AK91,$AV$8:$AV$507,"&lt;"&amp;$AV91)+COUNTIFS($AK$8:$AK$507,$AK91,$AV$8:$AV$507,$AV91,$AY$8:$AY$507,"&lt;"&amp;$AY91)+1,Constants!$B$14),$AJ91))</f>
        <v/>
      </c>
      <c r="BA91" s="87" t="str">
        <f aca="false">IF(ISBLANK($C91),"",IF($AJ91=Constants!$B$7,IF(ISNUMBER(AW91),AW91-AZ91,Constants!$B$14),$AJ91))</f>
        <v/>
      </c>
      <c r="BB91" s="88"/>
      <c r="BC91" s="89" t="str">
        <f aca="false">IF(ISBLANK($C91),"",IF($AJ91&lt;&gt;Constants!$B$7,$AJ91,SMALL(AQ91:AS91,1)&amp;", "&amp;SMALL(AQ91:AS91,2)&amp;", "&amp;SMALL(AQ91:AS91,3)))</f>
        <v/>
      </c>
      <c r="BD91" s="90" t="str">
        <f aca="false">IF(ISBLANK($C91),"",IF($AJ91&lt;&gt;Constants!$B$7,$AJ91,W91))</f>
        <v/>
      </c>
      <c r="BE91" s="91" t="str">
        <f aca="false">IF(ISBLANK($C91),"",IF($AJ91&lt;&gt;Constants!$B$7,$AJ91,AU91))</f>
        <v/>
      </c>
      <c r="BF91" s="92" t="str">
        <f aca="false">IF(ISBLANK($C91),"",IF($AJ91&lt;&gt;Constants!$B$7,$AJ91,AK91))</f>
        <v/>
      </c>
      <c r="BG91" s="90" t="str">
        <f aca="false">IF(ISBLANK($C91),"",BA91)</f>
        <v/>
      </c>
      <c r="BH91" s="90" t="str">
        <f aca="false">IF(ISBLANK($C91),"",AZ91)</f>
        <v/>
      </c>
      <c r="BI91" s="93" t="str">
        <f aca="false">IF(ISBLANK($C91),"",IF(BH91=Constants!$B$4,COUNTA($C$8:$C$507)+2,IF(BH91=Constants!$B$5,COUNTA($C$8:$C$507)+1,IF(BH91=Constants!$B$6,COUNTA($C$8:$C$507),BH91))))</f>
        <v/>
      </c>
      <c r="BJ91" s="5"/>
      <c r="BK91" s="94" t="n">
        <f aca="false">IF(OR(ISNUMBER(BH91),BH91=Constants!$B$4,BH91=Constants!$B$6,BH91=Constants!$B$5),1,0)</f>
        <v>0</v>
      </c>
      <c r="BL91" s="94" t="n">
        <v>84</v>
      </c>
      <c r="BM91" s="94" t="str">
        <f aca="false">IF(ISBLANK($C91),"",IF(ISNUMBER(BI91),BI91+ROW($B91)/1000,""))</f>
        <v/>
      </c>
      <c r="BN91" s="94" t="str">
        <f aca="false">IF(ISNUMBER(BM91),RANK(BM91,$BM$8:$BM$507,1),"")</f>
        <v/>
      </c>
      <c r="BO91" s="94" t="str">
        <f aca="false">IF(ISBLANK($C91),"",$B91)</f>
        <v/>
      </c>
      <c r="BP91" s="94" t="str">
        <f aca="false">IF(ISBLANK($C91),"",$C91)</f>
        <v/>
      </c>
      <c r="BQ91" s="94" t="str">
        <f aca="false">IF(ISBLANK($C91),"",$D91)</f>
        <v/>
      </c>
      <c r="BR91" s="95" t="str">
        <f aca="false">BF91</f>
        <v/>
      </c>
      <c r="BS91" s="96" t="str">
        <f aca="false">BE91</f>
        <v/>
      </c>
      <c r="BT91" s="94" t="str">
        <f aca="false">IF(ISBLANK($C91),"",BH91)</f>
        <v/>
      </c>
      <c r="BU91" s="97" t="str">
        <f aca="false">IF($BL91&gt;$BK$7,"",VLOOKUP($BL91,$BN$8:$BT$507,7,FALSE()))</f>
        <v/>
      </c>
      <c r="BV91" s="98" t="str">
        <f aca="false">IF($BL91&gt;$BK$7,"",VLOOKUP($BL91,$BN$8:$BT$507,2,FALSE()))</f>
        <v/>
      </c>
      <c r="BW91" s="98" t="str">
        <f aca="false">IF($BL91&gt;$BK$7,"",VLOOKUP($BL91,$BN$8:$BT$507,3,FALSE()))</f>
        <v/>
      </c>
      <c r="BX91" s="98" t="str">
        <f aca="false">IF($BL91&gt;$BK$7,"",VLOOKUP($BL91,$BN$8:$BT$507,4,FALSE()))</f>
        <v/>
      </c>
      <c r="BY91" s="98" t="str">
        <f aca="false">IF($BL91&gt;$BK$7,"",VLOOKUP($BL91,$BN$8:$BT$507,5,FALSE()))</f>
        <v/>
      </c>
      <c r="BZ91" s="99" t="str">
        <f aca="false">IF($BL91&gt;$BK$7,"",VLOOKUP($BL91,$BN$8:$BT$507,6,FALSE()))</f>
        <v/>
      </c>
      <c r="CA91" s="48"/>
    </row>
    <row r="92" customFormat="false" ht="15.75" hidden="false" customHeight="false" outlineLevel="0" collapsed="false">
      <c r="A92" s="5"/>
      <c r="B92" s="121"/>
      <c r="C92" s="50"/>
      <c r="D92" s="51"/>
      <c r="E92" s="74"/>
      <c r="F92" s="122"/>
      <c r="G92" s="54"/>
      <c r="H92" s="123"/>
      <c r="I92" s="124"/>
      <c r="J92" s="54"/>
      <c r="K92" s="123"/>
      <c r="L92" s="54"/>
      <c r="M92" s="123"/>
      <c r="N92" s="54"/>
      <c r="O92" s="123"/>
      <c r="P92" s="54"/>
      <c r="Q92" s="123"/>
      <c r="R92" s="54"/>
      <c r="S92" s="74"/>
      <c r="T92" s="58"/>
      <c r="U92" s="59" t="str">
        <f aca="false">IF(ISBLANK($C92),"",IF(E92=Constants!$B$2, TRUE(), IF(E92=Constants!$B$3, FALSE(), TRUE())))</f>
        <v/>
      </c>
      <c r="V92" s="59" t="str">
        <f aca="false">IF(ISBLANK($C92),"",IF(F92=Constants!$B$2, TRUE(), IF(F92=Constants!$B$3, FALSE(), TRUE())))</f>
        <v/>
      </c>
      <c r="W92" s="59" t="str">
        <f aca="false">IF(ISBLANK($C92),"",IF(G92=Constants!$B$15,Constants!$B$8,IF(G92=Constants!$B$16,Constants!$B$9,Constants!$B$10)))</f>
        <v/>
      </c>
      <c r="X92" s="59" t="str">
        <f aca="false">IF(ISBLANK($C92),"",IF(H92=Constants!$B$2, TRUE(), IF(H92=Constants!$B$3, FALSE(), TRUE())))</f>
        <v/>
      </c>
      <c r="Y92" s="59" t="str">
        <f aca="false">IF(ISBLANK($C92),"",IF(I92=Constants!$B$19,Constants!$B$19,Constants!$B$18))</f>
        <v/>
      </c>
      <c r="Z92" s="59" t="str">
        <f aca="false">IF(ISBLANK($C92),"",IF(ISNUMBER(J92),IF(J92&gt;=0,J92,""),""))</f>
        <v/>
      </c>
      <c r="AA92" s="59" t="str">
        <f aca="false">IF(ISBLANK($C92),"",IF(K92=Constants!$B$19,Constants!$B$19,Constants!$B$18))</f>
        <v/>
      </c>
      <c r="AB92" s="59" t="str">
        <f aca="false">IF(ISBLANK($C92),"",IF(ISNUMBER(L92),IF(L92&gt;=0,L92,""),""))</f>
        <v/>
      </c>
      <c r="AC92" s="59" t="str">
        <f aca="false">IF(ISBLANK($C92),"",IF(M92=Constants!$B$19,Constants!$B$19,Constants!$B$18))</f>
        <v/>
      </c>
      <c r="AD92" s="59" t="str">
        <f aca="false">IF(ISBLANK($C92),"",IF(ISNUMBER(N92),IF(N92&gt;=0,N92,""),""))</f>
        <v/>
      </c>
      <c r="AE92" s="59" t="str">
        <f aca="false">IF(ISBLANK($C92),"",IF(O92=Constants!$B$19,Constants!$B$19,Constants!$B$18))</f>
        <v/>
      </c>
      <c r="AF92" s="59" t="str">
        <f aca="false">IF(ISBLANK($C92),"",IF(ISNUMBER(P92),IF(P92&gt;=0,P92,""),""))</f>
        <v/>
      </c>
      <c r="AG92" s="59" t="str">
        <f aca="false">IF(ISBLANK($C92),"",IF(Q92=Constants!$B$19,Constants!$B$19,Constants!$B$18))</f>
        <v/>
      </c>
      <c r="AH92" s="59" t="str">
        <f aca="false">IF(ISBLANK($C92),"",IF(ISNUMBER(R92),IF(R92&gt;=0,R92,""),""))</f>
        <v/>
      </c>
      <c r="AI92" s="59" t="str">
        <f aca="false">IF(ISBLANK($C92),"",IF(S92=Constants!$B$2, TRUE(), IF(S92=Constants!$B$3, FALSE(), FALSE())))</f>
        <v/>
      </c>
      <c r="AJ92" s="59" t="str">
        <f aca="false">IF(ISBLANK($C92),"",IF(AI92,Constants!$B$4,IF(COUNTA(E92:R92)=0,Constants!$B$5,IF(COUNTA(J92,L92,N92,P92,R92)=0,Constants!$B$6,Constants!$B$7))))</f>
        <v/>
      </c>
      <c r="AK92" s="59" t="str">
        <f aca="false">IF(ISBLANK($C92),"",IF($AJ92&lt;&gt;Constants!$B$7,$AJ92,IF(OR(NOT(X92),AND(NOT(U92),COUNTIFS(Y92:AG92,Constants!$B$18,Z92:AH92,"&gt;=0")&gt;0),AND(NOT(V92),COUNTIFS(Y92:AG92,Constants!$B$19,Z92:AH92,"&gt;=0")&gt;0)),Constants!$B$12,Constants!$B$11)))</f>
        <v/>
      </c>
      <c r="AL92" s="59" t="str">
        <f aca="false">IF($AJ92=Constants!$B$7,IF(Z92="",Constants!$B$13,Z92),"")</f>
        <v/>
      </c>
      <c r="AM92" s="59" t="str">
        <f aca="false">IF($AJ92=Constants!$B$7,IF(AB92="",Constants!$B$13,AB92),"")</f>
        <v/>
      </c>
      <c r="AN92" s="59" t="str">
        <f aca="false">IF($AJ92=Constants!$B$7,IF(AD92="",Constants!$B$13,AD92),"")</f>
        <v/>
      </c>
      <c r="AO92" s="59" t="str">
        <f aca="false">IF($AJ92=Constants!$B$7,IF(AF92="",Constants!$B$13,AF92),"")</f>
        <v/>
      </c>
      <c r="AP92" s="59" t="str">
        <f aca="false">IF($AJ92=Constants!$B$7,IF(AH92="",Constants!$B$13,AH92),"")</f>
        <v/>
      </c>
      <c r="AQ92" s="59" t="str">
        <f aca="false">IF($AJ92=Constants!$B$7,IF(SUMPRODUCT(--($AL92:$AP92&gt;AL92))+SUMPRODUCT(--($AL92:AL92=AL92))=1,1,IF(SUMPRODUCT(--($AL92:$AP92&gt;AM92))+SUMPRODUCT(--($AL92:AM92=AM92))=1,2,IF(SUMPRODUCT(--($AL92:$AP92&gt;AN92))+SUMPRODUCT(--($AL92:AN92=AN92))=1,3,IF(SUMPRODUCT(--($AL92:$AP92&gt;AO92))+SUMPRODUCT(--($AL92:AO92=AO92))=1,4,5)))),"")</f>
        <v/>
      </c>
      <c r="AR92" s="59" t="str">
        <f aca="false">IF($AJ92=Constants!$B$7,IF(SUMPRODUCT(--($AL92:$AP92&gt;AL92))+SUMPRODUCT(--($AL92:AL92=AL92))=2,1,IF(SUMPRODUCT(--($AL92:$AP92&gt;AM92))+SUMPRODUCT(--($AL92:AM92=AM92))=2,2,IF(SUMPRODUCT(--($AL92:$AP92&gt;AN92))+SUMPRODUCT(--($AL92:AN92=AN92))=2,3,IF(SUMPRODUCT(--($AL92:$AP92&gt;AO92))+SUMPRODUCT(--($AL92:AO92=AO92))=2,4,5)))),"")</f>
        <v/>
      </c>
      <c r="AS92" s="59" t="str">
        <f aca="false">IF($AJ92=Constants!$B$7,IF(SUMPRODUCT(--($AL92:$AP92&gt;AL92))+SUMPRODUCT(--($AL92:AL92=AL92))=3,1,IF(SUMPRODUCT(--($AL92:$AP92&gt;AM92))+SUMPRODUCT(--($AL92:AM92=AM92))=3,2,IF(SUMPRODUCT(--($AL92:$AP92&gt;AN92))+SUMPRODUCT(--($AL92:AN92=AN92))=3,3,IF(SUMPRODUCT(--($AL92:$AP92&gt;AO92))+SUMPRODUCT(--($AL92:AO92=AO92))=3,4,5)))),"")</f>
        <v/>
      </c>
      <c r="AT92" s="59" t="str">
        <f aca="false">IF($AJ92=Constants!$B$7,LARGE(AL92:AP92,1)+LARGE(AL92:AP92,2)+LARGE(AL92:AP92,3),"")</f>
        <v/>
      </c>
      <c r="AU92" s="59" t="str">
        <f aca="false">IF(ISBLANK($C92),"",IF($AJ92&lt;&gt;Constants!$B$7,$AJ92,AT92*W92))</f>
        <v/>
      </c>
      <c r="AV92" s="59" t="str">
        <f aca="false">IF(ISBLANK($C92),"",IF($AJ92=Constants!$B$7,IF(ISNUMBER(AU92),RANK(AU92,$AU$8:$AU$507),Constants!$B$14),$AJ92))</f>
        <v/>
      </c>
      <c r="AW92" s="59" t="str">
        <f aca="false">IF(ISBLANK($C92),"",IF($AJ92=Constants!$B$7,IF(ISNUMBER(AV92),COUNTIFS($AK$8:$AK$507,"&lt;"&amp;$AK92)+COUNTIFS($AK$8:$AK$507,$AK92,$AV$8:$AV$507,"&lt;"&amp;$AV92)+1,Constants!$B$14),$AJ92))</f>
        <v/>
      </c>
      <c r="AX92" s="59" t="str">
        <f aca="false">IF(ISBLANK($C92),"",IF($AJ92=Constants!$B$7,LARGE(AL92:AP92,4)*W92,""))</f>
        <v/>
      </c>
      <c r="AY92" s="59" t="str">
        <f aca="false">IF(ISBLANK($C92),"",IF($AJ92=Constants!$B$7,RANK(AX92,$AX$8:$AX$507),$AJ92))</f>
        <v/>
      </c>
      <c r="AZ92" s="59" t="str">
        <f aca="false">IF(ISBLANK($C92),"",IF($AJ92=Constants!$B$7,IF(ISNUMBER(AV92),COUNTIFS($AK$8:$AK$507,"&lt;"&amp;$AK92)+COUNTIFS($AK$8:$AK$507,$AK92,$AV$8:$AV$507,"&lt;"&amp;$AV92)+COUNTIFS($AK$8:$AK$507,$AK92,$AV$8:$AV$507,$AV92,$AY$8:$AY$507,"&lt;"&amp;$AY92)+1,Constants!$B$14),$AJ92))</f>
        <v/>
      </c>
      <c r="BA92" s="59" t="str">
        <f aca="false">IF(ISBLANK($C92),"",IF($AJ92=Constants!$B$7,IF(ISNUMBER(AW92),AW92-AZ92,Constants!$B$14),$AJ92))</f>
        <v/>
      </c>
      <c r="BB92" s="61"/>
      <c r="BC92" s="62" t="str">
        <f aca="false">IF(ISBLANK($C92),"",IF($AJ92&lt;&gt;Constants!$B$7,$AJ92,SMALL(AQ92:AS92,1)&amp;", "&amp;SMALL(AQ92:AS92,2)&amp;", "&amp;SMALL(AQ92:AS92,3)))</f>
        <v/>
      </c>
      <c r="BD92" s="63" t="str">
        <f aca="false">IF(ISBLANK($C92),"",IF($AJ92&lt;&gt;Constants!$B$7,$AJ92,W92))</f>
        <v/>
      </c>
      <c r="BE92" s="64" t="str">
        <f aca="false">IF(ISBLANK($C92),"",IF($AJ92&lt;&gt;Constants!$B$7,$AJ92,AU92))</f>
        <v/>
      </c>
      <c r="BF92" s="65" t="str">
        <f aca="false">IF(ISBLANK($C92),"",IF($AJ92&lt;&gt;Constants!$B$7,$AJ92,AK92))</f>
        <v/>
      </c>
      <c r="BG92" s="63" t="str">
        <f aca="false">IF(ISBLANK($C92),"",BA92)</f>
        <v/>
      </c>
      <c r="BH92" s="63" t="str">
        <f aca="false">IF(ISBLANK($C92),"",AZ92)</f>
        <v/>
      </c>
      <c r="BI92" s="66" t="str">
        <f aca="false">IF(ISBLANK($C92),"",IF(BH92=Constants!$B$4,COUNTA($C$8:$C$507)+2,IF(BH92=Constants!$B$5,COUNTA($C$8:$C$507)+1,IF(BH92=Constants!$B$6,COUNTA($C$8:$C$507),BH92))))</f>
        <v/>
      </c>
      <c r="BJ92" s="5"/>
      <c r="BK92" s="67" t="n">
        <f aca="false">IF(OR(ISNUMBER(BH92),BH92=Constants!$B$4,BH92=Constants!$B$6,BH92=Constants!$B$5),1,0)</f>
        <v>0</v>
      </c>
      <c r="BL92" s="67" t="n">
        <v>85</v>
      </c>
      <c r="BM92" s="67" t="str">
        <f aca="false">IF(ISBLANK($C92),"",IF(ISNUMBER(BI92),BI92+ROW($B92)/1000,""))</f>
        <v/>
      </c>
      <c r="BN92" s="67" t="str">
        <f aca="false">IF(ISNUMBER(BM92),RANK(BM92,$BM$8:$BM$507,1),"")</f>
        <v/>
      </c>
      <c r="BO92" s="67" t="str">
        <f aca="false">IF(ISBLANK($C92),"",$B92)</f>
        <v/>
      </c>
      <c r="BP92" s="67" t="str">
        <f aca="false">IF(ISBLANK($C92),"",$C92)</f>
        <v/>
      </c>
      <c r="BQ92" s="67" t="str">
        <f aca="false">IF(ISBLANK($C92),"",$D92)</f>
        <v/>
      </c>
      <c r="BR92" s="68" t="str">
        <f aca="false">BF92</f>
        <v/>
      </c>
      <c r="BS92" s="69" t="str">
        <f aca="false">BE92</f>
        <v/>
      </c>
      <c r="BT92" s="67" t="str">
        <f aca="false">IF(ISBLANK($C92),"",BH92)</f>
        <v/>
      </c>
      <c r="BU92" s="70" t="str">
        <f aca="false">IF($BL92&gt;$BK$7,"",VLOOKUP($BL92,$BN$8:$BT$507,7,FALSE()))</f>
        <v/>
      </c>
      <c r="BV92" s="71" t="str">
        <f aca="false">IF($BL92&gt;$BK$7,"",VLOOKUP($BL92,$BN$8:$BT$507,2,FALSE()))</f>
        <v/>
      </c>
      <c r="BW92" s="71" t="str">
        <f aca="false">IF($BL92&gt;$BK$7,"",VLOOKUP($BL92,$BN$8:$BT$507,3,FALSE()))</f>
        <v/>
      </c>
      <c r="BX92" s="71" t="str">
        <f aca="false">IF($BL92&gt;$BK$7,"",VLOOKUP($BL92,$BN$8:$BT$507,4,FALSE()))</f>
        <v/>
      </c>
      <c r="BY92" s="71" t="str">
        <f aca="false">IF($BL92&gt;$BK$7,"",VLOOKUP($BL92,$BN$8:$BT$507,5,FALSE()))</f>
        <v/>
      </c>
      <c r="BZ92" s="72" t="str">
        <f aca="false">IF($BL92&gt;$BK$7,"",VLOOKUP($BL92,$BN$8:$BT$507,6,FALSE()))</f>
        <v/>
      </c>
      <c r="CA92" s="48"/>
    </row>
    <row r="93" customFormat="false" ht="15.75" hidden="false" customHeight="false" outlineLevel="0" collapsed="false">
      <c r="A93" s="5"/>
      <c r="B93" s="121"/>
      <c r="C93" s="50"/>
      <c r="D93" s="51"/>
      <c r="E93" s="74"/>
      <c r="F93" s="122"/>
      <c r="G93" s="54"/>
      <c r="H93" s="123"/>
      <c r="I93" s="124"/>
      <c r="J93" s="54"/>
      <c r="K93" s="123"/>
      <c r="L93" s="54"/>
      <c r="M93" s="123"/>
      <c r="N93" s="54"/>
      <c r="O93" s="123"/>
      <c r="P93" s="54"/>
      <c r="Q93" s="123"/>
      <c r="R93" s="54"/>
      <c r="S93" s="74"/>
      <c r="T93" s="58"/>
      <c r="U93" s="59" t="str">
        <f aca="false">IF(ISBLANK($C93),"",IF(E93=Constants!$B$2, TRUE(), IF(E93=Constants!$B$3, FALSE(), TRUE())))</f>
        <v/>
      </c>
      <c r="V93" s="59" t="str">
        <f aca="false">IF(ISBLANK($C93),"",IF(F93=Constants!$B$2, TRUE(), IF(F93=Constants!$B$3, FALSE(), TRUE())))</f>
        <v/>
      </c>
      <c r="W93" s="59" t="str">
        <f aca="false">IF(ISBLANK($C93),"",IF(G93=Constants!$B$15,Constants!$B$8,IF(G93=Constants!$B$16,Constants!$B$9,Constants!$B$10)))</f>
        <v/>
      </c>
      <c r="X93" s="59" t="str">
        <f aca="false">IF(ISBLANK($C93),"",IF(H93=Constants!$B$2, TRUE(), IF(H93=Constants!$B$3, FALSE(), TRUE())))</f>
        <v/>
      </c>
      <c r="Y93" s="59" t="str">
        <f aca="false">IF(ISBLANK($C93),"",IF(I93=Constants!$B$19,Constants!$B$19,Constants!$B$18))</f>
        <v/>
      </c>
      <c r="Z93" s="59" t="str">
        <f aca="false">IF(ISBLANK($C93),"",IF(ISNUMBER(J93),IF(J93&gt;=0,J93,""),""))</f>
        <v/>
      </c>
      <c r="AA93" s="59" t="str">
        <f aca="false">IF(ISBLANK($C93),"",IF(K93=Constants!$B$19,Constants!$B$19,Constants!$B$18))</f>
        <v/>
      </c>
      <c r="AB93" s="59" t="str">
        <f aca="false">IF(ISBLANK($C93),"",IF(ISNUMBER(L93),IF(L93&gt;=0,L93,""),""))</f>
        <v/>
      </c>
      <c r="AC93" s="59" t="str">
        <f aca="false">IF(ISBLANK($C93),"",IF(M93=Constants!$B$19,Constants!$B$19,Constants!$B$18))</f>
        <v/>
      </c>
      <c r="AD93" s="59" t="str">
        <f aca="false">IF(ISBLANK($C93),"",IF(ISNUMBER(N93),IF(N93&gt;=0,N93,""),""))</f>
        <v/>
      </c>
      <c r="AE93" s="59" t="str">
        <f aca="false">IF(ISBLANK($C93),"",IF(O93=Constants!$B$19,Constants!$B$19,Constants!$B$18))</f>
        <v/>
      </c>
      <c r="AF93" s="59" t="str">
        <f aca="false">IF(ISBLANK($C93),"",IF(ISNUMBER(P93),IF(P93&gt;=0,P93,""),""))</f>
        <v/>
      </c>
      <c r="AG93" s="59" t="str">
        <f aca="false">IF(ISBLANK($C93),"",IF(Q93=Constants!$B$19,Constants!$B$19,Constants!$B$18))</f>
        <v/>
      </c>
      <c r="AH93" s="59" t="str">
        <f aca="false">IF(ISBLANK($C93),"",IF(ISNUMBER(R93),IF(R93&gt;=0,R93,""),""))</f>
        <v/>
      </c>
      <c r="AI93" s="59" t="str">
        <f aca="false">IF(ISBLANK($C93),"",IF(S93=Constants!$B$2, TRUE(), IF(S93=Constants!$B$3, FALSE(), FALSE())))</f>
        <v/>
      </c>
      <c r="AJ93" s="59" t="str">
        <f aca="false">IF(ISBLANK($C93),"",IF(AI93,Constants!$B$4,IF(COUNTA(E93:R93)=0,Constants!$B$5,IF(COUNTA(J93,L93,N93,P93,R93)=0,Constants!$B$6,Constants!$B$7))))</f>
        <v/>
      </c>
      <c r="AK93" s="59" t="str">
        <f aca="false">IF(ISBLANK($C93),"",IF($AJ93&lt;&gt;Constants!$B$7,$AJ93,IF(OR(NOT(X93),AND(NOT(U93),COUNTIFS(Y93:AG93,Constants!$B$18,Z93:AH93,"&gt;=0")&gt;0),AND(NOT(V93),COUNTIFS(Y93:AG93,Constants!$B$19,Z93:AH93,"&gt;=0")&gt;0)),Constants!$B$12,Constants!$B$11)))</f>
        <v/>
      </c>
      <c r="AL93" s="59" t="str">
        <f aca="false">IF($AJ93=Constants!$B$7,IF(Z93="",Constants!$B$13,Z93),"")</f>
        <v/>
      </c>
      <c r="AM93" s="59" t="str">
        <f aca="false">IF($AJ93=Constants!$B$7,IF(AB93="",Constants!$B$13,AB93),"")</f>
        <v/>
      </c>
      <c r="AN93" s="59" t="str">
        <f aca="false">IF($AJ93=Constants!$B$7,IF(AD93="",Constants!$B$13,AD93),"")</f>
        <v/>
      </c>
      <c r="AO93" s="59" t="str">
        <f aca="false">IF($AJ93=Constants!$B$7,IF(AF93="",Constants!$B$13,AF93),"")</f>
        <v/>
      </c>
      <c r="AP93" s="59" t="str">
        <f aca="false">IF($AJ93=Constants!$B$7,IF(AH93="",Constants!$B$13,AH93),"")</f>
        <v/>
      </c>
      <c r="AQ93" s="59" t="str">
        <f aca="false">IF($AJ93=Constants!$B$7,IF(SUMPRODUCT(--($AL93:$AP93&gt;AL93))+SUMPRODUCT(--($AL93:AL93=AL93))=1,1,IF(SUMPRODUCT(--($AL93:$AP93&gt;AM93))+SUMPRODUCT(--($AL93:AM93=AM93))=1,2,IF(SUMPRODUCT(--($AL93:$AP93&gt;AN93))+SUMPRODUCT(--($AL93:AN93=AN93))=1,3,IF(SUMPRODUCT(--($AL93:$AP93&gt;AO93))+SUMPRODUCT(--($AL93:AO93=AO93))=1,4,5)))),"")</f>
        <v/>
      </c>
      <c r="AR93" s="59" t="str">
        <f aca="false">IF($AJ93=Constants!$B$7,IF(SUMPRODUCT(--($AL93:$AP93&gt;AL93))+SUMPRODUCT(--($AL93:AL93=AL93))=2,1,IF(SUMPRODUCT(--($AL93:$AP93&gt;AM93))+SUMPRODUCT(--($AL93:AM93=AM93))=2,2,IF(SUMPRODUCT(--($AL93:$AP93&gt;AN93))+SUMPRODUCT(--($AL93:AN93=AN93))=2,3,IF(SUMPRODUCT(--($AL93:$AP93&gt;AO93))+SUMPRODUCT(--($AL93:AO93=AO93))=2,4,5)))),"")</f>
        <v/>
      </c>
      <c r="AS93" s="59" t="str">
        <f aca="false">IF($AJ93=Constants!$B$7,IF(SUMPRODUCT(--($AL93:$AP93&gt;AL93))+SUMPRODUCT(--($AL93:AL93=AL93))=3,1,IF(SUMPRODUCT(--($AL93:$AP93&gt;AM93))+SUMPRODUCT(--($AL93:AM93=AM93))=3,2,IF(SUMPRODUCT(--($AL93:$AP93&gt;AN93))+SUMPRODUCT(--($AL93:AN93=AN93))=3,3,IF(SUMPRODUCT(--($AL93:$AP93&gt;AO93))+SUMPRODUCT(--($AL93:AO93=AO93))=3,4,5)))),"")</f>
        <v/>
      </c>
      <c r="AT93" s="59" t="str">
        <f aca="false">IF($AJ93=Constants!$B$7,LARGE(AL93:AP93,1)+LARGE(AL93:AP93,2)+LARGE(AL93:AP93,3),"")</f>
        <v/>
      </c>
      <c r="AU93" s="59" t="str">
        <f aca="false">IF(ISBLANK($C93),"",IF($AJ93&lt;&gt;Constants!$B$7,$AJ93,AT93*W93))</f>
        <v/>
      </c>
      <c r="AV93" s="59" t="str">
        <f aca="false">IF(ISBLANK($C93),"",IF($AJ93=Constants!$B$7,IF(ISNUMBER(AU93),RANK(AU93,$AU$8:$AU$507),Constants!$B$14),$AJ93))</f>
        <v/>
      </c>
      <c r="AW93" s="59" t="str">
        <f aca="false">IF(ISBLANK($C93),"",IF($AJ93=Constants!$B$7,IF(ISNUMBER(AV93),COUNTIFS($AK$8:$AK$507,"&lt;"&amp;$AK93)+COUNTIFS($AK$8:$AK$507,$AK93,$AV$8:$AV$507,"&lt;"&amp;$AV93)+1,Constants!$B$14),$AJ93))</f>
        <v/>
      </c>
      <c r="AX93" s="59" t="str">
        <f aca="false">IF(ISBLANK($C93),"",IF($AJ93=Constants!$B$7,LARGE(AL93:AP93,4)*W93,""))</f>
        <v/>
      </c>
      <c r="AY93" s="59" t="str">
        <f aca="false">IF(ISBLANK($C93),"",IF($AJ93=Constants!$B$7,RANK(AX93,$AX$8:$AX$507),$AJ93))</f>
        <v/>
      </c>
      <c r="AZ93" s="59" t="str">
        <f aca="false">IF(ISBLANK($C93),"",IF($AJ93=Constants!$B$7,IF(ISNUMBER(AV93),COUNTIFS($AK$8:$AK$507,"&lt;"&amp;$AK93)+COUNTIFS($AK$8:$AK$507,$AK93,$AV$8:$AV$507,"&lt;"&amp;$AV93)+COUNTIFS($AK$8:$AK$507,$AK93,$AV$8:$AV$507,$AV93,$AY$8:$AY$507,"&lt;"&amp;$AY93)+1,Constants!$B$14),$AJ93))</f>
        <v/>
      </c>
      <c r="BA93" s="59" t="str">
        <f aca="false">IF(ISBLANK($C93),"",IF($AJ93=Constants!$B$7,IF(ISNUMBER(AW93),AW93-AZ93,Constants!$B$14),$AJ93))</f>
        <v/>
      </c>
      <c r="BB93" s="61"/>
      <c r="BC93" s="62" t="str">
        <f aca="false">IF(ISBLANK($C93),"",IF($AJ93&lt;&gt;Constants!$B$7,$AJ93,SMALL(AQ93:AS93,1)&amp;", "&amp;SMALL(AQ93:AS93,2)&amp;", "&amp;SMALL(AQ93:AS93,3)))</f>
        <v/>
      </c>
      <c r="BD93" s="63" t="str">
        <f aca="false">IF(ISBLANK($C93),"",IF($AJ93&lt;&gt;Constants!$B$7,$AJ93,W93))</f>
        <v/>
      </c>
      <c r="BE93" s="64" t="str">
        <f aca="false">IF(ISBLANK($C93),"",IF($AJ93&lt;&gt;Constants!$B$7,$AJ93,AU93))</f>
        <v/>
      </c>
      <c r="BF93" s="65" t="str">
        <f aca="false">IF(ISBLANK($C93),"",IF($AJ93&lt;&gt;Constants!$B$7,$AJ93,AK93))</f>
        <v/>
      </c>
      <c r="BG93" s="63" t="str">
        <f aca="false">IF(ISBLANK($C93),"",BA93)</f>
        <v/>
      </c>
      <c r="BH93" s="63" t="str">
        <f aca="false">IF(ISBLANK($C93),"",AZ93)</f>
        <v/>
      </c>
      <c r="BI93" s="66" t="str">
        <f aca="false">IF(ISBLANK($C93),"",IF(BH93=Constants!$B$4,COUNTA($C$8:$C$507)+2,IF(BH93=Constants!$B$5,COUNTA($C$8:$C$507)+1,IF(BH93=Constants!$B$6,COUNTA($C$8:$C$507),BH93))))</f>
        <v/>
      </c>
      <c r="BJ93" s="5"/>
      <c r="BK93" s="67" t="n">
        <f aca="false">IF(OR(ISNUMBER(BH93),BH93=Constants!$B$4,BH93=Constants!$B$6,BH93=Constants!$B$5),1,0)</f>
        <v>0</v>
      </c>
      <c r="BL93" s="67" t="n">
        <v>86</v>
      </c>
      <c r="BM93" s="67" t="str">
        <f aca="false">IF(ISBLANK($C93),"",IF(ISNUMBER(BI93),BI93+ROW($B93)/1000,""))</f>
        <v/>
      </c>
      <c r="BN93" s="67" t="str">
        <f aca="false">IF(ISNUMBER(BM93),RANK(BM93,$BM$8:$BM$507,1),"")</f>
        <v/>
      </c>
      <c r="BO93" s="67" t="str">
        <f aca="false">IF(ISBLANK($C93),"",$B93)</f>
        <v/>
      </c>
      <c r="BP93" s="67" t="str">
        <f aca="false">IF(ISBLANK($C93),"",$C93)</f>
        <v/>
      </c>
      <c r="BQ93" s="67" t="str">
        <f aca="false">IF(ISBLANK($C93),"",$D93)</f>
        <v/>
      </c>
      <c r="BR93" s="68" t="str">
        <f aca="false">BF93</f>
        <v/>
      </c>
      <c r="BS93" s="69" t="str">
        <f aca="false">BE93</f>
        <v/>
      </c>
      <c r="BT93" s="67" t="str">
        <f aca="false">IF(ISBLANK($C93),"",BH93)</f>
        <v/>
      </c>
      <c r="BU93" s="70" t="str">
        <f aca="false">IF($BL93&gt;$BK$7,"",VLOOKUP($BL93,$BN$8:$BT$507,7,FALSE()))</f>
        <v/>
      </c>
      <c r="BV93" s="71" t="str">
        <f aca="false">IF($BL93&gt;$BK$7,"",VLOOKUP($BL93,$BN$8:$BT$507,2,FALSE()))</f>
        <v/>
      </c>
      <c r="BW93" s="71" t="str">
        <f aca="false">IF($BL93&gt;$BK$7,"",VLOOKUP($BL93,$BN$8:$BT$507,3,FALSE()))</f>
        <v/>
      </c>
      <c r="BX93" s="71" t="str">
        <f aca="false">IF($BL93&gt;$BK$7,"",VLOOKUP($BL93,$BN$8:$BT$507,4,FALSE()))</f>
        <v/>
      </c>
      <c r="BY93" s="71" t="str">
        <f aca="false">IF($BL93&gt;$BK$7,"",VLOOKUP($BL93,$BN$8:$BT$507,5,FALSE()))</f>
        <v/>
      </c>
      <c r="BZ93" s="72" t="str">
        <f aca="false">IF($BL93&gt;$BK$7,"",VLOOKUP($BL93,$BN$8:$BT$507,6,FALSE()))</f>
        <v/>
      </c>
      <c r="CA93" s="48"/>
    </row>
    <row r="94" customFormat="false" ht="15.75" hidden="false" customHeight="false" outlineLevel="0" collapsed="false">
      <c r="A94" s="5"/>
      <c r="B94" s="121"/>
      <c r="C94" s="50"/>
      <c r="D94" s="51"/>
      <c r="E94" s="74"/>
      <c r="F94" s="122"/>
      <c r="G94" s="54"/>
      <c r="H94" s="123"/>
      <c r="I94" s="124"/>
      <c r="J94" s="54"/>
      <c r="K94" s="123"/>
      <c r="L94" s="54"/>
      <c r="M94" s="123"/>
      <c r="N94" s="54"/>
      <c r="O94" s="123"/>
      <c r="P94" s="54"/>
      <c r="Q94" s="123"/>
      <c r="R94" s="54"/>
      <c r="S94" s="74"/>
      <c r="T94" s="58"/>
      <c r="U94" s="59" t="str">
        <f aca="false">IF(ISBLANK($C94),"",IF(E94=Constants!$B$2, TRUE(), IF(E94=Constants!$B$3, FALSE(), TRUE())))</f>
        <v/>
      </c>
      <c r="V94" s="59" t="str">
        <f aca="false">IF(ISBLANK($C94),"",IF(F94=Constants!$B$2, TRUE(), IF(F94=Constants!$B$3, FALSE(), TRUE())))</f>
        <v/>
      </c>
      <c r="W94" s="59" t="str">
        <f aca="false">IF(ISBLANK($C94),"",IF(G94=Constants!$B$15,Constants!$B$8,IF(G94=Constants!$B$16,Constants!$B$9,Constants!$B$10)))</f>
        <v/>
      </c>
      <c r="X94" s="59" t="str">
        <f aca="false">IF(ISBLANK($C94),"",IF(H94=Constants!$B$2, TRUE(), IF(H94=Constants!$B$3, FALSE(), TRUE())))</f>
        <v/>
      </c>
      <c r="Y94" s="59" t="str">
        <f aca="false">IF(ISBLANK($C94),"",IF(I94=Constants!$B$19,Constants!$B$19,Constants!$B$18))</f>
        <v/>
      </c>
      <c r="Z94" s="59" t="str">
        <f aca="false">IF(ISBLANK($C94),"",IF(ISNUMBER(J94),IF(J94&gt;=0,J94,""),""))</f>
        <v/>
      </c>
      <c r="AA94" s="59" t="str">
        <f aca="false">IF(ISBLANK($C94),"",IF(K94=Constants!$B$19,Constants!$B$19,Constants!$B$18))</f>
        <v/>
      </c>
      <c r="AB94" s="59" t="str">
        <f aca="false">IF(ISBLANK($C94),"",IF(ISNUMBER(L94),IF(L94&gt;=0,L94,""),""))</f>
        <v/>
      </c>
      <c r="AC94" s="59" t="str">
        <f aca="false">IF(ISBLANK($C94),"",IF(M94=Constants!$B$19,Constants!$B$19,Constants!$B$18))</f>
        <v/>
      </c>
      <c r="AD94" s="59" t="str">
        <f aca="false">IF(ISBLANK($C94),"",IF(ISNUMBER(N94),IF(N94&gt;=0,N94,""),""))</f>
        <v/>
      </c>
      <c r="AE94" s="59" t="str">
        <f aca="false">IF(ISBLANK($C94),"",IF(O94=Constants!$B$19,Constants!$B$19,Constants!$B$18))</f>
        <v/>
      </c>
      <c r="AF94" s="59" t="str">
        <f aca="false">IF(ISBLANK($C94),"",IF(ISNUMBER(P94),IF(P94&gt;=0,P94,""),""))</f>
        <v/>
      </c>
      <c r="AG94" s="59" t="str">
        <f aca="false">IF(ISBLANK($C94),"",IF(Q94=Constants!$B$19,Constants!$B$19,Constants!$B$18))</f>
        <v/>
      </c>
      <c r="AH94" s="59" t="str">
        <f aca="false">IF(ISBLANK($C94),"",IF(ISNUMBER(R94),IF(R94&gt;=0,R94,""),""))</f>
        <v/>
      </c>
      <c r="AI94" s="59" t="str">
        <f aca="false">IF(ISBLANK($C94),"",IF(S94=Constants!$B$2, TRUE(), IF(S94=Constants!$B$3, FALSE(), FALSE())))</f>
        <v/>
      </c>
      <c r="AJ94" s="59" t="str">
        <f aca="false">IF(ISBLANK($C94),"",IF(AI94,Constants!$B$4,IF(COUNTA(E94:R94)=0,Constants!$B$5,IF(COUNTA(J94,L94,N94,P94,R94)=0,Constants!$B$6,Constants!$B$7))))</f>
        <v/>
      </c>
      <c r="AK94" s="59" t="str">
        <f aca="false">IF(ISBLANK($C94),"",IF($AJ94&lt;&gt;Constants!$B$7,$AJ94,IF(OR(NOT(X94),AND(NOT(U94),COUNTIFS(Y94:AG94,Constants!$B$18,Z94:AH94,"&gt;=0")&gt;0),AND(NOT(V94),COUNTIFS(Y94:AG94,Constants!$B$19,Z94:AH94,"&gt;=0")&gt;0)),Constants!$B$12,Constants!$B$11)))</f>
        <v/>
      </c>
      <c r="AL94" s="59" t="str">
        <f aca="false">IF($AJ94=Constants!$B$7,IF(Z94="",Constants!$B$13,Z94),"")</f>
        <v/>
      </c>
      <c r="AM94" s="59" t="str">
        <f aca="false">IF($AJ94=Constants!$B$7,IF(AB94="",Constants!$B$13,AB94),"")</f>
        <v/>
      </c>
      <c r="AN94" s="59" t="str">
        <f aca="false">IF($AJ94=Constants!$B$7,IF(AD94="",Constants!$B$13,AD94),"")</f>
        <v/>
      </c>
      <c r="AO94" s="59" t="str">
        <f aca="false">IF($AJ94=Constants!$B$7,IF(AF94="",Constants!$B$13,AF94),"")</f>
        <v/>
      </c>
      <c r="AP94" s="59" t="str">
        <f aca="false">IF($AJ94=Constants!$B$7,IF(AH94="",Constants!$B$13,AH94),"")</f>
        <v/>
      </c>
      <c r="AQ94" s="59" t="str">
        <f aca="false">IF($AJ94=Constants!$B$7,IF(SUMPRODUCT(--($AL94:$AP94&gt;AL94))+SUMPRODUCT(--($AL94:AL94=AL94))=1,1,IF(SUMPRODUCT(--($AL94:$AP94&gt;AM94))+SUMPRODUCT(--($AL94:AM94=AM94))=1,2,IF(SUMPRODUCT(--($AL94:$AP94&gt;AN94))+SUMPRODUCT(--($AL94:AN94=AN94))=1,3,IF(SUMPRODUCT(--($AL94:$AP94&gt;AO94))+SUMPRODUCT(--($AL94:AO94=AO94))=1,4,5)))),"")</f>
        <v/>
      </c>
      <c r="AR94" s="59" t="str">
        <f aca="false">IF($AJ94=Constants!$B$7,IF(SUMPRODUCT(--($AL94:$AP94&gt;AL94))+SUMPRODUCT(--($AL94:AL94=AL94))=2,1,IF(SUMPRODUCT(--($AL94:$AP94&gt;AM94))+SUMPRODUCT(--($AL94:AM94=AM94))=2,2,IF(SUMPRODUCT(--($AL94:$AP94&gt;AN94))+SUMPRODUCT(--($AL94:AN94=AN94))=2,3,IF(SUMPRODUCT(--($AL94:$AP94&gt;AO94))+SUMPRODUCT(--($AL94:AO94=AO94))=2,4,5)))),"")</f>
        <v/>
      </c>
      <c r="AS94" s="59" t="str">
        <f aca="false">IF($AJ94=Constants!$B$7,IF(SUMPRODUCT(--($AL94:$AP94&gt;AL94))+SUMPRODUCT(--($AL94:AL94=AL94))=3,1,IF(SUMPRODUCT(--($AL94:$AP94&gt;AM94))+SUMPRODUCT(--($AL94:AM94=AM94))=3,2,IF(SUMPRODUCT(--($AL94:$AP94&gt;AN94))+SUMPRODUCT(--($AL94:AN94=AN94))=3,3,IF(SUMPRODUCT(--($AL94:$AP94&gt;AO94))+SUMPRODUCT(--($AL94:AO94=AO94))=3,4,5)))),"")</f>
        <v/>
      </c>
      <c r="AT94" s="59" t="str">
        <f aca="false">IF($AJ94=Constants!$B$7,LARGE(AL94:AP94,1)+LARGE(AL94:AP94,2)+LARGE(AL94:AP94,3),"")</f>
        <v/>
      </c>
      <c r="AU94" s="59" t="str">
        <f aca="false">IF(ISBLANK($C94),"",IF($AJ94&lt;&gt;Constants!$B$7,$AJ94,AT94*W94))</f>
        <v/>
      </c>
      <c r="AV94" s="59" t="str">
        <f aca="false">IF(ISBLANK($C94),"",IF($AJ94=Constants!$B$7,IF(ISNUMBER(AU94),RANK(AU94,$AU$8:$AU$507),Constants!$B$14),$AJ94))</f>
        <v/>
      </c>
      <c r="AW94" s="59" t="str">
        <f aca="false">IF(ISBLANK($C94),"",IF($AJ94=Constants!$B$7,IF(ISNUMBER(AV94),COUNTIFS($AK$8:$AK$507,"&lt;"&amp;$AK94)+COUNTIFS($AK$8:$AK$507,$AK94,$AV$8:$AV$507,"&lt;"&amp;$AV94)+1,Constants!$B$14),$AJ94))</f>
        <v/>
      </c>
      <c r="AX94" s="59" t="str">
        <f aca="false">IF(ISBLANK($C94),"",IF($AJ94=Constants!$B$7,LARGE(AL94:AP94,4)*W94,""))</f>
        <v/>
      </c>
      <c r="AY94" s="59" t="str">
        <f aca="false">IF(ISBLANK($C94),"",IF($AJ94=Constants!$B$7,RANK(AX94,$AX$8:$AX$507),$AJ94))</f>
        <v/>
      </c>
      <c r="AZ94" s="59" t="str">
        <f aca="false">IF(ISBLANK($C94),"",IF($AJ94=Constants!$B$7,IF(ISNUMBER(AV94),COUNTIFS($AK$8:$AK$507,"&lt;"&amp;$AK94)+COUNTIFS($AK$8:$AK$507,$AK94,$AV$8:$AV$507,"&lt;"&amp;$AV94)+COUNTIFS($AK$8:$AK$507,$AK94,$AV$8:$AV$507,$AV94,$AY$8:$AY$507,"&lt;"&amp;$AY94)+1,Constants!$B$14),$AJ94))</f>
        <v/>
      </c>
      <c r="BA94" s="59" t="str">
        <f aca="false">IF(ISBLANK($C94),"",IF($AJ94=Constants!$B$7,IF(ISNUMBER(AW94),AW94-AZ94,Constants!$B$14),$AJ94))</f>
        <v/>
      </c>
      <c r="BB94" s="61"/>
      <c r="BC94" s="62" t="str">
        <f aca="false">IF(ISBLANK($C94),"",IF($AJ94&lt;&gt;Constants!$B$7,$AJ94,SMALL(AQ94:AS94,1)&amp;", "&amp;SMALL(AQ94:AS94,2)&amp;", "&amp;SMALL(AQ94:AS94,3)))</f>
        <v/>
      </c>
      <c r="BD94" s="63" t="str">
        <f aca="false">IF(ISBLANK($C94),"",IF($AJ94&lt;&gt;Constants!$B$7,$AJ94,W94))</f>
        <v/>
      </c>
      <c r="BE94" s="64" t="str">
        <f aca="false">IF(ISBLANK($C94),"",IF($AJ94&lt;&gt;Constants!$B$7,$AJ94,AU94))</f>
        <v/>
      </c>
      <c r="BF94" s="65" t="str">
        <f aca="false">IF(ISBLANK($C94),"",IF($AJ94&lt;&gt;Constants!$B$7,$AJ94,AK94))</f>
        <v/>
      </c>
      <c r="BG94" s="63" t="str">
        <f aca="false">IF(ISBLANK($C94),"",BA94)</f>
        <v/>
      </c>
      <c r="BH94" s="63" t="str">
        <f aca="false">IF(ISBLANK($C94),"",AZ94)</f>
        <v/>
      </c>
      <c r="BI94" s="66" t="str">
        <f aca="false">IF(ISBLANK($C94),"",IF(BH94=Constants!$B$4,COUNTA($C$8:$C$507)+2,IF(BH94=Constants!$B$5,COUNTA($C$8:$C$507)+1,IF(BH94=Constants!$B$6,COUNTA($C$8:$C$507),BH94))))</f>
        <v/>
      </c>
      <c r="BJ94" s="5"/>
      <c r="BK94" s="67" t="n">
        <f aca="false">IF(OR(ISNUMBER(BH94),BH94=Constants!$B$4,BH94=Constants!$B$6,BH94=Constants!$B$5),1,0)</f>
        <v>0</v>
      </c>
      <c r="BL94" s="67" t="n">
        <v>87</v>
      </c>
      <c r="BM94" s="67" t="str">
        <f aca="false">IF(ISBLANK($C94),"",IF(ISNUMBER(BI94),BI94+ROW($B94)/1000,""))</f>
        <v/>
      </c>
      <c r="BN94" s="67" t="str">
        <f aca="false">IF(ISNUMBER(BM94),RANK(BM94,$BM$8:$BM$507,1),"")</f>
        <v/>
      </c>
      <c r="BO94" s="67" t="str">
        <f aca="false">IF(ISBLANK($C94),"",$B94)</f>
        <v/>
      </c>
      <c r="BP94" s="67" t="str">
        <f aca="false">IF(ISBLANK($C94),"",$C94)</f>
        <v/>
      </c>
      <c r="BQ94" s="67" t="str">
        <f aca="false">IF(ISBLANK($C94),"",$D94)</f>
        <v/>
      </c>
      <c r="BR94" s="68" t="str">
        <f aca="false">BF94</f>
        <v/>
      </c>
      <c r="BS94" s="69" t="str">
        <f aca="false">BE94</f>
        <v/>
      </c>
      <c r="BT94" s="67" t="str">
        <f aca="false">IF(ISBLANK($C94),"",BH94)</f>
        <v/>
      </c>
      <c r="BU94" s="70" t="str">
        <f aca="false">IF($BL94&gt;$BK$7,"",VLOOKUP($BL94,$BN$8:$BT$507,7,FALSE()))</f>
        <v/>
      </c>
      <c r="BV94" s="71" t="str">
        <f aca="false">IF($BL94&gt;$BK$7,"",VLOOKUP($BL94,$BN$8:$BT$507,2,FALSE()))</f>
        <v/>
      </c>
      <c r="BW94" s="71" t="str">
        <f aca="false">IF($BL94&gt;$BK$7,"",VLOOKUP($BL94,$BN$8:$BT$507,3,FALSE()))</f>
        <v/>
      </c>
      <c r="BX94" s="71" t="str">
        <f aca="false">IF($BL94&gt;$BK$7,"",VLOOKUP($BL94,$BN$8:$BT$507,4,FALSE()))</f>
        <v/>
      </c>
      <c r="BY94" s="71" t="str">
        <f aca="false">IF($BL94&gt;$BK$7,"",VLOOKUP($BL94,$BN$8:$BT$507,5,FALSE()))</f>
        <v/>
      </c>
      <c r="BZ94" s="72" t="str">
        <f aca="false">IF($BL94&gt;$BK$7,"",VLOOKUP($BL94,$BN$8:$BT$507,6,FALSE()))</f>
        <v/>
      </c>
      <c r="CA94" s="48"/>
    </row>
    <row r="95" customFormat="false" ht="15.75" hidden="false" customHeight="false" outlineLevel="0" collapsed="false">
      <c r="A95" s="5"/>
      <c r="B95" s="114"/>
      <c r="C95" s="115"/>
      <c r="D95" s="100"/>
      <c r="E95" s="120"/>
      <c r="F95" s="125"/>
      <c r="G95" s="82"/>
      <c r="H95" s="126"/>
      <c r="I95" s="127"/>
      <c r="J95" s="82"/>
      <c r="K95" s="126"/>
      <c r="L95" s="82"/>
      <c r="M95" s="126"/>
      <c r="N95" s="82"/>
      <c r="O95" s="126"/>
      <c r="P95" s="82"/>
      <c r="Q95" s="126"/>
      <c r="R95" s="82"/>
      <c r="S95" s="120"/>
      <c r="T95" s="86"/>
      <c r="U95" s="87" t="str">
        <f aca="false">IF(ISBLANK($C95),"",IF(E95=Constants!$B$2, TRUE(), IF(E95=Constants!$B$3, FALSE(), TRUE())))</f>
        <v/>
      </c>
      <c r="V95" s="87" t="str">
        <f aca="false">IF(ISBLANK($C95),"",IF(F95=Constants!$B$2, TRUE(), IF(F95=Constants!$B$3, FALSE(), TRUE())))</f>
        <v/>
      </c>
      <c r="W95" s="87" t="str">
        <f aca="false">IF(ISBLANK($C95),"",IF(G95=Constants!$B$15,Constants!$B$8,IF(G95=Constants!$B$16,Constants!$B$9,Constants!$B$10)))</f>
        <v/>
      </c>
      <c r="X95" s="87" t="str">
        <f aca="false">IF(ISBLANK($C95),"",IF(H95=Constants!$B$2, TRUE(), IF(H95=Constants!$B$3, FALSE(), TRUE())))</f>
        <v/>
      </c>
      <c r="Y95" s="87" t="str">
        <f aca="false">IF(ISBLANK($C95),"",IF(I95=Constants!$B$19,Constants!$B$19,Constants!$B$18))</f>
        <v/>
      </c>
      <c r="Z95" s="87" t="str">
        <f aca="false">IF(ISBLANK($C95),"",IF(ISNUMBER(J95),IF(J95&gt;=0,J95,""),""))</f>
        <v/>
      </c>
      <c r="AA95" s="87" t="str">
        <f aca="false">IF(ISBLANK($C95),"",IF(K95=Constants!$B$19,Constants!$B$19,Constants!$B$18))</f>
        <v/>
      </c>
      <c r="AB95" s="87" t="str">
        <f aca="false">IF(ISBLANK($C95),"",IF(ISNUMBER(L95),IF(L95&gt;=0,L95,""),""))</f>
        <v/>
      </c>
      <c r="AC95" s="87" t="str">
        <f aca="false">IF(ISBLANK($C95),"",IF(M95=Constants!$B$19,Constants!$B$19,Constants!$B$18))</f>
        <v/>
      </c>
      <c r="AD95" s="87" t="str">
        <f aca="false">IF(ISBLANK($C95),"",IF(ISNUMBER(N95),IF(N95&gt;=0,N95,""),""))</f>
        <v/>
      </c>
      <c r="AE95" s="87" t="str">
        <f aca="false">IF(ISBLANK($C95),"",IF(O95=Constants!$B$19,Constants!$B$19,Constants!$B$18))</f>
        <v/>
      </c>
      <c r="AF95" s="87" t="str">
        <f aca="false">IF(ISBLANK($C95),"",IF(ISNUMBER(P95),IF(P95&gt;=0,P95,""),""))</f>
        <v/>
      </c>
      <c r="AG95" s="87" t="str">
        <f aca="false">IF(ISBLANK($C95),"",IF(Q95=Constants!$B$19,Constants!$B$19,Constants!$B$18))</f>
        <v/>
      </c>
      <c r="AH95" s="87" t="str">
        <f aca="false">IF(ISBLANK($C95),"",IF(ISNUMBER(R95),IF(R95&gt;=0,R95,""),""))</f>
        <v/>
      </c>
      <c r="AI95" s="87" t="str">
        <f aca="false">IF(ISBLANK($C95),"",IF(S95=Constants!$B$2, TRUE(), IF(S95=Constants!$B$3, FALSE(), FALSE())))</f>
        <v/>
      </c>
      <c r="AJ95" s="87" t="str">
        <f aca="false">IF(ISBLANK($C95),"",IF(AI95,Constants!$B$4,IF(COUNTA(E95:R95)=0,Constants!$B$5,IF(COUNTA(J95,L95,N95,P95,R95)=0,Constants!$B$6,Constants!$B$7))))</f>
        <v/>
      </c>
      <c r="AK95" s="87" t="str">
        <f aca="false">IF(ISBLANK($C95),"",IF($AJ95&lt;&gt;Constants!$B$7,$AJ95,IF(OR(NOT(X95),AND(NOT(U95),COUNTIFS(Y95:AG95,Constants!$B$18,Z95:AH95,"&gt;=0")&gt;0),AND(NOT(V95),COUNTIFS(Y95:AG95,Constants!$B$19,Z95:AH95,"&gt;=0")&gt;0)),Constants!$B$12,Constants!$B$11)))</f>
        <v/>
      </c>
      <c r="AL95" s="87" t="str">
        <f aca="false">IF($AJ95=Constants!$B$7,IF(Z95="",Constants!$B$13,Z95),"")</f>
        <v/>
      </c>
      <c r="AM95" s="87" t="str">
        <f aca="false">IF($AJ95=Constants!$B$7,IF(AB95="",Constants!$B$13,AB95),"")</f>
        <v/>
      </c>
      <c r="AN95" s="87" t="str">
        <f aca="false">IF($AJ95=Constants!$B$7,IF(AD95="",Constants!$B$13,AD95),"")</f>
        <v/>
      </c>
      <c r="AO95" s="87" t="str">
        <f aca="false">IF($AJ95=Constants!$B$7,IF(AF95="",Constants!$B$13,AF95),"")</f>
        <v/>
      </c>
      <c r="AP95" s="87" t="str">
        <f aca="false">IF($AJ95=Constants!$B$7,IF(AH95="",Constants!$B$13,AH95),"")</f>
        <v/>
      </c>
      <c r="AQ95" s="87" t="str">
        <f aca="false">IF($AJ95=Constants!$B$7,IF(SUMPRODUCT(--($AL95:$AP95&gt;AL95))+SUMPRODUCT(--($AL95:AL95=AL95))=1,1,IF(SUMPRODUCT(--($AL95:$AP95&gt;AM95))+SUMPRODUCT(--($AL95:AM95=AM95))=1,2,IF(SUMPRODUCT(--($AL95:$AP95&gt;AN95))+SUMPRODUCT(--($AL95:AN95=AN95))=1,3,IF(SUMPRODUCT(--($AL95:$AP95&gt;AO95))+SUMPRODUCT(--($AL95:AO95=AO95))=1,4,5)))),"")</f>
        <v/>
      </c>
      <c r="AR95" s="87" t="str">
        <f aca="false">IF($AJ95=Constants!$B$7,IF(SUMPRODUCT(--($AL95:$AP95&gt;AL95))+SUMPRODUCT(--($AL95:AL95=AL95))=2,1,IF(SUMPRODUCT(--($AL95:$AP95&gt;AM95))+SUMPRODUCT(--($AL95:AM95=AM95))=2,2,IF(SUMPRODUCT(--($AL95:$AP95&gt;AN95))+SUMPRODUCT(--($AL95:AN95=AN95))=2,3,IF(SUMPRODUCT(--($AL95:$AP95&gt;AO95))+SUMPRODUCT(--($AL95:AO95=AO95))=2,4,5)))),"")</f>
        <v/>
      </c>
      <c r="AS95" s="87" t="str">
        <f aca="false">IF($AJ95=Constants!$B$7,IF(SUMPRODUCT(--($AL95:$AP95&gt;AL95))+SUMPRODUCT(--($AL95:AL95=AL95))=3,1,IF(SUMPRODUCT(--($AL95:$AP95&gt;AM95))+SUMPRODUCT(--($AL95:AM95=AM95))=3,2,IF(SUMPRODUCT(--($AL95:$AP95&gt;AN95))+SUMPRODUCT(--($AL95:AN95=AN95))=3,3,IF(SUMPRODUCT(--($AL95:$AP95&gt;AO95))+SUMPRODUCT(--($AL95:AO95=AO95))=3,4,5)))),"")</f>
        <v/>
      </c>
      <c r="AT95" s="87" t="str">
        <f aca="false">IF($AJ95=Constants!$B$7,LARGE(AL95:AP95,1)+LARGE(AL95:AP95,2)+LARGE(AL95:AP95,3),"")</f>
        <v/>
      </c>
      <c r="AU95" s="87" t="str">
        <f aca="false">IF(ISBLANK($C95),"",IF($AJ95&lt;&gt;Constants!$B$7,$AJ95,AT95*W95))</f>
        <v/>
      </c>
      <c r="AV95" s="87" t="str">
        <f aca="false">IF(ISBLANK($C95),"",IF($AJ95=Constants!$B$7,IF(ISNUMBER(AU95),RANK(AU95,$AU$8:$AU$507),Constants!$B$14),$AJ95))</f>
        <v/>
      </c>
      <c r="AW95" s="87" t="str">
        <f aca="false">IF(ISBLANK($C95),"",IF($AJ95=Constants!$B$7,IF(ISNUMBER(AV95),COUNTIFS($AK$8:$AK$507,"&lt;"&amp;$AK95)+COUNTIFS($AK$8:$AK$507,$AK95,$AV$8:$AV$507,"&lt;"&amp;$AV95)+1,Constants!$B$14),$AJ95))</f>
        <v/>
      </c>
      <c r="AX95" s="87" t="str">
        <f aca="false">IF(ISBLANK($C95),"",IF($AJ95=Constants!$B$7,LARGE(AL95:AP95,4)*W95,""))</f>
        <v/>
      </c>
      <c r="AY95" s="87" t="str">
        <f aca="false">IF(ISBLANK($C95),"",IF($AJ95=Constants!$B$7,RANK(AX95,$AX$8:$AX$507),$AJ95))</f>
        <v/>
      </c>
      <c r="AZ95" s="87" t="str">
        <f aca="false">IF(ISBLANK($C95),"",IF($AJ95=Constants!$B$7,IF(ISNUMBER(AV95),COUNTIFS($AK$8:$AK$507,"&lt;"&amp;$AK95)+COUNTIFS($AK$8:$AK$507,$AK95,$AV$8:$AV$507,"&lt;"&amp;$AV95)+COUNTIFS($AK$8:$AK$507,$AK95,$AV$8:$AV$507,$AV95,$AY$8:$AY$507,"&lt;"&amp;$AY95)+1,Constants!$B$14),$AJ95))</f>
        <v/>
      </c>
      <c r="BA95" s="87" t="str">
        <f aca="false">IF(ISBLANK($C95),"",IF($AJ95=Constants!$B$7,IF(ISNUMBER(AW95),AW95-AZ95,Constants!$B$14),$AJ95))</f>
        <v/>
      </c>
      <c r="BB95" s="88"/>
      <c r="BC95" s="89" t="str">
        <f aca="false">IF(ISBLANK($C95),"",IF($AJ95&lt;&gt;Constants!$B$7,$AJ95,SMALL(AQ95:AS95,1)&amp;", "&amp;SMALL(AQ95:AS95,2)&amp;", "&amp;SMALL(AQ95:AS95,3)))</f>
        <v/>
      </c>
      <c r="BD95" s="90" t="str">
        <f aca="false">IF(ISBLANK($C95),"",IF($AJ95&lt;&gt;Constants!$B$7,$AJ95,W95))</f>
        <v/>
      </c>
      <c r="BE95" s="91" t="str">
        <f aca="false">IF(ISBLANK($C95),"",IF($AJ95&lt;&gt;Constants!$B$7,$AJ95,AU95))</f>
        <v/>
      </c>
      <c r="BF95" s="92" t="str">
        <f aca="false">IF(ISBLANK($C95),"",IF($AJ95&lt;&gt;Constants!$B$7,$AJ95,AK95))</f>
        <v/>
      </c>
      <c r="BG95" s="90" t="str">
        <f aca="false">IF(ISBLANK($C95),"",BA95)</f>
        <v/>
      </c>
      <c r="BH95" s="90" t="str">
        <f aca="false">IF(ISBLANK($C95),"",AZ95)</f>
        <v/>
      </c>
      <c r="BI95" s="93" t="str">
        <f aca="false">IF(ISBLANK($C95),"",IF(BH95=Constants!$B$4,COUNTA($C$8:$C$507)+2,IF(BH95=Constants!$B$5,COUNTA($C$8:$C$507)+1,IF(BH95=Constants!$B$6,COUNTA($C$8:$C$507),BH95))))</f>
        <v/>
      </c>
      <c r="BJ95" s="5"/>
      <c r="BK95" s="94" t="n">
        <f aca="false">IF(OR(ISNUMBER(BH95),BH95=Constants!$B$4,BH95=Constants!$B$6,BH95=Constants!$B$5),1,0)</f>
        <v>0</v>
      </c>
      <c r="BL95" s="94" t="n">
        <v>88</v>
      </c>
      <c r="BM95" s="94" t="str">
        <f aca="false">IF(ISBLANK($C95),"",IF(ISNUMBER(BI95),BI95+ROW($B95)/1000,""))</f>
        <v/>
      </c>
      <c r="BN95" s="94" t="str">
        <f aca="false">IF(ISNUMBER(BM95),RANK(BM95,$BM$8:$BM$507,1),"")</f>
        <v/>
      </c>
      <c r="BO95" s="94" t="str">
        <f aca="false">IF(ISBLANK($C95),"",$B95)</f>
        <v/>
      </c>
      <c r="BP95" s="94" t="str">
        <f aca="false">IF(ISBLANK($C95),"",$C95)</f>
        <v/>
      </c>
      <c r="BQ95" s="94" t="str">
        <f aca="false">IF(ISBLANK($C95),"",$D95)</f>
        <v/>
      </c>
      <c r="BR95" s="95" t="str">
        <f aca="false">BF95</f>
        <v/>
      </c>
      <c r="BS95" s="96" t="str">
        <f aca="false">BE95</f>
        <v/>
      </c>
      <c r="BT95" s="94" t="str">
        <f aca="false">IF(ISBLANK($C95),"",BH95)</f>
        <v/>
      </c>
      <c r="BU95" s="97" t="str">
        <f aca="false">IF($BL95&gt;$BK$7,"",VLOOKUP($BL95,$BN$8:$BT$507,7,FALSE()))</f>
        <v/>
      </c>
      <c r="BV95" s="98" t="str">
        <f aca="false">IF($BL95&gt;$BK$7,"",VLOOKUP($BL95,$BN$8:$BT$507,2,FALSE()))</f>
        <v/>
      </c>
      <c r="BW95" s="98" t="str">
        <f aca="false">IF($BL95&gt;$BK$7,"",VLOOKUP($BL95,$BN$8:$BT$507,3,FALSE()))</f>
        <v/>
      </c>
      <c r="BX95" s="98" t="str">
        <f aca="false">IF($BL95&gt;$BK$7,"",VLOOKUP($BL95,$BN$8:$BT$507,4,FALSE()))</f>
        <v/>
      </c>
      <c r="BY95" s="98" t="str">
        <f aca="false">IF($BL95&gt;$BK$7,"",VLOOKUP($BL95,$BN$8:$BT$507,5,FALSE()))</f>
        <v/>
      </c>
      <c r="BZ95" s="99" t="str">
        <f aca="false">IF($BL95&gt;$BK$7,"",VLOOKUP($BL95,$BN$8:$BT$507,6,FALSE()))</f>
        <v/>
      </c>
      <c r="CA95" s="48"/>
    </row>
    <row r="96" customFormat="false" ht="15.75" hidden="false" customHeight="false" outlineLevel="0" collapsed="false">
      <c r="A96" s="5"/>
      <c r="B96" s="114"/>
      <c r="C96" s="115"/>
      <c r="D96" s="100"/>
      <c r="E96" s="120"/>
      <c r="F96" s="125"/>
      <c r="G96" s="82"/>
      <c r="H96" s="126"/>
      <c r="I96" s="127"/>
      <c r="J96" s="82"/>
      <c r="K96" s="126"/>
      <c r="L96" s="82"/>
      <c r="M96" s="126"/>
      <c r="N96" s="82"/>
      <c r="O96" s="126"/>
      <c r="P96" s="82"/>
      <c r="Q96" s="126"/>
      <c r="R96" s="82"/>
      <c r="S96" s="120"/>
      <c r="T96" s="86"/>
      <c r="U96" s="87" t="str">
        <f aca="false">IF(ISBLANK($C96),"",IF(E96=Constants!$B$2, TRUE(), IF(E96=Constants!$B$3, FALSE(), TRUE())))</f>
        <v/>
      </c>
      <c r="V96" s="87" t="str">
        <f aca="false">IF(ISBLANK($C96),"",IF(F96=Constants!$B$2, TRUE(), IF(F96=Constants!$B$3, FALSE(), TRUE())))</f>
        <v/>
      </c>
      <c r="W96" s="87" t="str">
        <f aca="false">IF(ISBLANK($C96),"",IF(G96=Constants!$B$15,Constants!$B$8,IF(G96=Constants!$B$16,Constants!$B$9,Constants!$B$10)))</f>
        <v/>
      </c>
      <c r="X96" s="87" t="str">
        <f aca="false">IF(ISBLANK($C96),"",IF(H96=Constants!$B$2, TRUE(), IF(H96=Constants!$B$3, FALSE(), TRUE())))</f>
        <v/>
      </c>
      <c r="Y96" s="87" t="str">
        <f aca="false">IF(ISBLANK($C96),"",IF(I96=Constants!$B$19,Constants!$B$19,Constants!$B$18))</f>
        <v/>
      </c>
      <c r="Z96" s="87" t="str">
        <f aca="false">IF(ISBLANK($C96),"",IF(ISNUMBER(J96),IF(J96&gt;=0,J96,""),""))</f>
        <v/>
      </c>
      <c r="AA96" s="87" t="str">
        <f aca="false">IF(ISBLANK($C96),"",IF(K96=Constants!$B$19,Constants!$B$19,Constants!$B$18))</f>
        <v/>
      </c>
      <c r="AB96" s="87" t="str">
        <f aca="false">IF(ISBLANK($C96),"",IF(ISNUMBER(L96),IF(L96&gt;=0,L96,""),""))</f>
        <v/>
      </c>
      <c r="AC96" s="87" t="str">
        <f aca="false">IF(ISBLANK($C96),"",IF(M96=Constants!$B$19,Constants!$B$19,Constants!$B$18))</f>
        <v/>
      </c>
      <c r="AD96" s="87" t="str">
        <f aca="false">IF(ISBLANK($C96),"",IF(ISNUMBER(N96),IF(N96&gt;=0,N96,""),""))</f>
        <v/>
      </c>
      <c r="AE96" s="87" t="str">
        <f aca="false">IF(ISBLANK($C96),"",IF(O96=Constants!$B$19,Constants!$B$19,Constants!$B$18))</f>
        <v/>
      </c>
      <c r="AF96" s="87" t="str">
        <f aca="false">IF(ISBLANK($C96),"",IF(ISNUMBER(P96),IF(P96&gt;=0,P96,""),""))</f>
        <v/>
      </c>
      <c r="AG96" s="87" t="str">
        <f aca="false">IF(ISBLANK($C96),"",IF(Q96=Constants!$B$19,Constants!$B$19,Constants!$B$18))</f>
        <v/>
      </c>
      <c r="AH96" s="87" t="str">
        <f aca="false">IF(ISBLANK($C96),"",IF(ISNUMBER(R96),IF(R96&gt;=0,R96,""),""))</f>
        <v/>
      </c>
      <c r="AI96" s="87" t="str">
        <f aca="false">IF(ISBLANK($C96),"",IF(S96=Constants!$B$2, TRUE(), IF(S96=Constants!$B$3, FALSE(), FALSE())))</f>
        <v/>
      </c>
      <c r="AJ96" s="87" t="str">
        <f aca="false">IF(ISBLANK($C96),"",IF(AI96,Constants!$B$4,IF(COUNTA(E96:R96)=0,Constants!$B$5,IF(COUNTA(J96,L96,N96,P96,R96)=0,Constants!$B$6,Constants!$B$7))))</f>
        <v/>
      </c>
      <c r="AK96" s="87" t="str">
        <f aca="false">IF(ISBLANK($C96),"",IF($AJ96&lt;&gt;Constants!$B$7,$AJ96,IF(OR(NOT(X96),AND(NOT(U96),COUNTIFS(Y96:AG96,Constants!$B$18,Z96:AH96,"&gt;=0")&gt;0),AND(NOT(V96),COUNTIFS(Y96:AG96,Constants!$B$19,Z96:AH96,"&gt;=0")&gt;0)),Constants!$B$12,Constants!$B$11)))</f>
        <v/>
      </c>
      <c r="AL96" s="87" t="str">
        <f aca="false">IF($AJ96=Constants!$B$7,IF(Z96="",Constants!$B$13,Z96),"")</f>
        <v/>
      </c>
      <c r="AM96" s="87" t="str">
        <f aca="false">IF($AJ96=Constants!$B$7,IF(AB96="",Constants!$B$13,AB96),"")</f>
        <v/>
      </c>
      <c r="AN96" s="87" t="str">
        <f aca="false">IF($AJ96=Constants!$B$7,IF(AD96="",Constants!$B$13,AD96),"")</f>
        <v/>
      </c>
      <c r="AO96" s="87" t="str">
        <f aca="false">IF($AJ96=Constants!$B$7,IF(AF96="",Constants!$B$13,AF96),"")</f>
        <v/>
      </c>
      <c r="AP96" s="87" t="str">
        <f aca="false">IF($AJ96=Constants!$B$7,IF(AH96="",Constants!$B$13,AH96),"")</f>
        <v/>
      </c>
      <c r="AQ96" s="87" t="str">
        <f aca="false">IF($AJ96=Constants!$B$7,IF(SUMPRODUCT(--($AL96:$AP96&gt;AL96))+SUMPRODUCT(--($AL96:AL96=AL96))=1,1,IF(SUMPRODUCT(--($AL96:$AP96&gt;AM96))+SUMPRODUCT(--($AL96:AM96=AM96))=1,2,IF(SUMPRODUCT(--($AL96:$AP96&gt;AN96))+SUMPRODUCT(--($AL96:AN96=AN96))=1,3,IF(SUMPRODUCT(--($AL96:$AP96&gt;AO96))+SUMPRODUCT(--($AL96:AO96=AO96))=1,4,5)))),"")</f>
        <v/>
      </c>
      <c r="AR96" s="87" t="str">
        <f aca="false">IF($AJ96=Constants!$B$7,IF(SUMPRODUCT(--($AL96:$AP96&gt;AL96))+SUMPRODUCT(--($AL96:AL96=AL96))=2,1,IF(SUMPRODUCT(--($AL96:$AP96&gt;AM96))+SUMPRODUCT(--($AL96:AM96=AM96))=2,2,IF(SUMPRODUCT(--($AL96:$AP96&gt;AN96))+SUMPRODUCT(--($AL96:AN96=AN96))=2,3,IF(SUMPRODUCT(--($AL96:$AP96&gt;AO96))+SUMPRODUCT(--($AL96:AO96=AO96))=2,4,5)))),"")</f>
        <v/>
      </c>
      <c r="AS96" s="87" t="str">
        <f aca="false">IF($AJ96=Constants!$B$7,IF(SUMPRODUCT(--($AL96:$AP96&gt;AL96))+SUMPRODUCT(--($AL96:AL96=AL96))=3,1,IF(SUMPRODUCT(--($AL96:$AP96&gt;AM96))+SUMPRODUCT(--($AL96:AM96=AM96))=3,2,IF(SUMPRODUCT(--($AL96:$AP96&gt;AN96))+SUMPRODUCT(--($AL96:AN96=AN96))=3,3,IF(SUMPRODUCT(--($AL96:$AP96&gt;AO96))+SUMPRODUCT(--($AL96:AO96=AO96))=3,4,5)))),"")</f>
        <v/>
      </c>
      <c r="AT96" s="87" t="str">
        <f aca="false">IF($AJ96=Constants!$B$7,LARGE(AL96:AP96,1)+LARGE(AL96:AP96,2)+LARGE(AL96:AP96,3),"")</f>
        <v/>
      </c>
      <c r="AU96" s="87" t="str">
        <f aca="false">IF(ISBLANK($C96),"",IF($AJ96&lt;&gt;Constants!$B$7,$AJ96,AT96*W96))</f>
        <v/>
      </c>
      <c r="AV96" s="87" t="str">
        <f aca="false">IF(ISBLANK($C96),"",IF($AJ96=Constants!$B$7,IF(ISNUMBER(AU96),RANK(AU96,$AU$8:$AU$507),Constants!$B$14),$AJ96))</f>
        <v/>
      </c>
      <c r="AW96" s="87" t="str">
        <f aca="false">IF(ISBLANK($C96),"",IF($AJ96=Constants!$B$7,IF(ISNUMBER(AV96),COUNTIFS($AK$8:$AK$507,"&lt;"&amp;$AK96)+COUNTIFS($AK$8:$AK$507,$AK96,$AV$8:$AV$507,"&lt;"&amp;$AV96)+1,Constants!$B$14),$AJ96))</f>
        <v/>
      </c>
      <c r="AX96" s="87" t="str">
        <f aca="false">IF(ISBLANK($C96),"",IF($AJ96=Constants!$B$7,LARGE(AL96:AP96,4)*W96,""))</f>
        <v/>
      </c>
      <c r="AY96" s="87" t="str">
        <f aca="false">IF(ISBLANK($C96),"",IF($AJ96=Constants!$B$7,RANK(AX96,$AX$8:$AX$507),$AJ96))</f>
        <v/>
      </c>
      <c r="AZ96" s="87" t="str">
        <f aca="false">IF(ISBLANK($C96),"",IF($AJ96=Constants!$B$7,IF(ISNUMBER(AV96),COUNTIFS($AK$8:$AK$507,"&lt;"&amp;$AK96)+COUNTIFS($AK$8:$AK$507,$AK96,$AV$8:$AV$507,"&lt;"&amp;$AV96)+COUNTIFS($AK$8:$AK$507,$AK96,$AV$8:$AV$507,$AV96,$AY$8:$AY$507,"&lt;"&amp;$AY96)+1,Constants!$B$14),$AJ96))</f>
        <v/>
      </c>
      <c r="BA96" s="87" t="str">
        <f aca="false">IF(ISBLANK($C96),"",IF($AJ96=Constants!$B$7,IF(ISNUMBER(AW96),AW96-AZ96,Constants!$B$14),$AJ96))</f>
        <v/>
      </c>
      <c r="BB96" s="88"/>
      <c r="BC96" s="89" t="str">
        <f aca="false">IF(ISBLANK($C96),"",IF($AJ96&lt;&gt;Constants!$B$7,$AJ96,SMALL(AQ96:AS96,1)&amp;", "&amp;SMALL(AQ96:AS96,2)&amp;", "&amp;SMALL(AQ96:AS96,3)))</f>
        <v/>
      </c>
      <c r="BD96" s="90" t="str">
        <f aca="false">IF(ISBLANK($C96),"",IF($AJ96&lt;&gt;Constants!$B$7,$AJ96,W96))</f>
        <v/>
      </c>
      <c r="BE96" s="91" t="str">
        <f aca="false">IF(ISBLANK($C96),"",IF($AJ96&lt;&gt;Constants!$B$7,$AJ96,AU96))</f>
        <v/>
      </c>
      <c r="BF96" s="92" t="str">
        <f aca="false">IF(ISBLANK($C96),"",IF($AJ96&lt;&gt;Constants!$B$7,$AJ96,AK96))</f>
        <v/>
      </c>
      <c r="BG96" s="90" t="str">
        <f aca="false">IF(ISBLANK($C96),"",BA96)</f>
        <v/>
      </c>
      <c r="BH96" s="90" t="str">
        <f aca="false">IF(ISBLANK($C96),"",AZ96)</f>
        <v/>
      </c>
      <c r="BI96" s="93" t="str">
        <f aca="false">IF(ISBLANK($C96),"",IF(BH96=Constants!$B$4,COUNTA($C$8:$C$507)+2,IF(BH96=Constants!$B$5,COUNTA($C$8:$C$507)+1,IF(BH96=Constants!$B$6,COUNTA($C$8:$C$507),BH96))))</f>
        <v/>
      </c>
      <c r="BJ96" s="5"/>
      <c r="BK96" s="94" t="n">
        <f aca="false">IF(OR(ISNUMBER(BH96),BH96=Constants!$B$4,BH96=Constants!$B$6,BH96=Constants!$B$5),1,0)</f>
        <v>0</v>
      </c>
      <c r="BL96" s="94" t="n">
        <v>89</v>
      </c>
      <c r="BM96" s="94" t="str">
        <f aca="false">IF(ISBLANK($C96),"",IF(ISNUMBER(BI96),BI96+ROW($B96)/1000,""))</f>
        <v/>
      </c>
      <c r="BN96" s="94" t="str">
        <f aca="false">IF(ISNUMBER(BM96),RANK(BM96,$BM$8:$BM$507,1),"")</f>
        <v/>
      </c>
      <c r="BO96" s="94" t="str">
        <f aca="false">IF(ISBLANK($C96),"",$B96)</f>
        <v/>
      </c>
      <c r="BP96" s="94" t="str">
        <f aca="false">IF(ISBLANK($C96),"",$C96)</f>
        <v/>
      </c>
      <c r="BQ96" s="94" t="str">
        <f aca="false">IF(ISBLANK($C96),"",$D96)</f>
        <v/>
      </c>
      <c r="BR96" s="95" t="str">
        <f aca="false">BF96</f>
        <v/>
      </c>
      <c r="BS96" s="96" t="str">
        <f aca="false">BE96</f>
        <v/>
      </c>
      <c r="BT96" s="94" t="str">
        <f aca="false">IF(ISBLANK($C96),"",BH96)</f>
        <v/>
      </c>
      <c r="BU96" s="97" t="str">
        <f aca="false">IF($BL96&gt;$BK$7,"",VLOOKUP($BL96,$BN$8:$BT$507,7,FALSE()))</f>
        <v/>
      </c>
      <c r="BV96" s="98" t="str">
        <f aca="false">IF($BL96&gt;$BK$7,"",VLOOKUP($BL96,$BN$8:$BT$507,2,FALSE()))</f>
        <v/>
      </c>
      <c r="BW96" s="98" t="str">
        <f aca="false">IF($BL96&gt;$BK$7,"",VLOOKUP($BL96,$BN$8:$BT$507,3,FALSE()))</f>
        <v/>
      </c>
      <c r="BX96" s="98" t="str">
        <f aca="false">IF($BL96&gt;$BK$7,"",VLOOKUP($BL96,$BN$8:$BT$507,4,FALSE()))</f>
        <v/>
      </c>
      <c r="BY96" s="98" t="str">
        <f aca="false">IF($BL96&gt;$BK$7,"",VLOOKUP($BL96,$BN$8:$BT$507,5,FALSE()))</f>
        <v/>
      </c>
      <c r="BZ96" s="99" t="str">
        <f aca="false">IF($BL96&gt;$BK$7,"",VLOOKUP($BL96,$BN$8:$BT$507,6,FALSE()))</f>
        <v/>
      </c>
      <c r="CA96" s="48"/>
    </row>
    <row r="97" customFormat="false" ht="15.75" hidden="false" customHeight="false" outlineLevel="0" collapsed="false">
      <c r="A97" s="5"/>
      <c r="B97" s="114"/>
      <c r="C97" s="115"/>
      <c r="D97" s="100"/>
      <c r="E97" s="120"/>
      <c r="F97" s="125"/>
      <c r="G97" s="82"/>
      <c r="H97" s="126"/>
      <c r="I97" s="127"/>
      <c r="J97" s="82"/>
      <c r="K97" s="126"/>
      <c r="L97" s="82"/>
      <c r="M97" s="126"/>
      <c r="N97" s="82"/>
      <c r="O97" s="126"/>
      <c r="P97" s="82"/>
      <c r="Q97" s="126"/>
      <c r="R97" s="82"/>
      <c r="S97" s="120"/>
      <c r="T97" s="86"/>
      <c r="U97" s="87" t="str">
        <f aca="false">IF(ISBLANK($C97),"",IF(E97=Constants!$B$2, TRUE(), IF(E97=Constants!$B$3, FALSE(), TRUE())))</f>
        <v/>
      </c>
      <c r="V97" s="87" t="str">
        <f aca="false">IF(ISBLANK($C97),"",IF(F97=Constants!$B$2, TRUE(), IF(F97=Constants!$B$3, FALSE(), TRUE())))</f>
        <v/>
      </c>
      <c r="W97" s="87" t="str">
        <f aca="false">IF(ISBLANK($C97),"",IF(G97=Constants!$B$15,Constants!$B$8,IF(G97=Constants!$B$16,Constants!$B$9,Constants!$B$10)))</f>
        <v/>
      </c>
      <c r="X97" s="87" t="str">
        <f aca="false">IF(ISBLANK($C97),"",IF(H97=Constants!$B$2, TRUE(), IF(H97=Constants!$B$3, FALSE(), TRUE())))</f>
        <v/>
      </c>
      <c r="Y97" s="87" t="str">
        <f aca="false">IF(ISBLANK($C97),"",IF(I97=Constants!$B$19,Constants!$B$19,Constants!$B$18))</f>
        <v/>
      </c>
      <c r="Z97" s="87" t="str">
        <f aca="false">IF(ISBLANK($C97),"",IF(ISNUMBER(J97),IF(J97&gt;=0,J97,""),""))</f>
        <v/>
      </c>
      <c r="AA97" s="87" t="str">
        <f aca="false">IF(ISBLANK($C97),"",IF(K97=Constants!$B$19,Constants!$B$19,Constants!$B$18))</f>
        <v/>
      </c>
      <c r="AB97" s="87" t="str">
        <f aca="false">IF(ISBLANK($C97),"",IF(ISNUMBER(L97),IF(L97&gt;=0,L97,""),""))</f>
        <v/>
      </c>
      <c r="AC97" s="87" t="str">
        <f aca="false">IF(ISBLANK($C97),"",IF(M97=Constants!$B$19,Constants!$B$19,Constants!$B$18))</f>
        <v/>
      </c>
      <c r="AD97" s="87" t="str">
        <f aca="false">IF(ISBLANK($C97),"",IF(ISNUMBER(N97),IF(N97&gt;=0,N97,""),""))</f>
        <v/>
      </c>
      <c r="AE97" s="87" t="str">
        <f aca="false">IF(ISBLANK($C97),"",IF(O97=Constants!$B$19,Constants!$B$19,Constants!$B$18))</f>
        <v/>
      </c>
      <c r="AF97" s="87" t="str">
        <f aca="false">IF(ISBLANK($C97),"",IF(ISNUMBER(P97),IF(P97&gt;=0,P97,""),""))</f>
        <v/>
      </c>
      <c r="AG97" s="87" t="str">
        <f aca="false">IF(ISBLANK($C97),"",IF(Q97=Constants!$B$19,Constants!$B$19,Constants!$B$18))</f>
        <v/>
      </c>
      <c r="AH97" s="87" t="str">
        <f aca="false">IF(ISBLANK($C97),"",IF(ISNUMBER(R97),IF(R97&gt;=0,R97,""),""))</f>
        <v/>
      </c>
      <c r="AI97" s="87" t="str">
        <f aca="false">IF(ISBLANK($C97),"",IF(S97=Constants!$B$2, TRUE(), IF(S97=Constants!$B$3, FALSE(), FALSE())))</f>
        <v/>
      </c>
      <c r="AJ97" s="87" t="str">
        <f aca="false">IF(ISBLANK($C97),"",IF(AI97,Constants!$B$4,IF(COUNTA(E97:R97)=0,Constants!$B$5,IF(COUNTA(J97,L97,N97,P97,R97)=0,Constants!$B$6,Constants!$B$7))))</f>
        <v/>
      </c>
      <c r="AK97" s="87" t="str">
        <f aca="false">IF(ISBLANK($C97),"",IF($AJ97&lt;&gt;Constants!$B$7,$AJ97,IF(OR(NOT(X97),AND(NOT(U97),COUNTIFS(Y97:AG97,Constants!$B$18,Z97:AH97,"&gt;=0")&gt;0),AND(NOT(V97),COUNTIFS(Y97:AG97,Constants!$B$19,Z97:AH97,"&gt;=0")&gt;0)),Constants!$B$12,Constants!$B$11)))</f>
        <v/>
      </c>
      <c r="AL97" s="87" t="str">
        <f aca="false">IF($AJ97=Constants!$B$7,IF(Z97="",Constants!$B$13,Z97),"")</f>
        <v/>
      </c>
      <c r="AM97" s="87" t="str">
        <f aca="false">IF($AJ97=Constants!$B$7,IF(AB97="",Constants!$B$13,AB97),"")</f>
        <v/>
      </c>
      <c r="AN97" s="87" t="str">
        <f aca="false">IF($AJ97=Constants!$B$7,IF(AD97="",Constants!$B$13,AD97),"")</f>
        <v/>
      </c>
      <c r="AO97" s="87" t="str">
        <f aca="false">IF($AJ97=Constants!$B$7,IF(AF97="",Constants!$B$13,AF97),"")</f>
        <v/>
      </c>
      <c r="AP97" s="87" t="str">
        <f aca="false">IF($AJ97=Constants!$B$7,IF(AH97="",Constants!$B$13,AH97),"")</f>
        <v/>
      </c>
      <c r="AQ97" s="87" t="str">
        <f aca="false">IF($AJ97=Constants!$B$7,IF(SUMPRODUCT(--($AL97:$AP97&gt;AL97))+SUMPRODUCT(--($AL97:AL97=AL97))=1,1,IF(SUMPRODUCT(--($AL97:$AP97&gt;AM97))+SUMPRODUCT(--($AL97:AM97=AM97))=1,2,IF(SUMPRODUCT(--($AL97:$AP97&gt;AN97))+SUMPRODUCT(--($AL97:AN97=AN97))=1,3,IF(SUMPRODUCT(--($AL97:$AP97&gt;AO97))+SUMPRODUCT(--($AL97:AO97=AO97))=1,4,5)))),"")</f>
        <v/>
      </c>
      <c r="AR97" s="87" t="str">
        <f aca="false">IF($AJ97=Constants!$B$7,IF(SUMPRODUCT(--($AL97:$AP97&gt;AL97))+SUMPRODUCT(--($AL97:AL97=AL97))=2,1,IF(SUMPRODUCT(--($AL97:$AP97&gt;AM97))+SUMPRODUCT(--($AL97:AM97=AM97))=2,2,IF(SUMPRODUCT(--($AL97:$AP97&gt;AN97))+SUMPRODUCT(--($AL97:AN97=AN97))=2,3,IF(SUMPRODUCT(--($AL97:$AP97&gt;AO97))+SUMPRODUCT(--($AL97:AO97=AO97))=2,4,5)))),"")</f>
        <v/>
      </c>
      <c r="AS97" s="87" t="str">
        <f aca="false">IF($AJ97=Constants!$B$7,IF(SUMPRODUCT(--($AL97:$AP97&gt;AL97))+SUMPRODUCT(--($AL97:AL97=AL97))=3,1,IF(SUMPRODUCT(--($AL97:$AP97&gt;AM97))+SUMPRODUCT(--($AL97:AM97=AM97))=3,2,IF(SUMPRODUCT(--($AL97:$AP97&gt;AN97))+SUMPRODUCT(--($AL97:AN97=AN97))=3,3,IF(SUMPRODUCT(--($AL97:$AP97&gt;AO97))+SUMPRODUCT(--($AL97:AO97=AO97))=3,4,5)))),"")</f>
        <v/>
      </c>
      <c r="AT97" s="87" t="str">
        <f aca="false">IF($AJ97=Constants!$B$7,LARGE(AL97:AP97,1)+LARGE(AL97:AP97,2)+LARGE(AL97:AP97,3),"")</f>
        <v/>
      </c>
      <c r="AU97" s="87" t="str">
        <f aca="false">IF(ISBLANK($C97),"",IF($AJ97&lt;&gt;Constants!$B$7,$AJ97,AT97*W97))</f>
        <v/>
      </c>
      <c r="AV97" s="87" t="str">
        <f aca="false">IF(ISBLANK($C97),"",IF($AJ97=Constants!$B$7,IF(ISNUMBER(AU97),RANK(AU97,$AU$8:$AU$507),Constants!$B$14),$AJ97))</f>
        <v/>
      </c>
      <c r="AW97" s="87" t="str">
        <f aca="false">IF(ISBLANK($C97),"",IF($AJ97=Constants!$B$7,IF(ISNUMBER(AV97),COUNTIFS($AK$8:$AK$507,"&lt;"&amp;$AK97)+COUNTIFS($AK$8:$AK$507,$AK97,$AV$8:$AV$507,"&lt;"&amp;$AV97)+1,Constants!$B$14),$AJ97))</f>
        <v/>
      </c>
      <c r="AX97" s="87" t="str">
        <f aca="false">IF(ISBLANK($C97),"",IF($AJ97=Constants!$B$7,LARGE(AL97:AP97,4)*W97,""))</f>
        <v/>
      </c>
      <c r="AY97" s="87" t="str">
        <f aca="false">IF(ISBLANK($C97),"",IF($AJ97=Constants!$B$7,RANK(AX97,$AX$8:$AX$507),$AJ97))</f>
        <v/>
      </c>
      <c r="AZ97" s="87" t="str">
        <f aca="false">IF(ISBLANK($C97),"",IF($AJ97=Constants!$B$7,IF(ISNUMBER(AV97),COUNTIFS($AK$8:$AK$507,"&lt;"&amp;$AK97)+COUNTIFS($AK$8:$AK$507,$AK97,$AV$8:$AV$507,"&lt;"&amp;$AV97)+COUNTIFS($AK$8:$AK$507,$AK97,$AV$8:$AV$507,$AV97,$AY$8:$AY$507,"&lt;"&amp;$AY97)+1,Constants!$B$14),$AJ97))</f>
        <v/>
      </c>
      <c r="BA97" s="87" t="str">
        <f aca="false">IF(ISBLANK($C97),"",IF($AJ97=Constants!$B$7,IF(ISNUMBER(AW97),AW97-AZ97,Constants!$B$14),$AJ97))</f>
        <v/>
      </c>
      <c r="BB97" s="88"/>
      <c r="BC97" s="89" t="str">
        <f aca="false">IF(ISBLANK($C97),"",IF($AJ97&lt;&gt;Constants!$B$7,$AJ97,SMALL(AQ97:AS97,1)&amp;", "&amp;SMALL(AQ97:AS97,2)&amp;", "&amp;SMALL(AQ97:AS97,3)))</f>
        <v/>
      </c>
      <c r="BD97" s="90" t="str">
        <f aca="false">IF(ISBLANK($C97),"",IF($AJ97&lt;&gt;Constants!$B$7,$AJ97,W97))</f>
        <v/>
      </c>
      <c r="BE97" s="91" t="str">
        <f aca="false">IF(ISBLANK($C97),"",IF($AJ97&lt;&gt;Constants!$B$7,$AJ97,AU97))</f>
        <v/>
      </c>
      <c r="BF97" s="92" t="str">
        <f aca="false">IF(ISBLANK($C97),"",IF($AJ97&lt;&gt;Constants!$B$7,$AJ97,AK97))</f>
        <v/>
      </c>
      <c r="BG97" s="90" t="str">
        <f aca="false">IF(ISBLANK($C97),"",BA97)</f>
        <v/>
      </c>
      <c r="BH97" s="90" t="str">
        <f aca="false">IF(ISBLANK($C97),"",AZ97)</f>
        <v/>
      </c>
      <c r="BI97" s="93" t="str">
        <f aca="false">IF(ISBLANK($C97),"",IF(BH97=Constants!$B$4,COUNTA($C$8:$C$507)+2,IF(BH97=Constants!$B$5,COUNTA($C$8:$C$507)+1,IF(BH97=Constants!$B$6,COUNTA($C$8:$C$507),BH97))))</f>
        <v/>
      </c>
      <c r="BJ97" s="5"/>
      <c r="BK97" s="94" t="n">
        <f aca="false">IF(OR(ISNUMBER(BH97),BH97=Constants!$B$4,BH97=Constants!$B$6,BH97=Constants!$B$5),1,0)</f>
        <v>0</v>
      </c>
      <c r="BL97" s="94" t="n">
        <v>90</v>
      </c>
      <c r="BM97" s="94" t="str">
        <f aca="false">IF(ISBLANK($C97),"",IF(ISNUMBER(BI97),BI97+ROW($B97)/1000,""))</f>
        <v/>
      </c>
      <c r="BN97" s="94" t="str">
        <f aca="false">IF(ISNUMBER(BM97),RANK(BM97,$BM$8:$BM$507,1),"")</f>
        <v/>
      </c>
      <c r="BO97" s="94" t="str">
        <f aca="false">IF(ISBLANK($C97),"",$B97)</f>
        <v/>
      </c>
      <c r="BP97" s="94" t="str">
        <f aca="false">IF(ISBLANK($C97),"",$C97)</f>
        <v/>
      </c>
      <c r="BQ97" s="94" t="str">
        <f aca="false">IF(ISBLANK($C97),"",$D97)</f>
        <v/>
      </c>
      <c r="BR97" s="95" t="str">
        <f aca="false">BF97</f>
        <v/>
      </c>
      <c r="BS97" s="96" t="str">
        <f aca="false">BE97</f>
        <v/>
      </c>
      <c r="BT97" s="94" t="str">
        <f aca="false">IF(ISBLANK($C97),"",BH97)</f>
        <v/>
      </c>
      <c r="BU97" s="97" t="str">
        <f aca="false">IF($BL97&gt;$BK$7,"",VLOOKUP($BL97,$BN$8:$BT$507,7,FALSE()))</f>
        <v/>
      </c>
      <c r="BV97" s="98" t="str">
        <f aca="false">IF($BL97&gt;$BK$7,"",VLOOKUP($BL97,$BN$8:$BT$507,2,FALSE()))</f>
        <v/>
      </c>
      <c r="BW97" s="98" t="str">
        <f aca="false">IF($BL97&gt;$BK$7,"",VLOOKUP($BL97,$BN$8:$BT$507,3,FALSE()))</f>
        <v/>
      </c>
      <c r="BX97" s="98" t="str">
        <f aca="false">IF($BL97&gt;$BK$7,"",VLOOKUP($BL97,$BN$8:$BT$507,4,FALSE()))</f>
        <v/>
      </c>
      <c r="BY97" s="98" t="str">
        <f aca="false">IF($BL97&gt;$BK$7,"",VLOOKUP($BL97,$BN$8:$BT$507,5,FALSE()))</f>
        <v/>
      </c>
      <c r="BZ97" s="99" t="str">
        <f aca="false">IF($BL97&gt;$BK$7,"",VLOOKUP($BL97,$BN$8:$BT$507,6,FALSE()))</f>
        <v/>
      </c>
      <c r="CA97" s="48"/>
    </row>
    <row r="98" customFormat="false" ht="15.75" hidden="false" customHeight="false" outlineLevel="0" collapsed="false">
      <c r="A98" s="5"/>
      <c r="B98" s="121"/>
      <c r="C98" s="50"/>
      <c r="D98" s="51"/>
      <c r="E98" s="74"/>
      <c r="F98" s="122"/>
      <c r="G98" s="54"/>
      <c r="H98" s="123"/>
      <c r="I98" s="124"/>
      <c r="J98" s="54"/>
      <c r="K98" s="123"/>
      <c r="L98" s="54"/>
      <c r="M98" s="123"/>
      <c r="N98" s="54"/>
      <c r="O98" s="123"/>
      <c r="P98" s="54"/>
      <c r="Q98" s="123"/>
      <c r="R98" s="54"/>
      <c r="S98" s="74"/>
      <c r="T98" s="58"/>
      <c r="U98" s="59" t="str">
        <f aca="false">IF(ISBLANK($C98),"",IF(E98=Constants!$B$2, TRUE(), IF(E98=Constants!$B$3, FALSE(), TRUE())))</f>
        <v/>
      </c>
      <c r="V98" s="59" t="str">
        <f aca="false">IF(ISBLANK($C98),"",IF(F98=Constants!$B$2, TRUE(), IF(F98=Constants!$B$3, FALSE(), TRUE())))</f>
        <v/>
      </c>
      <c r="W98" s="59" t="str">
        <f aca="false">IF(ISBLANK($C98),"",IF(G98=Constants!$B$15,Constants!$B$8,IF(G98=Constants!$B$16,Constants!$B$9,Constants!$B$10)))</f>
        <v/>
      </c>
      <c r="X98" s="59" t="str">
        <f aca="false">IF(ISBLANK($C98),"",IF(H98=Constants!$B$2, TRUE(), IF(H98=Constants!$B$3, FALSE(), TRUE())))</f>
        <v/>
      </c>
      <c r="Y98" s="59" t="str">
        <f aca="false">IF(ISBLANK($C98),"",IF(I98=Constants!$B$19,Constants!$B$19,Constants!$B$18))</f>
        <v/>
      </c>
      <c r="Z98" s="59" t="str">
        <f aca="false">IF(ISBLANK($C98),"",IF(ISNUMBER(J98),IF(J98&gt;=0,J98,""),""))</f>
        <v/>
      </c>
      <c r="AA98" s="59" t="str">
        <f aca="false">IF(ISBLANK($C98),"",IF(K98=Constants!$B$19,Constants!$B$19,Constants!$B$18))</f>
        <v/>
      </c>
      <c r="AB98" s="59" t="str">
        <f aca="false">IF(ISBLANK($C98),"",IF(ISNUMBER(L98),IF(L98&gt;=0,L98,""),""))</f>
        <v/>
      </c>
      <c r="AC98" s="59" t="str">
        <f aca="false">IF(ISBLANK($C98),"",IF(M98=Constants!$B$19,Constants!$B$19,Constants!$B$18))</f>
        <v/>
      </c>
      <c r="AD98" s="59" t="str">
        <f aca="false">IF(ISBLANK($C98),"",IF(ISNUMBER(N98),IF(N98&gt;=0,N98,""),""))</f>
        <v/>
      </c>
      <c r="AE98" s="59" t="str">
        <f aca="false">IF(ISBLANK($C98),"",IF(O98=Constants!$B$19,Constants!$B$19,Constants!$B$18))</f>
        <v/>
      </c>
      <c r="AF98" s="59" t="str">
        <f aca="false">IF(ISBLANK($C98),"",IF(ISNUMBER(P98),IF(P98&gt;=0,P98,""),""))</f>
        <v/>
      </c>
      <c r="AG98" s="59" t="str">
        <f aca="false">IF(ISBLANK($C98),"",IF(Q98=Constants!$B$19,Constants!$B$19,Constants!$B$18))</f>
        <v/>
      </c>
      <c r="AH98" s="59" t="str">
        <f aca="false">IF(ISBLANK($C98),"",IF(ISNUMBER(R98),IF(R98&gt;=0,R98,""),""))</f>
        <v/>
      </c>
      <c r="AI98" s="59" t="str">
        <f aca="false">IF(ISBLANK($C98),"",IF(S98=Constants!$B$2, TRUE(), IF(S98=Constants!$B$3, FALSE(), FALSE())))</f>
        <v/>
      </c>
      <c r="AJ98" s="59" t="str">
        <f aca="false">IF(ISBLANK($C98),"",IF(AI98,Constants!$B$4,IF(COUNTA(E98:R98)=0,Constants!$B$5,IF(COUNTA(J98,L98,N98,P98,R98)=0,Constants!$B$6,Constants!$B$7))))</f>
        <v/>
      </c>
      <c r="AK98" s="59" t="str">
        <f aca="false">IF(ISBLANK($C98),"",IF($AJ98&lt;&gt;Constants!$B$7,$AJ98,IF(OR(NOT(X98),AND(NOT(U98),COUNTIFS(Y98:AG98,Constants!$B$18,Z98:AH98,"&gt;=0")&gt;0),AND(NOT(V98),COUNTIFS(Y98:AG98,Constants!$B$19,Z98:AH98,"&gt;=0")&gt;0)),Constants!$B$12,Constants!$B$11)))</f>
        <v/>
      </c>
      <c r="AL98" s="59" t="str">
        <f aca="false">IF($AJ98=Constants!$B$7,IF(Z98="",Constants!$B$13,Z98),"")</f>
        <v/>
      </c>
      <c r="AM98" s="59" t="str">
        <f aca="false">IF($AJ98=Constants!$B$7,IF(AB98="",Constants!$B$13,AB98),"")</f>
        <v/>
      </c>
      <c r="AN98" s="59" t="str">
        <f aca="false">IF($AJ98=Constants!$B$7,IF(AD98="",Constants!$B$13,AD98),"")</f>
        <v/>
      </c>
      <c r="AO98" s="59" t="str">
        <f aca="false">IF($AJ98=Constants!$B$7,IF(AF98="",Constants!$B$13,AF98),"")</f>
        <v/>
      </c>
      <c r="AP98" s="59" t="str">
        <f aca="false">IF($AJ98=Constants!$B$7,IF(AH98="",Constants!$B$13,AH98),"")</f>
        <v/>
      </c>
      <c r="AQ98" s="59" t="str">
        <f aca="false">IF($AJ98=Constants!$B$7,IF(SUMPRODUCT(--($AL98:$AP98&gt;AL98))+SUMPRODUCT(--($AL98:AL98=AL98))=1,1,IF(SUMPRODUCT(--($AL98:$AP98&gt;AM98))+SUMPRODUCT(--($AL98:AM98=AM98))=1,2,IF(SUMPRODUCT(--($AL98:$AP98&gt;AN98))+SUMPRODUCT(--($AL98:AN98=AN98))=1,3,IF(SUMPRODUCT(--($AL98:$AP98&gt;AO98))+SUMPRODUCT(--($AL98:AO98=AO98))=1,4,5)))),"")</f>
        <v/>
      </c>
      <c r="AR98" s="59" t="str">
        <f aca="false">IF($AJ98=Constants!$B$7,IF(SUMPRODUCT(--($AL98:$AP98&gt;AL98))+SUMPRODUCT(--($AL98:AL98=AL98))=2,1,IF(SUMPRODUCT(--($AL98:$AP98&gt;AM98))+SUMPRODUCT(--($AL98:AM98=AM98))=2,2,IF(SUMPRODUCT(--($AL98:$AP98&gt;AN98))+SUMPRODUCT(--($AL98:AN98=AN98))=2,3,IF(SUMPRODUCT(--($AL98:$AP98&gt;AO98))+SUMPRODUCT(--($AL98:AO98=AO98))=2,4,5)))),"")</f>
        <v/>
      </c>
      <c r="AS98" s="59" t="str">
        <f aca="false">IF($AJ98=Constants!$B$7,IF(SUMPRODUCT(--($AL98:$AP98&gt;AL98))+SUMPRODUCT(--($AL98:AL98=AL98))=3,1,IF(SUMPRODUCT(--($AL98:$AP98&gt;AM98))+SUMPRODUCT(--($AL98:AM98=AM98))=3,2,IF(SUMPRODUCT(--($AL98:$AP98&gt;AN98))+SUMPRODUCT(--($AL98:AN98=AN98))=3,3,IF(SUMPRODUCT(--($AL98:$AP98&gt;AO98))+SUMPRODUCT(--($AL98:AO98=AO98))=3,4,5)))),"")</f>
        <v/>
      </c>
      <c r="AT98" s="59" t="str">
        <f aca="false">IF($AJ98=Constants!$B$7,LARGE(AL98:AP98,1)+LARGE(AL98:AP98,2)+LARGE(AL98:AP98,3),"")</f>
        <v/>
      </c>
      <c r="AU98" s="59" t="str">
        <f aca="false">IF(ISBLANK($C98),"",IF($AJ98&lt;&gt;Constants!$B$7,$AJ98,AT98*W98))</f>
        <v/>
      </c>
      <c r="AV98" s="59" t="str">
        <f aca="false">IF(ISBLANK($C98),"",IF($AJ98=Constants!$B$7,IF(ISNUMBER(AU98),RANK(AU98,$AU$8:$AU$507),Constants!$B$14),$AJ98))</f>
        <v/>
      </c>
      <c r="AW98" s="59" t="str">
        <f aca="false">IF(ISBLANK($C98),"",IF($AJ98=Constants!$B$7,IF(ISNUMBER(AV98),COUNTIFS($AK$8:$AK$507,"&lt;"&amp;$AK98)+COUNTIFS($AK$8:$AK$507,$AK98,$AV$8:$AV$507,"&lt;"&amp;$AV98)+1,Constants!$B$14),$AJ98))</f>
        <v/>
      </c>
      <c r="AX98" s="59" t="str">
        <f aca="false">IF(ISBLANK($C98),"",IF($AJ98=Constants!$B$7,LARGE(AL98:AP98,4)*W98,""))</f>
        <v/>
      </c>
      <c r="AY98" s="59" t="str">
        <f aca="false">IF(ISBLANK($C98),"",IF($AJ98=Constants!$B$7,RANK(AX98,$AX$8:$AX$507),$AJ98))</f>
        <v/>
      </c>
      <c r="AZ98" s="59" t="str">
        <f aca="false">IF(ISBLANK($C98),"",IF($AJ98=Constants!$B$7,IF(ISNUMBER(AV98),COUNTIFS($AK$8:$AK$507,"&lt;"&amp;$AK98)+COUNTIFS($AK$8:$AK$507,$AK98,$AV$8:$AV$507,"&lt;"&amp;$AV98)+COUNTIFS($AK$8:$AK$507,$AK98,$AV$8:$AV$507,$AV98,$AY$8:$AY$507,"&lt;"&amp;$AY98)+1,Constants!$B$14),$AJ98))</f>
        <v/>
      </c>
      <c r="BA98" s="59" t="str">
        <f aca="false">IF(ISBLANK($C98),"",IF($AJ98=Constants!$B$7,IF(ISNUMBER(AW98),AW98-AZ98,Constants!$B$14),$AJ98))</f>
        <v/>
      </c>
      <c r="BB98" s="61"/>
      <c r="BC98" s="62" t="str">
        <f aca="false">IF(ISBLANK($C98),"",IF($AJ98&lt;&gt;Constants!$B$7,$AJ98,SMALL(AQ98:AS98,1)&amp;", "&amp;SMALL(AQ98:AS98,2)&amp;", "&amp;SMALL(AQ98:AS98,3)))</f>
        <v/>
      </c>
      <c r="BD98" s="63" t="str">
        <f aca="false">IF(ISBLANK($C98),"",IF($AJ98&lt;&gt;Constants!$B$7,$AJ98,W98))</f>
        <v/>
      </c>
      <c r="BE98" s="64" t="str">
        <f aca="false">IF(ISBLANK($C98),"",IF($AJ98&lt;&gt;Constants!$B$7,$AJ98,AU98))</f>
        <v/>
      </c>
      <c r="BF98" s="65" t="str">
        <f aca="false">IF(ISBLANK($C98),"",IF($AJ98&lt;&gt;Constants!$B$7,$AJ98,AK98))</f>
        <v/>
      </c>
      <c r="BG98" s="63" t="str">
        <f aca="false">IF(ISBLANK($C98),"",BA98)</f>
        <v/>
      </c>
      <c r="BH98" s="63" t="str">
        <f aca="false">IF(ISBLANK($C98),"",AZ98)</f>
        <v/>
      </c>
      <c r="BI98" s="66" t="str">
        <f aca="false">IF(ISBLANK($C98),"",IF(BH98=Constants!$B$4,COUNTA($C$8:$C$507)+2,IF(BH98=Constants!$B$5,COUNTA($C$8:$C$507)+1,IF(BH98=Constants!$B$6,COUNTA($C$8:$C$507),BH98))))</f>
        <v/>
      </c>
      <c r="BJ98" s="5"/>
      <c r="BK98" s="67" t="n">
        <f aca="false">IF(OR(ISNUMBER(BH98),BH98=Constants!$B$4,BH98=Constants!$B$6,BH98=Constants!$B$5),1,0)</f>
        <v>0</v>
      </c>
      <c r="BL98" s="67" t="n">
        <v>91</v>
      </c>
      <c r="BM98" s="67" t="str">
        <f aca="false">IF(ISBLANK($C98),"",IF(ISNUMBER(BI98),BI98+ROW($B98)/1000,""))</f>
        <v/>
      </c>
      <c r="BN98" s="67" t="str">
        <f aca="false">IF(ISNUMBER(BM98),RANK(BM98,$BM$8:$BM$507,1),"")</f>
        <v/>
      </c>
      <c r="BO98" s="67" t="str">
        <f aca="false">IF(ISBLANK($C98),"",$B98)</f>
        <v/>
      </c>
      <c r="BP98" s="67" t="str">
        <f aca="false">IF(ISBLANK($C98),"",$C98)</f>
        <v/>
      </c>
      <c r="BQ98" s="67" t="str">
        <f aca="false">IF(ISBLANK($C98),"",$D98)</f>
        <v/>
      </c>
      <c r="BR98" s="68" t="str">
        <f aca="false">BF98</f>
        <v/>
      </c>
      <c r="BS98" s="69" t="str">
        <f aca="false">BE98</f>
        <v/>
      </c>
      <c r="BT98" s="67" t="str">
        <f aca="false">IF(ISBLANK($C98),"",BH98)</f>
        <v/>
      </c>
      <c r="BU98" s="70" t="str">
        <f aca="false">IF($BL98&gt;$BK$7,"",VLOOKUP($BL98,$BN$8:$BT$507,7,FALSE()))</f>
        <v/>
      </c>
      <c r="BV98" s="71" t="str">
        <f aca="false">IF($BL98&gt;$BK$7,"",VLOOKUP($BL98,$BN$8:$BT$507,2,FALSE()))</f>
        <v/>
      </c>
      <c r="BW98" s="71" t="str">
        <f aca="false">IF($BL98&gt;$BK$7,"",VLOOKUP($BL98,$BN$8:$BT$507,3,FALSE()))</f>
        <v/>
      </c>
      <c r="BX98" s="71" t="str">
        <f aca="false">IF($BL98&gt;$BK$7,"",VLOOKUP($BL98,$BN$8:$BT$507,4,FALSE()))</f>
        <v/>
      </c>
      <c r="BY98" s="71" t="str">
        <f aca="false">IF($BL98&gt;$BK$7,"",VLOOKUP($BL98,$BN$8:$BT$507,5,FALSE()))</f>
        <v/>
      </c>
      <c r="BZ98" s="72" t="str">
        <f aca="false">IF($BL98&gt;$BK$7,"",VLOOKUP($BL98,$BN$8:$BT$507,6,FALSE()))</f>
        <v/>
      </c>
      <c r="CA98" s="48"/>
    </row>
    <row r="99" customFormat="false" ht="15.75" hidden="false" customHeight="false" outlineLevel="0" collapsed="false">
      <c r="A99" s="5"/>
      <c r="B99" s="121"/>
      <c r="C99" s="50"/>
      <c r="D99" s="51"/>
      <c r="E99" s="74"/>
      <c r="F99" s="122"/>
      <c r="G99" s="54"/>
      <c r="H99" s="123"/>
      <c r="I99" s="124"/>
      <c r="J99" s="54"/>
      <c r="K99" s="123"/>
      <c r="L99" s="54"/>
      <c r="M99" s="123"/>
      <c r="N99" s="54"/>
      <c r="O99" s="123"/>
      <c r="P99" s="54"/>
      <c r="Q99" s="123"/>
      <c r="R99" s="54"/>
      <c r="S99" s="74"/>
      <c r="T99" s="58"/>
      <c r="U99" s="59" t="str">
        <f aca="false">IF(ISBLANK($C99),"",IF(E99=Constants!$B$2, TRUE(), IF(E99=Constants!$B$3, FALSE(), TRUE())))</f>
        <v/>
      </c>
      <c r="V99" s="59" t="str">
        <f aca="false">IF(ISBLANK($C99),"",IF(F99=Constants!$B$2, TRUE(), IF(F99=Constants!$B$3, FALSE(), TRUE())))</f>
        <v/>
      </c>
      <c r="W99" s="59" t="str">
        <f aca="false">IF(ISBLANK($C99),"",IF(G99=Constants!$B$15,Constants!$B$8,IF(G99=Constants!$B$16,Constants!$B$9,Constants!$B$10)))</f>
        <v/>
      </c>
      <c r="X99" s="59" t="str">
        <f aca="false">IF(ISBLANK($C99),"",IF(H99=Constants!$B$2, TRUE(), IF(H99=Constants!$B$3, FALSE(), TRUE())))</f>
        <v/>
      </c>
      <c r="Y99" s="59" t="str">
        <f aca="false">IF(ISBLANK($C99),"",IF(I99=Constants!$B$19,Constants!$B$19,Constants!$B$18))</f>
        <v/>
      </c>
      <c r="Z99" s="59" t="str">
        <f aca="false">IF(ISBLANK($C99),"",IF(ISNUMBER(J99),IF(J99&gt;=0,J99,""),""))</f>
        <v/>
      </c>
      <c r="AA99" s="59" t="str">
        <f aca="false">IF(ISBLANK($C99),"",IF(K99=Constants!$B$19,Constants!$B$19,Constants!$B$18))</f>
        <v/>
      </c>
      <c r="AB99" s="59" t="str">
        <f aca="false">IF(ISBLANK($C99),"",IF(ISNUMBER(L99),IF(L99&gt;=0,L99,""),""))</f>
        <v/>
      </c>
      <c r="AC99" s="59" t="str">
        <f aca="false">IF(ISBLANK($C99),"",IF(M99=Constants!$B$19,Constants!$B$19,Constants!$B$18))</f>
        <v/>
      </c>
      <c r="AD99" s="59" t="str">
        <f aca="false">IF(ISBLANK($C99),"",IF(ISNUMBER(N99),IF(N99&gt;=0,N99,""),""))</f>
        <v/>
      </c>
      <c r="AE99" s="59" t="str">
        <f aca="false">IF(ISBLANK($C99),"",IF(O99=Constants!$B$19,Constants!$B$19,Constants!$B$18))</f>
        <v/>
      </c>
      <c r="AF99" s="59" t="str">
        <f aca="false">IF(ISBLANK($C99),"",IF(ISNUMBER(P99),IF(P99&gt;=0,P99,""),""))</f>
        <v/>
      </c>
      <c r="AG99" s="59" t="str">
        <f aca="false">IF(ISBLANK($C99),"",IF(Q99=Constants!$B$19,Constants!$B$19,Constants!$B$18))</f>
        <v/>
      </c>
      <c r="AH99" s="59" t="str">
        <f aca="false">IF(ISBLANK($C99),"",IF(ISNUMBER(R99),IF(R99&gt;=0,R99,""),""))</f>
        <v/>
      </c>
      <c r="AI99" s="59" t="str">
        <f aca="false">IF(ISBLANK($C99),"",IF(S99=Constants!$B$2, TRUE(), IF(S99=Constants!$B$3, FALSE(), FALSE())))</f>
        <v/>
      </c>
      <c r="AJ99" s="59" t="str">
        <f aca="false">IF(ISBLANK($C99),"",IF(AI99,Constants!$B$4,IF(COUNTA(E99:R99)=0,Constants!$B$5,IF(COUNTA(J99,L99,N99,P99,R99)=0,Constants!$B$6,Constants!$B$7))))</f>
        <v/>
      </c>
      <c r="AK99" s="59" t="str">
        <f aca="false">IF(ISBLANK($C99),"",IF($AJ99&lt;&gt;Constants!$B$7,$AJ99,IF(OR(NOT(X99),AND(NOT(U99),COUNTIFS(Y99:AG99,Constants!$B$18,Z99:AH99,"&gt;=0")&gt;0),AND(NOT(V99),COUNTIFS(Y99:AG99,Constants!$B$19,Z99:AH99,"&gt;=0")&gt;0)),Constants!$B$12,Constants!$B$11)))</f>
        <v/>
      </c>
      <c r="AL99" s="59" t="str">
        <f aca="false">IF($AJ99=Constants!$B$7,IF(Z99="",Constants!$B$13,Z99),"")</f>
        <v/>
      </c>
      <c r="AM99" s="59" t="str">
        <f aca="false">IF($AJ99=Constants!$B$7,IF(AB99="",Constants!$B$13,AB99),"")</f>
        <v/>
      </c>
      <c r="AN99" s="59" t="str">
        <f aca="false">IF($AJ99=Constants!$B$7,IF(AD99="",Constants!$B$13,AD99),"")</f>
        <v/>
      </c>
      <c r="AO99" s="59" t="str">
        <f aca="false">IF($AJ99=Constants!$B$7,IF(AF99="",Constants!$B$13,AF99),"")</f>
        <v/>
      </c>
      <c r="AP99" s="59" t="str">
        <f aca="false">IF($AJ99=Constants!$B$7,IF(AH99="",Constants!$B$13,AH99),"")</f>
        <v/>
      </c>
      <c r="AQ99" s="59" t="str">
        <f aca="false">IF($AJ99=Constants!$B$7,IF(SUMPRODUCT(--($AL99:$AP99&gt;AL99))+SUMPRODUCT(--($AL99:AL99=AL99))=1,1,IF(SUMPRODUCT(--($AL99:$AP99&gt;AM99))+SUMPRODUCT(--($AL99:AM99=AM99))=1,2,IF(SUMPRODUCT(--($AL99:$AP99&gt;AN99))+SUMPRODUCT(--($AL99:AN99=AN99))=1,3,IF(SUMPRODUCT(--($AL99:$AP99&gt;AO99))+SUMPRODUCT(--($AL99:AO99=AO99))=1,4,5)))),"")</f>
        <v/>
      </c>
      <c r="AR99" s="59" t="str">
        <f aca="false">IF($AJ99=Constants!$B$7,IF(SUMPRODUCT(--($AL99:$AP99&gt;AL99))+SUMPRODUCT(--($AL99:AL99=AL99))=2,1,IF(SUMPRODUCT(--($AL99:$AP99&gt;AM99))+SUMPRODUCT(--($AL99:AM99=AM99))=2,2,IF(SUMPRODUCT(--($AL99:$AP99&gt;AN99))+SUMPRODUCT(--($AL99:AN99=AN99))=2,3,IF(SUMPRODUCT(--($AL99:$AP99&gt;AO99))+SUMPRODUCT(--($AL99:AO99=AO99))=2,4,5)))),"")</f>
        <v/>
      </c>
      <c r="AS99" s="59" t="str">
        <f aca="false">IF($AJ99=Constants!$B$7,IF(SUMPRODUCT(--($AL99:$AP99&gt;AL99))+SUMPRODUCT(--($AL99:AL99=AL99))=3,1,IF(SUMPRODUCT(--($AL99:$AP99&gt;AM99))+SUMPRODUCT(--($AL99:AM99=AM99))=3,2,IF(SUMPRODUCT(--($AL99:$AP99&gt;AN99))+SUMPRODUCT(--($AL99:AN99=AN99))=3,3,IF(SUMPRODUCT(--($AL99:$AP99&gt;AO99))+SUMPRODUCT(--($AL99:AO99=AO99))=3,4,5)))),"")</f>
        <v/>
      </c>
      <c r="AT99" s="59" t="str">
        <f aca="false">IF($AJ99=Constants!$B$7,LARGE(AL99:AP99,1)+LARGE(AL99:AP99,2)+LARGE(AL99:AP99,3),"")</f>
        <v/>
      </c>
      <c r="AU99" s="59" t="str">
        <f aca="false">IF(ISBLANK($C99),"",IF($AJ99&lt;&gt;Constants!$B$7,$AJ99,AT99*W99))</f>
        <v/>
      </c>
      <c r="AV99" s="59" t="str">
        <f aca="false">IF(ISBLANK($C99),"",IF($AJ99=Constants!$B$7,IF(ISNUMBER(AU99),RANK(AU99,$AU$8:$AU$507),Constants!$B$14),$AJ99))</f>
        <v/>
      </c>
      <c r="AW99" s="59" t="str">
        <f aca="false">IF(ISBLANK($C99),"",IF($AJ99=Constants!$B$7,IF(ISNUMBER(AV99),COUNTIFS($AK$8:$AK$507,"&lt;"&amp;$AK99)+COUNTIFS($AK$8:$AK$507,$AK99,$AV$8:$AV$507,"&lt;"&amp;$AV99)+1,Constants!$B$14),$AJ99))</f>
        <v/>
      </c>
      <c r="AX99" s="59" t="str">
        <f aca="false">IF(ISBLANK($C99),"",IF($AJ99=Constants!$B$7,LARGE(AL99:AP99,4)*W99,""))</f>
        <v/>
      </c>
      <c r="AY99" s="59" t="str">
        <f aca="false">IF(ISBLANK($C99),"",IF($AJ99=Constants!$B$7,RANK(AX99,$AX$8:$AX$507),$AJ99))</f>
        <v/>
      </c>
      <c r="AZ99" s="59" t="str">
        <f aca="false">IF(ISBLANK($C99),"",IF($AJ99=Constants!$B$7,IF(ISNUMBER(AV99),COUNTIFS($AK$8:$AK$507,"&lt;"&amp;$AK99)+COUNTIFS($AK$8:$AK$507,$AK99,$AV$8:$AV$507,"&lt;"&amp;$AV99)+COUNTIFS($AK$8:$AK$507,$AK99,$AV$8:$AV$507,$AV99,$AY$8:$AY$507,"&lt;"&amp;$AY99)+1,Constants!$B$14),$AJ99))</f>
        <v/>
      </c>
      <c r="BA99" s="59" t="str">
        <f aca="false">IF(ISBLANK($C99),"",IF($AJ99=Constants!$B$7,IF(ISNUMBER(AW99),AW99-AZ99,Constants!$B$14),$AJ99))</f>
        <v/>
      </c>
      <c r="BB99" s="61"/>
      <c r="BC99" s="62" t="str">
        <f aca="false">IF(ISBLANK($C99),"",IF($AJ99&lt;&gt;Constants!$B$7,$AJ99,SMALL(AQ99:AS99,1)&amp;", "&amp;SMALL(AQ99:AS99,2)&amp;", "&amp;SMALL(AQ99:AS99,3)))</f>
        <v/>
      </c>
      <c r="BD99" s="63" t="str">
        <f aca="false">IF(ISBLANK($C99),"",IF($AJ99&lt;&gt;Constants!$B$7,$AJ99,W99))</f>
        <v/>
      </c>
      <c r="BE99" s="64" t="str">
        <f aca="false">IF(ISBLANK($C99),"",IF($AJ99&lt;&gt;Constants!$B$7,$AJ99,AU99))</f>
        <v/>
      </c>
      <c r="BF99" s="65" t="str">
        <f aca="false">IF(ISBLANK($C99),"",IF($AJ99&lt;&gt;Constants!$B$7,$AJ99,AK99))</f>
        <v/>
      </c>
      <c r="BG99" s="63" t="str">
        <f aca="false">IF(ISBLANK($C99),"",BA99)</f>
        <v/>
      </c>
      <c r="BH99" s="63" t="str">
        <f aca="false">IF(ISBLANK($C99),"",AZ99)</f>
        <v/>
      </c>
      <c r="BI99" s="66" t="str">
        <f aca="false">IF(ISBLANK($C99),"",IF(BH99=Constants!$B$4,COUNTA($C$8:$C$507)+2,IF(BH99=Constants!$B$5,COUNTA($C$8:$C$507)+1,IF(BH99=Constants!$B$6,COUNTA($C$8:$C$507),BH99))))</f>
        <v/>
      </c>
      <c r="BJ99" s="5"/>
      <c r="BK99" s="67" t="n">
        <f aca="false">IF(OR(ISNUMBER(BH99),BH99=Constants!$B$4,BH99=Constants!$B$6,BH99=Constants!$B$5),1,0)</f>
        <v>0</v>
      </c>
      <c r="BL99" s="67" t="n">
        <v>92</v>
      </c>
      <c r="BM99" s="67" t="str">
        <f aca="false">IF(ISBLANK($C99),"",IF(ISNUMBER(BI99),BI99+ROW($B99)/1000,""))</f>
        <v/>
      </c>
      <c r="BN99" s="67" t="str">
        <f aca="false">IF(ISNUMBER(BM99),RANK(BM99,$BM$8:$BM$507,1),"")</f>
        <v/>
      </c>
      <c r="BO99" s="67" t="str">
        <f aca="false">IF(ISBLANK($C99),"",$B99)</f>
        <v/>
      </c>
      <c r="BP99" s="67" t="str">
        <f aca="false">IF(ISBLANK($C99),"",$C99)</f>
        <v/>
      </c>
      <c r="BQ99" s="67" t="str">
        <f aca="false">IF(ISBLANK($C99),"",$D99)</f>
        <v/>
      </c>
      <c r="BR99" s="68" t="str">
        <f aca="false">BF99</f>
        <v/>
      </c>
      <c r="BS99" s="69" t="str">
        <f aca="false">BE99</f>
        <v/>
      </c>
      <c r="BT99" s="67" t="str">
        <f aca="false">IF(ISBLANK($C99),"",BH99)</f>
        <v/>
      </c>
      <c r="BU99" s="70" t="str">
        <f aca="false">IF($BL99&gt;$BK$7,"",VLOOKUP($BL99,$BN$8:$BT$507,7,FALSE()))</f>
        <v/>
      </c>
      <c r="BV99" s="71" t="str">
        <f aca="false">IF($BL99&gt;$BK$7,"",VLOOKUP($BL99,$BN$8:$BT$507,2,FALSE()))</f>
        <v/>
      </c>
      <c r="BW99" s="71" t="str">
        <f aca="false">IF($BL99&gt;$BK$7,"",VLOOKUP($BL99,$BN$8:$BT$507,3,FALSE()))</f>
        <v/>
      </c>
      <c r="BX99" s="71" t="str">
        <f aca="false">IF($BL99&gt;$BK$7,"",VLOOKUP($BL99,$BN$8:$BT$507,4,FALSE()))</f>
        <v/>
      </c>
      <c r="BY99" s="71" t="str">
        <f aca="false">IF($BL99&gt;$BK$7,"",VLOOKUP($BL99,$BN$8:$BT$507,5,FALSE()))</f>
        <v/>
      </c>
      <c r="BZ99" s="72" t="str">
        <f aca="false">IF($BL99&gt;$BK$7,"",VLOOKUP($BL99,$BN$8:$BT$507,6,FALSE()))</f>
        <v/>
      </c>
      <c r="CA99" s="48"/>
    </row>
    <row r="100" customFormat="false" ht="15.75" hidden="false" customHeight="false" outlineLevel="0" collapsed="false">
      <c r="A100" s="5"/>
      <c r="B100" s="121"/>
      <c r="C100" s="50"/>
      <c r="D100" s="51"/>
      <c r="E100" s="74"/>
      <c r="F100" s="122"/>
      <c r="G100" s="54"/>
      <c r="H100" s="123"/>
      <c r="I100" s="124"/>
      <c r="J100" s="54"/>
      <c r="K100" s="123"/>
      <c r="L100" s="54"/>
      <c r="M100" s="123"/>
      <c r="N100" s="54"/>
      <c r="O100" s="123"/>
      <c r="P100" s="54"/>
      <c r="Q100" s="123"/>
      <c r="R100" s="54"/>
      <c r="S100" s="74"/>
      <c r="T100" s="58"/>
      <c r="U100" s="59" t="str">
        <f aca="false">IF(ISBLANK($C100),"",IF(E100=Constants!$B$2, TRUE(), IF(E100=Constants!$B$3, FALSE(), TRUE())))</f>
        <v/>
      </c>
      <c r="V100" s="59" t="str">
        <f aca="false">IF(ISBLANK($C100),"",IF(F100=Constants!$B$2, TRUE(), IF(F100=Constants!$B$3, FALSE(), TRUE())))</f>
        <v/>
      </c>
      <c r="W100" s="59" t="str">
        <f aca="false">IF(ISBLANK($C100),"",IF(G100=Constants!$B$15,Constants!$B$8,IF(G100=Constants!$B$16,Constants!$B$9,Constants!$B$10)))</f>
        <v/>
      </c>
      <c r="X100" s="59" t="str">
        <f aca="false">IF(ISBLANK($C100),"",IF(H100=Constants!$B$2, TRUE(), IF(H100=Constants!$B$3, FALSE(), TRUE())))</f>
        <v/>
      </c>
      <c r="Y100" s="59" t="str">
        <f aca="false">IF(ISBLANK($C100),"",IF(I100=Constants!$B$19,Constants!$B$19,Constants!$B$18))</f>
        <v/>
      </c>
      <c r="Z100" s="59" t="str">
        <f aca="false">IF(ISBLANK($C100),"",IF(ISNUMBER(J100),IF(J100&gt;=0,J100,""),""))</f>
        <v/>
      </c>
      <c r="AA100" s="59" t="str">
        <f aca="false">IF(ISBLANK($C100),"",IF(K100=Constants!$B$19,Constants!$B$19,Constants!$B$18))</f>
        <v/>
      </c>
      <c r="AB100" s="59" t="str">
        <f aca="false">IF(ISBLANK($C100),"",IF(ISNUMBER(L100),IF(L100&gt;=0,L100,""),""))</f>
        <v/>
      </c>
      <c r="AC100" s="59" t="str">
        <f aca="false">IF(ISBLANK($C100),"",IF(M100=Constants!$B$19,Constants!$B$19,Constants!$B$18))</f>
        <v/>
      </c>
      <c r="AD100" s="59" t="str">
        <f aca="false">IF(ISBLANK($C100),"",IF(ISNUMBER(N100),IF(N100&gt;=0,N100,""),""))</f>
        <v/>
      </c>
      <c r="AE100" s="59" t="str">
        <f aca="false">IF(ISBLANK($C100),"",IF(O100=Constants!$B$19,Constants!$B$19,Constants!$B$18))</f>
        <v/>
      </c>
      <c r="AF100" s="59" t="str">
        <f aca="false">IF(ISBLANK($C100),"",IF(ISNUMBER(P100),IF(P100&gt;=0,P100,""),""))</f>
        <v/>
      </c>
      <c r="AG100" s="59" t="str">
        <f aca="false">IF(ISBLANK($C100),"",IF(Q100=Constants!$B$19,Constants!$B$19,Constants!$B$18))</f>
        <v/>
      </c>
      <c r="AH100" s="59" t="str">
        <f aca="false">IF(ISBLANK($C100),"",IF(ISNUMBER(R100),IF(R100&gt;=0,R100,""),""))</f>
        <v/>
      </c>
      <c r="AI100" s="59" t="str">
        <f aca="false">IF(ISBLANK($C100),"",IF(S100=Constants!$B$2, TRUE(), IF(S100=Constants!$B$3, FALSE(), FALSE())))</f>
        <v/>
      </c>
      <c r="AJ100" s="59" t="str">
        <f aca="false">IF(ISBLANK($C100),"",IF(AI100,Constants!$B$4,IF(COUNTA(E100:R100)=0,Constants!$B$5,IF(COUNTA(J100,L100,N100,P100,R100)=0,Constants!$B$6,Constants!$B$7))))</f>
        <v/>
      </c>
      <c r="AK100" s="59" t="str">
        <f aca="false">IF(ISBLANK($C100),"",IF($AJ100&lt;&gt;Constants!$B$7,$AJ100,IF(OR(NOT(X100),AND(NOT(U100),COUNTIFS(Y100:AG100,Constants!$B$18,Z100:AH100,"&gt;=0")&gt;0),AND(NOT(V100),COUNTIFS(Y100:AG100,Constants!$B$19,Z100:AH100,"&gt;=0")&gt;0)),Constants!$B$12,Constants!$B$11)))</f>
        <v/>
      </c>
      <c r="AL100" s="59" t="str">
        <f aca="false">IF($AJ100=Constants!$B$7,IF(Z100="",Constants!$B$13,Z100),"")</f>
        <v/>
      </c>
      <c r="AM100" s="59" t="str">
        <f aca="false">IF($AJ100=Constants!$B$7,IF(AB100="",Constants!$B$13,AB100),"")</f>
        <v/>
      </c>
      <c r="AN100" s="59" t="str">
        <f aca="false">IF($AJ100=Constants!$B$7,IF(AD100="",Constants!$B$13,AD100),"")</f>
        <v/>
      </c>
      <c r="AO100" s="59" t="str">
        <f aca="false">IF($AJ100=Constants!$B$7,IF(AF100="",Constants!$B$13,AF100),"")</f>
        <v/>
      </c>
      <c r="AP100" s="59" t="str">
        <f aca="false">IF($AJ100=Constants!$B$7,IF(AH100="",Constants!$B$13,AH100),"")</f>
        <v/>
      </c>
      <c r="AQ100" s="59" t="str">
        <f aca="false">IF($AJ100=Constants!$B$7,IF(SUMPRODUCT(--($AL100:$AP100&gt;AL100))+SUMPRODUCT(--($AL100:AL100=AL100))=1,1,IF(SUMPRODUCT(--($AL100:$AP100&gt;AM100))+SUMPRODUCT(--($AL100:AM100=AM100))=1,2,IF(SUMPRODUCT(--($AL100:$AP100&gt;AN100))+SUMPRODUCT(--($AL100:AN100=AN100))=1,3,IF(SUMPRODUCT(--($AL100:$AP100&gt;AO100))+SUMPRODUCT(--($AL100:AO100=AO100))=1,4,5)))),"")</f>
        <v/>
      </c>
      <c r="AR100" s="59" t="str">
        <f aca="false">IF($AJ100=Constants!$B$7,IF(SUMPRODUCT(--($AL100:$AP100&gt;AL100))+SUMPRODUCT(--($AL100:AL100=AL100))=2,1,IF(SUMPRODUCT(--($AL100:$AP100&gt;AM100))+SUMPRODUCT(--($AL100:AM100=AM100))=2,2,IF(SUMPRODUCT(--($AL100:$AP100&gt;AN100))+SUMPRODUCT(--($AL100:AN100=AN100))=2,3,IF(SUMPRODUCT(--($AL100:$AP100&gt;AO100))+SUMPRODUCT(--($AL100:AO100=AO100))=2,4,5)))),"")</f>
        <v/>
      </c>
      <c r="AS100" s="59" t="str">
        <f aca="false">IF($AJ100=Constants!$B$7,IF(SUMPRODUCT(--($AL100:$AP100&gt;AL100))+SUMPRODUCT(--($AL100:AL100=AL100))=3,1,IF(SUMPRODUCT(--($AL100:$AP100&gt;AM100))+SUMPRODUCT(--($AL100:AM100=AM100))=3,2,IF(SUMPRODUCT(--($AL100:$AP100&gt;AN100))+SUMPRODUCT(--($AL100:AN100=AN100))=3,3,IF(SUMPRODUCT(--($AL100:$AP100&gt;AO100))+SUMPRODUCT(--($AL100:AO100=AO100))=3,4,5)))),"")</f>
        <v/>
      </c>
      <c r="AT100" s="59" t="str">
        <f aca="false">IF($AJ100=Constants!$B$7,LARGE(AL100:AP100,1)+LARGE(AL100:AP100,2)+LARGE(AL100:AP100,3),"")</f>
        <v/>
      </c>
      <c r="AU100" s="59" t="str">
        <f aca="false">IF(ISBLANK($C100),"",IF($AJ100&lt;&gt;Constants!$B$7,$AJ100,AT100*W100))</f>
        <v/>
      </c>
      <c r="AV100" s="59" t="str">
        <f aca="false">IF(ISBLANK($C100),"",IF($AJ100=Constants!$B$7,IF(ISNUMBER(AU100),RANK(AU100,$AU$8:$AU$507),Constants!$B$14),$AJ100))</f>
        <v/>
      </c>
      <c r="AW100" s="59" t="str">
        <f aca="false">IF(ISBLANK($C100),"",IF($AJ100=Constants!$B$7,IF(ISNUMBER(AV100),COUNTIFS($AK$8:$AK$507,"&lt;"&amp;$AK100)+COUNTIFS($AK$8:$AK$507,$AK100,$AV$8:$AV$507,"&lt;"&amp;$AV100)+1,Constants!$B$14),$AJ100))</f>
        <v/>
      </c>
      <c r="AX100" s="59" t="str">
        <f aca="false">IF(ISBLANK($C100),"",IF($AJ100=Constants!$B$7,LARGE(AL100:AP100,4)*W100,""))</f>
        <v/>
      </c>
      <c r="AY100" s="59" t="str">
        <f aca="false">IF(ISBLANK($C100),"",IF($AJ100=Constants!$B$7,RANK(AX100,$AX$8:$AX$507),$AJ100))</f>
        <v/>
      </c>
      <c r="AZ100" s="59" t="str">
        <f aca="false">IF(ISBLANK($C100),"",IF($AJ100=Constants!$B$7,IF(ISNUMBER(AV100),COUNTIFS($AK$8:$AK$507,"&lt;"&amp;$AK100)+COUNTIFS($AK$8:$AK$507,$AK100,$AV$8:$AV$507,"&lt;"&amp;$AV100)+COUNTIFS($AK$8:$AK$507,$AK100,$AV$8:$AV$507,$AV100,$AY$8:$AY$507,"&lt;"&amp;$AY100)+1,Constants!$B$14),$AJ100))</f>
        <v/>
      </c>
      <c r="BA100" s="59" t="str">
        <f aca="false">IF(ISBLANK($C100),"",IF($AJ100=Constants!$B$7,IF(ISNUMBER(AW100),AW100-AZ100,Constants!$B$14),$AJ100))</f>
        <v/>
      </c>
      <c r="BB100" s="61"/>
      <c r="BC100" s="62" t="str">
        <f aca="false">IF(ISBLANK($C100),"",IF($AJ100&lt;&gt;Constants!$B$7,$AJ100,SMALL(AQ100:AS100,1)&amp;", "&amp;SMALL(AQ100:AS100,2)&amp;", "&amp;SMALL(AQ100:AS100,3)))</f>
        <v/>
      </c>
      <c r="BD100" s="63" t="str">
        <f aca="false">IF(ISBLANK($C100),"",IF($AJ100&lt;&gt;Constants!$B$7,$AJ100,W100))</f>
        <v/>
      </c>
      <c r="BE100" s="64" t="str">
        <f aca="false">IF(ISBLANK($C100),"",IF($AJ100&lt;&gt;Constants!$B$7,$AJ100,AU100))</f>
        <v/>
      </c>
      <c r="BF100" s="65" t="str">
        <f aca="false">IF(ISBLANK($C100),"",IF($AJ100&lt;&gt;Constants!$B$7,$AJ100,AK100))</f>
        <v/>
      </c>
      <c r="BG100" s="63" t="str">
        <f aca="false">IF(ISBLANK($C100),"",BA100)</f>
        <v/>
      </c>
      <c r="BH100" s="63" t="str">
        <f aca="false">IF(ISBLANK($C100),"",AZ100)</f>
        <v/>
      </c>
      <c r="BI100" s="66" t="str">
        <f aca="false">IF(ISBLANK($C100),"",IF(BH100=Constants!$B$4,COUNTA($C$8:$C$507)+2,IF(BH100=Constants!$B$5,COUNTA($C$8:$C$507)+1,IF(BH100=Constants!$B$6,COUNTA($C$8:$C$507),BH100))))</f>
        <v/>
      </c>
      <c r="BJ100" s="5"/>
      <c r="BK100" s="67" t="n">
        <f aca="false">IF(OR(ISNUMBER(BH100),BH100=Constants!$B$4,BH100=Constants!$B$6,BH100=Constants!$B$5),1,0)</f>
        <v>0</v>
      </c>
      <c r="BL100" s="67" t="n">
        <v>93</v>
      </c>
      <c r="BM100" s="67" t="str">
        <f aca="false">IF(ISBLANK($C100),"",IF(ISNUMBER(BI100),BI100+ROW($B100)/1000,""))</f>
        <v/>
      </c>
      <c r="BN100" s="67" t="str">
        <f aca="false">IF(ISNUMBER(BM100),RANK(BM100,$BM$8:$BM$507,1),"")</f>
        <v/>
      </c>
      <c r="BO100" s="67" t="str">
        <f aca="false">IF(ISBLANK($C100),"",$B100)</f>
        <v/>
      </c>
      <c r="BP100" s="67" t="str">
        <f aca="false">IF(ISBLANK($C100),"",$C100)</f>
        <v/>
      </c>
      <c r="BQ100" s="67" t="str">
        <f aca="false">IF(ISBLANK($C100),"",$D100)</f>
        <v/>
      </c>
      <c r="BR100" s="68" t="str">
        <f aca="false">BF100</f>
        <v/>
      </c>
      <c r="BS100" s="69" t="str">
        <f aca="false">BE100</f>
        <v/>
      </c>
      <c r="BT100" s="67" t="str">
        <f aca="false">IF(ISBLANK($C100),"",BH100)</f>
        <v/>
      </c>
      <c r="BU100" s="70" t="str">
        <f aca="false">IF($BL100&gt;$BK$7,"",VLOOKUP($BL100,$BN$8:$BT$507,7,FALSE()))</f>
        <v/>
      </c>
      <c r="BV100" s="71" t="str">
        <f aca="false">IF($BL100&gt;$BK$7,"",VLOOKUP($BL100,$BN$8:$BT$507,2,FALSE()))</f>
        <v/>
      </c>
      <c r="BW100" s="71" t="str">
        <f aca="false">IF($BL100&gt;$BK$7,"",VLOOKUP($BL100,$BN$8:$BT$507,3,FALSE()))</f>
        <v/>
      </c>
      <c r="BX100" s="71" t="str">
        <f aca="false">IF($BL100&gt;$BK$7,"",VLOOKUP($BL100,$BN$8:$BT$507,4,FALSE()))</f>
        <v/>
      </c>
      <c r="BY100" s="71" t="str">
        <f aca="false">IF($BL100&gt;$BK$7,"",VLOOKUP($BL100,$BN$8:$BT$507,5,FALSE()))</f>
        <v/>
      </c>
      <c r="BZ100" s="72" t="str">
        <f aca="false">IF($BL100&gt;$BK$7,"",VLOOKUP($BL100,$BN$8:$BT$507,6,FALSE()))</f>
        <v/>
      </c>
      <c r="CA100" s="48"/>
    </row>
    <row r="101" customFormat="false" ht="15.75" hidden="false" customHeight="false" outlineLevel="0" collapsed="false">
      <c r="A101" s="5"/>
      <c r="B101" s="114"/>
      <c r="C101" s="115"/>
      <c r="D101" s="100"/>
      <c r="E101" s="120"/>
      <c r="F101" s="125"/>
      <c r="G101" s="82"/>
      <c r="H101" s="126"/>
      <c r="I101" s="127"/>
      <c r="J101" s="82"/>
      <c r="K101" s="126"/>
      <c r="L101" s="82"/>
      <c r="M101" s="126"/>
      <c r="N101" s="82"/>
      <c r="O101" s="126"/>
      <c r="P101" s="82"/>
      <c r="Q101" s="126"/>
      <c r="R101" s="82"/>
      <c r="S101" s="120"/>
      <c r="T101" s="86"/>
      <c r="U101" s="87" t="str">
        <f aca="false">IF(ISBLANK($C101),"",IF(E101=Constants!$B$2, TRUE(), IF(E101=Constants!$B$3, FALSE(), TRUE())))</f>
        <v/>
      </c>
      <c r="V101" s="87" t="str">
        <f aca="false">IF(ISBLANK($C101),"",IF(F101=Constants!$B$2, TRUE(), IF(F101=Constants!$B$3, FALSE(), TRUE())))</f>
        <v/>
      </c>
      <c r="W101" s="87" t="str">
        <f aca="false">IF(ISBLANK($C101),"",IF(G101=Constants!$B$15,Constants!$B$8,IF(G101=Constants!$B$16,Constants!$B$9,Constants!$B$10)))</f>
        <v/>
      </c>
      <c r="X101" s="87" t="str">
        <f aca="false">IF(ISBLANK($C101),"",IF(H101=Constants!$B$2, TRUE(), IF(H101=Constants!$B$3, FALSE(), TRUE())))</f>
        <v/>
      </c>
      <c r="Y101" s="87" t="str">
        <f aca="false">IF(ISBLANK($C101),"",IF(I101=Constants!$B$19,Constants!$B$19,Constants!$B$18))</f>
        <v/>
      </c>
      <c r="Z101" s="87" t="str">
        <f aca="false">IF(ISBLANK($C101),"",IF(ISNUMBER(J101),IF(J101&gt;=0,J101,""),""))</f>
        <v/>
      </c>
      <c r="AA101" s="87" t="str">
        <f aca="false">IF(ISBLANK($C101),"",IF(K101=Constants!$B$19,Constants!$B$19,Constants!$B$18))</f>
        <v/>
      </c>
      <c r="AB101" s="87" t="str">
        <f aca="false">IF(ISBLANK($C101),"",IF(ISNUMBER(L101),IF(L101&gt;=0,L101,""),""))</f>
        <v/>
      </c>
      <c r="AC101" s="87" t="str">
        <f aca="false">IF(ISBLANK($C101),"",IF(M101=Constants!$B$19,Constants!$B$19,Constants!$B$18))</f>
        <v/>
      </c>
      <c r="AD101" s="87" t="str">
        <f aca="false">IF(ISBLANK($C101),"",IF(ISNUMBER(N101),IF(N101&gt;=0,N101,""),""))</f>
        <v/>
      </c>
      <c r="AE101" s="87" t="str">
        <f aca="false">IF(ISBLANK($C101),"",IF(O101=Constants!$B$19,Constants!$B$19,Constants!$B$18))</f>
        <v/>
      </c>
      <c r="AF101" s="87" t="str">
        <f aca="false">IF(ISBLANK($C101),"",IF(ISNUMBER(P101),IF(P101&gt;=0,P101,""),""))</f>
        <v/>
      </c>
      <c r="AG101" s="87" t="str">
        <f aca="false">IF(ISBLANK($C101),"",IF(Q101=Constants!$B$19,Constants!$B$19,Constants!$B$18))</f>
        <v/>
      </c>
      <c r="AH101" s="87" t="str">
        <f aca="false">IF(ISBLANK($C101),"",IF(ISNUMBER(R101),IF(R101&gt;=0,R101,""),""))</f>
        <v/>
      </c>
      <c r="AI101" s="87" t="str">
        <f aca="false">IF(ISBLANK($C101),"",IF(S101=Constants!$B$2, TRUE(), IF(S101=Constants!$B$3, FALSE(), FALSE())))</f>
        <v/>
      </c>
      <c r="AJ101" s="87" t="str">
        <f aca="false">IF(ISBLANK($C101),"",IF(AI101,Constants!$B$4,IF(COUNTA(E101:R101)=0,Constants!$B$5,IF(COUNTA(J101,L101,N101,P101,R101)=0,Constants!$B$6,Constants!$B$7))))</f>
        <v/>
      </c>
      <c r="AK101" s="87" t="str">
        <f aca="false">IF(ISBLANK($C101),"",IF($AJ101&lt;&gt;Constants!$B$7,$AJ101,IF(OR(NOT(X101),AND(NOT(U101),COUNTIFS(Y101:AG101,Constants!$B$18,Z101:AH101,"&gt;=0")&gt;0),AND(NOT(V101),COUNTIFS(Y101:AG101,Constants!$B$19,Z101:AH101,"&gt;=0")&gt;0)),Constants!$B$12,Constants!$B$11)))</f>
        <v/>
      </c>
      <c r="AL101" s="87" t="str">
        <f aca="false">IF($AJ101=Constants!$B$7,IF(Z101="",Constants!$B$13,Z101),"")</f>
        <v/>
      </c>
      <c r="AM101" s="87" t="str">
        <f aca="false">IF($AJ101=Constants!$B$7,IF(AB101="",Constants!$B$13,AB101),"")</f>
        <v/>
      </c>
      <c r="AN101" s="87" t="str">
        <f aca="false">IF($AJ101=Constants!$B$7,IF(AD101="",Constants!$B$13,AD101),"")</f>
        <v/>
      </c>
      <c r="AO101" s="87" t="str">
        <f aca="false">IF($AJ101=Constants!$B$7,IF(AF101="",Constants!$B$13,AF101),"")</f>
        <v/>
      </c>
      <c r="AP101" s="87" t="str">
        <f aca="false">IF($AJ101=Constants!$B$7,IF(AH101="",Constants!$B$13,AH101),"")</f>
        <v/>
      </c>
      <c r="AQ101" s="87" t="str">
        <f aca="false">IF($AJ101=Constants!$B$7,IF(SUMPRODUCT(--($AL101:$AP101&gt;AL101))+SUMPRODUCT(--($AL101:AL101=AL101))=1,1,IF(SUMPRODUCT(--($AL101:$AP101&gt;AM101))+SUMPRODUCT(--($AL101:AM101=AM101))=1,2,IF(SUMPRODUCT(--($AL101:$AP101&gt;AN101))+SUMPRODUCT(--($AL101:AN101=AN101))=1,3,IF(SUMPRODUCT(--($AL101:$AP101&gt;AO101))+SUMPRODUCT(--($AL101:AO101=AO101))=1,4,5)))),"")</f>
        <v/>
      </c>
      <c r="AR101" s="87" t="str">
        <f aca="false">IF($AJ101=Constants!$B$7,IF(SUMPRODUCT(--($AL101:$AP101&gt;AL101))+SUMPRODUCT(--($AL101:AL101=AL101))=2,1,IF(SUMPRODUCT(--($AL101:$AP101&gt;AM101))+SUMPRODUCT(--($AL101:AM101=AM101))=2,2,IF(SUMPRODUCT(--($AL101:$AP101&gt;AN101))+SUMPRODUCT(--($AL101:AN101=AN101))=2,3,IF(SUMPRODUCT(--($AL101:$AP101&gt;AO101))+SUMPRODUCT(--($AL101:AO101=AO101))=2,4,5)))),"")</f>
        <v/>
      </c>
      <c r="AS101" s="87" t="str">
        <f aca="false">IF($AJ101=Constants!$B$7,IF(SUMPRODUCT(--($AL101:$AP101&gt;AL101))+SUMPRODUCT(--($AL101:AL101=AL101))=3,1,IF(SUMPRODUCT(--($AL101:$AP101&gt;AM101))+SUMPRODUCT(--($AL101:AM101=AM101))=3,2,IF(SUMPRODUCT(--($AL101:$AP101&gt;AN101))+SUMPRODUCT(--($AL101:AN101=AN101))=3,3,IF(SUMPRODUCT(--($AL101:$AP101&gt;AO101))+SUMPRODUCT(--($AL101:AO101=AO101))=3,4,5)))),"")</f>
        <v/>
      </c>
      <c r="AT101" s="87" t="str">
        <f aca="false">IF($AJ101=Constants!$B$7,LARGE(AL101:AP101,1)+LARGE(AL101:AP101,2)+LARGE(AL101:AP101,3),"")</f>
        <v/>
      </c>
      <c r="AU101" s="87" t="str">
        <f aca="false">IF(ISBLANK($C101),"",IF($AJ101&lt;&gt;Constants!$B$7,$AJ101,AT101*W101))</f>
        <v/>
      </c>
      <c r="AV101" s="87" t="str">
        <f aca="false">IF(ISBLANK($C101),"",IF($AJ101=Constants!$B$7,IF(ISNUMBER(AU101),RANK(AU101,$AU$8:$AU$507),Constants!$B$14),$AJ101))</f>
        <v/>
      </c>
      <c r="AW101" s="87" t="str">
        <f aca="false">IF(ISBLANK($C101),"",IF($AJ101=Constants!$B$7,IF(ISNUMBER(AV101),COUNTIFS($AK$8:$AK$507,"&lt;"&amp;$AK101)+COUNTIFS($AK$8:$AK$507,$AK101,$AV$8:$AV$507,"&lt;"&amp;$AV101)+1,Constants!$B$14),$AJ101))</f>
        <v/>
      </c>
      <c r="AX101" s="87" t="str">
        <f aca="false">IF(ISBLANK($C101),"",IF($AJ101=Constants!$B$7,LARGE(AL101:AP101,4)*W101,""))</f>
        <v/>
      </c>
      <c r="AY101" s="87" t="str">
        <f aca="false">IF(ISBLANK($C101),"",IF($AJ101=Constants!$B$7,RANK(AX101,$AX$8:$AX$507),$AJ101))</f>
        <v/>
      </c>
      <c r="AZ101" s="87" t="str">
        <f aca="false">IF(ISBLANK($C101),"",IF($AJ101=Constants!$B$7,IF(ISNUMBER(AV101),COUNTIFS($AK$8:$AK$507,"&lt;"&amp;$AK101)+COUNTIFS($AK$8:$AK$507,$AK101,$AV$8:$AV$507,"&lt;"&amp;$AV101)+COUNTIFS($AK$8:$AK$507,$AK101,$AV$8:$AV$507,$AV101,$AY$8:$AY$507,"&lt;"&amp;$AY101)+1,Constants!$B$14),$AJ101))</f>
        <v/>
      </c>
      <c r="BA101" s="87" t="str">
        <f aca="false">IF(ISBLANK($C101),"",IF($AJ101=Constants!$B$7,IF(ISNUMBER(AW101),AW101-AZ101,Constants!$B$14),$AJ101))</f>
        <v/>
      </c>
      <c r="BB101" s="88"/>
      <c r="BC101" s="89" t="str">
        <f aca="false">IF(ISBLANK($C101),"",IF($AJ101&lt;&gt;Constants!$B$7,$AJ101,SMALL(AQ101:AS101,1)&amp;", "&amp;SMALL(AQ101:AS101,2)&amp;", "&amp;SMALL(AQ101:AS101,3)))</f>
        <v/>
      </c>
      <c r="BD101" s="90" t="str">
        <f aca="false">IF(ISBLANK($C101),"",IF($AJ101&lt;&gt;Constants!$B$7,$AJ101,W101))</f>
        <v/>
      </c>
      <c r="BE101" s="91" t="str">
        <f aca="false">IF(ISBLANK($C101),"",IF($AJ101&lt;&gt;Constants!$B$7,$AJ101,AU101))</f>
        <v/>
      </c>
      <c r="BF101" s="92" t="str">
        <f aca="false">IF(ISBLANK($C101),"",IF($AJ101&lt;&gt;Constants!$B$7,$AJ101,AK101))</f>
        <v/>
      </c>
      <c r="BG101" s="90" t="str">
        <f aca="false">IF(ISBLANK($C101),"",BA101)</f>
        <v/>
      </c>
      <c r="BH101" s="90" t="str">
        <f aca="false">IF(ISBLANK($C101),"",AZ101)</f>
        <v/>
      </c>
      <c r="BI101" s="93" t="str">
        <f aca="false">IF(ISBLANK($C101),"",IF(BH101=Constants!$B$4,COUNTA($C$8:$C$507)+2,IF(BH101=Constants!$B$5,COUNTA($C$8:$C$507)+1,IF(BH101=Constants!$B$6,COUNTA($C$8:$C$507),BH101))))</f>
        <v/>
      </c>
      <c r="BJ101" s="5"/>
      <c r="BK101" s="94" t="n">
        <f aca="false">IF(OR(ISNUMBER(BH101),BH101=Constants!$B$4,BH101=Constants!$B$6,BH101=Constants!$B$5),1,0)</f>
        <v>0</v>
      </c>
      <c r="BL101" s="94" t="n">
        <v>94</v>
      </c>
      <c r="BM101" s="94" t="str">
        <f aca="false">IF(ISBLANK($C101),"",IF(ISNUMBER(BI101),BI101+ROW($B101)/1000,""))</f>
        <v/>
      </c>
      <c r="BN101" s="94" t="str">
        <f aca="false">IF(ISNUMBER(BM101),RANK(BM101,$BM$8:$BM$507,1),"")</f>
        <v/>
      </c>
      <c r="BO101" s="94" t="str">
        <f aca="false">IF(ISBLANK($C101),"",$B101)</f>
        <v/>
      </c>
      <c r="BP101" s="94" t="str">
        <f aca="false">IF(ISBLANK($C101),"",$C101)</f>
        <v/>
      </c>
      <c r="BQ101" s="94" t="str">
        <f aca="false">IF(ISBLANK($C101),"",$D101)</f>
        <v/>
      </c>
      <c r="BR101" s="95" t="str">
        <f aca="false">BF101</f>
        <v/>
      </c>
      <c r="BS101" s="96" t="str">
        <f aca="false">BE101</f>
        <v/>
      </c>
      <c r="BT101" s="94" t="str">
        <f aca="false">IF(ISBLANK($C101),"",BH101)</f>
        <v/>
      </c>
      <c r="BU101" s="97" t="str">
        <f aca="false">IF($BL101&gt;$BK$7,"",VLOOKUP($BL101,$BN$8:$BT$507,7,FALSE()))</f>
        <v/>
      </c>
      <c r="BV101" s="98" t="str">
        <f aca="false">IF($BL101&gt;$BK$7,"",VLOOKUP($BL101,$BN$8:$BT$507,2,FALSE()))</f>
        <v/>
      </c>
      <c r="BW101" s="98" t="str">
        <f aca="false">IF($BL101&gt;$BK$7,"",VLOOKUP($BL101,$BN$8:$BT$507,3,FALSE()))</f>
        <v/>
      </c>
      <c r="BX101" s="98" t="str">
        <f aca="false">IF($BL101&gt;$BK$7,"",VLOOKUP($BL101,$BN$8:$BT$507,4,FALSE()))</f>
        <v/>
      </c>
      <c r="BY101" s="98" t="str">
        <f aca="false">IF($BL101&gt;$BK$7,"",VLOOKUP($BL101,$BN$8:$BT$507,5,FALSE()))</f>
        <v/>
      </c>
      <c r="BZ101" s="99" t="str">
        <f aca="false">IF($BL101&gt;$BK$7,"",VLOOKUP($BL101,$BN$8:$BT$507,6,FALSE()))</f>
        <v/>
      </c>
      <c r="CA101" s="48"/>
    </row>
    <row r="102" customFormat="false" ht="15.75" hidden="false" customHeight="false" outlineLevel="0" collapsed="false">
      <c r="A102" s="5"/>
      <c r="B102" s="114"/>
      <c r="C102" s="115"/>
      <c r="D102" s="100"/>
      <c r="E102" s="120"/>
      <c r="F102" s="125"/>
      <c r="G102" s="82"/>
      <c r="H102" s="126"/>
      <c r="I102" s="127"/>
      <c r="J102" s="82"/>
      <c r="K102" s="126"/>
      <c r="L102" s="82"/>
      <c r="M102" s="126"/>
      <c r="N102" s="82"/>
      <c r="O102" s="126"/>
      <c r="P102" s="82"/>
      <c r="Q102" s="126"/>
      <c r="R102" s="82"/>
      <c r="S102" s="120"/>
      <c r="T102" s="86"/>
      <c r="U102" s="87" t="str">
        <f aca="false">IF(ISBLANK($C102),"",IF(E102=Constants!$B$2, TRUE(), IF(E102=Constants!$B$3, FALSE(), TRUE())))</f>
        <v/>
      </c>
      <c r="V102" s="87" t="str">
        <f aca="false">IF(ISBLANK($C102),"",IF(F102=Constants!$B$2, TRUE(), IF(F102=Constants!$B$3, FALSE(), TRUE())))</f>
        <v/>
      </c>
      <c r="W102" s="87" t="str">
        <f aca="false">IF(ISBLANK($C102),"",IF(G102=Constants!$B$15,Constants!$B$8,IF(G102=Constants!$B$16,Constants!$B$9,Constants!$B$10)))</f>
        <v/>
      </c>
      <c r="X102" s="87" t="str">
        <f aca="false">IF(ISBLANK($C102),"",IF(H102=Constants!$B$2, TRUE(), IF(H102=Constants!$B$3, FALSE(), TRUE())))</f>
        <v/>
      </c>
      <c r="Y102" s="87" t="str">
        <f aca="false">IF(ISBLANK($C102),"",IF(I102=Constants!$B$19,Constants!$B$19,Constants!$B$18))</f>
        <v/>
      </c>
      <c r="Z102" s="87" t="str">
        <f aca="false">IF(ISBLANK($C102),"",IF(ISNUMBER(J102),IF(J102&gt;=0,J102,""),""))</f>
        <v/>
      </c>
      <c r="AA102" s="87" t="str">
        <f aca="false">IF(ISBLANK($C102),"",IF(K102=Constants!$B$19,Constants!$B$19,Constants!$B$18))</f>
        <v/>
      </c>
      <c r="AB102" s="87" t="str">
        <f aca="false">IF(ISBLANK($C102),"",IF(ISNUMBER(L102),IF(L102&gt;=0,L102,""),""))</f>
        <v/>
      </c>
      <c r="AC102" s="87" t="str">
        <f aca="false">IF(ISBLANK($C102),"",IF(M102=Constants!$B$19,Constants!$B$19,Constants!$B$18))</f>
        <v/>
      </c>
      <c r="AD102" s="87" t="str">
        <f aca="false">IF(ISBLANK($C102),"",IF(ISNUMBER(N102),IF(N102&gt;=0,N102,""),""))</f>
        <v/>
      </c>
      <c r="AE102" s="87" t="str">
        <f aca="false">IF(ISBLANK($C102),"",IF(O102=Constants!$B$19,Constants!$B$19,Constants!$B$18))</f>
        <v/>
      </c>
      <c r="AF102" s="87" t="str">
        <f aca="false">IF(ISBLANK($C102),"",IF(ISNUMBER(P102),IF(P102&gt;=0,P102,""),""))</f>
        <v/>
      </c>
      <c r="AG102" s="87" t="str">
        <f aca="false">IF(ISBLANK($C102),"",IF(Q102=Constants!$B$19,Constants!$B$19,Constants!$B$18))</f>
        <v/>
      </c>
      <c r="AH102" s="87" t="str">
        <f aca="false">IF(ISBLANK($C102),"",IF(ISNUMBER(R102),IF(R102&gt;=0,R102,""),""))</f>
        <v/>
      </c>
      <c r="AI102" s="87" t="str">
        <f aca="false">IF(ISBLANK($C102),"",IF(S102=Constants!$B$2, TRUE(), IF(S102=Constants!$B$3, FALSE(), FALSE())))</f>
        <v/>
      </c>
      <c r="AJ102" s="87" t="str">
        <f aca="false">IF(ISBLANK($C102),"",IF(AI102,Constants!$B$4,IF(COUNTA(E102:R102)=0,Constants!$B$5,IF(COUNTA(J102,L102,N102,P102,R102)=0,Constants!$B$6,Constants!$B$7))))</f>
        <v/>
      </c>
      <c r="AK102" s="87" t="str">
        <f aca="false">IF(ISBLANK($C102),"",IF($AJ102&lt;&gt;Constants!$B$7,$AJ102,IF(OR(NOT(X102),AND(NOT(U102),COUNTIFS(Y102:AG102,Constants!$B$18,Z102:AH102,"&gt;=0")&gt;0),AND(NOT(V102),COUNTIFS(Y102:AG102,Constants!$B$19,Z102:AH102,"&gt;=0")&gt;0)),Constants!$B$12,Constants!$B$11)))</f>
        <v/>
      </c>
      <c r="AL102" s="87" t="str">
        <f aca="false">IF($AJ102=Constants!$B$7,IF(Z102="",Constants!$B$13,Z102),"")</f>
        <v/>
      </c>
      <c r="AM102" s="87" t="str">
        <f aca="false">IF($AJ102=Constants!$B$7,IF(AB102="",Constants!$B$13,AB102),"")</f>
        <v/>
      </c>
      <c r="AN102" s="87" t="str">
        <f aca="false">IF($AJ102=Constants!$B$7,IF(AD102="",Constants!$B$13,AD102),"")</f>
        <v/>
      </c>
      <c r="AO102" s="87" t="str">
        <f aca="false">IF($AJ102=Constants!$B$7,IF(AF102="",Constants!$B$13,AF102),"")</f>
        <v/>
      </c>
      <c r="AP102" s="87" t="str">
        <f aca="false">IF($AJ102=Constants!$B$7,IF(AH102="",Constants!$B$13,AH102),"")</f>
        <v/>
      </c>
      <c r="AQ102" s="87" t="str">
        <f aca="false">IF($AJ102=Constants!$B$7,IF(SUMPRODUCT(--($AL102:$AP102&gt;AL102))+SUMPRODUCT(--($AL102:AL102=AL102))=1,1,IF(SUMPRODUCT(--($AL102:$AP102&gt;AM102))+SUMPRODUCT(--($AL102:AM102=AM102))=1,2,IF(SUMPRODUCT(--($AL102:$AP102&gt;AN102))+SUMPRODUCT(--($AL102:AN102=AN102))=1,3,IF(SUMPRODUCT(--($AL102:$AP102&gt;AO102))+SUMPRODUCT(--($AL102:AO102=AO102))=1,4,5)))),"")</f>
        <v/>
      </c>
      <c r="AR102" s="87" t="str">
        <f aca="false">IF($AJ102=Constants!$B$7,IF(SUMPRODUCT(--($AL102:$AP102&gt;AL102))+SUMPRODUCT(--($AL102:AL102=AL102))=2,1,IF(SUMPRODUCT(--($AL102:$AP102&gt;AM102))+SUMPRODUCT(--($AL102:AM102=AM102))=2,2,IF(SUMPRODUCT(--($AL102:$AP102&gt;AN102))+SUMPRODUCT(--($AL102:AN102=AN102))=2,3,IF(SUMPRODUCT(--($AL102:$AP102&gt;AO102))+SUMPRODUCT(--($AL102:AO102=AO102))=2,4,5)))),"")</f>
        <v/>
      </c>
      <c r="AS102" s="87" t="str">
        <f aca="false">IF($AJ102=Constants!$B$7,IF(SUMPRODUCT(--($AL102:$AP102&gt;AL102))+SUMPRODUCT(--($AL102:AL102=AL102))=3,1,IF(SUMPRODUCT(--($AL102:$AP102&gt;AM102))+SUMPRODUCT(--($AL102:AM102=AM102))=3,2,IF(SUMPRODUCT(--($AL102:$AP102&gt;AN102))+SUMPRODUCT(--($AL102:AN102=AN102))=3,3,IF(SUMPRODUCT(--($AL102:$AP102&gt;AO102))+SUMPRODUCT(--($AL102:AO102=AO102))=3,4,5)))),"")</f>
        <v/>
      </c>
      <c r="AT102" s="87" t="str">
        <f aca="false">IF($AJ102=Constants!$B$7,LARGE(AL102:AP102,1)+LARGE(AL102:AP102,2)+LARGE(AL102:AP102,3),"")</f>
        <v/>
      </c>
      <c r="AU102" s="87" t="str">
        <f aca="false">IF(ISBLANK($C102),"",IF($AJ102&lt;&gt;Constants!$B$7,$AJ102,AT102*W102))</f>
        <v/>
      </c>
      <c r="AV102" s="87" t="str">
        <f aca="false">IF(ISBLANK($C102),"",IF($AJ102=Constants!$B$7,IF(ISNUMBER(AU102),RANK(AU102,$AU$8:$AU$507),Constants!$B$14),$AJ102))</f>
        <v/>
      </c>
      <c r="AW102" s="87" t="str">
        <f aca="false">IF(ISBLANK($C102),"",IF($AJ102=Constants!$B$7,IF(ISNUMBER(AV102),COUNTIFS($AK$8:$AK$507,"&lt;"&amp;$AK102)+COUNTIFS($AK$8:$AK$507,$AK102,$AV$8:$AV$507,"&lt;"&amp;$AV102)+1,Constants!$B$14),$AJ102))</f>
        <v/>
      </c>
      <c r="AX102" s="87" t="str">
        <f aca="false">IF(ISBLANK($C102),"",IF($AJ102=Constants!$B$7,LARGE(AL102:AP102,4)*W102,""))</f>
        <v/>
      </c>
      <c r="AY102" s="87" t="str">
        <f aca="false">IF(ISBLANK($C102),"",IF($AJ102=Constants!$B$7,RANK(AX102,$AX$8:$AX$507),$AJ102))</f>
        <v/>
      </c>
      <c r="AZ102" s="87" t="str">
        <f aca="false">IF(ISBLANK($C102),"",IF($AJ102=Constants!$B$7,IF(ISNUMBER(AV102),COUNTIFS($AK$8:$AK$507,"&lt;"&amp;$AK102)+COUNTIFS($AK$8:$AK$507,$AK102,$AV$8:$AV$507,"&lt;"&amp;$AV102)+COUNTIFS($AK$8:$AK$507,$AK102,$AV$8:$AV$507,$AV102,$AY$8:$AY$507,"&lt;"&amp;$AY102)+1,Constants!$B$14),$AJ102))</f>
        <v/>
      </c>
      <c r="BA102" s="87" t="str">
        <f aca="false">IF(ISBLANK($C102),"",IF($AJ102=Constants!$B$7,IF(ISNUMBER(AW102),AW102-AZ102,Constants!$B$14),$AJ102))</f>
        <v/>
      </c>
      <c r="BB102" s="88"/>
      <c r="BC102" s="89" t="str">
        <f aca="false">IF(ISBLANK($C102),"",IF($AJ102&lt;&gt;Constants!$B$7,$AJ102,SMALL(AQ102:AS102,1)&amp;", "&amp;SMALL(AQ102:AS102,2)&amp;", "&amp;SMALL(AQ102:AS102,3)))</f>
        <v/>
      </c>
      <c r="BD102" s="90" t="str">
        <f aca="false">IF(ISBLANK($C102),"",IF($AJ102&lt;&gt;Constants!$B$7,$AJ102,W102))</f>
        <v/>
      </c>
      <c r="BE102" s="91" t="str">
        <f aca="false">IF(ISBLANK($C102),"",IF($AJ102&lt;&gt;Constants!$B$7,$AJ102,AU102))</f>
        <v/>
      </c>
      <c r="BF102" s="92" t="str">
        <f aca="false">IF(ISBLANK($C102),"",IF($AJ102&lt;&gt;Constants!$B$7,$AJ102,AK102))</f>
        <v/>
      </c>
      <c r="BG102" s="90" t="str">
        <f aca="false">IF(ISBLANK($C102),"",BA102)</f>
        <v/>
      </c>
      <c r="BH102" s="90" t="str">
        <f aca="false">IF(ISBLANK($C102),"",AZ102)</f>
        <v/>
      </c>
      <c r="BI102" s="93" t="str">
        <f aca="false">IF(ISBLANK($C102),"",IF(BH102=Constants!$B$4,COUNTA($C$8:$C$507)+2,IF(BH102=Constants!$B$5,COUNTA($C$8:$C$507)+1,IF(BH102=Constants!$B$6,COUNTA($C$8:$C$507),BH102))))</f>
        <v/>
      </c>
      <c r="BJ102" s="5"/>
      <c r="BK102" s="94" t="n">
        <f aca="false">IF(OR(ISNUMBER(BH102),BH102=Constants!$B$4,BH102=Constants!$B$6,BH102=Constants!$B$5),1,0)</f>
        <v>0</v>
      </c>
      <c r="BL102" s="94" t="n">
        <v>95</v>
      </c>
      <c r="BM102" s="94" t="str">
        <f aca="false">IF(ISBLANK($C102),"",IF(ISNUMBER(BI102),BI102+ROW($B102)/1000,""))</f>
        <v/>
      </c>
      <c r="BN102" s="94" t="str">
        <f aca="false">IF(ISNUMBER(BM102),RANK(BM102,$BM$8:$BM$507,1),"")</f>
        <v/>
      </c>
      <c r="BO102" s="94" t="str">
        <f aca="false">IF(ISBLANK($C102),"",$B102)</f>
        <v/>
      </c>
      <c r="BP102" s="94" t="str">
        <f aca="false">IF(ISBLANK($C102),"",$C102)</f>
        <v/>
      </c>
      <c r="BQ102" s="94" t="str">
        <f aca="false">IF(ISBLANK($C102),"",$D102)</f>
        <v/>
      </c>
      <c r="BR102" s="95" t="str">
        <f aca="false">BF102</f>
        <v/>
      </c>
      <c r="BS102" s="96" t="str">
        <f aca="false">BE102</f>
        <v/>
      </c>
      <c r="BT102" s="94" t="str">
        <f aca="false">IF(ISBLANK($C102),"",BH102)</f>
        <v/>
      </c>
      <c r="BU102" s="97" t="str">
        <f aca="false">IF($BL102&gt;$BK$7,"",VLOOKUP($BL102,$BN$8:$BT$507,7,FALSE()))</f>
        <v/>
      </c>
      <c r="BV102" s="98" t="str">
        <f aca="false">IF($BL102&gt;$BK$7,"",VLOOKUP($BL102,$BN$8:$BT$507,2,FALSE()))</f>
        <v/>
      </c>
      <c r="BW102" s="98" t="str">
        <f aca="false">IF($BL102&gt;$BK$7,"",VLOOKUP($BL102,$BN$8:$BT$507,3,FALSE()))</f>
        <v/>
      </c>
      <c r="BX102" s="98" t="str">
        <f aca="false">IF($BL102&gt;$BK$7,"",VLOOKUP($BL102,$BN$8:$BT$507,4,FALSE()))</f>
        <v/>
      </c>
      <c r="BY102" s="98" t="str">
        <f aca="false">IF($BL102&gt;$BK$7,"",VLOOKUP($BL102,$BN$8:$BT$507,5,FALSE()))</f>
        <v/>
      </c>
      <c r="BZ102" s="99" t="str">
        <f aca="false">IF($BL102&gt;$BK$7,"",VLOOKUP($BL102,$BN$8:$BT$507,6,FALSE()))</f>
        <v/>
      </c>
      <c r="CA102" s="48"/>
    </row>
    <row r="103" customFormat="false" ht="15.75" hidden="false" customHeight="false" outlineLevel="0" collapsed="false">
      <c r="A103" s="5"/>
      <c r="B103" s="114"/>
      <c r="C103" s="115"/>
      <c r="D103" s="100"/>
      <c r="E103" s="120"/>
      <c r="F103" s="125"/>
      <c r="G103" s="82"/>
      <c r="H103" s="126"/>
      <c r="I103" s="127"/>
      <c r="J103" s="82"/>
      <c r="K103" s="126"/>
      <c r="L103" s="82"/>
      <c r="M103" s="126"/>
      <c r="N103" s="82"/>
      <c r="O103" s="126"/>
      <c r="P103" s="82"/>
      <c r="Q103" s="126"/>
      <c r="R103" s="82"/>
      <c r="S103" s="120"/>
      <c r="T103" s="86"/>
      <c r="U103" s="87" t="str">
        <f aca="false">IF(ISBLANK($C103),"",IF(E103=Constants!$B$2, TRUE(), IF(E103=Constants!$B$3, FALSE(), TRUE())))</f>
        <v/>
      </c>
      <c r="V103" s="87" t="str">
        <f aca="false">IF(ISBLANK($C103),"",IF(F103=Constants!$B$2, TRUE(), IF(F103=Constants!$B$3, FALSE(), TRUE())))</f>
        <v/>
      </c>
      <c r="W103" s="87" t="str">
        <f aca="false">IF(ISBLANK($C103),"",IF(G103=Constants!$B$15,Constants!$B$8,IF(G103=Constants!$B$16,Constants!$B$9,Constants!$B$10)))</f>
        <v/>
      </c>
      <c r="X103" s="87" t="str">
        <f aca="false">IF(ISBLANK($C103),"",IF(H103=Constants!$B$2, TRUE(), IF(H103=Constants!$B$3, FALSE(), TRUE())))</f>
        <v/>
      </c>
      <c r="Y103" s="87" t="str">
        <f aca="false">IF(ISBLANK($C103),"",IF(I103=Constants!$B$19,Constants!$B$19,Constants!$B$18))</f>
        <v/>
      </c>
      <c r="Z103" s="87" t="str">
        <f aca="false">IF(ISBLANK($C103),"",IF(ISNUMBER(J103),IF(J103&gt;=0,J103,""),""))</f>
        <v/>
      </c>
      <c r="AA103" s="87" t="str">
        <f aca="false">IF(ISBLANK($C103),"",IF(K103=Constants!$B$19,Constants!$B$19,Constants!$B$18))</f>
        <v/>
      </c>
      <c r="AB103" s="87" t="str">
        <f aca="false">IF(ISBLANK($C103),"",IF(ISNUMBER(L103),IF(L103&gt;=0,L103,""),""))</f>
        <v/>
      </c>
      <c r="AC103" s="87" t="str">
        <f aca="false">IF(ISBLANK($C103),"",IF(M103=Constants!$B$19,Constants!$B$19,Constants!$B$18))</f>
        <v/>
      </c>
      <c r="AD103" s="87" t="str">
        <f aca="false">IF(ISBLANK($C103),"",IF(ISNUMBER(N103),IF(N103&gt;=0,N103,""),""))</f>
        <v/>
      </c>
      <c r="AE103" s="87" t="str">
        <f aca="false">IF(ISBLANK($C103),"",IF(O103=Constants!$B$19,Constants!$B$19,Constants!$B$18))</f>
        <v/>
      </c>
      <c r="AF103" s="87" t="str">
        <f aca="false">IF(ISBLANK($C103),"",IF(ISNUMBER(P103),IF(P103&gt;=0,P103,""),""))</f>
        <v/>
      </c>
      <c r="AG103" s="87" t="str">
        <f aca="false">IF(ISBLANK($C103),"",IF(Q103=Constants!$B$19,Constants!$B$19,Constants!$B$18))</f>
        <v/>
      </c>
      <c r="AH103" s="87" t="str">
        <f aca="false">IF(ISBLANK($C103),"",IF(ISNUMBER(R103),IF(R103&gt;=0,R103,""),""))</f>
        <v/>
      </c>
      <c r="AI103" s="87" t="str">
        <f aca="false">IF(ISBLANK($C103),"",IF(S103=Constants!$B$2, TRUE(), IF(S103=Constants!$B$3, FALSE(), FALSE())))</f>
        <v/>
      </c>
      <c r="AJ103" s="87" t="str">
        <f aca="false">IF(ISBLANK($C103),"",IF(AI103,Constants!$B$4,IF(COUNTA(E103:R103)=0,Constants!$B$5,IF(COUNTA(J103,L103,N103,P103,R103)=0,Constants!$B$6,Constants!$B$7))))</f>
        <v/>
      </c>
      <c r="AK103" s="87" t="str">
        <f aca="false">IF(ISBLANK($C103),"",IF($AJ103&lt;&gt;Constants!$B$7,$AJ103,IF(OR(NOT(X103),AND(NOT(U103),COUNTIFS(Y103:AG103,Constants!$B$18,Z103:AH103,"&gt;=0")&gt;0),AND(NOT(V103),COUNTIFS(Y103:AG103,Constants!$B$19,Z103:AH103,"&gt;=0")&gt;0)),Constants!$B$12,Constants!$B$11)))</f>
        <v/>
      </c>
      <c r="AL103" s="87" t="str">
        <f aca="false">IF($AJ103=Constants!$B$7,IF(Z103="",Constants!$B$13,Z103),"")</f>
        <v/>
      </c>
      <c r="AM103" s="87" t="str">
        <f aca="false">IF($AJ103=Constants!$B$7,IF(AB103="",Constants!$B$13,AB103),"")</f>
        <v/>
      </c>
      <c r="AN103" s="87" t="str">
        <f aca="false">IF($AJ103=Constants!$B$7,IF(AD103="",Constants!$B$13,AD103),"")</f>
        <v/>
      </c>
      <c r="AO103" s="87" t="str">
        <f aca="false">IF($AJ103=Constants!$B$7,IF(AF103="",Constants!$B$13,AF103),"")</f>
        <v/>
      </c>
      <c r="AP103" s="87" t="str">
        <f aca="false">IF($AJ103=Constants!$B$7,IF(AH103="",Constants!$B$13,AH103),"")</f>
        <v/>
      </c>
      <c r="AQ103" s="87" t="str">
        <f aca="false">IF($AJ103=Constants!$B$7,IF(SUMPRODUCT(--($AL103:$AP103&gt;AL103))+SUMPRODUCT(--($AL103:AL103=AL103))=1,1,IF(SUMPRODUCT(--($AL103:$AP103&gt;AM103))+SUMPRODUCT(--($AL103:AM103=AM103))=1,2,IF(SUMPRODUCT(--($AL103:$AP103&gt;AN103))+SUMPRODUCT(--($AL103:AN103=AN103))=1,3,IF(SUMPRODUCT(--($AL103:$AP103&gt;AO103))+SUMPRODUCT(--($AL103:AO103=AO103))=1,4,5)))),"")</f>
        <v/>
      </c>
      <c r="AR103" s="87" t="str">
        <f aca="false">IF($AJ103=Constants!$B$7,IF(SUMPRODUCT(--($AL103:$AP103&gt;AL103))+SUMPRODUCT(--($AL103:AL103=AL103))=2,1,IF(SUMPRODUCT(--($AL103:$AP103&gt;AM103))+SUMPRODUCT(--($AL103:AM103=AM103))=2,2,IF(SUMPRODUCT(--($AL103:$AP103&gt;AN103))+SUMPRODUCT(--($AL103:AN103=AN103))=2,3,IF(SUMPRODUCT(--($AL103:$AP103&gt;AO103))+SUMPRODUCT(--($AL103:AO103=AO103))=2,4,5)))),"")</f>
        <v/>
      </c>
      <c r="AS103" s="87" t="str">
        <f aca="false">IF($AJ103=Constants!$B$7,IF(SUMPRODUCT(--($AL103:$AP103&gt;AL103))+SUMPRODUCT(--($AL103:AL103=AL103))=3,1,IF(SUMPRODUCT(--($AL103:$AP103&gt;AM103))+SUMPRODUCT(--($AL103:AM103=AM103))=3,2,IF(SUMPRODUCT(--($AL103:$AP103&gt;AN103))+SUMPRODUCT(--($AL103:AN103=AN103))=3,3,IF(SUMPRODUCT(--($AL103:$AP103&gt;AO103))+SUMPRODUCT(--($AL103:AO103=AO103))=3,4,5)))),"")</f>
        <v/>
      </c>
      <c r="AT103" s="87" t="str">
        <f aca="false">IF($AJ103=Constants!$B$7,LARGE(AL103:AP103,1)+LARGE(AL103:AP103,2)+LARGE(AL103:AP103,3),"")</f>
        <v/>
      </c>
      <c r="AU103" s="87" t="str">
        <f aca="false">IF(ISBLANK($C103),"",IF($AJ103&lt;&gt;Constants!$B$7,$AJ103,AT103*W103))</f>
        <v/>
      </c>
      <c r="AV103" s="87" t="str">
        <f aca="false">IF(ISBLANK($C103),"",IF($AJ103=Constants!$B$7,IF(ISNUMBER(AU103),RANK(AU103,$AU$8:$AU$507),Constants!$B$14),$AJ103))</f>
        <v/>
      </c>
      <c r="AW103" s="87" t="str">
        <f aca="false">IF(ISBLANK($C103),"",IF($AJ103=Constants!$B$7,IF(ISNUMBER(AV103),COUNTIFS($AK$8:$AK$507,"&lt;"&amp;$AK103)+COUNTIFS($AK$8:$AK$507,$AK103,$AV$8:$AV$507,"&lt;"&amp;$AV103)+1,Constants!$B$14),$AJ103))</f>
        <v/>
      </c>
      <c r="AX103" s="87" t="str">
        <f aca="false">IF(ISBLANK($C103),"",IF($AJ103=Constants!$B$7,LARGE(AL103:AP103,4)*W103,""))</f>
        <v/>
      </c>
      <c r="AY103" s="87" t="str">
        <f aca="false">IF(ISBLANK($C103),"",IF($AJ103=Constants!$B$7,RANK(AX103,$AX$8:$AX$507),$AJ103))</f>
        <v/>
      </c>
      <c r="AZ103" s="87" t="str">
        <f aca="false">IF(ISBLANK($C103),"",IF($AJ103=Constants!$B$7,IF(ISNUMBER(AV103),COUNTIFS($AK$8:$AK$507,"&lt;"&amp;$AK103)+COUNTIFS($AK$8:$AK$507,$AK103,$AV$8:$AV$507,"&lt;"&amp;$AV103)+COUNTIFS($AK$8:$AK$507,$AK103,$AV$8:$AV$507,$AV103,$AY$8:$AY$507,"&lt;"&amp;$AY103)+1,Constants!$B$14),$AJ103))</f>
        <v/>
      </c>
      <c r="BA103" s="87" t="str">
        <f aca="false">IF(ISBLANK($C103),"",IF($AJ103=Constants!$B$7,IF(ISNUMBER(AW103),AW103-AZ103,Constants!$B$14),$AJ103))</f>
        <v/>
      </c>
      <c r="BB103" s="88"/>
      <c r="BC103" s="89" t="str">
        <f aca="false">IF(ISBLANK($C103),"",IF($AJ103&lt;&gt;Constants!$B$7,$AJ103,SMALL(AQ103:AS103,1)&amp;", "&amp;SMALL(AQ103:AS103,2)&amp;", "&amp;SMALL(AQ103:AS103,3)))</f>
        <v/>
      </c>
      <c r="BD103" s="90" t="str">
        <f aca="false">IF(ISBLANK($C103),"",IF($AJ103&lt;&gt;Constants!$B$7,$AJ103,W103))</f>
        <v/>
      </c>
      <c r="BE103" s="91" t="str">
        <f aca="false">IF(ISBLANK($C103),"",IF($AJ103&lt;&gt;Constants!$B$7,$AJ103,AU103))</f>
        <v/>
      </c>
      <c r="BF103" s="92" t="str">
        <f aca="false">IF(ISBLANK($C103),"",IF($AJ103&lt;&gt;Constants!$B$7,$AJ103,AK103))</f>
        <v/>
      </c>
      <c r="BG103" s="90" t="str">
        <f aca="false">IF(ISBLANK($C103),"",BA103)</f>
        <v/>
      </c>
      <c r="BH103" s="90" t="str">
        <f aca="false">IF(ISBLANK($C103),"",AZ103)</f>
        <v/>
      </c>
      <c r="BI103" s="93" t="str">
        <f aca="false">IF(ISBLANK($C103),"",IF(BH103=Constants!$B$4,COUNTA($C$8:$C$507)+2,IF(BH103=Constants!$B$5,COUNTA($C$8:$C$507)+1,IF(BH103=Constants!$B$6,COUNTA($C$8:$C$507),BH103))))</f>
        <v/>
      </c>
      <c r="BJ103" s="5"/>
      <c r="BK103" s="94" t="n">
        <f aca="false">IF(OR(ISNUMBER(BH103),BH103=Constants!$B$4,BH103=Constants!$B$6,BH103=Constants!$B$5),1,0)</f>
        <v>0</v>
      </c>
      <c r="BL103" s="94" t="n">
        <v>96</v>
      </c>
      <c r="BM103" s="94" t="str">
        <f aca="false">IF(ISBLANK($C103),"",IF(ISNUMBER(BI103),BI103+ROW($B103)/1000,""))</f>
        <v/>
      </c>
      <c r="BN103" s="94" t="str">
        <f aca="false">IF(ISNUMBER(BM103),RANK(BM103,$BM$8:$BM$507,1),"")</f>
        <v/>
      </c>
      <c r="BO103" s="94" t="str">
        <f aca="false">IF(ISBLANK($C103),"",$B103)</f>
        <v/>
      </c>
      <c r="BP103" s="94" t="str">
        <f aca="false">IF(ISBLANK($C103),"",$C103)</f>
        <v/>
      </c>
      <c r="BQ103" s="94" t="str">
        <f aca="false">IF(ISBLANK($C103),"",$D103)</f>
        <v/>
      </c>
      <c r="BR103" s="95" t="str">
        <f aca="false">BF103</f>
        <v/>
      </c>
      <c r="BS103" s="96" t="str">
        <f aca="false">BE103</f>
        <v/>
      </c>
      <c r="BT103" s="94" t="str">
        <f aca="false">IF(ISBLANK($C103),"",BH103)</f>
        <v/>
      </c>
      <c r="BU103" s="97" t="str">
        <f aca="false">IF($BL103&gt;$BK$7,"",VLOOKUP($BL103,$BN$8:$BT$507,7,FALSE()))</f>
        <v/>
      </c>
      <c r="BV103" s="98" t="str">
        <f aca="false">IF($BL103&gt;$BK$7,"",VLOOKUP($BL103,$BN$8:$BT$507,2,FALSE()))</f>
        <v/>
      </c>
      <c r="BW103" s="98" t="str">
        <f aca="false">IF($BL103&gt;$BK$7,"",VLOOKUP($BL103,$BN$8:$BT$507,3,FALSE()))</f>
        <v/>
      </c>
      <c r="BX103" s="98" t="str">
        <f aca="false">IF($BL103&gt;$BK$7,"",VLOOKUP($BL103,$BN$8:$BT$507,4,FALSE()))</f>
        <v/>
      </c>
      <c r="BY103" s="98" t="str">
        <f aca="false">IF($BL103&gt;$BK$7,"",VLOOKUP($BL103,$BN$8:$BT$507,5,FALSE()))</f>
        <v/>
      </c>
      <c r="BZ103" s="99" t="str">
        <f aca="false">IF($BL103&gt;$BK$7,"",VLOOKUP($BL103,$BN$8:$BT$507,6,FALSE()))</f>
        <v/>
      </c>
      <c r="CA103" s="48"/>
    </row>
    <row r="104" customFormat="false" ht="15.75" hidden="false" customHeight="false" outlineLevel="0" collapsed="false">
      <c r="A104" s="5"/>
      <c r="B104" s="121"/>
      <c r="C104" s="50"/>
      <c r="D104" s="51"/>
      <c r="E104" s="74"/>
      <c r="F104" s="122"/>
      <c r="G104" s="54"/>
      <c r="H104" s="123"/>
      <c r="I104" s="124"/>
      <c r="J104" s="54"/>
      <c r="K104" s="123"/>
      <c r="L104" s="54"/>
      <c r="M104" s="123"/>
      <c r="N104" s="54"/>
      <c r="O104" s="123"/>
      <c r="P104" s="54"/>
      <c r="Q104" s="123"/>
      <c r="R104" s="54"/>
      <c r="S104" s="74"/>
      <c r="T104" s="58"/>
      <c r="U104" s="59" t="str">
        <f aca="false">IF(ISBLANK($C104),"",IF(E104=Constants!$B$2, TRUE(), IF(E104=Constants!$B$3, FALSE(), TRUE())))</f>
        <v/>
      </c>
      <c r="V104" s="59" t="str">
        <f aca="false">IF(ISBLANK($C104),"",IF(F104=Constants!$B$2, TRUE(), IF(F104=Constants!$B$3, FALSE(), TRUE())))</f>
        <v/>
      </c>
      <c r="W104" s="59" t="str">
        <f aca="false">IF(ISBLANK($C104),"",IF(G104=Constants!$B$15,Constants!$B$8,IF(G104=Constants!$B$16,Constants!$B$9,Constants!$B$10)))</f>
        <v/>
      </c>
      <c r="X104" s="59" t="str">
        <f aca="false">IF(ISBLANK($C104),"",IF(H104=Constants!$B$2, TRUE(), IF(H104=Constants!$B$3, FALSE(), TRUE())))</f>
        <v/>
      </c>
      <c r="Y104" s="59" t="str">
        <f aca="false">IF(ISBLANK($C104),"",IF(I104=Constants!$B$19,Constants!$B$19,Constants!$B$18))</f>
        <v/>
      </c>
      <c r="Z104" s="59" t="str">
        <f aca="false">IF(ISBLANK($C104),"",IF(ISNUMBER(J104),IF(J104&gt;=0,J104,""),""))</f>
        <v/>
      </c>
      <c r="AA104" s="59" t="str">
        <f aca="false">IF(ISBLANK($C104),"",IF(K104=Constants!$B$19,Constants!$B$19,Constants!$B$18))</f>
        <v/>
      </c>
      <c r="AB104" s="59" t="str">
        <f aca="false">IF(ISBLANK($C104),"",IF(ISNUMBER(L104),IF(L104&gt;=0,L104,""),""))</f>
        <v/>
      </c>
      <c r="AC104" s="59" t="str">
        <f aca="false">IF(ISBLANK($C104),"",IF(M104=Constants!$B$19,Constants!$B$19,Constants!$B$18))</f>
        <v/>
      </c>
      <c r="AD104" s="59" t="str">
        <f aca="false">IF(ISBLANK($C104),"",IF(ISNUMBER(N104),IF(N104&gt;=0,N104,""),""))</f>
        <v/>
      </c>
      <c r="AE104" s="59" t="str">
        <f aca="false">IF(ISBLANK($C104),"",IF(O104=Constants!$B$19,Constants!$B$19,Constants!$B$18))</f>
        <v/>
      </c>
      <c r="AF104" s="59" t="str">
        <f aca="false">IF(ISBLANK($C104),"",IF(ISNUMBER(P104),IF(P104&gt;=0,P104,""),""))</f>
        <v/>
      </c>
      <c r="AG104" s="59" t="str">
        <f aca="false">IF(ISBLANK($C104),"",IF(Q104=Constants!$B$19,Constants!$B$19,Constants!$B$18))</f>
        <v/>
      </c>
      <c r="AH104" s="59" t="str">
        <f aca="false">IF(ISBLANK($C104),"",IF(ISNUMBER(R104),IF(R104&gt;=0,R104,""),""))</f>
        <v/>
      </c>
      <c r="AI104" s="59" t="str">
        <f aca="false">IF(ISBLANK($C104),"",IF(S104=Constants!$B$2, TRUE(), IF(S104=Constants!$B$3, FALSE(), FALSE())))</f>
        <v/>
      </c>
      <c r="AJ104" s="59" t="str">
        <f aca="false">IF(ISBLANK($C104),"",IF(AI104,Constants!$B$4,IF(COUNTA(E104:R104)=0,Constants!$B$5,IF(COUNTA(J104,L104,N104,P104,R104)=0,Constants!$B$6,Constants!$B$7))))</f>
        <v/>
      </c>
      <c r="AK104" s="59" t="str">
        <f aca="false">IF(ISBLANK($C104),"",IF($AJ104&lt;&gt;Constants!$B$7,$AJ104,IF(OR(NOT(X104),AND(NOT(U104),COUNTIFS(Y104:AG104,Constants!$B$18,Z104:AH104,"&gt;=0")&gt;0),AND(NOT(V104),COUNTIFS(Y104:AG104,Constants!$B$19,Z104:AH104,"&gt;=0")&gt;0)),Constants!$B$12,Constants!$B$11)))</f>
        <v/>
      </c>
      <c r="AL104" s="59" t="str">
        <f aca="false">IF($AJ104=Constants!$B$7,IF(Z104="",Constants!$B$13,Z104),"")</f>
        <v/>
      </c>
      <c r="AM104" s="59" t="str">
        <f aca="false">IF($AJ104=Constants!$B$7,IF(AB104="",Constants!$B$13,AB104),"")</f>
        <v/>
      </c>
      <c r="AN104" s="59" t="str">
        <f aca="false">IF($AJ104=Constants!$B$7,IF(AD104="",Constants!$B$13,AD104),"")</f>
        <v/>
      </c>
      <c r="AO104" s="59" t="str">
        <f aca="false">IF($AJ104=Constants!$B$7,IF(AF104="",Constants!$B$13,AF104),"")</f>
        <v/>
      </c>
      <c r="AP104" s="59" t="str">
        <f aca="false">IF($AJ104=Constants!$B$7,IF(AH104="",Constants!$B$13,AH104),"")</f>
        <v/>
      </c>
      <c r="AQ104" s="59" t="str">
        <f aca="false">IF($AJ104=Constants!$B$7,IF(SUMPRODUCT(--($AL104:$AP104&gt;AL104))+SUMPRODUCT(--($AL104:AL104=AL104))=1,1,IF(SUMPRODUCT(--($AL104:$AP104&gt;AM104))+SUMPRODUCT(--($AL104:AM104=AM104))=1,2,IF(SUMPRODUCT(--($AL104:$AP104&gt;AN104))+SUMPRODUCT(--($AL104:AN104=AN104))=1,3,IF(SUMPRODUCT(--($AL104:$AP104&gt;AO104))+SUMPRODUCT(--($AL104:AO104=AO104))=1,4,5)))),"")</f>
        <v/>
      </c>
      <c r="AR104" s="59" t="str">
        <f aca="false">IF($AJ104=Constants!$B$7,IF(SUMPRODUCT(--($AL104:$AP104&gt;AL104))+SUMPRODUCT(--($AL104:AL104=AL104))=2,1,IF(SUMPRODUCT(--($AL104:$AP104&gt;AM104))+SUMPRODUCT(--($AL104:AM104=AM104))=2,2,IF(SUMPRODUCT(--($AL104:$AP104&gt;AN104))+SUMPRODUCT(--($AL104:AN104=AN104))=2,3,IF(SUMPRODUCT(--($AL104:$AP104&gt;AO104))+SUMPRODUCT(--($AL104:AO104=AO104))=2,4,5)))),"")</f>
        <v/>
      </c>
      <c r="AS104" s="59" t="str">
        <f aca="false">IF($AJ104=Constants!$B$7,IF(SUMPRODUCT(--($AL104:$AP104&gt;AL104))+SUMPRODUCT(--($AL104:AL104=AL104))=3,1,IF(SUMPRODUCT(--($AL104:$AP104&gt;AM104))+SUMPRODUCT(--($AL104:AM104=AM104))=3,2,IF(SUMPRODUCT(--($AL104:$AP104&gt;AN104))+SUMPRODUCT(--($AL104:AN104=AN104))=3,3,IF(SUMPRODUCT(--($AL104:$AP104&gt;AO104))+SUMPRODUCT(--($AL104:AO104=AO104))=3,4,5)))),"")</f>
        <v/>
      </c>
      <c r="AT104" s="59" t="str">
        <f aca="false">IF($AJ104=Constants!$B$7,LARGE(AL104:AP104,1)+LARGE(AL104:AP104,2)+LARGE(AL104:AP104,3),"")</f>
        <v/>
      </c>
      <c r="AU104" s="59" t="str">
        <f aca="false">IF(ISBLANK($C104),"",IF($AJ104&lt;&gt;Constants!$B$7,$AJ104,AT104*W104))</f>
        <v/>
      </c>
      <c r="AV104" s="59" t="str">
        <f aca="false">IF(ISBLANK($C104),"",IF($AJ104=Constants!$B$7,IF(ISNUMBER(AU104),RANK(AU104,$AU$8:$AU$507),Constants!$B$14),$AJ104))</f>
        <v/>
      </c>
      <c r="AW104" s="59" t="str">
        <f aca="false">IF(ISBLANK($C104),"",IF($AJ104=Constants!$B$7,IF(ISNUMBER(AV104),COUNTIFS($AK$8:$AK$507,"&lt;"&amp;$AK104)+COUNTIFS($AK$8:$AK$507,$AK104,$AV$8:$AV$507,"&lt;"&amp;$AV104)+1,Constants!$B$14),$AJ104))</f>
        <v/>
      </c>
      <c r="AX104" s="59" t="str">
        <f aca="false">IF(ISBLANK($C104),"",IF($AJ104=Constants!$B$7,LARGE(AL104:AP104,4)*W104,""))</f>
        <v/>
      </c>
      <c r="AY104" s="59" t="str">
        <f aca="false">IF(ISBLANK($C104),"",IF($AJ104=Constants!$B$7,RANK(AX104,$AX$8:$AX$507),$AJ104))</f>
        <v/>
      </c>
      <c r="AZ104" s="59" t="str">
        <f aca="false">IF(ISBLANK($C104),"",IF($AJ104=Constants!$B$7,IF(ISNUMBER(AV104),COUNTIFS($AK$8:$AK$507,"&lt;"&amp;$AK104)+COUNTIFS($AK$8:$AK$507,$AK104,$AV$8:$AV$507,"&lt;"&amp;$AV104)+COUNTIFS($AK$8:$AK$507,$AK104,$AV$8:$AV$507,$AV104,$AY$8:$AY$507,"&lt;"&amp;$AY104)+1,Constants!$B$14),$AJ104))</f>
        <v/>
      </c>
      <c r="BA104" s="59" t="str">
        <f aca="false">IF(ISBLANK($C104),"",IF($AJ104=Constants!$B$7,IF(ISNUMBER(AW104),AW104-AZ104,Constants!$B$14),$AJ104))</f>
        <v/>
      </c>
      <c r="BB104" s="61"/>
      <c r="BC104" s="62" t="str">
        <f aca="false">IF(ISBLANK($C104),"",IF($AJ104&lt;&gt;Constants!$B$7,$AJ104,SMALL(AQ104:AS104,1)&amp;", "&amp;SMALL(AQ104:AS104,2)&amp;", "&amp;SMALL(AQ104:AS104,3)))</f>
        <v/>
      </c>
      <c r="BD104" s="63" t="str">
        <f aca="false">IF(ISBLANK($C104),"",IF($AJ104&lt;&gt;Constants!$B$7,$AJ104,W104))</f>
        <v/>
      </c>
      <c r="BE104" s="64" t="str">
        <f aca="false">IF(ISBLANK($C104),"",IF($AJ104&lt;&gt;Constants!$B$7,$AJ104,AU104))</f>
        <v/>
      </c>
      <c r="BF104" s="65" t="str">
        <f aca="false">IF(ISBLANK($C104),"",IF($AJ104&lt;&gt;Constants!$B$7,$AJ104,AK104))</f>
        <v/>
      </c>
      <c r="BG104" s="63" t="str">
        <f aca="false">IF(ISBLANK($C104),"",BA104)</f>
        <v/>
      </c>
      <c r="BH104" s="63" t="str">
        <f aca="false">IF(ISBLANK($C104),"",AZ104)</f>
        <v/>
      </c>
      <c r="BI104" s="66" t="str">
        <f aca="false">IF(ISBLANK($C104),"",IF(BH104=Constants!$B$4,COUNTA($C$8:$C$507)+2,IF(BH104=Constants!$B$5,COUNTA($C$8:$C$507)+1,IF(BH104=Constants!$B$6,COUNTA($C$8:$C$507),BH104))))</f>
        <v/>
      </c>
      <c r="BJ104" s="5"/>
      <c r="BK104" s="67" t="n">
        <f aca="false">IF(OR(ISNUMBER(BH104),BH104=Constants!$B$4,BH104=Constants!$B$6,BH104=Constants!$B$5),1,0)</f>
        <v>0</v>
      </c>
      <c r="BL104" s="67" t="n">
        <v>97</v>
      </c>
      <c r="BM104" s="67" t="str">
        <f aca="false">IF(ISBLANK($C104),"",IF(ISNUMBER(BI104),BI104+ROW($B104)/1000,""))</f>
        <v/>
      </c>
      <c r="BN104" s="67" t="str">
        <f aca="false">IF(ISNUMBER(BM104),RANK(BM104,$BM$8:$BM$507,1),"")</f>
        <v/>
      </c>
      <c r="BO104" s="67" t="str">
        <f aca="false">IF(ISBLANK($C104),"",$B104)</f>
        <v/>
      </c>
      <c r="BP104" s="67" t="str">
        <f aca="false">IF(ISBLANK($C104),"",$C104)</f>
        <v/>
      </c>
      <c r="BQ104" s="67" t="str">
        <f aca="false">IF(ISBLANK($C104),"",$D104)</f>
        <v/>
      </c>
      <c r="BR104" s="68" t="str">
        <f aca="false">BF104</f>
        <v/>
      </c>
      <c r="BS104" s="69" t="str">
        <f aca="false">BE104</f>
        <v/>
      </c>
      <c r="BT104" s="67" t="str">
        <f aca="false">IF(ISBLANK($C104),"",BH104)</f>
        <v/>
      </c>
      <c r="BU104" s="70" t="str">
        <f aca="false">IF($BL104&gt;$BK$7,"",VLOOKUP($BL104,$BN$8:$BT$507,7,FALSE()))</f>
        <v/>
      </c>
      <c r="BV104" s="71" t="str">
        <f aca="false">IF($BL104&gt;$BK$7,"",VLOOKUP($BL104,$BN$8:$BT$507,2,FALSE()))</f>
        <v/>
      </c>
      <c r="BW104" s="71" t="str">
        <f aca="false">IF($BL104&gt;$BK$7,"",VLOOKUP($BL104,$BN$8:$BT$507,3,FALSE()))</f>
        <v/>
      </c>
      <c r="BX104" s="71" t="str">
        <f aca="false">IF($BL104&gt;$BK$7,"",VLOOKUP($BL104,$BN$8:$BT$507,4,FALSE()))</f>
        <v/>
      </c>
      <c r="BY104" s="71" t="str">
        <f aca="false">IF($BL104&gt;$BK$7,"",VLOOKUP($BL104,$BN$8:$BT$507,5,FALSE()))</f>
        <v/>
      </c>
      <c r="BZ104" s="72" t="str">
        <f aca="false">IF($BL104&gt;$BK$7,"",VLOOKUP($BL104,$BN$8:$BT$507,6,FALSE()))</f>
        <v/>
      </c>
      <c r="CA104" s="48"/>
    </row>
    <row r="105" customFormat="false" ht="15.75" hidden="false" customHeight="false" outlineLevel="0" collapsed="false">
      <c r="A105" s="5"/>
      <c r="B105" s="121"/>
      <c r="C105" s="50"/>
      <c r="D105" s="51"/>
      <c r="E105" s="74"/>
      <c r="F105" s="122"/>
      <c r="G105" s="54"/>
      <c r="H105" s="123"/>
      <c r="I105" s="124"/>
      <c r="J105" s="54"/>
      <c r="K105" s="123"/>
      <c r="L105" s="54"/>
      <c r="M105" s="123"/>
      <c r="N105" s="54"/>
      <c r="O105" s="123"/>
      <c r="P105" s="54"/>
      <c r="Q105" s="123"/>
      <c r="R105" s="54"/>
      <c r="S105" s="74"/>
      <c r="T105" s="58"/>
      <c r="U105" s="59" t="str">
        <f aca="false">IF(ISBLANK($C105),"",IF(E105=Constants!$B$2, TRUE(), IF(E105=Constants!$B$3, FALSE(), TRUE())))</f>
        <v/>
      </c>
      <c r="V105" s="59" t="str">
        <f aca="false">IF(ISBLANK($C105),"",IF(F105=Constants!$B$2, TRUE(), IF(F105=Constants!$B$3, FALSE(), TRUE())))</f>
        <v/>
      </c>
      <c r="W105" s="59" t="str">
        <f aca="false">IF(ISBLANK($C105),"",IF(G105=Constants!$B$15,Constants!$B$8,IF(G105=Constants!$B$16,Constants!$B$9,Constants!$B$10)))</f>
        <v/>
      </c>
      <c r="X105" s="59" t="str">
        <f aca="false">IF(ISBLANK($C105),"",IF(H105=Constants!$B$2, TRUE(), IF(H105=Constants!$B$3, FALSE(), TRUE())))</f>
        <v/>
      </c>
      <c r="Y105" s="59" t="str">
        <f aca="false">IF(ISBLANK($C105),"",IF(I105=Constants!$B$19,Constants!$B$19,Constants!$B$18))</f>
        <v/>
      </c>
      <c r="Z105" s="59" t="str">
        <f aca="false">IF(ISBLANK($C105),"",IF(ISNUMBER(J105),IF(J105&gt;=0,J105,""),""))</f>
        <v/>
      </c>
      <c r="AA105" s="59" t="str">
        <f aca="false">IF(ISBLANK($C105),"",IF(K105=Constants!$B$19,Constants!$B$19,Constants!$B$18))</f>
        <v/>
      </c>
      <c r="AB105" s="59" t="str">
        <f aca="false">IF(ISBLANK($C105),"",IF(ISNUMBER(L105),IF(L105&gt;=0,L105,""),""))</f>
        <v/>
      </c>
      <c r="AC105" s="59" t="str">
        <f aca="false">IF(ISBLANK($C105),"",IF(M105=Constants!$B$19,Constants!$B$19,Constants!$B$18))</f>
        <v/>
      </c>
      <c r="AD105" s="59" t="str">
        <f aca="false">IF(ISBLANK($C105),"",IF(ISNUMBER(N105),IF(N105&gt;=0,N105,""),""))</f>
        <v/>
      </c>
      <c r="AE105" s="59" t="str">
        <f aca="false">IF(ISBLANK($C105),"",IF(O105=Constants!$B$19,Constants!$B$19,Constants!$B$18))</f>
        <v/>
      </c>
      <c r="AF105" s="59" t="str">
        <f aca="false">IF(ISBLANK($C105),"",IF(ISNUMBER(P105),IF(P105&gt;=0,P105,""),""))</f>
        <v/>
      </c>
      <c r="AG105" s="59" t="str">
        <f aca="false">IF(ISBLANK($C105),"",IF(Q105=Constants!$B$19,Constants!$B$19,Constants!$B$18))</f>
        <v/>
      </c>
      <c r="AH105" s="59" t="str">
        <f aca="false">IF(ISBLANK($C105),"",IF(ISNUMBER(R105),IF(R105&gt;=0,R105,""),""))</f>
        <v/>
      </c>
      <c r="AI105" s="59" t="str">
        <f aca="false">IF(ISBLANK($C105),"",IF(S105=Constants!$B$2, TRUE(), IF(S105=Constants!$B$3, FALSE(), FALSE())))</f>
        <v/>
      </c>
      <c r="AJ105" s="59" t="str">
        <f aca="false">IF(ISBLANK($C105),"",IF(AI105,Constants!$B$4,IF(COUNTA(E105:R105)=0,Constants!$B$5,IF(COUNTA(J105,L105,N105,P105,R105)=0,Constants!$B$6,Constants!$B$7))))</f>
        <v/>
      </c>
      <c r="AK105" s="59" t="str">
        <f aca="false">IF(ISBLANK($C105),"",IF($AJ105&lt;&gt;Constants!$B$7,$AJ105,IF(OR(NOT(X105),AND(NOT(U105),COUNTIFS(Y105:AG105,Constants!$B$18,Z105:AH105,"&gt;=0")&gt;0),AND(NOT(V105),COUNTIFS(Y105:AG105,Constants!$B$19,Z105:AH105,"&gt;=0")&gt;0)),Constants!$B$12,Constants!$B$11)))</f>
        <v/>
      </c>
      <c r="AL105" s="59" t="str">
        <f aca="false">IF($AJ105=Constants!$B$7,IF(Z105="",Constants!$B$13,Z105),"")</f>
        <v/>
      </c>
      <c r="AM105" s="59" t="str">
        <f aca="false">IF($AJ105=Constants!$B$7,IF(AB105="",Constants!$B$13,AB105),"")</f>
        <v/>
      </c>
      <c r="AN105" s="59" t="str">
        <f aca="false">IF($AJ105=Constants!$B$7,IF(AD105="",Constants!$B$13,AD105),"")</f>
        <v/>
      </c>
      <c r="AO105" s="59" t="str">
        <f aca="false">IF($AJ105=Constants!$B$7,IF(AF105="",Constants!$B$13,AF105),"")</f>
        <v/>
      </c>
      <c r="AP105" s="59" t="str">
        <f aca="false">IF($AJ105=Constants!$B$7,IF(AH105="",Constants!$B$13,AH105),"")</f>
        <v/>
      </c>
      <c r="AQ105" s="59" t="str">
        <f aca="false">IF($AJ105=Constants!$B$7,IF(SUMPRODUCT(--($AL105:$AP105&gt;AL105))+SUMPRODUCT(--($AL105:AL105=AL105))=1,1,IF(SUMPRODUCT(--($AL105:$AP105&gt;AM105))+SUMPRODUCT(--($AL105:AM105=AM105))=1,2,IF(SUMPRODUCT(--($AL105:$AP105&gt;AN105))+SUMPRODUCT(--($AL105:AN105=AN105))=1,3,IF(SUMPRODUCT(--($AL105:$AP105&gt;AO105))+SUMPRODUCT(--($AL105:AO105=AO105))=1,4,5)))),"")</f>
        <v/>
      </c>
      <c r="AR105" s="59" t="str">
        <f aca="false">IF($AJ105=Constants!$B$7,IF(SUMPRODUCT(--($AL105:$AP105&gt;AL105))+SUMPRODUCT(--($AL105:AL105=AL105))=2,1,IF(SUMPRODUCT(--($AL105:$AP105&gt;AM105))+SUMPRODUCT(--($AL105:AM105=AM105))=2,2,IF(SUMPRODUCT(--($AL105:$AP105&gt;AN105))+SUMPRODUCT(--($AL105:AN105=AN105))=2,3,IF(SUMPRODUCT(--($AL105:$AP105&gt;AO105))+SUMPRODUCT(--($AL105:AO105=AO105))=2,4,5)))),"")</f>
        <v/>
      </c>
      <c r="AS105" s="59" t="str">
        <f aca="false">IF($AJ105=Constants!$B$7,IF(SUMPRODUCT(--($AL105:$AP105&gt;AL105))+SUMPRODUCT(--($AL105:AL105=AL105))=3,1,IF(SUMPRODUCT(--($AL105:$AP105&gt;AM105))+SUMPRODUCT(--($AL105:AM105=AM105))=3,2,IF(SUMPRODUCT(--($AL105:$AP105&gt;AN105))+SUMPRODUCT(--($AL105:AN105=AN105))=3,3,IF(SUMPRODUCT(--($AL105:$AP105&gt;AO105))+SUMPRODUCT(--($AL105:AO105=AO105))=3,4,5)))),"")</f>
        <v/>
      </c>
      <c r="AT105" s="59" t="str">
        <f aca="false">IF($AJ105=Constants!$B$7,LARGE(AL105:AP105,1)+LARGE(AL105:AP105,2)+LARGE(AL105:AP105,3),"")</f>
        <v/>
      </c>
      <c r="AU105" s="59" t="str">
        <f aca="false">IF(ISBLANK($C105),"",IF($AJ105&lt;&gt;Constants!$B$7,$AJ105,AT105*W105))</f>
        <v/>
      </c>
      <c r="AV105" s="59" t="str">
        <f aca="false">IF(ISBLANK($C105),"",IF($AJ105=Constants!$B$7,IF(ISNUMBER(AU105),RANK(AU105,$AU$8:$AU$507),Constants!$B$14),$AJ105))</f>
        <v/>
      </c>
      <c r="AW105" s="59" t="str">
        <f aca="false">IF(ISBLANK($C105),"",IF($AJ105=Constants!$B$7,IF(ISNUMBER(AV105),COUNTIFS($AK$8:$AK$507,"&lt;"&amp;$AK105)+COUNTIFS($AK$8:$AK$507,$AK105,$AV$8:$AV$507,"&lt;"&amp;$AV105)+1,Constants!$B$14),$AJ105))</f>
        <v/>
      </c>
      <c r="AX105" s="59" t="str">
        <f aca="false">IF(ISBLANK($C105),"",IF($AJ105=Constants!$B$7,LARGE(AL105:AP105,4)*W105,""))</f>
        <v/>
      </c>
      <c r="AY105" s="59" t="str">
        <f aca="false">IF(ISBLANK($C105),"",IF($AJ105=Constants!$B$7,RANK(AX105,$AX$8:$AX$507),$AJ105))</f>
        <v/>
      </c>
      <c r="AZ105" s="59" t="str">
        <f aca="false">IF(ISBLANK($C105),"",IF($AJ105=Constants!$B$7,IF(ISNUMBER(AV105),COUNTIFS($AK$8:$AK$507,"&lt;"&amp;$AK105)+COUNTIFS($AK$8:$AK$507,$AK105,$AV$8:$AV$507,"&lt;"&amp;$AV105)+COUNTIFS($AK$8:$AK$507,$AK105,$AV$8:$AV$507,$AV105,$AY$8:$AY$507,"&lt;"&amp;$AY105)+1,Constants!$B$14),$AJ105))</f>
        <v/>
      </c>
      <c r="BA105" s="59" t="str">
        <f aca="false">IF(ISBLANK($C105),"",IF($AJ105=Constants!$B$7,IF(ISNUMBER(AW105),AW105-AZ105,Constants!$B$14),$AJ105))</f>
        <v/>
      </c>
      <c r="BB105" s="61"/>
      <c r="BC105" s="62" t="str">
        <f aca="false">IF(ISBLANK($C105),"",IF($AJ105&lt;&gt;Constants!$B$7,$AJ105,SMALL(AQ105:AS105,1)&amp;", "&amp;SMALL(AQ105:AS105,2)&amp;", "&amp;SMALL(AQ105:AS105,3)))</f>
        <v/>
      </c>
      <c r="BD105" s="63" t="str">
        <f aca="false">IF(ISBLANK($C105),"",IF($AJ105&lt;&gt;Constants!$B$7,$AJ105,W105))</f>
        <v/>
      </c>
      <c r="BE105" s="64" t="str">
        <f aca="false">IF(ISBLANK($C105),"",IF($AJ105&lt;&gt;Constants!$B$7,$AJ105,AU105))</f>
        <v/>
      </c>
      <c r="BF105" s="65" t="str">
        <f aca="false">IF(ISBLANK($C105),"",IF($AJ105&lt;&gt;Constants!$B$7,$AJ105,AK105))</f>
        <v/>
      </c>
      <c r="BG105" s="63" t="str">
        <f aca="false">IF(ISBLANK($C105),"",BA105)</f>
        <v/>
      </c>
      <c r="BH105" s="63" t="str">
        <f aca="false">IF(ISBLANK($C105),"",AZ105)</f>
        <v/>
      </c>
      <c r="BI105" s="66" t="str">
        <f aca="false">IF(ISBLANK($C105),"",IF(BH105=Constants!$B$4,COUNTA($C$8:$C$507)+2,IF(BH105=Constants!$B$5,COUNTA($C$8:$C$507)+1,IF(BH105=Constants!$B$6,COUNTA($C$8:$C$507),BH105))))</f>
        <v/>
      </c>
      <c r="BJ105" s="5"/>
      <c r="BK105" s="67" t="n">
        <f aca="false">IF(OR(ISNUMBER(BH105),BH105=Constants!$B$4,BH105=Constants!$B$6,BH105=Constants!$B$5),1,0)</f>
        <v>0</v>
      </c>
      <c r="BL105" s="67" t="n">
        <v>98</v>
      </c>
      <c r="BM105" s="67" t="str">
        <f aca="false">IF(ISBLANK($C105),"",IF(ISNUMBER(BI105),BI105+ROW($B105)/1000,""))</f>
        <v/>
      </c>
      <c r="BN105" s="67" t="str">
        <f aca="false">IF(ISNUMBER(BM105),RANK(BM105,$BM$8:$BM$507,1),"")</f>
        <v/>
      </c>
      <c r="BO105" s="67" t="str">
        <f aca="false">IF(ISBLANK($C105),"",$B105)</f>
        <v/>
      </c>
      <c r="BP105" s="67" t="str">
        <f aca="false">IF(ISBLANK($C105),"",$C105)</f>
        <v/>
      </c>
      <c r="BQ105" s="67" t="str">
        <f aca="false">IF(ISBLANK($C105),"",$D105)</f>
        <v/>
      </c>
      <c r="BR105" s="68" t="str">
        <f aca="false">BF105</f>
        <v/>
      </c>
      <c r="BS105" s="69" t="str">
        <f aca="false">BE105</f>
        <v/>
      </c>
      <c r="BT105" s="67" t="str">
        <f aca="false">IF(ISBLANK($C105),"",BH105)</f>
        <v/>
      </c>
      <c r="BU105" s="70" t="str">
        <f aca="false">IF($BL105&gt;$BK$7,"",VLOOKUP($BL105,$BN$8:$BT$507,7,FALSE()))</f>
        <v/>
      </c>
      <c r="BV105" s="71" t="str">
        <f aca="false">IF($BL105&gt;$BK$7,"",VLOOKUP($BL105,$BN$8:$BT$507,2,FALSE()))</f>
        <v/>
      </c>
      <c r="BW105" s="71" t="str">
        <f aca="false">IF($BL105&gt;$BK$7,"",VLOOKUP($BL105,$BN$8:$BT$507,3,FALSE()))</f>
        <v/>
      </c>
      <c r="BX105" s="71" t="str">
        <f aca="false">IF($BL105&gt;$BK$7,"",VLOOKUP($BL105,$BN$8:$BT$507,4,FALSE()))</f>
        <v/>
      </c>
      <c r="BY105" s="71" t="str">
        <f aca="false">IF($BL105&gt;$BK$7,"",VLOOKUP($BL105,$BN$8:$BT$507,5,FALSE()))</f>
        <v/>
      </c>
      <c r="BZ105" s="72" t="str">
        <f aca="false">IF($BL105&gt;$BK$7,"",VLOOKUP($BL105,$BN$8:$BT$507,6,FALSE()))</f>
        <v/>
      </c>
      <c r="CA105" s="48"/>
    </row>
    <row r="106" customFormat="false" ht="15.75" hidden="false" customHeight="false" outlineLevel="0" collapsed="false">
      <c r="A106" s="5"/>
      <c r="B106" s="121"/>
      <c r="C106" s="50"/>
      <c r="D106" s="51"/>
      <c r="E106" s="74"/>
      <c r="F106" s="122"/>
      <c r="G106" s="54"/>
      <c r="H106" s="123"/>
      <c r="I106" s="124"/>
      <c r="J106" s="54"/>
      <c r="K106" s="123"/>
      <c r="L106" s="54"/>
      <c r="M106" s="123"/>
      <c r="N106" s="54"/>
      <c r="O106" s="123"/>
      <c r="P106" s="54"/>
      <c r="Q106" s="123"/>
      <c r="R106" s="54"/>
      <c r="S106" s="74"/>
      <c r="T106" s="58"/>
      <c r="U106" s="59" t="str">
        <f aca="false">IF(ISBLANK($C106),"",IF(E106=Constants!$B$2, TRUE(), IF(E106=Constants!$B$3, FALSE(), TRUE())))</f>
        <v/>
      </c>
      <c r="V106" s="59" t="str">
        <f aca="false">IF(ISBLANK($C106),"",IF(F106=Constants!$B$2, TRUE(), IF(F106=Constants!$B$3, FALSE(), TRUE())))</f>
        <v/>
      </c>
      <c r="W106" s="59" t="str">
        <f aca="false">IF(ISBLANK($C106),"",IF(G106=Constants!$B$15,Constants!$B$8,IF(G106=Constants!$B$16,Constants!$B$9,Constants!$B$10)))</f>
        <v/>
      </c>
      <c r="X106" s="59" t="str">
        <f aca="false">IF(ISBLANK($C106),"",IF(H106=Constants!$B$2, TRUE(), IF(H106=Constants!$B$3, FALSE(), TRUE())))</f>
        <v/>
      </c>
      <c r="Y106" s="59" t="str">
        <f aca="false">IF(ISBLANK($C106),"",IF(I106=Constants!$B$19,Constants!$B$19,Constants!$B$18))</f>
        <v/>
      </c>
      <c r="Z106" s="59" t="str">
        <f aca="false">IF(ISBLANK($C106),"",IF(ISNUMBER(J106),IF(J106&gt;=0,J106,""),""))</f>
        <v/>
      </c>
      <c r="AA106" s="59" t="str">
        <f aca="false">IF(ISBLANK($C106),"",IF(K106=Constants!$B$19,Constants!$B$19,Constants!$B$18))</f>
        <v/>
      </c>
      <c r="AB106" s="59" t="str">
        <f aca="false">IF(ISBLANK($C106),"",IF(ISNUMBER(L106),IF(L106&gt;=0,L106,""),""))</f>
        <v/>
      </c>
      <c r="AC106" s="59" t="str">
        <f aca="false">IF(ISBLANK($C106),"",IF(M106=Constants!$B$19,Constants!$B$19,Constants!$B$18))</f>
        <v/>
      </c>
      <c r="AD106" s="59" t="str">
        <f aca="false">IF(ISBLANK($C106),"",IF(ISNUMBER(N106),IF(N106&gt;=0,N106,""),""))</f>
        <v/>
      </c>
      <c r="AE106" s="59" t="str">
        <f aca="false">IF(ISBLANK($C106),"",IF(O106=Constants!$B$19,Constants!$B$19,Constants!$B$18))</f>
        <v/>
      </c>
      <c r="AF106" s="59" t="str">
        <f aca="false">IF(ISBLANK($C106),"",IF(ISNUMBER(P106),IF(P106&gt;=0,P106,""),""))</f>
        <v/>
      </c>
      <c r="AG106" s="59" t="str">
        <f aca="false">IF(ISBLANK($C106),"",IF(Q106=Constants!$B$19,Constants!$B$19,Constants!$B$18))</f>
        <v/>
      </c>
      <c r="AH106" s="59" t="str">
        <f aca="false">IF(ISBLANK($C106),"",IF(ISNUMBER(R106),IF(R106&gt;=0,R106,""),""))</f>
        <v/>
      </c>
      <c r="AI106" s="59" t="str">
        <f aca="false">IF(ISBLANK($C106),"",IF(S106=Constants!$B$2, TRUE(), IF(S106=Constants!$B$3, FALSE(), FALSE())))</f>
        <v/>
      </c>
      <c r="AJ106" s="59" t="str">
        <f aca="false">IF(ISBLANK($C106),"",IF(AI106,Constants!$B$4,IF(COUNTA(E106:R106)=0,Constants!$B$5,IF(COUNTA(J106,L106,N106,P106,R106)=0,Constants!$B$6,Constants!$B$7))))</f>
        <v/>
      </c>
      <c r="AK106" s="59" t="str">
        <f aca="false">IF(ISBLANK($C106),"",IF($AJ106&lt;&gt;Constants!$B$7,$AJ106,IF(OR(NOT(X106),AND(NOT(U106),COUNTIFS(Y106:AG106,Constants!$B$18,Z106:AH106,"&gt;=0")&gt;0),AND(NOT(V106),COUNTIFS(Y106:AG106,Constants!$B$19,Z106:AH106,"&gt;=0")&gt;0)),Constants!$B$12,Constants!$B$11)))</f>
        <v/>
      </c>
      <c r="AL106" s="59" t="str">
        <f aca="false">IF($AJ106=Constants!$B$7,IF(Z106="",Constants!$B$13,Z106),"")</f>
        <v/>
      </c>
      <c r="AM106" s="59" t="str">
        <f aca="false">IF($AJ106=Constants!$B$7,IF(AB106="",Constants!$B$13,AB106),"")</f>
        <v/>
      </c>
      <c r="AN106" s="59" t="str">
        <f aca="false">IF($AJ106=Constants!$B$7,IF(AD106="",Constants!$B$13,AD106),"")</f>
        <v/>
      </c>
      <c r="AO106" s="59" t="str">
        <f aca="false">IF($AJ106=Constants!$B$7,IF(AF106="",Constants!$B$13,AF106),"")</f>
        <v/>
      </c>
      <c r="AP106" s="59" t="str">
        <f aca="false">IF($AJ106=Constants!$B$7,IF(AH106="",Constants!$B$13,AH106),"")</f>
        <v/>
      </c>
      <c r="AQ106" s="59" t="str">
        <f aca="false">IF($AJ106=Constants!$B$7,IF(SUMPRODUCT(--($AL106:$AP106&gt;AL106))+SUMPRODUCT(--($AL106:AL106=AL106))=1,1,IF(SUMPRODUCT(--($AL106:$AP106&gt;AM106))+SUMPRODUCT(--($AL106:AM106=AM106))=1,2,IF(SUMPRODUCT(--($AL106:$AP106&gt;AN106))+SUMPRODUCT(--($AL106:AN106=AN106))=1,3,IF(SUMPRODUCT(--($AL106:$AP106&gt;AO106))+SUMPRODUCT(--($AL106:AO106=AO106))=1,4,5)))),"")</f>
        <v/>
      </c>
      <c r="AR106" s="59" t="str">
        <f aca="false">IF($AJ106=Constants!$B$7,IF(SUMPRODUCT(--($AL106:$AP106&gt;AL106))+SUMPRODUCT(--($AL106:AL106=AL106))=2,1,IF(SUMPRODUCT(--($AL106:$AP106&gt;AM106))+SUMPRODUCT(--($AL106:AM106=AM106))=2,2,IF(SUMPRODUCT(--($AL106:$AP106&gt;AN106))+SUMPRODUCT(--($AL106:AN106=AN106))=2,3,IF(SUMPRODUCT(--($AL106:$AP106&gt;AO106))+SUMPRODUCT(--($AL106:AO106=AO106))=2,4,5)))),"")</f>
        <v/>
      </c>
      <c r="AS106" s="59" t="str">
        <f aca="false">IF($AJ106=Constants!$B$7,IF(SUMPRODUCT(--($AL106:$AP106&gt;AL106))+SUMPRODUCT(--($AL106:AL106=AL106))=3,1,IF(SUMPRODUCT(--($AL106:$AP106&gt;AM106))+SUMPRODUCT(--($AL106:AM106=AM106))=3,2,IF(SUMPRODUCT(--($AL106:$AP106&gt;AN106))+SUMPRODUCT(--($AL106:AN106=AN106))=3,3,IF(SUMPRODUCT(--($AL106:$AP106&gt;AO106))+SUMPRODUCT(--($AL106:AO106=AO106))=3,4,5)))),"")</f>
        <v/>
      </c>
      <c r="AT106" s="59" t="str">
        <f aca="false">IF($AJ106=Constants!$B$7,LARGE(AL106:AP106,1)+LARGE(AL106:AP106,2)+LARGE(AL106:AP106,3),"")</f>
        <v/>
      </c>
      <c r="AU106" s="59" t="str">
        <f aca="false">IF(ISBLANK($C106),"",IF($AJ106&lt;&gt;Constants!$B$7,$AJ106,AT106*W106))</f>
        <v/>
      </c>
      <c r="AV106" s="59" t="str">
        <f aca="false">IF(ISBLANK($C106),"",IF($AJ106=Constants!$B$7,IF(ISNUMBER(AU106),RANK(AU106,$AU$8:$AU$507),Constants!$B$14),$AJ106))</f>
        <v/>
      </c>
      <c r="AW106" s="59" t="str">
        <f aca="false">IF(ISBLANK($C106),"",IF($AJ106=Constants!$B$7,IF(ISNUMBER(AV106),COUNTIFS($AK$8:$AK$507,"&lt;"&amp;$AK106)+COUNTIFS($AK$8:$AK$507,$AK106,$AV$8:$AV$507,"&lt;"&amp;$AV106)+1,Constants!$B$14),$AJ106))</f>
        <v/>
      </c>
      <c r="AX106" s="59" t="str">
        <f aca="false">IF(ISBLANK($C106),"",IF($AJ106=Constants!$B$7,LARGE(AL106:AP106,4)*W106,""))</f>
        <v/>
      </c>
      <c r="AY106" s="59" t="str">
        <f aca="false">IF(ISBLANK($C106),"",IF($AJ106=Constants!$B$7,RANK(AX106,$AX$8:$AX$507),$AJ106))</f>
        <v/>
      </c>
      <c r="AZ106" s="59" t="str">
        <f aca="false">IF(ISBLANK($C106),"",IF($AJ106=Constants!$B$7,IF(ISNUMBER(AV106),COUNTIFS($AK$8:$AK$507,"&lt;"&amp;$AK106)+COUNTIFS($AK$8:$AK$507,$AK106,$AV$8:$AV$507,"&lt;"&amp;$AV106)+COUNTIFS($AK$8:$AK$507,$AK106,$AV$8:$AV$507,$AV106,$AY$8:$AY$507,"&lt;"&amp;$AY106)+1,Constants!$B$14),$AJ106))</f>
        <v/>
      </c>
      <c r="BA106" s="59" t="str">
        <f aca="false">IF(ISBLANK($C106),"",IF($AJ106=Constants!$B$7,IF(ISNUMBER(AW106),AW106-AZ106,Constants!$B$14),$AJ106))</f>
        <v/>
      </c>
      <c r="BB106" s="61"/>
      <c r="BC106" s="62" t="str">
        <f aca="false">IF(ISBLANK($C106),"",IF($AJ106&lt;&gt;Constants!$B$7,$AJ106,SMALL(AQ106:AS106,1)&amp;", "&amp;SMALL(AQ106:AS106,2)&amp;", "&amp;SMALL(AQ106:AS106,3)))</f>
        <v/>
      </c>
      <c r="BD106" s="63" t="str">
        <f aca="false">IF(ISBLANK($C106),"",IF($AJ106&lt;&gt;Constants!$B$7,$AJ106,W106))</f>
        <v/>
      </c>
      <c r="BE106" s="64" t="str">
        <f aca="false">IF(ISBLANK($C106),"",IF($AJ106&lt;&gt;Constants!$B$7,$AJ106,AU106))</f>
        <v/>
      </c>
      <c r="BF106" s="65" t="str">
        <f aca="false">IF(ISBLANK($C106),"",IF($AJ106&lt;&gt;Constants!$B$7,$AJ106,AK106))</f>
        <v/>
      </c>
      <c r="BG106" s="63" t="str">
        <f aca="false">IF(ISBLANK($C106),"",BA106)</f>
        <v/>
      </c>
      <c r="BH106" s="63" t="str">
        <f aca="false">IF(ISBLANK($C106),"",AZ106)</f>
        <v/>
      </c>
      <c r="BI106" s="66" t="str">
        <f aca="false">IF(ISBLANK($C106),"",IF(BH106=Constants!$B$4,COUNTA($C$8:$C$507)+2,IF(BH106=Constants!$B$5,COUNTA($C$8:$C$507)+1,IF(BH106=Constants!$B$6,COUNTA($C$8:$C$507),BH106))))</f>
        <v/>
      </c>
      <c r="BJ106" s="5"/>
      <c r="BK106" s="67" t="n">
        <f aca="false">IF(OR(ISNUMBER(BH106),BH106=Constants!$B$4,BH106=Constants!$B$6,BH106=Constants!$B$5),1,0)</f>
        <v>0</v>
      </c>
      <c r="BL106" s="67" t="n">
        <v>99</v>
      </c>
      <c r="BM106" s="67" t="str">
        <f aca="false">IF(ISBLANK($C106),"",IF(ISNUMBER(BI106),BI106+ROW($B106)/1000,""))</f>
        <v/>
      </c>
      <c r="BN106" s="67" t="str">
        <f aca="false">IF(ISNUMBER(BM106),RANK(BM106,$BM$8:$BM$507,1),"")</f>
        <v/>
      </c>
      <c r="BO106" s="67" t="str">
        <f aca="false">IF(ISBLANK($C106),"",$B106)</f>
        <v/>
      </c>
      <c r="BP106" s="67" t="str">
        <f aca="false">IF(ISBLANK($C106),"",$C106)</f>
        <v/>
      </c>
      <c r="BQ106" s="67" t="str">
        <f aca="false">IF(ISBLANK($C106),"",$D106)</f>
        <v/>
      </c>
      <c r="BR106" s="68" t="str">
        <f aca="false">BF106</f>
        <v/>
      </c>
      <c r="BS106" s="69" t="str">
        <f aca="false">BE106</f>
        <v/>
      </c>
      <c r="BT106" s="67" t="str">
        <f aca="false">IF(ISBLANK($C106),"",BH106)</f>
        <v/>
      </c>
      <c r="BU106" s="70" t="str">
        <f aca="false">IF($BL106&gt;$BK$7,"",VLOOKUP($BL106,$BN$8:$BT$507,7,FALSE()))</f>
        <v/>
      </c>
      <c r="BV106" s="71" t="str">
        <f aca="false">IF($BL106&gt;$BK$7,"",VLOOKUP($BL106,$BN$8:$BT$507,2,FALSE()))</f>
        <v/>
      </c>
      <c r="BW106" s="71" t="str">
        <f aca="false">IF($BL106&gt;$BK$7,"",VLOOKUP($BL106,$BN$8:$BT$507,3,FALSE()))</f>
        <v/>
      </c>
      <c r="BX106" s="71" t="str">
        <f aca="false">IF($BL106&gt;$BK$7,"",VLOOKUP($BL106,$BN$8:$BT$507,4,FALSE()))</f>
        <v/>
      </c>
      <c r="BY106" s="71" t="str">
        <f aca="false">IF($BL106&gt;$BK$7,"",VLOOKUP($BL106,$BN$8:$BT$507,5,FALSE()))</f>
        <v/>
      </c>
      <c r="BZ106" s="72" t="str">
        <f aca="false">IF($BL106&gt;$BK$7,"",VLOOKUP($BL106,$BN$8:$BT$507,6,FALSE()))</f>
        <v/>
      </c>
      <c r="CA106" s="48"/>
    </row>
    <row r="107" customFormat="false" ht="15.75" hidden="false" customHeight="false" outlineLevel="0" collapsed="false">
      <c r="A107" s="5"/>
      <c r="B107" s="114"/>
      <c r="C107" s="115"/>
      <c r="D107" s="100"/>
      <c r="E107" s="120"/>
      <c r="F107" s="125"/>
      <c r="G107" s="82"/>
      <c r="H107" s="126"/>
      <c r="I107" s="127"/>
      <c r="J107" s="82"/>
      <c r="K107" s="126"/>
      <c r="L107" s="82"/>
      <c r="M107" s="126"/>
      <c r="N107" s="82"/>
      <c r="O107" s="126"/>
      <c r="P107" s="82"/>
      <c r="Q107" s="126"/>
      <c r="R107" s="82"/>
      <c r="S107" s="120"/>
      <c r="T107" s="86"/>
      <c r="U107" s="87" t="str">
        <f aca="false">IF(ISBLANK($C107),"",IF(E107=Constants!$B$2, TRUE(), IF(E107=Constants!$B$3, FALSE(), TRUE())))</f>
        <v/>
      </c>
      <c r="V107" s="87" t="str">
        <f aca="false">IF(ISBLANK($C107),"",IF(F107=Constants!$B$2, TRUE(), IF(F107=Constants!$B$3, FALSE(), TRUE())))</f>
        <v/>
      </c>
      <c r="W107" s="87" t="str">
        <f aca="false">IF(ISBLANK($C107),"",IF(G107=Constants!$B$15,Constants!$B$8,IF(G107=Constants!$B$16,Constants!$B$9,Constants!$B$10)))</f>
        <v/>
      </c>
      <c r="X107" s="87" t="str">
        <f aca="false">IF(ISBLANK($C107),"",IF(H107=Constants!$B$2, TRUE(), IF(H107=Constants!$B$3, FALSE(), TRUE())))</f>
        <v/>
      </c>
      <c r="Y107" s="87" t="str">
        <f aca="false">IF(ISBLANK($C107),"",IF(I107=Constants!$B$19,Constants!$B$19,Constants!$B$18))</f>
        <v/>
      </c>
      <c r="Z107" s="87" t="str">
        <f aca="false">IF(ISBLANK($C107),"",IF(ISNUMBER(J107),IF(J107&gt;=0,J107,""),""))</f>
        <v/>
      </c>
      <c r="AA107" s="87" t="str">
        <f aca="false">IF(ISBLANK($C107),"",IF(K107=Constants!$B$19,Constants!$B$19,Constants!$B$18))</f>
        <v/>
      </c>
      <c r="AB107" s="87" t="str">
        <f aca="false">IF(ISBLANK($C107),"",IF(ISNUMBER(L107),IF(L107&gt;=0,L107,""),""))</f>
        <v/>
      </c>
      <c r="AC107" s="87" t="str">
        <f aca="false">IF(ISBLANK($C107),"",IF(M107=Constants!$B$19,Constants!$B$19,Constants!$B$18))</f>
        <v/>
      </c>
      <c r="AD107" s="87" t="str">
        <f aca="false">IF(ISBLANK($C107),"",IF(ISNUMBER(N107),IF(N107&gt;=0,N107,""),""))</f>
        <v/>
      </c>
      <c r="AE107" s="87" t="str">
        <f aca="false">IF(ISBLANK($C107),"",IF(O107=Constants!$B$19,Constants!$B$19,Constants!$B$18))</f>
        <v/>
      </c>
      <c r="AF107" s="87" t="str">
        <f aca="false">IF(ISBLANK($C107),"",IF(ISNUMBER(P107),IF(P107&gt;=0,P107,""),""))</f>
        <v/>
      </c>
      <c r="AG107" s="87" t="str">
        <f aca="false">IF(ISBLANK($C107),"",IF(Q107=Constants!$B$19,Constants!$B$19,Constants!$B$18))</f>
        <v/>
      </c>
      <c r="AH107" s="87" t="str">
        <f aca="false">IF(ISBLANK($C107),"",IF(ISNUMBER(R107),IF(R107&gt;=0,R107,""),""))</f>
        <v/>
      </c>
      <c r="AI107" s="87" t="str">
        <f aca="false">IF(ISBLANK($C107),"",IF(S107=Constants!$B$2, TRUE(), IF(S107=Constants!$B$3, FALSE(), FALSE())))</f>
        <v/>
      </c>
      <c r="AJ107" s="87" t="str">
        <f aca="false">IF(ISBLANK($C107),"",IF(AI107,Constants!$B$4,IF(COUNTA(E107:R107)=0,Constants!$B$5,IF(COUNTA(J107,L107,N107,P107,R107)=0,Constants!$B$6,Constants!$B$7))))</f>
        <v/>
      </c>
      <c r="AK107" s="87" t="str">
        <f aca="false">IF(ISBLANK($C107),"",IF($AJ107&lt;&gt;Constants!$B$7,$AJ107,IF(OR(NOT(X107),AND(NOT(U107),COUNTIFS(Y107:AG107,Constants!$B$18,Z107:AH107,"&gt;=0")&gt;0),AND(NOT(V107),COUNTIFS(Y107:AG107,Constants!$B$19,Z107:AH107,"&gt;=0")&gt;0)),Constants!$B$12,Constants!$B$11)))</f>
        <v/>
      </c>
      <c r="AL107" s="87" t="str">
        <f aca="false">IF($AJ107=Constants!$B$7,IF(Z107="",Constants!$B$13,Z107),"")</f>
        <v/>
      </c>
      <c r="AM107" s="87" t="str">
        <f aca="false">IF($AJ107=Constants!$B$7,IF(AB107="",Constants!$B$13,AB107),"")</f>
        <v/>
      </c>
      <c r="AN107" s="87" t="str">
        <f aca="false">IF($AJ107=Constants!$B$7,IF(AD107="",Constants!$B$13,AD107),"")</f>
        <v/>
      </c>
      <c r="AO107" s="87" t="str">
        <f aca="false">IF($AJ107=Constants!$B$7,IF(AF107="",Constants!$B$13,AF107),"")</f>
        <v/>
      </c>
      <c r="AP107" s="87" t="str">
        <f aca="false">IF($AJ107=Constants!$B$7,IF(AH107="",Constants!$B$13,AH107),"")</f>
        <v/>
      </c>
      <c r="AQ107" s="87" t="str">
        <f aca="false">IF($AJ107=Constants!$B$7,IF(SUMPRODUCT(--($AL107:$AP107&gt;AL107))+SUMPRODUCT(--($AL107:AL107=AL107))=1,1,IF(SUMPRODUCT(--($AL107:$AP107&gt;AM107))+SUMPRODUCT(--($AL107:AM107=AM107))=1,2,IF(SUMPRODUCT(--($AL107:$AP107&gt;AN107))+SUMPRODUCT(--($AL107:AN107=AN107))=1,3,IF(SUMPRODUCT(--($AL107:$AP107&gt;AO107))+SUMPRODUCT(--($AL107:AO107=AO107))=1,4,5)))),"")</f>
        <v/>
      </c>
      <c r="AR107" s="87" t="str">
        <f aca="false">IF($AJ107=Constants!$B$7,IF(SUMPRODUCT(--($AL107:$AP107&gt;AL107))+SUMPRODUCT(--($AL107:AL107=AL107))=2,1,IF(SUMPRODUCT(--($AL107:$AP107&gt;AM107))+SUMPRODUCT(--($AL107:AM107=AM107))=2,2,IF(SUMPRODUCT(--($AL107:$AP107&gt;AN107))+SUMPRODUCT(--($AL107:AN107=AN107))=2,3,IF(SUMPRODUCT(--($AL107:$AP107&gt;AO107))+SUMPRODUCT(--($AL107:AO107=AO107))=2,4,5)))),"")</f>
        <v/>
      </c>
      <c r="AS107" s="87" t="str">
        <f aca="false">IF($AJ107=Constants!$B$7,IF(SUMPRODUCT(--($AL107:$AP107&gt;AL107))+SUMPRODUCT(--($AL107:AL107=AL107))=3,1,IF(SUMPRODUCT(--($AL107:$AP107&gt;AM107))+SUMPRODUCT(--($AL107:AM107=AM107))=3,2,IF(SUMPRODUCT(--($AL107:$AP107&gt;AN107))+SUMPRODUCT(--($AL107:AN107=AN107))=3,3,IF(SUMPRODUCT(--($AL107:$AP107&gt;AO107))+SUMPRODUCT(--($AL107:AO107=AO107))=3,4,5)))),"")</f>
        <v/>
      </c>
      <c r="AT107" s="87" t="str">
        <f aca="false">IF($AJ107=Constants!$B$7,LARGE(AL107:AP107,1)+LARGE(AL107:AP107,2)+LARGE(AL107:AP107,3),"")</f>
        <v/>
      </c>
      <c r="AU107" s="87" t="str">
        <f aca="false">IF(ISBLANK($C107),"",IF($AJ107&lt;&gt;Constants!$B$7,$AJ107,AT107*W107))</f>
        <v/>
      </c>
      <c r="AV107" s="87" t="str">
        <f aca="false">IF(ISBLANK($C107),"",IF($AJ107=Constants!$B$7,IF(ISNUMBER(AU107),RANK(AU107,$AU$8:$AU$507),Constants!$B$14),$AJ107))</f>
        <v/>
      </c>
      <c r="AW107" s="87" t="str">
        <f aca="false">IF(ISBLANK($C107),"",IF($AJ107=Constants!$B$7,IF(ISNUMBER(AV107),COUNTIFS($AK$8:$AK$507,"&lt;"&amp;$AK107)+COUNTIFS($AK$8:$AK$507,$AK107,$AV$8:$AV$507,"&lt;"&amp;$AV107)+1,Constants!$B$14),$AJ107))</f>
        <v/>
      </c>
      <c r="AX107" s="87" t="str">
        <f aca="false">IF(ISBLANK($C107),"",IF($AJ107=Constants!$B$7,LARGE(AL107:AP107,4)*W107,""))</f>
        <v/>
      </c>
      <c r="AY107" s="87" t="str">
        <f aca="false">IF(ISBLANK($C107),"",IF($AJ107=Constants!$B$7,RANK(AX107,$AX$8:$AX$507),$AJ107))</f>
        <v/>
      </c>
      <c r="AZ107" s="87" t="str">
        <f aca="false">IF(ISBLANK($C107),"",IF($AJ107=Constants!$B$7,IF(ISNUMBER(AV107),COUNTIFS($AK$8:$AK$507,"&lt;"&amp;$AK107)+COUNTIFS($AK$8:$AK$507,$AK107,$AV$8:$AV$507,"&lt;"&amp;$AV107)+COUNTIFS($AK$8:$AK$507,$AK107,$AV$8:$AV$507,$AV107,$AY$8:$AY$507,"&lt;"&amp;$AY107)+1,Constants!$B$14),$AJ107))</f>
        <v/>
      </c>
      <c r="BA107" s="87" t="str">
        <f aca="false">IF(ISBLANK($C107),"",IF($AJ107=Constants!$B$7,IF(ISNUMBER(AW107),AW107-AZ107,Constants!$B$14),$AJ107))</f>
        <v/>
      </c>
      <c r="BB107" s="88"/>
      <c r="BC107" s="89" t="str">
        <f aca="false">IF(ISBLANK($C107),"",IF($AJ107&lt;&gt;Constants!$B$7,$AJ107,SMALL(AQ107:AS107,1)&amp;", "&amp;SMALL(AQ107:AS107,2)&amp;", "&amp;SMALL(AQ107:AS107,3)))</f>
        <v/>
      </c>
      <c r="BD107" s="90" t="str">
        <f aca="false">IF(ISBLANK($C107),"",IF($AJ107&lt;&gt;Constants!$B$7,$AJ107,W107))</f>
        <v/>
      </c>
      <c r="BE107" s="91" t="str">
        <f aca="false">IF(ISBLANK($C107),"",IF($AJ107&lt;&gt;Constants!$B$7,$AJ107,AU107))</f>
        <v/>
      </c>
      <c r="BF107" s="92" t="str">
        <f aca="false">IF(ISBLANK($C107),"",IF($AJ107&lt;&gt;Constants!$B$7,$AJ107,AK107))</f>
        <v/>
      </c>
      <c r="BG107" s="90" t="str">
        <f aca="false">IF(ISBLANK($C107),"",BA107)</f>
        <v/>
      </c>
      <c r="BH107" s="90" t="str">
        <f aca="false">IF(ISBLANK($C107),"",AZ107)</f>
        <v/>
      </c>
      <c r="BI107" s="93" t="str">
        <f aca="false">IF(ISBLANK($C107),"",IF(BH107=Constants!$B$4,COUNTA($C$8:$C$507)+2,IF(BH107=Constants!$B$5,COUNTA($C$8:$C$507)+1,IF(BH107=Constants!$B$6,COUNTA($C$8:$C$507),BH107))))</f>
        <v/>
      </c>
      <c r="BJ107" s="5"/>
      <c r="BK107" s="94" t="n">
        <f aca="false">IF(OR(ISNUMBER(BH107),BH107=Constants!$B$4,BH107=Constants!$B$6,BH107=Constants!$B$5),1,0)</f>
        <v>0</v>
      </c>
      <c r="BL107" s="94" t="n">
        <v>100</v>
      </c>
      <c r="BM107" s="94" t="str">
        <f aca="false">IF(ISBLANK($C107),"",IF(ISNUMBER(BI107),BI107+ROW($B107)/1000,""))</f>
        <v/>
      </c>
      <c r="BN107" s="94" t="str">
        <f aca="false">IF(ISNUMBER(BM107),RANK(BM107,$BM$8:$BM$507,1),"")</f>
        <v/>
      </c>
      <c r="BO107" s="94" t="str">
        <f aca="false">IF(ISBLANK($C107),"",$B107)</f>
        <v/>
      </c>
      <c r="BP107" s="94" t="str">
        <f aca="false">IF(ISBLANK($C107),"",$C107)</f>
        <v/>
      </c>
      <c r="BQ107" s="94" t="str">
        <f aca="false">IF(ISBLANK($C107),"",$D107)</f>
        <v/>
      </c>
      <c r="BR107" s="95" t="str">
        <f aca="false">BF107</f>
        <v/>
      </c>
      <c r="BS107" s="96" t="str">
        <f aca="false">BE107</f>
        <v/>
      </c>
      <c r="BT107" s="94" t="str">
        <f aca="false">IF(ISBLANK($C107),"",BH107)</f>
        <v/>
      </c>
      <c r="BU107" s="97" t="str">
        <f aca="false">IF($BL107&gt;$BK$7,"",VLOOKUP($BL107,$BN$8:$BT$507,7,FALSE()))</f>
        <v/>
      </c>
      <c r="BV107" s="98" t="str">
        <f aca="false">IF($BL107&gt;$BK$7,"",VLOOKUP($BL107,$BN$8:$BT$507,2,FALSE()))</f>
        <v/>
      </c>
      <c r="BW107" s="98" t="str">
        <f aca="false">IF($BL107&gt;$BK$7,"",VLOOKUP($BL107,$BN$8:$BT$507,3,FALSE()))</f>
        <v/>
      </c>
      <c r="BX107" s="98" t="str">
        <f aca="false">IF($BL107&gt;$BK$7,"",VLOOKUP($BL107,$BN$8:$BT$507,4,FALSE()))</f>
        <v/>
      </c>
      <c r="BY107" s="98" t="str">
        <f aca="false">IF($BL107&gt;$BK$7,"",VLOOKUP($BL107,$BN$8:$BT$507,5,FALSE()))</f>
        <v/>
      </c>
      <c r="BZ107" s="99" t="str">
        <f aca="false">IF($BL107&gt;$BK$7,"",VLOOKUP($BL107,$BN$8:$BT$507,6,FALSE()))</f>
        <v/>
      </c>
      <c r="CA107" s="48"/>
    </row>
    <row r="108" customFormat="false" ht="15.75" hidden="false" customHeight="false" outlineLevel="0" collapsed="false">
      <c r="A108" s="5"/>
      <c r="B108" s="114"/>
      <c r="C108" s="115"/>
      <c r="D108" s="100"/>
      <c r="E108" s="120"/>
      <c r="F108" s="125"/>
      <c r="G108" s="82"/>
      <c r="H108" s="126"/>
      <c r="I108" s="127"/>
      <c r="J108" s="82"/>
      <c r="K108" s="126"/>
      <c r="L108" s="82"/>
      <c r="M108" s="126"/>
      <c r="N108" s="82"/>
      <c r="O108" s="126"/>
      <c r="P108" s="82"/>
      <c r="Q108" s="126"/>
      <c r="R108" s="82"/>
      <c r="S108" s="120"/>
      <c r="T108" s="86"/>
      <c r="U108" s="87" t="str">
        <f aca="false">IF(ISBLANK($C108),"",IF(E108=Constants!$B$2, TRUE(), IF(E108=Constants!$B$3, FALSE(), TRUE())))</f>
        <v/>
      </c>
      <c r="V108" s="87" t="str">
        <f aca="false">IF(ISBLANK($C108),"",IF(F108=Constants!$B$2, TRUE(), IF(F108=Constants!$B$3, FALSE(), TRUE())))</f>
        <v/>
      </c>
      <c r="W108" s="87" t="str">
        <f aca="false">IF(ISBLANK($C108),"",IF(G108=Constants!$B$15,Constants!$B$8,IF(G108=Constants!$B$16,Constants!$B$9,Constants!$B$10)))</f>
        <v/>
      </c>
      <c r="X108" s="87" t="str">
        <f aca="false">IF(ISBLANK($C108),"",IF(H108=Constants!$B$2, TRUE(), IF(H108=Constants!$B$3, FALSE(), TRUE())))</f>
        <v/>
      </c>
      <c r="Y108" s="87" t="str">
        <f aca="false">IF(ISBLANK($C108),"",IF(I108=Constants!$B$19,Constants!$B$19,Constants!$B$18))</f>
        <v/>
      </c>
      <c r="Z108" s="87" t="str">
        <f aca="false">IF(ISBLANK($C108),"",IF(ISNUMBER(J108),IF(J108&gt;=0,J108,""),""))</f>
        <v/>
      </c>
      <c r="AA108" s="87" t="str">
        <f aca="false">IF(ISBLANK($C108),"",IF(K108=Constants!$B$19,Constants!$B$19,Constants!$B$18))</f>
        <v/>
      </c>
      <c r="AB108" s="87" t="str">
        <f aca="false">IF(ISBLANK($C108),"",IF(ISNUMBER(L108),IF(L108&gt;=0,L108,""),""))</f>
        <v/>
      </c>
      <c r="AC108" s="87" t="str">
        <f aca="false">IF(ISBLANK($C108),"",IF(M108=Constants!$B$19,Constants!$B$19,Constants!$B$18))</f>
        <v/>
      </c>
      <c r="AD108" s="87" t="str">
        <f aca="false">IF(ISBLANK($C108),"",IF(ISNUMBER(N108),IF(N108&gt;=0,N108,""),""))</f>
        <v/>
      </c>
      <c r="AE108" s="87" t="str">
        <f aca="false">IF(ISBLANK($C108),"",IF(O108=Constants!$B$19,Constants!$B$19,Constants!$B$18))</f>
        <v/>
      </c>
      <c r="AF108" s="87" t="str">
        <f aca="false">IF(ISBLANK($C108),"",IF(ISNUMBER(P108),IF(P108&gt;=0,P108,""),""))</f>
        <v/>
      </c>
      <c r="AG108" s="87" t="str">
        <f aca="false">IF(ISBLANK($C108),"",IF(Q108=Constants!$B$19,Constants!$B$19,Constants!$B$18))</f>
        <v/>
      </c>
      <c r="AH108" s="87" t="str">
        <f aca="false">IF(ISBLANK($C108),"",IF(ISNUMBER(R108),IF(R108&gt;=0,R108,""),""))</f>
        <v/>
      </c>
      <c r="AI108" s="87" t="str">
        <f aca="false">IF(ISBLANK($C108),"",IF(S108=Constants!$B$2, TRUE(), IF(S108=Constants!$B$3, FALSE(), FALSE())))</f>
        <v/>
      </c>
      <c r="AJ108" s="87" t="str">
        <f aca="false">IF(ISBLANK($C108),"",IF(AI108,Constants!$B$4,IF(COUNTA(E108:R108)=0,Constants!$B$5,IF(COUNTA(J108,L108,N108,P108,R108)=0,Constants!$B$6,Constants!$B$7))))</f>
        <v/>
      </c>
      <c r="AK108" s="87" t="str">
        <f aca="false">IF(ISBLANK($C108),"",IF($AJ108&lt;&gt;Constants!$B$7,$AJ108,IF(OR(NOT(X108),AND(NOT(U108),COUNTIFS(Y108:AG108,Constants!$B$18,Z108:AH108,"&gt;=0")&gt;0),AND(NOT(V108),COUNTIFS(Y108:AG108,Constants!$B$19,Z108:AH108,"&gt;=0")&gt;0)),Constants!$B$12,Constants!$B$11)))</f>
        <v/>
      </c>
      <c r="AL108" s="87" t="str">
        <f aca="false">IF($AJ108=Constants!$B$7,IF(Z108="",Constants!$B$13,Z108),"")</f>
        <v/>
      </c>
      <c r="AM108" s="87" t="str">
        <f aca="false">IF($AJ108=Constants!$B$7,IF(AB108="",Constants!$B$13,AB108),"")</f>
        <v/>
      </c>
      <c r="AN108" s="87" t="str">
        <f aca="false">IF($AJ108=Constants!$B$7,IF(AD108="",Constants!$B$13,AD108),"")</f>
        <v/>
      </c>
      <c r="AO108" s="87" t="str">
        <f aca="false">IF($AJ108=Constants!$B$7,IF(AF108="",Constants!$B$13,AF108),"")</f>
        <v/>
      </c>
      <c r="AP108" s="87" t="str">
        <f aca="false">IF($AJ108=Constants!$B$7,IF(AH108="",Constants!$B$13,AH108),"")</f>
        <v/>
      </c>
      <c r="AQ108" s="87" t="str">
        <f aca="false">IF($AJ108=Constants!$B$7,IF(SUMPRODUCT(--($AL108:$AP108&gt;AL108))+SUMPRODUCT(--($AL108:AL108=AL108))=1,1,IF(SUMPRODUCT(--($AL108:$AP108&gt;AM108))+SUMPRODUCT(--($AL108:AM108=AM108))=1,2,IF(SUMPRODUCT(--($AL108:$AP108&gt;AN108))+SUMPRODUCT(--($AL108:AN108=AN108))=1,3,IF(SUMPRODUCT(--($AL108:$AP108&gt;AO108))+SUMPRODUCT(--($AL108:AO108=AO108))=1,4,5)))),"")</f>
        <v/>
      </c>
      <c r="AR108" s="87" t="str">
        <f aca="false">IF($AJ108=Constants!$B$7,IF(SUMPRODUCT(--($AL108:$AP108&gt;AL108))+SUMPRODUCT(--($AL108:AL108=AL108))=2,1,IF(SUMPRODUCT(--($AL108:$AP108&gt;AM108))+SUMPRODUCT(--($AL108:AM108=AM108))=2,2,IF(SUMPRODUCT(--($AL108:$AP108&gt;AN108))+SUMPRODUCT(--($AL108:AN108=AN108))=2,3,IF(SUMPRODUCT(--($AL108:$AP108&gt;AO108))+SUMPRODUCT(--($AL108:AO108=AO108))=2,4,5)))),"")</f>
        <v/>
      </c>
      <c r="AS108" s="87" t="str">
        <f aca="false">IF($AJ108=Constants!$B$7,IF(SUMPRODUCT(--($AL108:$AP108&gt;AL108))+SUMPRODUCT(--($AL108:AL108=AL108))=3,1,IF(SUMPRODUCT(--($AL108:$AP108&gt;AM108))+SUMPRODUCT(--($AL108:AM108=AM108))=3,2,IF(SUMPRODUCT(--($AL108:$AP108&gt;AN108))+SUMPRODUCT(--($AL108:AN108=AN108))=3,3,IF(SUMPRODUCT(--($AL108:$AP108&gt;AO108))+SUMPRODUCT(--($AL108:AO108=AO108))=3,4,5)))),"")</f>
        <v/>
      </c>
      <c r="AT108" s="87" t="str">
        <f aca="false">IF($AJ108=Constants!$B$7,LARGE(AL108:AP108,1)+LARGE(AL108:AP108,2)+LARGE(AL108:AP108,3),"")</f>
        <v/>
      </c>
      <c r="AU108" s="87" t="str">
        <f aca="false">IF(ISBLANK($C108),"",IF($AJ108&lt;&gt;Constants!$B$7,$AJ108,AT108*W108))</f>
        <v/>
      </c>
      <c r="AV108" s="87" t="str">
        <f aca="false">IF(ISBLANK($C108),"",IF($AJ108=Constants!$B$7,IF(ISNUMBER(AU108),RANK(AU108,$AU$8:$AU$507),Constants!$B$14),$AJ108))</f>
        <v/>
      </c>
      <c r="AW108" s="87" t="str">
        <f aca="false">IF(ISBLANK($C108),"",IF($AJ108=Constants!$B$7,IF(ISNUMBER(AV108),COUNTIFS($AK$8:$AK$507,"&lt;"&amp;$AK108)+COUNTIFS($AK$8:$AK$507,$AK108,$AV$8:$AV$507,"&lt;"&amp;$AV108)+1,Constants!$B$14),$AJ108))</f>
        <v/>
      </c>
      <c r="AX108" s="87" t="str">
        <f aca="false">IF(ISBLANK($C108),"",IF($AJ108=Constants!$B$7,LARGE(AL108:AP108,4)*W108,""))</f>
        <v/>
      </c>
      <c r="AY108" s="87" t="str">
        <f aca="false">IF(ISBLANK($C108),"",IF($AJ108=Constants!$B$7,RANK(AX108,$AX$8:$AX$507),$AJ108))</f>
        <v/>
      </c>
      <c r="AZ108" s="87" t="str">
        <f aca="false">IF(ISBLANK($C108),"",IF($AJ108=Constants!$B$7,IF(ISNUMBER(AV108),COUNTIFS($AK$8:$AK$507,"&lt;"&amp;$AK108)+COUNTIFS($AK$8:$AK$507,$AK108,$AV$8:$AV$507,"&lt;"&amp;$AV108)+COUNTIFS($AK$8:$AK$507,$AK108,$AV$8:$AV$507,$AV108,$AY$8:$AY$507,"&lt;"&amp;$AY108)+1,Constants!$B$14),$AJ108))</f>
        <v/>
      </c>
      <c r="BA108" s="87" t="str">
        <f aca="false">IF(ISBLANK($C108),"",IF($AJ108=Constants!$B$7,IF(ISNUMBER(AW108),AW108-AZ108,Constants!$B$14),$AJ108))</f>
        <v/>
      </c>
      <c r="BB108" s="88"/>
      <c r="BC108" s="89" t="str">
        <f aca="false">IF(ISBLANK($C108),"",IF($AJ108&lt;&gt;Constants!$B$7,$AJ108,SMALL(AQ108:AS108,1)&amp;", "&amp;SMALL(AQ108:AS108,2)&amp;", "&amp;SMALL(AQ108:AS108,3)))</f>
        <v/>
      </c>
      <c r="BD108" s="90" t="str">
        <f aca="false">IF(ISBLANK($C108),"",IF($AJ108&lt;&gt;Constants!$B$7,$AJ108,W108))</f>
        <v/>
      </c>
      <c r="BE108" s="91" t="str">
        <f aca="false">IF(ISBLANK($C108),"",IF($AJ108&lt;&gt;Constants!$B$7,$AJ108,AU108))</f>
        <v/>
      </c>
      <c r="BF108" s="92" t="str">
        <f aca="false">IF(ISBLANK($C108),"",IF($AJ108&lt;&gt;Constants!$B$7,$AJ108,AK108))</f>
        <v/>
      </c>
      <c r="BG108" s="90" t="str">
        <f aca="false">IF(ISBLANK($C108),"",BA108)</f>
        <v/>
      </c>
      <c r="BH108" s="90" t="str">
        <f aca="false">IF(ISBLANK($C108),"",AZ108)</f>
        <v/>
      </c>
      <c r="BI108" s="93" t="str">
        <f aca="false">IF(ISBLANK($C108),"",IF(BH108=Constants!$B$4,COUNTA($C$8:$C$507)+2,IF(BH108=Constants!$B$5,COUNTA($C$8:$C$507)+1,IF(BH108=Constants!$B$6,COUNTA($C$8:$C$507),BH108))))</f>
        <v/>
      </c>
      <c r="BJ108" s="5"/>
      <c r="BK108" s="94" t="n">
        <f aca="false">IF(OR(ISNUMBER(BH108),BH108=Constants!$B$4,BH108=Constants!$B$6,BH108=Constants!$B$5),1,0)</f>
        <v>0</v>
      </c>
      <c r="BL108" s="94" t="n">
        <v>101</v>
      </c>
      <c r="BM108" s="94" t="str">
        <f aca="false">IF(ISBLANK($C108),"",IF(ISNUMBER(BI108),BI108+ROW($B108)/1000,""))</f>
        <v/>
      </c>
      <c r="BN108" s="94" t="str">
        <f aca="false">IF(ISNUMBER(BM108),RANK(BM108,$BM$8:$BM$507,1),"")</f>
        <v/>
      </c>
      <c r="BO108" s="94" t="str">
        <f aca="false">IF(ISBLANK($C108),"",$B108)</f>
        <v/>
      </c>
      <c r="BP108" s="94" t="str">
        <f aca="false">IF(ISBLANK($C108),"",$C108)</f>
        <v/>
      </c>
      <c r="BQ108" s="94" t="str">
        <f aca="false">IF(ISBLANK($C108),"",$D108)</f>
        <v/>
      </c>
      <c r="BR108" s="95" t="str">
        <f aca="false">BF108</f>
        <v/>
      </c>
      <c r="BS108" s="96" t="str">
        <f aca="false">BE108</f>
        <v/>
      </c>
      <c r="BT108" s="94" t="str">
        <f aca="false">IF(ISBLANK($C108),"",BH108)</f>
        <v/>
      </c>
      <c r="BU108" s="97" t="str">
        <f aca="false">IF($BL108&gt;$BK$7,"",VLOOKUP($BL108,$BN$8:$BT$507,7,FALSE()))</f>
        <v/>
      </c>
      <c r="BV108" s="98" t="str">
        <f aca="false">IF($BL108&gt;$BK$7,"",VLOOKUP($BL108,$BN$8:$BT$507,2,FALSE()))</f>
        <v/>
      </c>
      <c r="BW108" s="98" t="str">
        <f aca="false">IF($BL108&gt;$BK$7,"",VLOOKUP($BL108,$BN$8:$BT$507,3,FALSE()))</f>
        <v/>
      </c>
      <c r="BX108" s="98" t="str">
        <f aca="false">IF($BL108&gt;$BK$7,"",VLOOKUP($BL108,$BN$8:$BT$507,4,FALSE()))</f>
        <v/>
      </c>
      <c r="BY108" s="98" t="str">
        <f aca="false">IF($BL108&gt;$BK$7,"",VLOOKUP($BL108,$BN$8:$BT$507,5,FALSE()))</f>
        <v/>
      </c>
      <c r="BZ108" s="99" t="str">
        <f aca="false">IF($BL108&gt;$BK$7,"",VLOOKUP($BL108,$BN$8:$BT$507,6,FALSE()))</f>
        <v/>
      </c>
      <c r="CA108" s="48"/>
    </row>
    <row r="109" customFormat="false" ht="15.75" hidden="false" customHeight="false" outlineLevel="0" collapsed="false">
      <c r="A109" s="5"/>
      <c r="B109" s="114"/>
      <c r="C109" s="115"/>
      <c r="D109" s="100"/>
      <c r="E109" s="120"/>
      <c r="F109" s="125"/>
      <c r="G109" s="82"/>
      <c r="H109" s="126"/>
      <c r="I109" s="127"/>
      <c r="J109" s="82"/>
      <c r="K109" s="126"/>
      <c r="L109" s="82"/>
      <c r="M109" s="126"/>
      <c r="N109" s="82"/>
      <c r="O109" s="126"/>
      <c r="P109" s="82"/>
      <c r="Q109" s="126"/>
      <c r="R109" s="82"/>
      <c r="S109" s="120"/>
      <c r="T109" s="86"/>
      <c r="U109" s="87" t="str">
        <f aca="false">IF(ISBLANK($C109),"",IF(E109=Constants!$B$2, TRUE(), IF(E109=Constants!$B$3, FALSE(), TRUE())))</f>
        <v/>
      </c>
      <c r="V109" s="87" t="str">
        <f aca="false">IF(ISBLANK($C109),"",IF(F109=Constants!$B$2, TRUE(), IF(F109=Constants!$B$3, FALSE(), TRUE())))</f>
        <v/>
      </c>
      <c r="W109" s="87" t="str">
        <f aca="false">IF(ISBLANK($C109),"",IF(G109=Constants!$B$15,Constants!$B$8,IF(G109=Constants!$B$16,Constants!$B$9,Constants!$B$10)))</f>
        <v/>
      </c>
      <c r="X109" s="87" t="str">
        <f aca="false">IF(ISBLANK($C109),"",IF(H109=Constants!$B$2, TRUE(), IF(H109=Constants!$B$3, FALSE(), TRUE())))</f>
        <v/>
      </c>
      <c r="Y109" s="87" t="str">
        <f aca="false">IF(ISBLANK($C109),"",IF(I109=Constants!$B$19,Constants!$B$19,Constants!$B$18))</f>
        <v/>
      </c>
      <c r="Z109" s="87" t="str">
        <f aca="false">IF(ISBLANK($C109),"",IF(ISNUMBER(J109),IF(J109&gt;=0,J109,""),""))</f>
        <v/>
      </c>
      <c r="AA109" s="87" t="str">
        <f aca="false">IF(ISBLANK($C109),"",IF(K109=Constants!$B$19,Constants!$B$19,Constants!$B$18))</f>
        <v/>
      </c>
      <c r="AB109" s="87" t="str">
        <f aca="false">IF(ISBLANK($C109),"",IF(ISNUMBER(L109),IF(L109&gt;=0,L109,""),""))</f>
        <v/>
      </c>
      <c r="AC109" s="87" t="str">
        <f aca="false">IF(ISBLANK($C109),"",IF(M109=Constants!$B$19,Constants!$B$19,Constants!$B$18))</f>
        <v/>
      </c>
      <c r="AD109" s="87" t="str">
        <f aca="false">IF(ISBLANK($C109),"",IF(ISNUMBER(N109),IF(N109&gt;=0,N109,""),""))</f>
        <v/>
      </c>
      <c r="AE109" s="87" t="str">
        <f aca="false">IF(ISBLANK($C109),"",IF(O109=Constants!$B$19,Constants!$B$19,Constants!$B$18))</f>
        <v/>
      </c>
      <c r="AF109" s="87" t="str">
        <f aca="false">IF(ISBLANK($C109),"",IF(ISNUMBER(P109),IF(P109&gt;=0,P109,""),""))</f>
        <v/>
      </c>
      <c r="AG109" s="87" t="str">
        <f aca="false">IF(ISBLANK($C109),"",IF(Q109=Constants!$B$19,Constants!$B$19,Constants!$B$18))</f>
        <v/>
      </c>
      <c r="AH109" s="87" t="str">
        <f aca="false">IF(ISBLANK($C109),"",IF(ISNUMBER(R109),IF(R109&gt;=0,R109,""),""))</f>
        <v/>
      </c>
      <c r="AI109" s="87" t="str">
        <f aca="false">IF(ISBLANK($C109),"",IF(S109=Constants!$B$2, TRUE(), IF(S109=Constants!$B$3, FALSE(), FALSE())))</f>
        <v/>
      </c>
      <c r="AJ109" s="87" t="str">
        <f aca="false">IF(ISBLANK($C109),"",IF(AI109,Constants!$B$4,IF(COUNTA(E109:R109)=0,Constants!$B$5,IF(COUNTA(J109,L109,N109,P109,R109)=0,Constants!$B$6,Constants!$B$7))))</f>
        <v/>
      </c>
      <c r="AK109" s="87" t="str">
        <f aca="false">IF(ISBLANK($C109),"",IF($AJ109&lt;&gt;Constants!$B$7,$AJ109,IF(OR(NOT(X109),AND(NOT(U109),COUNTIFS(Y109:AG109,Constants!$B$18,Z109:AH109,"&gt;=0")&gt;0),AND(NOT(V109),COUNTIFS(Y109:AG109,Constants!$B$19,Z109:AH109,"&gt;=0")&gt;0)),Constants!$B$12,Constants!$B$11)))</f>
        <v/>
      </c>
      <c r="AL109" s="87" t="str">
        <f aca="false">IF($AJ109=Constants!$B$7,IF(Z109="",Constants!$B$13,Z109),"")</f>
        <v/>
      </c>
      <c r="AM109" s="87" t="str">
        <f aca="false">IF($AJ109=Constants!$B$7,IF(AB109="",Constants!$B$13,AB109),"")</f>
        <v/>
      </c>
      <c r="AN109" s="87" t="str">
        <f aca="false">IF($AJ109=Constants!$B$7,IF(AD109="",Constants!$B$13,AD109),"")</f>
        <v/>
      </c>
      <c r="AO109" s="87" t="str">
        <f aca="false">IF($AJ109=Constants!$B$7,IF(AF109="",Constants!$B$13,AF109),"")</f>
        <v/>
      </c>
      <c r="AP109" s="87" t="str">
        <f aca="false">IF($AJ109=Constants!$B$7,IF(AH109="",Constants!$B$13,AH109),"")</f>
        <v/>
      </c>
      <c r="AQ109" s="87" t="str">
        <f aca="false">IF($AJ109=Constants!$B$7,IF(SUMPRODUCT(--($AL109:$AP109&gt;AL109))+SUMPRODUCT(--($AL109:AL109=AL109))=1,1,IF(SUMPRODUCT(--($AL109:$AP109&gt;AM109))+SUMPRODUCT(--($AL109:AM109=AM109))=1,2,IF(SUMPRODUCT(--($AL109:$AP109&gt;AN109))+SUMPRODUCT(--($AL109:AN109=AN109))=1,3,IF(SUMPRODUCT(--($AL109:$AP109&gt;AO109))+SUMPRODUCT(--($AL109:AO109=AO109))=1,4,5)))),"")</f>
        <v/>
      </c>
      <c r="AR109" s="87" t="str">
        <f aca="false">IF($AJ109=Constants!$B$7,IF(SUMPRODUCT(--($AL109:$AP109&gt;AL109))+SUMPRODUCT(--($AL109:AL109=AL109))=2,1,IF(SUMPRODUCT(--($AL109:$AP109&gt;AM109))+SUMPRODUCT(--($AL109:AM109=AM109))=2,2,IF(SUMPRODUCT(--($AL109:$AP109&gt;AN109))+SUMPRODUCT(--($AL109:AN109=AN109))=2,3,IF(SUMPRODUCT(--($AL109:$AP109&gt;AO109))+SUMPRODUCT(--($AL109:AO109=AO109))=2,4,5)))),"")</f>
        <v/>
      </c>
      <c r="AS109" s="87" t="str">
        <f aca="false">IF($AJ109=Constants!$B$7,IF(SUMPRODUCT(--($AL109:$AP109&gt;AL109))+SUMPRODUCT(--($AL109:AL109=AL109))=3,1,IF(SUMPRODUCT(--($AL109:$AP109&gt;AM109))+SUMPRODUCT(--($AL109:AM109=AM109))=3,2,IF(SUMPRODUCT(--($AL109:$AP109&gt;AN109))+SUMPRODUCT(--($AL109:AN109=AN109))=3,3,IF(SUMPRODUCT(--($AL109:$AP109&gt;AO109))+SUMPRODUCT(--($AL109:AO109=AO109))=3,4,5)))),"")</f>
        <v/>
      </c>
      <c r="AT109" s="87" t="str">
        <f aca="false">IF($AJ109=Constants!$B$7,LARGE(AL109:AP109,1)+LARGE(AL109:AP109,2)+LARGE(AL109:AP109,3),"")</f>
        <v/>
      </c>
      <c r="AU109" s="87" t="str">
        <f aca="false">IF(ISBLANK($C109),"",IF($AJ109&lt;&gt;Constants!$B$7,$AJ109,AT109*W109))</f>
        <v/>
      </c>
      <c r="AV109" s="87" t="str">
        <f aca="false">IF(ISBLANK($C109),"",IF($AJ109=Constants!$B$7,IF(ISNUMBER(AU109),RANK(AU109,$AU$8:$AU$507),Constants!$B$14),$AJ109))</f>
        <v/>
      </c>
      <c r="AW109" s="87" t="str">
        <f aca="false">IF(ISBLANK($C109),"",IF($AJ109=Constants!$B$7,IF(ISNUMBER(AV109),COUNTIFS($AK$8:$AK$507,"&lt;"&amp;$AK109)+COUNTIFS($AK$8:$AK$507,$AK109,$AV$8:$AV$507,"&lt;"&amp;$AV109)+1,Constants!$B$14),$AJ109))</f>
        <v/>
      </c>
      <c r="AX109" s="87" t="str">
        <f aca="false">IF(ISBLANK($C109),"",IF($AJ109=Constants!$B$7,LARGE(AL109:AP109,4)*W109,""))</f>
        <v/>
      </c>
      <c r="AY109" s="87" t="str">
        <f aca="false">IF(ISBLANK($C109),"",IF($AJ109=Constants!$B$7,RANK(AX109,$AX$8:$AX$507),$AJ109))</f>
        <v/>
      </c>
      <c r="AZ109" s="87" t="str">
        <f aca="false">IF(ISBLANK($C109),"",IF($AJ109=Constants!$B$7,IF(ISNUMBER(AV109),COUNTIFS($AK$8:$AK$507,"&lt;"&amp;$AK109)+COUNTIFS($AK$8:$AK$507,$AK109,$AV$8:$AV$507,"&lt;"&amp;$AV109)+COUNTIFS($AK$8:$AK$507,$AK109,$AV$8:$AV$507,$AV109,$AY$8:$AY$507,"&lt;"&amp;$AY109)+1,Constants!$B$14),$AJ109))</f>
        <v/>
      </c>
      <c r="BA109" s="87" t="str">
        <f aca="false">IF(ISBLANK($C109),"",IF($AJ109=Constants!$B$7,IF(ISNUMBER(AW109),AW109-AZ109,Constants!$B$14),$AJ109))</f>
        <v/>
      </c>
      <c r="BB109" s="88"/>
      <c r="BC109" s="89" t="str">
        <f aca="false">IF(ISBLANK($C109),"",IF($AJ109&lt;&gt;Constants!$B$7,$AJ109,SMALL(AQ109:AS109,1)&amp;", "&amp;SMALL(AQ109:AS109,2)&amp;", "&amp;SMALL(AQ109:AS109,3)))</f>
        <v/>
      </c>
      <c r="BD109" s="90" t="str">
        <f aca="false">IF(ISBLANK($C109),"",IF($AJ109&lt;&gt;Constants!$B$7,$AJ109,W109))</f>
        <v/>
      </c>
      <c r="BE109" s="91" t="str">
        <f aca="false">IF(ISBLANK($C109),"",IF($AJ109&lt;&gt;Constants!$B$7,$AJ109,AU109))</f>
        <v/>
      </c>
      <c r="BF109" s="92" t="str">
        <f aca="false">IF(ISBLANK($C109),"",IF($AJ109&lt;&gt;Constants!$B$7,$AJ109,AK109))</f>
        <v/>
      </c>
      <c r="BG109" s="90" t="str">
        <f aca="false">IF(ISBLANK($C109),"",BA109)</f>
        <v/>
      </c>
      <c r="BH109" s="90" t="str">
        <f aca="false">IF(ISBLANK($C109),"",AZ109)</f>
        <v/>
      </c>
      <c r="BI109" s="93" t="str">
        <f aca="false">IF(ISBLANK($C109),"",IF(BH109=Constants!$B$4,COUNTA($C$8:$C$507)+2,IF(BH109=Constants!$B$5,COUNTA($C$8:$C$507)+1,IF(BH109=Constants!$B$6,COUNTA($C$8:$C$507),BH109))))</f>
        <v/>
      </c>
      <c r="BJ109" s="5"/>
      <c r="BK109" s="94" t="n">
        <f aca="false">IF(OR(ISNUMBER(BH109),BH109=Constants!$B$4,BH109=Constants!$B$6,BH109=Constants!$B$5),1,0)</f>
        <v>0</v>
      </c>
      <c r="BL109" s="94" t="n">
        <v>102</v>
      </c>
      <c r="BM109" s="94" t="str">
        <f aca="false">IF(ISBLANK($C109),"",IF(ISNUMBER(BI109),BI109+ROW($B109)/1000,""))</f>
        <v/>
      </c>
      <c r="BN109" s="94" t="str">
        <f aca="false">IF(ISNUMBER(BM109),RANK(BM109,$BM$8:$BM$507,1),"")</f>
        <v/>
      </c>
      <c r="BO109" s="94" t="str">
        <f aca="false">IF(ISBLANK($C109),"",$B109)</f>
        <v/>
      </c>
      <c r="BP109" s="94" t="str">
        <f aca="false">IF(ISBLANK($C109),"",$C109)</f>
        <v/>
      </c>
      <c r="BQ109" s="94" t="str">
        <f aca="false">IF(ISBLANK($C109),"",$D109)</f>
        <v/>
      </c>
      <c r="BR109" s="95" t="str">
        <f aca="false">BF109</f>
        <v/>
      </c>
      <c r="BS109" s="96" t="str">
        <f aca="false">BE109</f>
        <v/>
      </c>
      <c r="BT109" s="94" t="str">
        <f aca="false">IF(ISBLANK($C109),"",BH109)</f>
        <v/>
      </c>
      <c r="BU109" s="97" t="str">
        <f aca="false">IF($BL109&gt;$BK$7,"",VLOOKUP($BL109,$BN$8:$BT$507,7,FALSE()))</f>
        <v/>
      </c>
      <c r="BV109" s="98" t="str">
        <f aca="false">IF($BL109&gt;$BK$7,"",VLOOKUP($BL109,$BN$8:$BT$507,2,FALSE()))</f>
        <v/>
      </c>
      <c r="BW109" s="98" t="str">
        <f aca="false">IF($BL109&gt;$BK$7,"",VLOOKUP($BL109,$BN$8:$BT$507,3,FALSE()))</f>
        <v/>
      </c>
      <c r="BX109" s="98" t="str">
        <f aca="false">IF($BL109&gt;$BK$7,"",VLOOKUP($BL109,$BN$8:$BT$507,4,FALSE()))</f>
        <v/>
      </c>
      <c r="BY109" s="98" t="str">
        <f aca="false">IF($BL109&gt;$BK$7,"",VLOOKUP($BL109,$BN$8:$BT$507,5,FALSE()))</f>
        <v/>
      </c>
      <c r="BZ109" s="99" t="str">
        <f aca="false">IF($BL109&gt;$BK$7,"",VLOOKUP($BL109,$BN$8:$BT$507,6,FALSE()))</f>
        <v/>
      </c>
      <c r="CA109" s="48"/>
    </row>
    <row r="110" customFormat="false" ht="15.75" hidden="false" customHeight="false" outlineLevel="0" collapsed="false">
      <c r="A110" s="5"/>
      <c r="B110" s="121"/>
      <c r="C110" s="50"/>
      <c r="D110" s="51"/>
      <c r="E110" s="74"/>
      <c r="F110" s="122"/>
      <c r="G110" s="54"/>
      <c r="H110" s="123"/>
      <c r="I110" s="124"/>
      <c r="J110" s="54"/>
      <c r="K110" s="123"/>
      <c r="L110" s="54"/>
      <c r="M110" s="123"/>
      <c r="N110" s="54"/>
      <c r="O110" s="123"/>
      <c r="P110" s="54"/>
      <c r="Q110" s="123"/>
      <c r="R110" s="54"/>
      <c r="S110" s="74"/>
      <c r="T110" s="58"/>
      <c r="U110" s="59" t="str">
        <f aca="false">IF(ISBLANK($C110),"",IF(E110=Constants!$B$2, TRUE(), IF(E110=Constants!$B$3, FALSE(), TRUE())))</f>
        <v/>
      </c>
      <c r="V110" s="59" t="str">
        <f aca="false">IF(ISBLANK($C110),"",IF(F110=Constants!$B$2, TRUE(), IF(F110=Constants!$B$3, FALSE(), TRUE())))</f>
        <v/>
      </c>
      <c r="W110" s="59" t="str">
        <f aca="false">IF(ISBLANK($C110),"",IF(G110=Constants!$B$15,Constants!$B$8,IF(G110=Constants!$B$16,Constants!$B$9,Constants!$B$10)))</f>
        <v/>
      </c>
      <c r="X110" s="59" t="str">
        <f aca="false">IF(ISBLANK($C110),"",IF(H110=Constants!$B$2, TRUE(), IF(H110=Constants!$B$3, FALSE(), TRUE())))</f>
        <v/>
      </c>
      <c r="Y110" s="59" t="str">
        <f aca="false">IF(ISBLANK($C110),"",IF(I110=Constants!$B$19,Constants!$B$19,Constants!$B$18))</f>
        <v/>
      </c>
      <c r="Z110" s="59" t="str">
        <f aca="false">IF(ISBLANK($C110),"",IF(ISNUMBER(J110),IF(J110&gt;=0,J110,""),""))</f>
        <v/>
      </c>
      <c r="AA110" s="59" t="str">
        <f aca="false">IF(ISBLANK($C110),"",IF(K110=Constants!$B$19,Constants!$B$19,Constants!$B$18))</f>
        <v/>
      </c>
      <c r="AB110" s="59" t="str">
        <f aca="false">IF(ISBLANK($C110),"",IF(ISNUMBER(L110),IF(L110&gt;=0,L110,""),""))</f>
        <v/>
      </c>
      <c r="AC110" s="59" t="str">
        <f aca="false">IF(ISBLANK($C110),"",IF(M110=Constants!$B$19,Constants!$B$19,Constants!$B$18))</f>
        <v/>
      </c>
      <c r="AD110" s="59" t="str">
        <f aca="false">IF(ISBLANK($C110),"",IF(ISNUMBER(N110),IF(N110&gt;=0,N110,""),""))</f>
        <v/>
      </c>
      <c r="AE110" s="59" t="str">
        <f aca="false">IF(ISBLANK($C110),"",IF(O110=Constants!$B$19,Constants!$B$19,Constants!$B$18))</f>
        <v/>
      </c>
      <c r="AF110" s="59" t="str">
        <f aca="false">IF(ISBLANK($C110),"",IF(ISNUMBER(P110),IF(P110&gt;=0,P110,""),""))</f>
        <v/>
      </c>
      <c r="AG110" s="59" t="str">
        <f aca="false">IF(ISBLANK($C110),"",IF(Q110=Constants!$B$19,Constants!$B$19,Constants!$B$18))</f>
        <v/>
      </c>
      <c r="AH110" s="59" t="str">
        <f aca="false">IF(ISBLANK($C110),"",IF(ISNUMBER(R110),IF(R110&gt;=0,R110,""),""))</f>
        <v/>
      </c>
      <c r="AI110" s="59" t="str">
        <f aca="false">IF(ISBLANK($C110),"",IF(S110=Constants!$B$2, TRUE(), IF(S110=Constants!$B$3, FALSE(), FALSE())))</f>
        <v/>
      </c>
      <c r="AJ110" s="59" t="str">
        <f aca="false">IF(ISBLANK($C110),"",IF(AI110,Constants!$B$4,IF(COUNTA(E110:R110)=0,Constants!$B$5,IF(COUNTA(J110,L110,N110,P110,R110)=0,Constants!$B$6,Constants!$B$7))))</f>
        <v/>
      </c>
      <c r="AK110" s="59" t="str">
        <f aca="false">IF(ISBLANK($C110),"",IF($AJ110&lt;&gt;Constants!$B$7,$AJ110,IF(OR(NOT(X110),AND(NOT(U110),COUNTIFS(Y110:AG110,Constants!$B$18,Z110:AH110,"&gt;=0")&gt;0),AND(NOT(V110),COUNTIFS(Y110:AG110,Constants!$B$19,Z110:AH110,"&gt;=0")&gt;0)),Constants!$B$12,Constants!$B$11)))</f>
        <v/>
      </c>
      <c r="AL110" s="59" t="str">
        <f aca="false">IF($AJ110=Constants!$B$7,IF(Z110="",Constants!$B$13,Z110),"")</f>
        <v/>
      </c>
      <c r="AM110" s="59" t="str">
        <f aca="false">IF($AJ110=Constants!$B$7,IF(AB110="",Constants!$B$13,AB110),"")</f>
        <v/>
      </c>
      <c r="AN110" s="59" t="str">
        <f aca="false">IF($AJ110=Constants!$B$7,IF(AD110="",Constants!$B$13,AD110),"")</f>
        <v/>
      </c>
      <c r="AO110" s="59" t="str">
        <f aca="false">IF($AJ110=Constants!$B$7,IF(AF110="",Constants!$B$13,AF110),"")</f>
        <v/>
      </c>
      <c r="AP110" s="59" t="str">
        <f aca="false">IF($AJ110=Constants!$B$7,IF(AH110="",Constants!$B$13,AH110),"")</f>
        <v/>
      </c>
      <c r="AQ110" s="59" t="str">
        <f aca="false">IF($AJ110=Constants!$B$7,IF(SUMPRODUCT(--($AL110:$AP110&gt;AL110))+SUMPRODUCT(--($AL110:AL110=AL110))=1,1,IF(SUMPRODUCT(--($AL110:$AP110&gt;AM110))+SUMPRODUCT(--($AL110:AM110=AM110))=1,2,IF(SUMPRODUCT(--($AL110:$AP110&gt;AN110))+SUMPRODUCT(--($AL110:AN110=AN110))=1,3,IF(SUMPRODUCT(--($AL110:$AP110&gt;AO110))+SUMPRODUCT(--($AL110:AO110=AO110))=1,4,5)))),"")</f>
        <v/>
      </c>
      <c r="AR110" s="59" t="str">
        <f aca="false">IF($AJ110=Constants!$B$7,IF(SUMPRODUCT(--($AL110:$AP110&gt;AL110))+SUMPRODUCT(--($AL110:AL110=AL110))=2,1,IF(SUMPRODUCT(--($AL110:$AP110&gt;AM110))+SUMPRODUCT(--($AL110:AM110=AM110))=2,2,IF(SUMPRODUCT(--($AL110:$AP110&gt;AN110))+SUMPRODUCT(--($AL110:AN110=AN110))=2,3,IF(SUMPRODUCT(--($AL110:$AP110&gt;AO110))+SUMPRODUCT(--($AL110:AO110=AO110))=2,4,5)))),"")</f>
        <v/>
      </c>
      <c r="AS110" s="59" t="str">
        <f aca="false">IF($AJ110=Constants!$B$7,IF(SUMPRODUCT(--($AL110:$AP110&gt;AL110))+SUMPRODUCT(--($AL110:AL110=AL110))=3,1,IF(SUMPRODUCT(--($AL110:$AP110&gt;AM110))+SUMPRODUCT(--($AL110:AM110=AM110))=3,2,IF(SUMPRODUCT(--($AL110:$AP110&gt;AN110))+SUMPRODUCT(--($AL110:AN110=AN110))=3,3,IF(SUMPRODUCT(--($AL110:$AP110&gt;AO110))+SUMPRODUCT(--($AL110:AO110=AO110))=3,4,5)))),"")</f>
        <v/>
      </c>
      <c r="AT110" s="59" t="str">
        <f aca="false">IF($AJ110=Constants!$B$7,LARGE(AL110:AP110,1)+LARGE(AL110:AP110,2)+LARGE(AL110:AP110,3),"")</f>
        <v/>
      </c>
      <c r="AU110" s="59" t="str">
        <f aca="false">IF(ISBLANK($C110),"",IF($AJ110&lt;&gt;Constants!$B$7,$AJ110,AT110*W110))</f>
        <v/>
      </c>
      <c r="AV110" s="59" t="str">
        <f aca="false">IF(ISBLANK($C110),"",IF($AJ110=Constants!$B$7,IF(ISNUMBER(AU110),RANK(AU110,$AU$8:$AU$507),Constants!$B$14),$AJ110))</f>
        <v/>
      </c>
      <c r="AW110" s="59" t="str">
        <f aca="false">IF(ISBLANK($C110),"",IF($AJ110=Constants!$B$7,IF(ISNUMBER(AV110),COUNTIFS($AK$8:$AK$507,"&lt;"&amp;$AK110)+COUNTIFS($AK$8:$AK$507,$AK110,$AV$8:$AV$507,"&lt;"&amp;$AV110)+1,Constants!$B$14),$AJ110))</f>
        <v/>
      </c>
      <c r="AX110" s="59" t="str">
        <f aca="false">IF(ISBLANK($C110),"",IF($AJ110=Constants!$B$7,LARGE(AL110:AP110,4)*W110,""))</f>
        <v/>
      </c>
      <c r="AY110" s="59" t="str">
        <f aca="false">IF(ISBLANK($C110),"",IF($AJ110=Constants!$B$7,RANK(AX110,$AX$8:$AX$507),$AJ110))</f>
        <v/>
      </c>
      <c r="AZ110" s="59" t="str">
        <f aca="false">IF(ISBLANK($C110),"",IF($AJ110=Constants!$B$7,IF(ISNUMBER(AV110),COUNTIFS($AK$8:$AK$507,"&lt;"&amp;$AK110)+COUNTIFS($AK$8:$AK$507,$AK110,$AV$8:$AV$507,"&lt;"&amp;$AV110)+COUNTIFS($AK$8:$AK$507,$AK110,$AV$8:$AV$507,$AV110,$AY$8:$AY$507,"&lt;"&amp;$AY110)+1,Constants!$B$14),$AJ110))</f>
        <v/>
      </c>
      <c r="BA110" s="59" t="str">
        <f aca="false">IF(ISBLANK($C110),"",IF($AJ110=Constants!$B$7,IF(ISNUMBER(AW110),AW110-AZ110,Constants!$B$14),$AJ110))</f>
        <v/>
      </c>
      <c r="BB110" s="61"/>
      <c r="BC110" s="62" t="str">
        <f aca="false">IF(ISBLANK($C110),"",IF($AJ110&lt;&gt;Constants!$B$7,$AJ110,SMALL(AQ110:AS110,1)&amp;", "&amp;SMALL(AQ110:AS110,2)&amp;", "&amp;SMALL(AQ110:AS110,3)))</f>
        <v/>
      </c>
      <c r="BD110" s="63" t="str">
        <f aca="false">IF(ISBLANK($C110),"",IF($AJ110&lt;&gt;Constants!$B$7,$AJ110,W110))</f>
        <v/>
      </c>
      <c r="BE110" s="64" t="str">
        <f aca="false">IF(ISBLANK($C110),"",IF($AJ110&lt;&gt;Constants!$B$7,$AJ110,AU110))</f>
        <v/>
      </c>
      <c r="BF110" s="65" t="str">
        <f aca="false">IF(ISBLANK($C110),"",IF($AJ110&lt;&gt;Constants!$B$7,$AJ110,AK110))</f>
        <v/>
      </c>
      <c r="BG110" s="63" t="str">
        <f aca="false">IF(ISBLANK($C110),"",BA110)</f>
        <v/>
      </c>
      <c r="BH110" s="63" t="str">
        <f aca="false">IF(ISBLANK($C110),"",AZ110)</f>
        <v/>
      </c>
      <c r="BI110" s="66" t="str">
        <f aca="false">IF(ISBLANK($C110),"",IF(BH110=Constants!$B$4,COUNTA($C$8:$C$507)+2,IF(BH110=Constants!$B$5,COUNTA($C$8:$C$507)+1,IF(BH110=Constants!$B$6,COUNTA($C$8:$C$507),BH110))))</f>
        <v/>
      </c>
      <c r="BJ110" s="5"/>
      <c r="BK110" s="67" t="n">
        <f aca="false">IF(OR(ISNUMBER(BH110),BH110=Constants!$B$4,BH110=Constants!$B$6,BH110=Constants!$B$5),1,0)</f>
        <v>0</v>
      </c>
      <c r="BL110" s="67" t="n">
        <v>103</v>
      </c>
      <c r="BM110" s="67" t="str">
        <f aca="false">IF(ISBLANK($C110),"",IF(ISNUMBER(BI110),BI110+ROW($B110)/1000,""))</f>
        <v/>
      </c>
      <c r="BN110" s="67" t="str">
        <f aca="false">IF(ISNUMBER(BM110),RANK(BM110,$BM$8:$BM$507,1),"")</f>
        <v/>
      </c>
      <c r="BO110" s="67" t="str">
        <f aca="false">IF(ISBLANK($C110),"",$B110)</f>
        <v/>
      </c>
      <c r="BP110" s="67" t="str">
        <f aca="false">IF(ISBLANK($C110),"",$C110)</f>
        <v/>
      </c>
      <c r="BQ110" s="67" t="str">
        <f aca="false">IF(ISBLANK($C110),"",$D110)</f>
        <v/>
      </c>
      <c r="BR110" s="68" t="str">
        <f aca="false">BF110</f>
        <v/>
      </c>
      <c r="BS110" s="69" t="str">
        <f aca="false">BE110</f>
        <v/>
      </c>
      <c r="BT110" s="67" t="str">
        <f aca="false">IF(ISBLANK($C110),"",BH110)</f>
        <v/>
      </c>
      <c r="BU110" s="70" t="str">
        <f aca="false">IF($BL110&gt;$BK$7,"",VLOOKUP($BL110,$BN$8:$BT$507,7,FALSE()))</f>
        <v/>
      </c>
      <c r="BV110" s="71" t="str">
        <f aca="false">IF($BL110&gt;$BK$7,"",VLOOKUP($BL110,$BN$8:$BT$507,2,FALSE()))</f>
        <v/>
      </c>
      <c r="BW110" s="71" t="str">
        <f aca="false">IF($BL110&gt;$BK$7,"",VLOOKUP($BL110,$BN$8:$BT$507,3,FALSE()))</f>
        <v/>
      </c>
      <c r="BX110" s="71" t="str">
        <f aca="false">IF($BL110&gt;$BK$7,"",VLOOKUP($BL110,$BN$8:$BT$507,4,FALSE()))</f>
        <v/>
      </c>
      <c r="BY110" s="71" t="str">
        <f aca="false">IF($BL110&gt;$BK$7,"",VLOOKUP($BL110,$BN$8:$BT$507,5,FALSE()))</f>
        <v/>
      </c>
      <c r="BZ110" s="72" t="str">
        <f aca="false">IF($BL110&gt;$BK$7,"",VLOOKUP($BL110,$BN$8:$BT$507,6,FALSE()))</f>
        <v/>
      </c>
      <c r="CA110" s="48"/>
    </row>
    <row r="111" customFormat="false" ht="15.75" hidden="false" customHeight="false" outlineLevel="0" collapsed="false">
      <c r="A111" s="5"/>
      <c r="B111" s="121"/>
      <c r="C111" s="50"/>
      <c r="D111" s="51"/>
      <c r="E111" s="74"/>
      <c r="F111" s="122"/>
      <c r="G111" s="54"/>
      <c r="H111" s="123"/>
      <c r="I111" s="124"/>
      <c r="J111" s="54"/>
      <c r="K111" s="123"/>
      <c r="L111" s="54"/>
      <c r="M111" s="123"/>
      <c r="N111" s="54"/>
      <c r="O111" s="123"/>
      <c r="P111" s="54"/>
      <c r="Q111" s="123"/>
      <c r="R111" s="54"/>
      <c r="S111" s="74"/>
      <c r="T111" s="58"/>
      <c r="U111" s="59" t="str">
        <f aca="false">IF(ISBLANK($C111),"",IF(E111=Constants!$B$2, TRUE(), IF(E111=Constants!$B$3, FALSE(), TRUE())))</f>
        <v/>
      </c>
      <c r="V111" s="59" t="str">
        <f aca="false">IF(ISBLANK($C111),"",IF(F111=Constants!$B$2, TRUE(), IF(F111=Constants!$B$3, FALSE(), TRUE())))</f>
        <v/>
      </c>
      <c r="W111" s="59" t="str">
        <f aca="false">IF(ISBLANK($C111),"",IF(G111=Constants!$B$15,Constants!$B$8,IF(G111=Constants!$B$16,Constants!$B$9,Constants!$B$10)))</f>
        <v/>
      </c>
      <c r="X111" s="59" t="str">
        <f aca="false">IF(ISBLANK($C111),"",IF(H111=Constants!$B$2, TRUE(), IF(H111=Constants!$B$3, FALSE(), TRUE())))</f>
        <v/>
      </c>
      <c r="Y111" s="59" t="str">
        <f aca="false">IF(ISBLANK($C111),"",IF(I111=Constants!$B$19,Constants!$B$19,Constants!$B$18))</f>
        <v/>
      </c>
      <c r="Z111" s="59" t="str">
        <f aca="false">IF(ISBLANK($C111),"",IF(ISNUMBER(J111),IF(J111&gt;=0,J111,""),""))</f>
        <v/>
      </c>
      <c r="AA111" s="59" t="str">
        <f aca="false">IF(ISBLANK($C111),"",IF(K111=Constants!$B$19,Constants!$B$19,Constants!$B$18))</f>
        <v/>
      </c>
      <c r="AB111" s="59" t="str">
        <f aca="false">IF(ISBLANK($C111),"",IF(ISNUMBER(L111),IF(L111&gt;=0,L111,""),""))</f>
        <v/>
      </c>
      <c r="AC111" s="59" t="str">
        <f aca="false">IF(ISBLANK($C111),"",IF(M111=Constants!$B$19,Constants!$B$19,Constants!$B$18))</f>
        <v/>
      </c>
      <c r="AD111" s="59" t="str">
        <f aca="false">IF(ISBLANK($C111),"",IF(ISNUMBER(N111),IF(N111&gt;=0,N111,""),""))</f>
        <v/>
      </c>
      <c r="AE111" s="59" t="str">
        <f aca="false">IF(ISBLANK($C111),"",IF(O111=Constants!$B$19,Constants!$B$19,Constants!$B$18))</f>
        <v/>
      </c>
      <c r="AF111" s="59" t="str">
        <f aca="false">IF(ISBLANK($C111),"",IF(ISNUMBER(P111),IF(P111&gt;=0,P111,""),""))</f>
        <v/>
      </c>
      <c r="AG111" s="59" t="str">
        <f aca="false">IF(ISBLANK($C111),"",IF(Q111=Constants!$B$19,Constants!$B$19,Constants!$B$18))</f>
        <v/>
      </c>
      <c r="AH111" s="59" t="str">
        <f aca="false">IF(ISBLANK($C111),"",IF(ISNUMBER(R111),IF(R111&gt;=0,R111,""),""))</f>
        <v/>
      </c>
      <c r="AI111" s="59" t="str">
        <f aca="false">IF(ISBLANK($C111),"",IF(S111=Constants!$B$2, TRUE(), IF(S111=Constants!$B$3, FALSE(), FALSE())))</f>
        <v/>
      </c>
      <c r="AJ111" s="59" t="str">
        <f aca="false">IF(ISBLANK($C111),"",IF(AI111,Constants!$B$4,IF(COUNTA(E111:R111)=0,Constants!$B$5,IF(COUNTA(J111,L111,N111,P111,R111)=0,Constants!$B$6,Constants!$B$7))))</f>
        <v/>
      </c>
      <c r="AK111" s="59" t="str">
        <f aca="false">IF(ISBLANK($C111),"",IF($AJ111&lt;&gt;Constants!$B$7,$AJ111,IF(OR(NOT(X111),AND(NOT(U111),COUNTIFS(Y111:AG111,Constants!$B$18,Z111:AH111,"&gt;=0")&gt;0),AND(NOT(V111),COUNTIFS(Y111:AG111,Constants!$B$19,Z111:AH111,"&gt;=0")&gt;0)),Constants!$B$12,Constants!$B$11)))</f>
        <v/>
      </c>
      <c r="AL111" s="59" t="str">
        <f aca="false">IF($AJ111=Constants!$B$7,IF(Z111="",Constants!$B$13,Z111),"")</f>
        <v/>
      </c>
      <c r="AM111" s="59" t="str">
        <f aca="false">IF($AJ111=Constants!$B$7,IF(AB111="",Constants!$B$13,AB111),"")</f>
        <v/>
      </c>
      <c r="AN111" s="59" t="str">
        <f aca="false">IF($AJ111=Constants!$B$7,IF(AD111="",Constants!$B$13,AD111),"")</f>
        <v/>
      </c>
      <c r="AO111" s="59" t="str">
        <f aca="false">IF($AJ111=Constants!$B$7,IF(AF111="",Constants!$B$13,AF111),"")</f>
        <v/>
      </c>
      <c r="AP111" s="59" t="str">
        <f aca="false">IF($AJ111=Constants!$B$7,IF(AH111="",Constants!$B$13,AH111),"")</f>
        <v/>
      </c>
      <c r="AQ111" s="59" t="str">
        <f aca="false">IF($AJ111=Constants!$B$7,IF(SUMPRODUCT(--($AL111:$AP111&gt;AL111))+SUMPRODUCT(--($AL111:AL111=AL111))=1,1,IF(SUMPRODUCT(--($AL111:$AP111&gt;AM111))+SUMPRODUCT(--($AL111:AM111=AM111))=1,2,IF(SUMPRODUCT(--($AL111:$AP111&gt;AN111))+SUMPRODUCT(--($AL111:AN111=AN111))=1,3,IF(SUMPRODUCT(--($AL111:$AP111&gt;AO111))+SUMPRODUCT(--($AL111:AO111=AO111))=1,4,5)))),"")</f>
        <v/>
      </c>
      <c r="AR111" s="59" t="str">
        <f aca="false">IF($AJ111=Constants!$B$7,IF(SUMPRODUCT(--($AL111:$AP111&gt;AL111))+SUMPRODUCT(--($AL111:AL111=AL111))=2,1,IF(SUMPRODUCT(--($AL111:$AP111&gt;AM111))+SUMPRODUCT(--($AL111:AM111=AM111))=2,2,IF(SUMPRODUCT(--($AL111:$AP111&gt;AN111))+SUMPRODUCT(--($AL111:AN111=AN111))=2,3,IF(SUMPRODUCT(--($AL111:$AP111&gt;AO111))+SUMPRODUCT(--($AL111:AO111=AO111))=2,4,5)))),"")</f>
        <v/>
      </c>
      <c r="AS111" s="59" t="str">
        <f aca="false">IF($AJ111=Constants!$B$7,IF(SUMPRODUCT(--($AL111:$AP111&gt;AL111))+SUMPRODUCT(--($AL111:AL111=AL111))=3,1,IF(SUMPRODUCT(--($AL111:$AP111&gt;AM111))+SUMPRODUCT(--($AL111:AM111=AM111))=3,2,IF(SUMPRODUCT(--($AL111:$AP111&gt;AN111))+SUMPRODUCT(--($AL111:AN111=AN111))=3,3,IF(SUMPRODUCT(--($AL111:$AP111&gt;AO111))+SUMPRODUCT(--($AL111:AO111=AO111))=3,4,5)))),"")</f>
        <v/>
      </c>
      <c r="AT111" s="59" t="str">
        <f aca="false">IF($AJ111=Constants!$B$7,LARGE(AL111:AP111,1)+LARGE(AL111:AP111,2)+LARGE(AL111:AP111,3),"")</f>
        <v/>
      </c>
      <c r="AU111" s="59" t="str">
        <f aca="false">IF(ISBLANK($C111),"",IF($AJ111&lt;&gt;Constants!$B$7,$AJ111,AT111*W111))</f>
        <v/>
      </c>
      <c r="AV111" s="59" t="str">
        <f aca="false">IF(ISBLANK($C111),"",IF($AJ111=Constants!$B$7,IF(ISNUMBER(AU111),RANK(AU111,$AU$8:$AU$507),Constants!$B$14),$AJ111))</f>
        <v/>
      </c>
      <c r="AW111" s="59" t="str">
        <f aca="false">IF(ISBLANK($C111),"",IF($AJ111=Constants!$B$7,IF(ISNUMBER(AV111),COUNTIFS($AK$8:$AK$507,"&lt;"&amp;$AK111)+COUNTIFS($AK$8:$AK$507,$AK111,$AV$8:$AV$507,"&lt;"&amp;$AV111)+1,Constants!$B$14),$AJ111))</f>
        <v/>
      </c>
      <c r="AX111" s="59" t="str">
        <f aca="false">IF(ISBLANK($C111),"",IF($AJ111=Constants!$B$7,LARGE(AL111:AP111,4)*W111,""))</f>
        <v/>
      </c>
      <c r="AY111" s="59" t="str">
        <f aca="false">IF(ISBLANK($C111),"",IF($AJ111=Constants!$B$7,RANK(AX111,$AX$8:$AX$507),$AJ111))</f>
        <v/>
      </c>
      <c r="AZ111" s="59" t="str">
        <f aca="false">IF(ISBLANK($C111),"",IF($AJ111=Constants!$B$7,IF(ISNUMBER(AV111),COUNTIFS($AK$8:$AK$507,"&lt;"&amp;$AK111)+COUNTIFS($AK$8:$AK$507,$AK111,$AV$8:$AV$507,"&lt;"&amp;$AV111)+COUNTIFS($AK$8:$AK$507,$AK111,$AV$8:$AV$507,$AV111,$AY$8:$AY$507,"&lt;"&amp;$AY111)+1,Constants!$B$14),$AJ111))</f>
        <v/>
      </c>
      <c r="BA111" s="59" t="str">
        <f aca="false">IF(ISBLANK($C111),"",IF($AJ111=Constants!$B$7,IF(ISNUMBER(AW111),AW111-AZ111,Constants!$B$14),$AJ111))</f>
        <v/>
      </c>
      <c r="BB111" s="61"/>
      <c r="BC111" s="62" t="str">
        <f aca="false">IF(ISBLANK($C111),"",IF($AJ111&lt;&gt;Constants!$B$7,$AJ111,SMALL(AQ111:AS111,1)&amp;", "&amp;SMALL(AQ111:AS111,2)&amp;", "&amp;SMALL(AQ111:AS111,3)))</f>
        <v/>
      </c>
      <c r="BD111" s="63" t="str">
        <f aca="false">IF(ISBLANK($C111),"",IF($AJ111&lt;&gt;Constants!$B$7,$AJ111,W111))</f>
        <v/>
      </c>
      <c r="BE111" s="64" t="str">
        <f aca="false">IF(ISBLANK($C111),"",IF($AJ111&lt;&gt;Constants!$B$7,$AJ111,AU111))</f>
        <v/>
      </c>
      <c r="BF111" s="65" t="str">
        <f aca="false">IF(ISBLANK($C111),"",IF($AJ111&lt;&gt;Constants!$B$7,$AJ111,AK111))</f>
        <v/>
      </c>
      <c r="BG111" s="63" t="str">
        <f aca="false">IF(ISBLANK($C111),"",BA111)</f>
        <v/>
      </c>
      <c r="BH111" s="63" t="str">
        <f aca="false">IF(ISBLANK($C111),"",AZ111)</f>
        <v/>
      </c>
      <c r="BI111" s="66" t="str">
        <f aca="false">IF(ISBLANK($C111),"",IF(BH111=Constants!$B$4,COUNTA($C$8:$C$507)+2,IF(BH111=Constants!$B$5,COUNTA($C$8:$C$507)+1,IF(BH111=Constants!$B$6,COUNTA($C$8:$C$507),BH111))))</f>
        <v/>
      </c>
      <c r="BJ111" s="5"/>
      <c r="BK111" s="67" t="n">
        <f aca="false">IF(OR(ISNUMBER(BH111),BH111=Constants!$B$4,BH111=Constants!$B$6,BH111=Constants!$B$5),1,0)</f>
        <v>0</v>
      </c>
      <c r="BL111" s="67" t="n">
        <v>104</v>
      </c>
      <c r="BM111" s="67" t="str">
        <f aca="false">IF(ISBLANK($C111),"",IF(ISNUMBER(BI111),BI111+ROW($B111)/1000,""))</f>
        <v/>
      </c>
      <c r="BN111" s="67" t="str">
        <f aca="false">IF(ISNUMBER(BM111),RANK(BM111,$BM$8:$BM$507,1),"")</f>
        <v/>
      </c>
      <c r="BO111" s="67" t="str">
        <f aca="false">IF(ISBLANK($C111),"",$B111)</f>
        <v/>
      </c>
      <c r="BP111" s="67" t="str">
        <f aca="false">IF(ISBLANK($C111),"",$C111)</f>
        <v/>
      </c>
      <c r="BQ111" s="67" t="str">
        <f aca="false">IF(ISBLANK($C111),"",$D111)</f>
        <v/>
      </c>
      <c r="BR111" s="68" t="str">
        <f aca="false">BF111</f>
        <v/>
      </c>
      <c r="BS111" s="69" t="str">
        <f aca="false">BE111</f>
        <v/>
      </c>
      <c r="BT111" s="67" t="str">
        <f aca="false">IF(ISBLANK($C111),"",BH111)</f>
        <v/>
      </c>
      <c r="BU111" s="70" t="str">
        <f aca="false">IF($BL111&gt;$BK$7,"",VLOOKUP($BL111,$BN$8:$BT$507,7,FALSE()))</f>
        <v/>
      </c>
      <c r="BV111" s="71" t="str">
        <f aca="false">IF($BL111&gt;$BK$7,"",VLOOKUP($BL111,$BN$8:$BT$507,2,FALSE()))</f>
        <v/>
      </c>
      <c r="BW111" s="71" t="str">
        <f aca="false">IF($BL111&gt;$BK$7,"",VLOOKUP($BL111,$BN$8:$BT$507,3,FALSE()))</f>
        <v/>
      </c>
      <c r="BX111" s="71" t="str">
        <f aca="false">IF($BL111&gt;$BK$7,"",VLOOKUP($BL111,$BN$8:$BT$507,4,FALSE()))</f>
        <v/>
      </c>
      <c r="BY111" s="71" t="str">
        <f aca="false">IF($BL111&gt;$BK$7,"",VLOOKUP($BL111,$BN$8:$BT$507,5,FALSE()))</f>
        <v/>
      </c>
      <c r="BZ111" s="72" t="str">
        <f aca="false">IF($BL111&gt;$BK$7,"",VLOOKUP($BL111,$BN$8:$BT$507,6,FALSE()))</f>
        <v/>
      </c>
      <c r="CA111" s="48"/>
    </row>
    <row r="112" customFormat="false" ht="15.75" hidden="false" customHeight="false" outlineLevel="0" collapsed="false">
      <c r="A112" s="5"/>
      <c r="B112" s="121"/>
      <c r="C112" s="50"/>
      <c r="D112" s="51"/>
      <c r="E112" s="74"/>
      <c r="F112" s="122"/>
      <c r="G112" s="54"/>
      <c r="H112" s="123"/>
      <c r="I112" s="124"/>
      <c r="J112" s="54"/>
      <c r="K112" s="123"/>
      <c r="L112" s="54"/>
      <c r="M112" s="123"/>
      <c r="N112" s="54"/>
      <c r="O112" s="123"/>
      <c r="P112" s="54"/>
      <c r="Q112" s="123"/>
      <c r="R112" s="54"/>
      <c r="S112" s="74"/>
      <c r="T112" s="58"/>
      <c r="U112" s="59" t="str">
        <f aca="false">IF(ISBLANK($C112),"",IF(E112=Constants!$B$2, TRUE(), IF(E112=Constants!$B$3, FALSE(), TRUE())))</f>
        <v/>
      </c>
      <c r="V112" s="59" t="str">
        <f aca="false">IF(ISBLANK($C112),"",IF(F112=Constants!$B$2, TRUE(), IF(F112=Constants!$B$3, FALSE(), TRUE())))</f>
        <v/>
      </c>
      <c r="W112" s="59" t="str">
        <f aca="false">IF(ISBLANK($C112),"",IF(G112=Constants!$B$15,Constants!$B$8,IF(G112=Constants!$B$16,Constants!$B$9,Constants!$B$10)))</f>
        <v/>
      </c>
      <c r="X112" s="59" t="str">
        <f aca="false">IF(ISBLANK($C112),"",IF(H112=Constants!$B$2, TRUE(), IF(H112=Constants!$B$3, FALSE(), TRUE())))</f>
        <v/>
      </c>
      <c r="Y112" s="59" t="str">
        <f aca="false">IF(ISBLANK($C112),"",IF(I112=Constants!$B$19,Constants!$B$19,Constants!$B$18))</f>
        <v/>
      </c>
      <c r="Z112" s="59" t="str">
        <f aca="false">IF(ISBLANK($C112),"",IF(ISNUMBER(J112),IF(J112&gt;=0,J112,""),""))</f>
        <v/>
      </c>
      <c r="AA112" s="59" t="str">
        <f aca="false">IF(ISBLANK($C112),"",IF(K112=Constants!$B$19,Constants!$B$19,Constants!$B$18))</f>
        <v/>
      </c>
      <c r="AB112" s="59" t="str">
        <f aca="false">IF(ISBLANK($C112),"",IF(ISNUMBER(L112),IF(L112&gt;=0,L112,""),""))</f>
        <v/>
      </c>
      <c r="AC112" s="59" t="str">
        <f aca="false">IF(ISBLANK($C112),"",IF(M112=Constants!$B$19,Constants!$B$19,Constants!$B$18))</f>
        <v/>
      </c>
      <c r="AD112" s="59" t="str">
        <f aca="false">IF(ISBLANK($C112),"",IF(ISNUMBER(N112),IF(N112&gt;=0,N112,""),""))</f>
        <v/>
      </c>
      <c r="AE112" s="59" t="str">
        <f aca="false">IF(ISBLANK($C112),"",IF(O112=Constants!$B$19,Constants!$B$19,Constants!$B$18))</f>
        <v/>
      </c>
      <c r="AF112" s="59" t="str">
        <f aca="false">IF(ISBLANK($C112),"",IF(ISNUMBER(P112),IF(P112&gt;=0,P112,""),""))</f>
        <v/>
      </c>
      <c r="AG112" s="59" t="str">
        <f aca="false">IF(ISBLANK($C112),"",IF(Q112=Constants!$B$19,Constants!$B$19,Constants!$B$18))</f>
        <v/>
      </c>
      <c r="AH112" s="59" t="str">
        <f aca="false">IF(ISBLANK($C112),"",IF(ISNUMBER(R112),IF(R112&gt;=0,R112,""),""))</f>
        <v/>
      </c>
      <c r="AI112" s="59" t="str">
        <f aca="false">IF(ISBLANK($C112),"",IF(S112=Constants!$B$2, TRUE(), IF(S112=Constants!$B$3, FALSE(), FALSE())))</f>
        <v/>
      </c>
      <c r="AJ112" s="59" t="str">
        <f aca="false">IF(ISBLANK($C112),"",IF(AI112,Constants!$B$4,IF(COUNTA(E112:R112)=0,Constants!$B$5,IF(COUNTA(J112,L112,N112,P112,R112)=0,Constants!$B$6,Constants!$B$7))))</f>
        <v/>
      </c>
      <c r="AK112" s="59" t="str">
        <f aca="false">IF(ISBLANK($C112),"",IF($AJ112&lt;&gt;Constants!$B$7,$AJ112,IF(OR(NOT(X112),AND(NOT(U112),COUNTIFS(Y112:AG112,Constants!$B$18,Z112:AH112,"&gt;=0")&gt;0),AND(NOT(V112),COUNTIFS(Y112:AG112,Constants!$B$19,Z112:AH112,"&gt;=0")&gt;0)),Constants!$B$12,Constants!$B$11)))</f>
        <v/>
      </c>
      <c r="AL112" s="59" t="str">
        <f aca="false">IF($AJ112=Constants!$B$7,IF(Z112="",Constants!$B$13,Z112),"")</f>
        <v/>
      </c>
      <c r="AM112" s="59" t="str">
        <f aca="false">IF($AJ112=Constants!$B$7,IF(AB112="",Constants!$B$13,AB112),"")</f>
        <v/>
      </c>
      <c r="AN112" s="59" t="str">
        <f aca="false">IF($AJ112=Constants!$B$7,IF(AD112="",Constants!$B$13,AD112),"")</f>
        <v/>
      </c>
      <c r="AO112" s="59" t="str">
        <f aca="false">IF($AJ112=Constants!$B$7,IF(AF112="",Constants!$B$13,AF112),"")</f>
        <v/>
      </c>
      <c r="AP112" s="59" t="str">
        <f aca="false">IF($AJ112=Constants!$B$7,IF(AH112="",Constants!$B$13,AH112),"")</f>
        <v/>
      </c>
      <c r="AQ112" s="59" t="str">
        <f aca="false">IF($AJ112=Constants!$B$7,IF(SUMPRODUCT(--($AL112:$AP112&gt;AL112))+SUMPRODUCT(--($AL112:AL112=AL112))=1,1,IF(SUMPRODUCT(--($AL112:$AP112&gt;AM112))+SUMPRODUCT(--($AL112:AM112=AM112))=1,2,IF(SUMPRODUCT(--($AL112:$AP112&gt;AN112))+SUMPRODUCT(--($AL112:AN112=AN112))=1,3,IF(SUMPRODUCT(--($AL112:$AP112&gt;AO112))+SUMPRODUCT(--($AL112:AO112=AO112))=1,4,5)))),"")</f>
        <v/>
      </c>
      <c r="AR112" s="59" t="str">
        <f aca="false">IF($AJ112=Constants!$B$7,IF(SUMPRODUCT(--($AL112:$AP112&gt;AL112))+SUMPRODUCT(--($AL112:AL112=AL112))=2,1,IF(SUMPRODUCT(--($AL112:$AP112&gt;AM112))+SUMPRODUCT(--($AL112:AM112=AM112))=2,2,IF(SUMPRODUCT(--($AL112:$AP112&gt;AN112))+SUMPRODUCT(--($AL112:AN112=AN112))=2,3,IF(SUMPRODUCT(--($AL112:$AP112&gt;AO112))+SUMPRODUCT(--($AL112:AO112=AO112))=2,4,5)))),"")</f>
        <v/>
      </c>
      <c r="AS112" s="59" t="str">
        <f aca="false">IF($AJ112=Constants!$B$7,IF(SUMPRODUCT(--($AL112:$AP112&gt;AL112))+SUMPRODUCT(--($AL112:AL112=AL112))=3,1,IF(SUMPRODUCT(--($AL112:$AP112&gt;AM112))+SUMPRODUCT(--($AL112:AM112=AM112))=3,2,IF(SUMPRODUCT(--($AL112:$AP112&gt;AN112))+SUMPRODUCT(--($AL112:AN112=AN112))=3,3,IF(SUMPRODUCT(--($AL112:$AP112&gt;AO112))+SUMPRODUCT(--($AL112:AO112=AO112))=3,4,5)))),"")</f>
        <v/>
      </c>
      <c r="AT112" s="59" t="str">
        <f aca="false">IF($AJ112=Constants!$B$7,LARGE(AL112:AP112,1)+LARGE(AL112:AP112,2)+LARGE(AL112:AP112,3),"")</f>
        <v/>
      </c>
      <c r="AU112" s="59" t="str">
        <f aca="false">IF(ISBLANK($C112),"",IF($AJ112&lt;&gt;Constants!$B$7,$AJ112,AT112*W112))</f>
        <v/>
      </c>
      <c r="AV112" s="59" t="str">
        <f aca="false">IF(ISBLANK($C112),"",IF($AJ112=Constants!$B$7,IF(ISNUMBER(AU112),RANK(AU112,$AU$8:$AU$507),Constants!$B$14),$AJ112))</f>
        <v/>
      </c>
      <c r="AW112" s="59" t="str">
        <f aca="false">IF(ISBLANK($C112),"",IF($AJ112=Constants!$B$7,IF(ISNUMBER(AV112),COUNTIFS($AK$8:$AK$507,"&lt;"&amp;$AK112)+COUNTIFS($AK$8:$AK$507,$AK112,$AV$8:$AV$507,"&lt;"&amp;$AV112)+1,Constants!$B$14),$AJ112))</f>
        <v/>
      </c>
      <c r="AX112" s="59" t="str">
        <f aca="false">IF(ISBLANK($C112),"",IF($AJ112=Constants!$B$7,LARGE(AL112:AP112,4)*W112,""))</f>
        <v/>
      </c>
      <c r="AY112" s="59" t="str">
        <f aca="false">IF(ISBLANK($C112),"",IF($AJ112=Constants!$B$7,RANK(AX112,$AX$8:$AX$507),$AJ112))</f>
        <v/>
      </c>
      <c r="AZ112" s="59" t="str">
        <f aca="false">IF(ISBLANK($C112),"",IF($AJ112=Constants!$B$7,IF(ISNUMBER(AV112),COUNTIFS($AK$8:$AK$507,"&lt;"&amp;$AK112)+COUNTIFS($AK$8:$AK$507,$AK112,$AV$8:$AV$507,"&lt;"&amp;$AV112)+COUNTIFS($AK$8:$AK$507,$AK112,$AV$8:$AV$507,$AV112,$AY$8:$AY$507,"&lt;"&amp;$AY112)+1,Constants!$B$14),$AJ112))</f>
        <v/>
      </c>
      <c r="BA112" s="59" t="str">
        <f aca="false">IF(ISBLANK($C112),"",IF($AJ112=Constants!$B$7,IF(ISNUMBER(AW112),AW112-AZ112,Constants!$B$14),$AJ112))</f>
        <v/>
      </c>
      <c r="BB112" s="61"/>
      <c r="BC112" s="62" t="str">
        <f aca="false">IF(ISBLANK($C112),"",IF($AJ112&lt;&gt;Constants!$B$7,$AJ112,SMALL(AQ112:AS112,1)&amp;", "&amp;SMALL(AQ112:AS112,2)&amp;", "&amp;SMALL(AQ112:AS112,3)))</f>
        <v/>
      </c>
      <c r="BD112" s="63" t="str">
        <f aca="false">IF(ISBLANK($C112),"",IF($AJ112&lt;&gt;Constants!$B$7,$AJ112,W112))</f>
        <v/>
      </c>
      <c r="BE112" s="64" t="str">
        <f aca="false">IF(ISBLANK($C112),"",IF($AJ112&lt;&gt;Constants!$B$7,$AJ112,AU112))</f>
        <v/>
      </c>
      <c r="BF112" s="65" t="str">
        <f aca="false">IF(ISBLANK($C112),"",IF($AJ112&lt;&gt;Constants!$B$7,$AJ112,AK112))</f>
        <v/>
      </c>
      <c r="BG112" s="63" t="str">
        <f aca="false">IF(ISBLANK($C112),"",BA112)</f>
        <v/>
      </c>
      <c r="BH112" s="63" t="str">
        <f aca="false">IF(ISBLANK($C112),"",AZ112)</f>
        <v/>
      </c>
      <c r="BI112" s="66" t="str">
        <f aca="false">IF(ISBLANK($C112),"",IF(BH112=Constants!$B$4,COUNTA($C$8:$C$507)+2,IF(BH112=Constants!$B$5,COUNTA($C$8:$C$507)+1,IF(BH112=Constants!$B$6,COUNTA($C$8:$C$507),BH112))))</f>
        <v/>
      </c>
      <c r="BJ112" s="5"/>
      <c r="BK112" s="67" t="n">
        <f aca="false">IF(OR(ISNUMBER(BH112),BH112=Constants!$B$4,BH112=Constants!$B$6,BH112=Constants!$B$5),1,0)</f>
        <v>0</v>
      </c>
      <c r="BL112" s="67" t="n">
        <v>105</v>
      </c>
      <c r="BM112" s="67" t="str">
        <f aca="false">IF(ISBLANK($C112),"",IF(ISNUMBER(BI112),BI112+ROW($B112)/1000,""))</f>
        <v/>
      </c>
      <c r="BN112" s="67" t="str">
        <f aca="false">IF(ISNUMBER(BM112),RANK(BM112,$BM$8:$BM$507,1),"")</f>
        <v/>
      </c>
      <c r="BO112" s="67" t="str">
        <f aca="false">IF(ISBLANK($C112),"",$B112)</f>
        <v/>
      </c>
      <c r="BP112" s="67" t="str">
        <f aca="false">IF(ISBLANK($C112),"",$C112)</f>
        <v/>
      </c>
      <c r="BQ112" s="67" t="str">
        <f aca="false">IF(ISBLANK($C112),"",$D112)</f>
        <v/>
      </c>
      <c r="BR112" s="68" t="str">
        <f aca="false">BF112</f>
        <v/>
      </c>
      <c r="BS112" s="69" t="str">
        <f aca="false">BE112</f>
        <v/>
      </c>
      <c r="BT112" s="67" t="str">
        <f aca="false">IF(ISBLANK($C112),"",BH112)</f>
        <v/>
      </c>
      <c r="BU112" s="70" t="str">
        <f aca="false">IF($BL112&gt;$BK$7,"",VLOOKUP($BL112,$BN$8:$BT$507,7,FALSE()))</f>
        <v/>
      </c>
      <c r="BV112" s="71" t="str">
        <f aca="false">IF($BL112&gt;$BK$7,"",VLOOKUP($BL112,$BN$8:$BT$507,2,FALSE()))</f>
        <v/>
      </c>
      <c r="BW112" s="71" t="str">
        <f aca="false">IF($BL112&gt;$BK$7,"",VLOOKUP($BL112,$BN$8:$BT$507,3,FALSE()))</f>
        <v/>
      </c>
      <c r="BX112" s="71" t="str">
        <f aca="false">IF($BL112&gt;$BK$7,"",VLOOKUP($BL112,$BN$8:$BT$507,4,FALSE()))</f>
        <v/>
      </c>
      <c r="BY112" s="71" t="str">
        <f aca="false">IF($BL112&gt;$BK$7,"",VLOOKUP($BL112,$BN$8:$BT$507,5,FALSE()))</f>
        <v/>
      </c>
      <c r="BZ112" s="72" t="str">
        <f aca="false">IF($BL112&gt;$BK$7,"",VLOOKUP($BL112,$BN$8:$BT$507,6,FALSE()))</f>
        <v/>
      </c>
      <c r="CA112" s="48"/>
    </row>
    <row r="113" customFormat="false" ht="15.75" hidden="false" customHeight="false" outlineLevel="0" collapsed="false">
      <c r="A113" s="5"/>
      <c r="B113" s="114"/>
      <c r="C113" s="115"/>
      <c r="D113" s="100"/>
      <c r="E113" s="120"/>
      <c r="F113" s="125"/>
      <c r="G113" s="82"/>
      <c r="H113" s="126"/>
      <c r="I113" s="127"/>
      <c r="J113" s="82"/>
      <c r="K113" s="126"/>
      <c r="L113" s="82"/>
      <c r="M113" s="126"/>
      <c r="N113" s="82"/>
      <c r="O113" s="126"/>
      <c r="P113" s="82"/>
      <c r="Q113" s="126"/>
      <c r="R113" s="82"/>
      <c r="S113" s="120"/>
      <c r="T113" s="86"/>
      <c r="U113" s="87" t="str">
        <f aca="false">IF(ISBLANK($C113),"",IF(E113=Constants!$B$2, TRUE(), IF(E113=Constants!$B$3, FALSE(), TRUE())))</f>
        <v/>
      </c>
      <c r="V113" s="87" t="str">
        <f aca="false">IF(ISBLANK($C113),"",IF(F113=Constants!$B$2, TRUE(), IF(F113=Constants!$B$3, FALSE(), TRUE())))</f>
        <v/>
      </c>
      <c r="W113" s="87" t="str">
        <f aca="false">IF(ISBLANK($C113),"",IF(G113=Constants!$B$15,Constants!$B$8,IF(G113=Constants!$B$16,Constants!$B$9,Constants!$B$10)))</f>
        <v/>
      </c>
      <c r="X113" s="87" t="str">
        <f aca="false">IF(ISBLANK($C113),"",IF(H113=Constants!$B$2, TRUE(), IF(H113=Constants!$B$3, FALSE(), TRUE())))</f>
        <v/>
      </c>
      <c r="Y113" s="87" t="str">
        <f aca="false">IF(ISBLANK($C113),"",IF(I113=Constants!$B$19,Constants!$B$19,Constants!$B$18))</f>
        <v/>
      </c>
      <c r="Z113" s="87" t="str">
        <f aca="false">IF(ISBLANK($C113),"",IF(ISNUMBER(J113),IF(J113&gt;=0,J113,""),""))</f>
        <v/>
      </c>
      <c r="AA113" s="87" t="str">
        <f aca="false">IF(ISBLANK($C113),"",IF(K113=Constants!$B$19,Constants!$B$19,Constants!$B$18))</f>
        <v/>
      </c>
      <c r="AB113" s="87" t="str">
        <f aca="false">IF(ISBLANK($C113),"",IF(ISNUMBER(L113),IF(L113&gt;=0,L113,""),""))</f>
        <v/>
      </c>
      <c r="AC113" s="87" t="str">
        <f aca="false">IF(ISBLANK($C113),"",IF(M113=Constants!$B$19,Constants!$B$19,Constants!$B$18))</f>
        <v/>
      </c>
      <c r="AD113" s="87" t="str">
        <f aca="false">IF(ISBLANK($C113),"",IF(ISNUMBER(N113),IF(N113&gt;=0,N113,""),""))</f>
        <v/>
      </c>
      <c r="AE113" s="87" t="str">
        <f aca="false">IF(ISBLANK($C113),"",IF(O113=Constants!$B$19,Constants!$B$19,Constants!$B$18))</f>
        <v/>
      </c>
      <c r="AF113" s="87" t="str">
        <f aca="false">IF(ISBLANK($C113),"",IF(ISNUMBER(P113),IF(P113&gt;=0,P113,""),""))</f>
        <v/>
      </c>
      <c r="AG113" s="87" t="str">
        <f aca="false">IF(ISBLANK($C113),"",IF(Q113=Constants!$B$19,Constants!$B$19,Constants!$B$18))</f>
        <v/>
      </c>
      <c r="AH113" s="87" t="str">
        <f aca="false">IF(ISBLANK($C113),"",IF(ISNUMBER(R113),IF(R113&gt;=0,R113,""),""))</f>
        <v/>
      </c>
      <c r="AI113" s="87" t="str">
        <f aca="false">IF(ISBLANK($C113),"",IF(S113=Constants!$B$2, TRUE(), IF(S113=Constants!$B$3, FALSE(), FALSE())))</f>
        <v/>
      </c>
      <c r="AJ113" s="87" t="str">
        <f aca="false">IF(ISBLANK($C113),"",IF(AI113,Constants!$B$4,IF(COUNTA(E113:R113)=0,Constants!$B$5,IF(COUNTA(J113,L113,N113,P113,R113)=0,Constants!$B$6,Constants!$B$7))))</f>
        <v/>
      </c>
      <c r="AK113" s="87" t="str">
        <f aca="false">IF(ISBLANK($C113),"",IF($AJ113&lt;&gt;Constants!$B$7,$AJ113,IF(OR(NOT(X113),AND(NOT(U113),COUNTIFS(Y113:AG113,Constants!$B$18,Z113:AH113,"&gt;=0")&gt;0),AND(NOT(V113),COUNTIFS(Y113:AG113,Constants!$B$19,Z113:AH113,"&gt;=0")&gt;0)),Constants!$B$12,Constants!$B$11)))</f>
        <v/>
      </c>
      <c r="AL113" s="87" t="str">
        <f aca="false">IF($AJ113=Constants!$B$7,IF(Z113="",Constants!$B$13,Z113),"")</f>
        <v/>
      </c>
      <c r="AM113" s="87" t="str">
        <f aca="false">IF($AJ113=Constants!$B$7,IF(AB113="",Constants!$B$13,AB113),"")</f>
        <v/>
      </c>
      <c r="AN113" s="87" t="str">
        <f aca="false">IF($AJ113=Constants!$B$7,IF(AD113="",Constants!$B$13,AD113),"")</f>
        <v/>
      </c>
      <c r="AO113" s="87" t="str">
        <f aca="false">IF($AJ113=Constants!$B$7,IF(AF113="",Constants!$B$13,AF113),"")</f>
        <v/>
      </c>
      <c r="AP113" s="87" t="str">
        <f aca="false">IF($AJ113=Constants!$B$7,IF(AH113="",Constants!$B$13,AH113),"")</f>
        <v/>
      </c>
      <c r="AQ113" s="87" t="str">
        <f aca="false">IF($AJ113=Constants!$B$7,IF(SUMPRODUCT(--($AL113:$AP113&gt;AL113))+SUMPRODUCT(--($AL113:AL113=AL113))=1,1,IF(SUMPRODUCT(--($AL113:$AP113&gt;AM113))+SUMPRODUCT(--($AL113:AM113=AM113))=1,2,IF(SUMPRODUCT(--($AL113:$AP113&gt;AN113))+SUMPRODUCT(--($AL113:AN113=AN113))=1,3,IF(SUMPRODUCT(--($AL113:$AP113&gt;AO113))+SUMPRODUCT(--($AL113:AO113=AO113))=1,4,5)))),"")</f>
        <v/>
      </c>
      <c r="AR113" s="87" t="str">
        <f aca="false">IF($AJ113=Constants!$B$7,IF(SUMPRODUCT(--($AL113:$AP113&gt;AL113))+SUMPRODUCT(--($AL113:AL113=AL113))=2,1,IF(SUMPRODUCT(--($AL113:$AP113&gt;AM113))+SUMPRODUCT(--($AL113:AM113=AM113))=2,2,IF(SUMPRODUCT(--($AL113:$AP113&gt;AN113))+SUMPRODUCT(--($AL113:AN113=AN113))=2,3,IF(SUMPRODUCT(--($AL113:$AP113&gt;AO113))+SUMPRODUCT(--($AL113:AO113=AO113))=2,4,5)))),"")</f>
        <v/>
      </c>
      <c r="AS113" s="87" t="str">
        <f aca="false">IF($AJ113=Constants!$B$7,IF(SUMPRODUCT(--($AL113:$AP113&gt;AL113))+SUMPRODUCT(--($AL113:AL113=AL113))=3,1,IF(SUMPRODUCT(--($AL113:$AP113&gt;AM113))+SUMPRODUCT(--($AL113:AM113=AM113))=3,2,IF(SUMPRODUCT(--($AL113:$AP113&gt;AN113))+SUMPRODUCT(--($AL113:AN113=AN113))=3,3,IF(SUMPRODUCT(--($AL113:$AP113&gt;AO113))+SUMPRODUCT(--($AL113:AO113=AO113))=3,4,5)))),"")</f>
        <v/>
      </c>
      <c r="AT113" s="87" t="str">
        <f aca="false">IF($AJ113=Constants!$B$7,LARGE(AL113:AP113,1)+LARGE(AL113:AP113,2)+LARGE(AL113:AP113,3),"")</f>
        <v/>
      </c>
      <c r="AU113" s="87" t="str">
        <f aca="false">IF(ISBLANK($C113),"",IF($AJ113&lt;&gt;Constants!$B$7,$AJ113,AT113*W113))</f>
        <v/>
      </c>
      <c r="AV113" s="87" t="str">
        <f aca="false">IF(ISBLANK($C113),"",IF($AJ113=Constants!$B$7,IF(ISNUMBER(AU113),RANK(AU113,$AU$8:$AU$507),Constants!$B$14),$AJ113))</f>
        <v/>
      </c>
      <c r="AW113" s="87" t="str">
        <f aca="false">IF(ISBLANK($C113),"",IF($AJ113=Constants!$B$7,IF(ISNUMBER(AV113),COUNTIFS($AK$8:$AK$507,"&lt;"&amp;$AK113)+COUNTIFS($AK$8:$AK$507,$AK113,$AV$8:$AV$507,"&lt;"&amp;$AV113)+1,Constants!$B$14),$AJ113))</f>
        <v/>
      </c>
      <c r="AX113" s="87" t="str">
        <f aca="false">IF(ISBLANK($C113),"",IF($AJ113=Constants!$B$7,LARGE(AL113:AP113,4)*W113,""))</f>
        <v/>
      </c>
      <c r="AY113" s="87" t="str">
        <f aca="false">IF(ISBLANK($C113),"",IF($AJ113=Constants!$B$7,RANK(AX113,$AX$8:$AX$507),$AJ113))</f>
        <v/>
      </c>
      <c r="AZ113" s="87" t="str">
        <f aca="false">IF(ISBLANK($C113),"",IF($AJ113=Constants!$B$7,IF(ISNUMBER(AV113),COUNTIFS($AK$8:$AK$507,"&lt;"&amp;$AK113)+COUNTIFS($AK$8:$AK$507,$AK113,$AV$8:$AV$507,"&lt;"&amp;$AV113)+COUNTIFS($AK$8:$AK$507,$AK113,$AV$8:$AV$507,$AV113,$AY$8:$AY$507,"&lt;"&amp;$AY113)+1,Constants!$B$14),$AJ113))</f>
        <v/>
      </c>
      <c r="BA113" s="87" t="str">
        <f aca="false">IF(ISBLANK($C113),"",IF($AJ113=Constants!$B$7,IF(ISNUMBER(AW113),AW113-AZ113,Constants!$B$14),$AJ113))</f>
        <v/>
      </c>
      <c r="BB113" s="88"/>
      <c r="BC113" s="89" t="str">
        <f aca="false">IF(ISBLANK($C113),"",IF($AJ113&lt;&gt;Constants!$B$7,$AJ113,SMALL(AQ113:AS113,1)&amp;", "&amp;SMALL(AQ113:AS113,2)&amp;", "&amp;SMALL(AQ113:AS113,3)))</f>
        <v/>
      </c>
      <c r="BD113" s="90" t="str">
        <f aca="false">IF(ISBLANK($C113),"",IF($AJ113&lt;&gt;Constants!$B$7,$AJ113,W113))</f>
        <v/>
      </c>
      <c r="BE113" s="91" t="str">
        <f aca="false">IF(ISBLANK($C113),"",IF($AJ113&lt;&gt;Constants!$B$7,$AJ113,AU113))</f>
        <v/>
      </c>
      <c r="BF113" s="92" t="str">
        <f aca="false">IF(ISBLANK($C113),"",IF($AJ113&lt;&gt;Constants!$B$7,$AJ113,AK113))</f>
        <v/>
      </c>
      <c r="BG113" s="90" t="str">
        <f aca="false">IF(ISBLANK($C113),"",BA113)</f>
        <v/>
      </c>
      <c r="BH113" s="90" t="str">
        <f aca="false">IF(ISBLANK($C113),"",AZ113)</f>
        <v/>
      </c>
      <c r="BI113" s="93" t="str">
        <f aca="false">IF(ISBLANK($C113),"",IF(BH113=Constants!$B$4,COUNTA($C$8:$C$507)+2,IF(BH113=Constants!$B$5,COUNTA($C$8:$C$507)+1,IF(BH113=Constants!$B$6,COUNTA($C$8:$C$507),BH113))))</f>
        <v/>
      </c>
      <c r="BJ113" s="5"/>
      <c r="BK113" s="94" t="n">
        <f aca="false">IF(OR(ISNUMBER(BH113),BH113=Constants!$B$4,BH113=Constants!$B$6,BH113=Constants!$B$5),1,0)</f>
        <v>0</v>
      </c>
      <c r="BL113" s="94" t="n">
        <v>106</v>
      </c>
      <c r="BM113" s="94" t="str">
        <f aca="false">IF(ISBLANK($C113),"",IF(ISNUMBER(BI113),BI113+ROW($B113)/1000,""))</f>
        <v/>
      </c>
      <c r="BN113" s="94" t="str">
        <f aca="false">IF(ISNUMBER(BM113),RANK(BM113,$BM$8:$BM$507,1),"")</f>
        <v/>
      </c>
      <c r="BO113" s="94" t="str">
        <f aca="false">IF(ISBLANK($C113),"",$B113)</f>
        <v/>
      </c>
      <c r="BP113" s="94" t="str">
        <f aca="false">IF(ISBLANK($C113),"",$C113)</f>
        <v/>
      </c>
      <c r="BQ113" s="94" t="str">
        <f aca="false">IF(ISBLANK($C113),"",$D113)</f>
        <v/>
      </c>
      <c r="BR113" s="95" t="str">
        <f aca="false">BF113</f>
        <v/>
      </c>
      <c r="BS113" s="96" t="str">
        <f aca="false">BE113</f>
        <v/>
      </c>
      <c r="BT113" s="94" t="str">
        <f aca="false">IF(ISBLANK($C113),"",BH113)</f>
        <v/>
      </c>
      <c r="BU113" s="97" t="str">
        <f aca="false">IF($BL113&gt;$BK$7,"",VLOOKUP($BL113,$BN$8:$BT$507,7,FALSE()))</f>
        <v/>
      </c>
      <c r="BV113" s="98" t="str">
        <f aca="false">IF($BL113&gt;$BK$7,"",VLOOKUP($BL113,$BN$8:$BT$507,2,FALSE()))</f>
        <v/>
      </c>
      <c r="BW113" s="98" t="str">
        <f aca="false">IF($BL113&gt;$BK$7,"",VLOOKUP($BL113,$BN$8:$BT$507,3,FALSE()))</f>
        <v/>
      </c>
      <c r="BX113" s="98" t="str">
        <f aca="false">IF($BL113&gt;$BK$7,"",VLOOKUP($BL113,$BN$8:$BT$507,4,FALSE()))</f>
        <v/>
      </c>
      <c r="BY113" s="98" t="str">
        <f aca="false">IF($BL113&gt;$BK$7,"",VLOOKUP($BL113,$BN$8:$BT$507,5,FALSE()))</f>
        <v/>
      </c>
      <c r="BZ113" s="99" t="str">
        <f aca="false">IF($BL113&gt;$BK$7,"",VLOOKUP($BL113,$BN$8:$BT$507,6,FALSE()))</f>
        <v/>
      </c>
      <c r="CA113" s="48"/>
    </row>
    <row r="114" customFormat="false" ht="15.75" hidden="false" customHeight="false" outlineLevel="0" collapsed="false">
      <c r="A114" s="5"/>
      <c r="B114" s="114"/>
      <c r="C114" s="115"/>
      <c r="D114" s="100"/>
      <c r="E114" s="120"/>
      <c r="F114" s="125"/>
      <c r="G114" s="82"/>
      <c r="H114" s="126"/>
      <c r="I114" s="127"/>
      <c r="J114" s="82"/>
      <c r="K114" s="126"/>
      <c r="L114" s="82"/>
      <c r="M114" s="126"/>
      <c r="N114" s="82"/>
      <c r="O114" s="126"/>
      <c r="P114" s="82"/>
      <c r="Q114" s="126"/>
      <c r="R114" s="82"/>
      <c r="S114" s="120"/>
      <c r="T114" s="86"/>
      <c r="U114" s="87" t="str">
        <f aca="false">IF(ISBLANK($C114),"",IF(E114=Constants!$B$2, TRUE(), IF(E114=Constants!$B$3, FALSE(), TRUE())))</f>
        <v/>
      </c>
      <c r="V114" s="87" t="str">
        <f aca="false">IF(ISBLANK($C114),"",IF(F114=Constants!$B$2, TRUE(), IF(F114=Constants!$B$3, FALSE(), TRUE())))</f>
        <v/>
      </c>
      <c r="W114" s="87" t="str">
        <f aca="false">IF(ISBLANK($C114),"",IF(G114=Constants!$B$15,Constants!$B$8,IF(G114=Constants!$B$16,Constants!$B$9,Constants!$B$10)))</f>
        <v/>
      </c>
      <c r="X114" s="87" t="str">
        <f aca="false">IF(ISBLANK($C114),"",IF(H114=Constants!$B$2, TRUE(), IF(H114=Constants!$B$3, FALSE(), TRUE())))</f>
        <v/>
      </c>
      <c r="Y114" s="87" t="str">
        <f aca="false">IF(ISBLANK($C114),"",IF(I114=Constants!$B$19,Constants!$B$19,Constants!$B$18))</f>
        <v/>
      </c>
      <c r="Z114" s="87" t="str">
        <f aca="false">IF(ISBLANK($C114),"",IF(ISNUMBER(J114),IF(J114&gt;=0,J114,""),""))</f>
        <v/>
      </c>
      <c r="AA114" s="87" t="str">
        <f aca="false">IF(ISBLANK($C114),"",IF(K114=Constants!$B$19,Constants!$B$19,Constants!$B$18))</f>
        <v/>
      </c>
      <c r="AB114" s="87" t="str">
        <f aca="false">IF(ISBLANK($C114),"",IF(ISNUMBER(L114),IF(L114&gt;=0,L114,""),""))</f>
        <v/>
      </c>
      <c r="AC114" s="87" t="str">
        <f aca="false">IF(ISBLANK($C114),"",IF(M114=Constants!$B$19,Constants!$B$19,Constants!$B$18))</f>
        <v/>
      </c>
      <c r="AD114" s="87" t="str">
        <f aca="false">IF(ISBLANK($C114),"",IF(ISNUMBER(N114),IF(N114&gt;=0,N114,""),""))</f>
        <v/>
      </c>
      <c r="AE114" s="87" t="str">
        <f aca="false">IF(ISBLANK($C114),"",IF(O114=Constants!$B$19,Constants!$B$19,Constants!$B$18))</f>
        <v/>
      </c>
      <c r="AF114" s="87" t="str">
        <f aca="false">IF(ISBLANK($C114),"",IF(ISNUMBER(P114),IF(P114&gt;=0,P114,""),""))</f>
        <v/>
      </c>
      <c r="AG114" s="87" t="str">
        <f aca="false">IF(ISBLANK($C114),"",IF(Q114=Constants!$B$19,Constants!$B$19,Constants!$B$18))</f>
        <v/>
      </c>
      <c r="AH114" s="87" t="str">
        <f aca="false">IF(ISBLANK($C114),"",IF(ISNUMBER(R114),IF(R114&gt;=0,R114,""),""))</f>
        <v/>
      </c>
      <c r="AI114" s="87" t="str">
        <f aca="false">IF(ISBLANK($C114),"",IF(S114=Constants!$B$2, TRUE(), IF(S114=Constants!$B$3, FALSE(), FALSE())))</f>
        <v/>
      </c>
      <c r="AJ114" s="87" t="str">
        <f aca="false">IF(ISBLANK($C114),"",IF(AI114,Constants!$B$4,IF(COUNTA(E114:R114)=0,Constants!$B$5,IF(COUNTA(J114,L114,N114,P114,R114)=0,Constants!$B$6,Constants!$B$7))))</f>
        <v/>
      </c>
      <c r="AK114" s="87" t="str">
        <f aca="false">IF(ISBLANK($C114),"",IF($AJ114&lt;&gt;Constants!$B$7,$AJ114,IF(OR(NOT(X114),AND(NOT(U114),COUNTIFS(Y114:AG114,Constants!$B$18,Z114:AH114,"&gt;=0")&gt;0),AND(NOT(V114),COUNTIFS(Y114:AG114,Constants!$B$19,Z114:AH114,"&gt;=0")&gt;0)),Constants!$B$12,Constants!$B$11)))</f>
        <v/>
      </c>
      <c r="AL114" s="87" t="str">
        <f aca="false">IF($AJ114=Constants!$B$7,IF(Z114="",Constants!$B$13,Z114),"")</f>
        <v/>
      </c>
      <c r="AM114" s="87" t="str">
        <f aca="false">IF($AJ114=Constants!$B$7,IF(AB114="",Constants!$B$13,AB114),"")</f>
        <v/>
      </c>
      <c r="AN114" s="87" t="str">
        <f aca="false">IF($AJ114=Constants!$B$7,IF(AD114="",Constants!$B$13,AD114),"")</f>
        <v/>
      </c>
      <c r="AO114" s="87" t="str">
        <f aca="false">IF($AJ114=Constants!$B$7,IF(AF114="",Constants!$B$13,AF114),"")</f>
        <v/>
      </c>
      <c r="AP114" s="87" t="str">
        <f aca="false">IF($AJ114=Constants!$B$7,IF(AH114="",Constants!$B$13,AH114),"")</f>
        <v/>
      </c>
      <c r="AQ114" s="87" t="str">
        <f aca="false">IF($AJ114=Constants!$B$7,IF(SUMPRODUCT(--($AL114:$AP114&gt;AL114))+SUMPRODUCT(--($AL114:AL114=AL114))=1,1,IF(SUMPRODUCT(--($AL114:$AP114&gt;AM114))+SUMPRODUCT(--($AL114:AM114=AM114))=1,2,IF(SUMPRODUCT(--($AL114:$AP114&gt;AN114))+SUMPRODUCT(--($AL114:AN114=AN114))=1,3,IF(SUMPRODUCT(--($AL114:$AP114&gt;AO114))+SUMPRODUCT(--($AL114:AO114=AO114))=1,4,5)))),"")</f>
        <v/>
      </c>
      <c r="AR114" s="87" t="str">
        <f aca="false">IF($AJ114=Constants!$B$7,IF(SUMPRODUCT(--($AL114:$AP114&gt;AL114))+SUMPRODUCT(--($AL114:AL114=AL114))=2,1,IF(SUMPRODUCT(--($AL114:$AP114&gt;AM114))+SUMPRODUCT(--($AL114:AM114=AM114))=2,2,IF(SUMPRODUCT(--($AL114:$AP114&gt;AN114))+SUMPRODUCT(--($AL114:AN114=AN114))=2,3,IF(SUMPRODUCT(--($AL114:$AP114&gt;AO114))+SUMPRODUCT(--($AL114:AO114=AO114))=2,4,5)))),"")</f>
        <v/>
      </c>
      <c r="AS114" s="87" t="str">
        <f aca="false">IF($AJ114=Constants!$B$7,IF(SUMPRODUCT(--($AL114:$AP114&gt;AL114))+SUMPRODUCT(--($AL114:AL114=AL114))=3,1,IF(SUMPRODUCT(--($AL114:$AP114&gt;AM114))+SUMPRODUCT(--($AL114:AM114=AM114))=3,2,IF(SUMPRODUCT(--($AL114:$AP114&gt;AN114))+SUMPRODUCT(--($AL114:AN114=AN114))=3,3,IF(SUMPRODUCT(--($AL114:$AP114&gt;AO114))+SUMPRODUCT(--($AL114:AO114=AO114))=3,4,5)))),"")</f>
        <v/>
      </c>
      <c r="AT114" s="87" t="str">
        <f aca="false">IF($AJ114=Constants!$B$7,LARGE(AL114:AP114,1)+LARGE(AL114:AP114,2)+LARGE(AL114:AP114,3),"")</f>
        <v/>
      </c>
      <c r="AU114" s="87" t="str">
        <f aca="false">IF(ISBLANK($C114),"",IF($AJ114&lt;&gt;Constants!$B$7,$AJ114,AT114*W114))</f>
        <v/>
      </c>
      <c r="AV114" s="87" t="str">
        <f aca="false">IF(ISBLANK($C114),"",IF($AJ114=Constants!$B$7,IF(ISNUMBER(AU114),RANK(AU114,$AU$8:$AU$507),Constants!$B$14),$AJ114))</f>
        <v/>
      </c>
      <c r="AW114" s="87" t="str">
        <f aca="false">IF(ISBLANK($C114),"",IF($AJ114=Constants!$B$7,IF(ISNUMBER(AV114),COUNTIFS($AK$8:$AK$507,"&lt;"&amp;$AK114)+COUNTIFS($AK$8:$AK$507,$AK114,$AV$8:$AV$507,"&lt;"&amp;$AV114)+1,Constants!$B$14),$AJ114))</f>
        <v/>
      </c>
      <c r="AX114" s="87" t="str">
        <f aca="false">IF(ISBLANK($C114),"",IF($AJ114=Constants!$B$7,LARGE(AL114:AP114,4)*W114,""))</f>
        <v/>
      </c>
      <c r="AY114" s="87" t="str">
        <f aca="false">IF(ISBLANK($C114),"",IF($AJ114=Constants!$B$7,RANK(AX114,$AX$8:$AX$507),$AJ114))</f>
        <v/>
      </c>
      <c r="AZ114" s="87" t="str">
        <f aca="false">IF(ISBLANK($C114),"",IF($AJ114=Constants!$B$7,IF(ISNUMBER(AV114),COUNTIFS($AK$8:$AK$507,"&lt;"&amp;$AK114)+COUNTIFS($AK$8:$AK$507,$AK114,$AV$8:$AV$507,"&lt;"&amp;$AV114)+COUNTIFS($AK$8:$AK$507,$AK114,$AV$8:$AV$507,$AV114,$AY$8:$AY$507,"&lt;"&amp;$AY114)+1,Constants!$B$14),$AJ114))</f>
        <v/>
      </c>
      <c r="BA114" s="87" t="str">
        <f aca="false">IF(ISBLANK($C114),"",IF($AJ114=Constants!$B$7,IF(ISNUMBER(AW114),AW114-AZ114,Constants!$B$14),$AJ114))</f>
        <v/>
      </c>
      <c r="BB114" s="88"/>
      <c r="BC114" s="89" t="str">
        <f aca="false">IF(ISBLANK($C114),"",IF($AJ114&lt;&gt;Constants!$B$7,$AJ114,SMALL(AQ114:AS114,1)&amp;", "&amp;SMALL(AQ114:AS114,2)&amp;", "&amp;SMALL(AQ114:AS114,3)))</f>
        <v/>
      </c>
      <c r="BD114" s="90" t="str">
        <f aca="false">IF(ISBLANK($C114),"",IF($AJ114&lt;&gt;Constants!$B$7,$AJ114,W114))</f>
        <v/>
      </c>
      <c r="BE114" s="91" t="str">
        <f aca="false">IF(ISBLANK($C114),"",IF($AJ114&lt;&gt;Constants!$B$7,$AJ114,AU114))</f>
        <v/>
      </c>
      <c r="BF114" s="92" t="str">
        <f aca="false">IF(ISBLANK($C114),"",IF($AJ114&lt;&gt;Constants!$B$7,$AJ114,AK114))</f>
        <v/>
      </c>
      <c r="BG114" s="90" t="str">
        <f aca="false">IF(ISBLANK($C114),"",BA114)</f>
        <v/>
      </c>
      <c r="BH114" s="90" t="str">
        <f aca="false">IF(ISBLANK($C114),"",AZ114)</f>
        <v/>
      </c>
      <c r="BI114" s="93" t="str">
        <f aca="false">IF(ISBLANK($C114),"",IF(BH114=Constants!$B$4,COUNTA($C$8:$C$507)+2,IF(BH114=Constants!$B$5,COUNTA($C$8:$C$507)+1,IF(BH114=Constants!$B$6,COUNTA($C$8:$C$507),BH114))))</f>
        <v/>
      </c>
      <c r="BJ114" s="5"/>
      <c r="BK114" s="94" t="n">
        <f aca="false">IF(OR(ISNUMBER(BH114),BH114=Constants!$B$4,BH114=Constants!$B$6,BH114=Constants!$B$5),1,0)</f>
        <v>0</v>
      </c>
      <c r="BL114" s="94" t="n">
        <v>107</v>
      </c>
      <c r="BM114" s="94" t="str">
        <f aca="false">IF(ISBLANK($C114),"",IF(ISNUMBER(BI114),BI114+ROW($B114)/1000,""))</f>
        <v/>
      </c>
      <c r="BN114" s="94" t="str">
        <f aca="false">IF(ISNUMBER(BM114),RANK(BM114,$BM$8:$BM$507,1),"")</f>
        <v/>
      </c>
      <c r="BO114" s="94" t="str">
        <f aca="false">IF(ISBLANK($C114),"",$B114)</f>
        <v/>
      </c>
      <c r="BP114" s="94" t="str">
        <f aca="false">IF(ISBLANK($C114),"",$C114)</f>
        <v/>
      </c>
      <c r="BQ114" s="94" t="str">
        <f aca="false">IF(ISBLANK($C114),"",$D114)</f>
        <v/>
      </c>
      <c r="BR114" s="95" t="str">
        <f aca="false">BF114</f>
        <v/>
      </c>
      <c r="BS114" s="96" t="str">
        <f aca="false">BE114</f>
        <v/>
      </c>
      <c r="BT114" s="94" t="str">
        <f aca="false">IF(ISBLANK($C114),"",BH114)</f>
        <v/>
      </c>
      <c r="BU114" s="97" t="str">
        <f aca="false">IF($BL114&gt;$BK$7,"",VLOOKUP($BL114,$BN$8:$BT$507,7,FALSE()))</f>
        <v/>
      </c>
      <c r="BV114" s="98" t="str">
        <f aca="false">IF($BL114&gt;$BK$7,"",VLOOKUP($BL114,$BN$8:$BT$507,2,FALSE()))</f>
        <v/>
      </c>
      <c r="BW114" s="98" t="str">
        <f aca="false">IF($BL114&gt;$BK$7,"",VLOOKUP($BL114,$BN$8:$BT$507,3,FALSE()))</f>
        <v/>
      </c>
      <c r="BX114" s="98" t="str">
        <f aca="false">IF($BL114&gt;$BK$7,"",VLOOKUP($BL114,$BN$8:$BT$507,4,FALSE()))</f>
        <v/>
      </c>
      <c r="BY114" s="98" t="str">
        <f aca="false">IF($BL114&gt;$BK$7,"",VLOOKUP($BL114,$BN$8:$BT$507,5,FALSE()))</f>
        <v/>
      </c>
      <c r="BZ114" s="99" t="str">
        <f aca="false">IF($BL114&gt;$BK$7,"",VLOOKUP($BL114,$BN$8:$BT$507,6,FALSE()))</f>
        <v/>
      </c>
      <c r="CA114" s="48"/>
    </row>
    <row r="115" customFormat="false" ht="15.75" hidden="false" customHeight="false" outlineLevel="0" collapsed="false">
      <c r="A115" s="5"/>
      <c r="B115" s="114"/>
      <c r="C115" s="115"/>
      <c r="D115" s="100"/>
      <c r="E115" s="120"/>
      <c r="F115" s="125"/>
      <c r="G115" s="82"/>
      <c r="H115" s="126"/>
      <c r="I115" s="127"/>
      <c r="J115" s="82"/>
      <c r="K115" s="126"/>
      <c r="L115" s="82"/>
      <c r="M115" s="126"/>
      <c r="N115" s="82"/>
      <c r="O115" s="126"/>
      <c r="P115" s="82"/>
      <c r="Q115" s="126"/>
      <c r="R115" s="82"/>
      <c r="S115" s="120"/>
      <c r="T115" s="86"/>
      <c r="U115" s="87" t="str">
        <f aca="false">IF(ISBLANK($C115),"",IF(E115=Constants!$B$2, TRUE(), IF(E115=Constants!$B$3, FALSE(), TRUE())))</f>
        <v/>
      </c>
      <c r="V115" s="87" t="str">
        <f aca="false">IF(ISBLANK($C115),"",IF(F115=Constants!$B$2, TRUE(), IF(F115=Constants!$B$3, FALSE(), TRUE())))</f>
        <v/>
      </c>
      <c r="W115" s="87" t="str">
        <f aca="false">IF(ISBLANK($C115),"",IF(G115=Constants!$B$15,Constants!$B$8,IF(G115=Constants!$B$16,Constants!$B$9,Constants!$B$10)))</f>
        <v/>
      </c>
      <c r="X115" s="87" t="str">
        <f aca="false">IF(ISBLANK($C115),"",IF(H115=Constants!$B$2, TRUE(), IF(H115=Constants!$B$3, FALSE(), TRUE())))</f>
        <v/>
      </c>
      <c r="Y115" s="87" t="str">
        <f aca="false">IF(ISBLANK($C115),"",IF(I115=Constants!$B$19,Constants!$B$19,Constants!$B$18))</f>
        <v/>
      </c>
      <c r="Z115" s="87" t="str">
        <f aca="false">IF(ISBLANK($C115),"",IF(ISNUMBER(J115),IF(J115&gt;=0,J115,""),""))</f>
        <v/>
      </c>
      <c r="AA115" s="87" t="str">
        <f aca="false">IF(ISBLANK($C115),"",IF(K115=Constants!$B$19,Constants!$B$19,Constants!$B$18))</f>
        <v/>
      </c>
      <c r="AB115" s="87" t="str">
        <f aca="false">IF(ISBLANK($C115),"",IF(ISNUMBER(L115),IF(L115&gt;=0,L115,""),""))</f>
        <v/>
      </c>
      <c r="AC115" s="87" t="str">
        <f aca="false">IF(ISBLANK($C115),"",IF(M115=Constants!$B$19,Constants!$B$19,Constants!$B$18))</f>
        <v/>
      </c>
      <c r="AD115" s="87" t="str">
        <f aca="false">IF(ISBLANK($C115),"",IF(ISNUMBER(N115),IF(N115&gt;=0,N115,""),""))</f>
        <v/>
      </c>
      <c r="AE115" s="87" t="str">
        <f aca="false">IF(ISBLANK($C115),"",IF(O115=Constants!$B$19,Constants!$B$19,Constants!$B$18))</f>
        <v/>
      </c>
      <c r="AF115" s="87" t="str">
        <f aca="false">IF(ISBLANK($C115),"",IF(ISNUMBER(P115),IF(P115&gt;=0,P115,""),""))</f>
        <v/>
      </c>
      <c r="AG115" s="87" t="str">
        <f aca="false">IF(ISBLANK($C115),"",IF(Q115=Constants!$B$19,Constants!$B$19,Constants!$B$18))</f>
        <v/>
      </c>
      <c r="AH115" s="87" t="str">
        <f aca="false">IF(ISBLANK($C115),"",IF(ISNUMBER(R115),IF(R115&gt;=0,R115,""),""))</f>
        <v/>
      </c>
      <c r="AI115" s="87" t="str">
        <f aca="false">IF(ISBLANK($C115),"",IF(S115=Constants!$B$2, TRUE(), IF(S115=Constants!$B$3, FALSE(), FALSE())))</f>
        <v/>
      </c>
      <c r="AJ115" s="87" t="str">
        <f aca="false">IF(ISBLANK($C115),"",IF(AI115,Constants!$B$4,IF(COUNTA(E115:R115)=0,Constants!$B$5,IF(COUNTA(J115,L115,N115,P115,R115)=0,Constants!$B$6,Constants!$B$7))))</f>
        <v/>
      </c>
      <c r="AK115" s="87" t="str">
        <f aca="false">IF(ISBLANK($C115),"",IF($AJ115&lt;&gt;Constants!$B$7,$AJ115,IF(OR(NOT(X115),AND(NOT(U115),COUNTIFS(Y115:AG115,Constants!$B$18,Z115:AH115,"&gt;=0")&gt;0),AND(NOT(V115),COUNTIFS(Y115:AG115,Constants!$B$19,Z115:AH115,"&gt;=0")&gt;0)),Constants!$B$12,Constants!$B$11)))</f>
        <v/>
      </c>
      <c r="AL115" s="87" t="str">
        <f aca="false">IF($AJ115=Constants!$B$7,IF(Z115="",Constants!$B$13,Z115),"")</f>
        <v/>
      </c>
      <c r="AM115" s="87" t="str">
        <f aca="false">IF($AJ115=Constants!$B$7,IF(AB115="",Constants!$B$13,AB115),"")</f>
        <v/>
      </c>
      <c r="AN115" s="87" t="str">
        <f aca="false">IF($AJ115=Constants!$B$7,IF(AD115="",Constants!$B$13,AD115),"")</f>
        <v/>
      </c>
      <c r="AO115" s="87" t="str">
        <f aca="false">IF($AJ115=Constants!$B$7,IF(AF115="",Constants!$B$13,AF115),"")</f>
        <v/>
      </c>
      <c r="AP115" s="87" t="str">
        <f aca="false">IF($AJ115=Constants!$B$7,IF(AH115="",Constants!$B$13,AH115),"")</f>
        <v/>
      </c>
      <c r="AQ115" s="87" t="str">
        <f aca="false">IF($AJ115=Constants!$B$7,IF(SUMPRODUCT(--($AL115:$AP115&gt;AL115))+SUMPRODUCT(--($AL115:AL115=AL115))=1,1,IF(SUMPRODUCT(--($AL115:$AP115&gt;AM115))+SUMPRODUCT(--($AL115:AM115=AM115))=1,2,IF(SUMPRODUCT(--($AL115:$AP115&gt;AN115))+SUMPRODUCT(--($AL115:AN115=AN115))=1,3,IF(SUMPRODUCT(--($AL115:$AP115&gt;AO115))+SUMPRODUCT(--($AL115:AO115=AO115))=1,4,5)))),"")</f>
        <v/>
      </c>
      <c r="AR115" s="87" t="str">
        <f aca="false">IF($AJ115=Constants!$B$7,IF(SUMPRODUCT(--($AL115:$AP115&gt;AL115))+SUMPRODUCT(--($AL115:AL115=AL115))=2,1,IF(SUMPRODUCT(--($AL115:$AP115&gt;AM115))+SUMPRODUCT(--($AL115:AM115=AM115))=2,2,IF(SUMPRODUCT(--($AL115:$AP115&gt;AN115))+SUMPRODUCT(--($AL115:AN115=AN115))=2,3,IF(SUMPRODUCT(--($AL115:$AP115&gt;AO115))+SUMPRODUCT(--($AL115:AO115=AO115))=2,4,5)))),"")</f>
        <v/>
      </c>
      <c r="AS115" s="87" t="str">
        <f aca="false">IF($AJ115=Constants!$B$7,IF(SUMPRODUCT(--($AL115:$AP115&gt;AL115))+SUMPRODUCT(--($AL115:AL115=AL115))=3,1,IF(SUMPRODUCT(--($AL115:$AP115&gt;AM115))+SUMPRODUCT(--($AL115:AM115=AM115))=3,2,IF(SUMPRODUCT(--($AL115:$AP115&gt;AN115))+SUMPRODUCT(--($AL115:AN115=AN115))=3,3,IF(SUMPRODUCT(--($AL115:$AP115&gt;AO115))+SUMPRODUCT(--($AL115:AO115=AO115))=3,4,5)))),"")</f>
        <v/>
      </c>
      <c r="AT115" s="87" t="str">
        <f aca="false">IF($AJ115=Constants!$B$7,LARGE(AL115:AP115,1)+LARGE(AL115:AP115,2)+LARGE(AL115:AP115,3),"")</f>
        <v/>
      </c>
      <c r="AU115" s="87" t="str">
        <f aca="false">IF(ISBLANK($C115),"",IF($AJ115&lt;&gt;Constants!$B$7,$AJ115,AT115*W115))</f>
        <v/>
      </c>
      <c r="AV115" s="87" t="str">
        <f aca="false">IF(ISBLANK($C115),"",IF($AJ115=Constants!$B$7,IF(ISNUMBER(AU115),RANK(AU115,$AU$8:$AU$507),Constants!$B$14),$AJ115))</f>
        <v/>
      </c>
      <c r="AW115" s="87" t="str">
        <f aca="false">IF(ISBLANK($C115),"",IF($AJ115=Constants!$B$7,IF(ISNUMBER(AV115),COUNTIFS($AK$8:$AK$507,"&lt;"&amp;$AK115)+COUNTIFS($AK$8:$AK$507,$AK115,$AV$8:$AV$507,"&lt;"&amp;$AV115)+1,Constants!$B$14),$AJ115))</f>
        <v/>
      </c>
      <c r="AX115" s="87" t="str">
        <f aca="false">IF(ISBLANK($C115),"",IF($AJ115=Constants!$B$7,LARGE(AL115:AP115,4)*W115,""))</f>
        <v/>
      </c>
      <c r="AY115" s="87" t="str">
        <f aca="false">IF(ISBLANK($C115),"",IF($AJ115=Constants!$B$7,RANK(AX115,$AX$8:$AX$507),$AJ115))</f>
        <v/>
      </c>
      <c r="AZ115" s="87" t="str">
        <f aca="false">IF(ISBLANK($C115),"",IF($AJ115=Constants!$B$7,IF(ISNUMBER(AV115),COUNTIFS($AK$8:$AK$507,"&lt;"&amp;$AK115)+COUNTIFS($AK$8:$AK$507,$AK115,$AV$8:$AV$507,"&lt;"&amp;$AV115)+COUNTIFS($AK$8:$AK$507,$AK115,$AV$8:$AV$507,$AV115,$AY$8:$AY$507,"&lt;"&amp;$AY115)+1,Constants!$B$14),$AJ115))</f>
        <v/>
      </c>
      <c r="BA115" s="87" t="str">
        <f aca="false">IF(ISBLANK($C115),"",IF($AJ115=Constants!$B$7,IF(ISNUMBER(AW115),AW115-AZ115,Constants!$B$14),$AJ115))</f>
        <v/>
      </c>
      <c r="BB115" s="88"/>
      <c r="BC115" s="89" t="str">
        <f aca="false">IF(ISBLANK($C115),"",IF($AJ115&lt;&gt;Constants!$B$7,$AJ115,SMALL(AQ115:AS115,1)&amp;", "&amp;SMALL(AQ115:AS115,2)&amp;", "&amp;SMALL(AQ115:AS115,3)))</f>
        <v/>
      </c>
      <c r="BD115" s="90" t="str">
        <f aca="false">IF(ISBLANK($C115),"",IF($AJ115&lt;&gt;Constants!$B$7,$AJ115,W115))</f>
        <v/>
      </c>
      <c r="BE115" s="91" t="str">
        <f aca="false">IF(ISBLANK($C115),"",IF($AJ115&lt;&gt;Constants!$B$7,$AJ115,AU115))</f>
        <v/>
      </c>
      <c r="BF115" s="92" t="str">
        <f aca="false">IF(ISBLANK($C115),"",IF($AJ115&lt;&gt;Constants!$B$7,$AJ115,AK115))</f>
        <v/>
      </c>
      <c r="BG115" s="90" t="str">
        <f aca="false">IF(ISBLANK($C115),"",BA115)</f>
        <v/>
      </c>
      <c r="BH115" s="90" t="str">
        <f aca="false">IF(ISBLANK($C115),"",AZ115)</f>
        <v/>
      </c>
      <c r="BI115" s="93" t="str">
        <f aca="false">IF(ISBLANK($C115),"",IF(BH115=Constants!$B$4,COUNTA($C$8:$C$507)+2,IF(BH115=Constants!$B$5,COUNTA($C$8:$C$507)+1,IF(BH115=Constants!$B$6,COUNTA($C$8:$C$507),BH115))))</f>
        <v/>
      </c>
      <c r="BJ115" s="5"/>
      <c r="BK115" s="94" t="n">
        <f aca="false">IF(OR(ISNUMBER(BH115),BH115=Constants!$B$4,BH115=Constants!$B$6,BH115=Constants!$B$5),1,0)</f>
        <v>0</v>
      </c>
      <c r="BL115" s="94" t="n">
        <v>108</v>
      </c>
      <c r="BM115" s="94" t="str">
        <f aca="false">IF(ISBLANK($C115),"",IF(ISNUMBER(BI115),BI115+ROW($B115)/1000,""))</f>
        <v/>
      </c>
      <c r="BN115" s="94" t="str">
        <f aca="false">IF(ISNUMBER(BM115),RANK(BM115,$BM$8:$BM$507,1),"")</f>
        <v/>
      </c>
      <c r="BO115" s="94" t="str">
        <f aca="false">IF(ISBLANK($C115),"",$B115)</f>
        <v/>
      </c>
      <c r="BP115" s="94" t="str">
        <f aca="false">IF(ISBLANK($C115),"",$C115)</f>
        <v/>
      </c>
      <c r="BQ115" s="94" t="str">
        <f aca="false">IF(ISBLANK($C115),"",$D115)</f>
        <v/>
      </c>
      <c r="BR115" s="95" t="str">
        <f aca="false">BF115</f>
        <v/>
      </c>
      <c r="BS115" s="96" t="str">
        <f aca="false">BE115</f>
        <v/>
      </c>
      <c r="BT115" s="94" t="str">
        <f aca="false">IF(ISBLANK($C115),"",BH115)</f>
        <v/>
      </c>
      <c r="BU115" s="97" t="str">
        <f aca="false">IF($BL115&gt;$BK$7,"",VLOOKUP($BL115,$BN$8:$BT$507,7,FALSE()))</f>
        <v/>
      </c>
      <c r="BV115" s="98" t="str">
        <f aca="false">IF($BL115&gt;$BK$7,"",VLOOKUP($BL115,$BN$8:$BT$507,2,FALSE()))</f>
        <v/>
      </c>
      <c r="BW115" s="98" t="str">
        <f aca="false">IF($BL115&gt;$BK$7,"",VLOOKUP($BL115,$BN$8:$BT$507,3,FALSE()))</f>
        <v/>
      </c>
      <c r="BX115" s="98" t="str">
        <f aca="false">IF($BL115&gt;$BK$7,"",VLOOKUP($BL115,$BN$8:$BT$507,4,FALSE()))</f>
        <v/>
      </c>
      <c r="BY115" s="98" t="str">
        <f aca="false">IF($BL115&gt;$BK$7,"",VLOOKUP($BL115,$BN$8:$BT$507,5,FALSE()))</f>
        <v/>
      </c>
      <c r="BZ115" s="99" t="str">
        <f aca="false">IF($BL115&gt;$BK$7,"",VLOOKUP($BL115,$BN$8:$BT$507,6,FALSE()))</f>
        <v/>
      </c>
      <c r="CA115" s="48"/>
    </row>
    <row r="116" customFormat="false" ht="15.75" hidden="false" customHeight="false" outlineLevel="0" collapsed="false">
      <c r="A116" s="5"/>
      <c r="B116" s="121"/>
      <c r="C116" s="50"/>
      <c r="D116" s="51"/>
      <c r="E116" s="74"/>
      <c r="F116" s="122"/>
      <c r="G116" s="54"/>
      <c r="H116" s="123"/>
      <c r="I116" s="124"/>
      <c r="J116" s="54"/>
      <c r="K116" s="123"/>
      <c r="L116" s="54"/>
      <c r="M116" s="123"/>
      <c r="N116" s="54"/>
      <c r="O116" s="123"/>
      <c r="P116" s="54"/>
      <c r="Q116" s="123"/>
      <c r="R116" s="54"/>
      <c r="S116" s="74"/>
      <c r="T116" s="58"/>
      <c r="U116" s="59" t="str">
        <f aca="false">IF(ISBLANK($C116),"",IF(E116=Constants!$B$2, TRUE(), IF(E116=Constants!$B$3, FALSE(), TRUE())))</f>
        <v/>
      </c>
      <c r="V116" s="59" t="str">
        <f aca="false">IF(ISBLANK($C116),"",IF(F116=Constants!$B$2, TRUE(), IF(F116=Constants!$B$3, FALSE(), TRUE())))</f>
        <v/>
      </c>
      <c r="W116" s="59" t="str">
        <f aca="false">IF(ISBLANK($C116),"",IF(G116=Constants!$B$15,Constants!$B$8,IF(G116=Constants!$B$16,Constants!$B$9,Constants!$B$10)))</f>
        <v/>
      </c>
      <c r="X116" s="59" t="str">
        <f aca="false">IF(ISBLANK($C116),"",IF(H116=Constants!$B$2, TRUE(), IF(H116=Constants!$B$3, FALSE(), TRUE())))</f>
        <v/>
      </c>
      <c r="Y116" s="59" t="str">
        <f aca="false">IF(ISBLANK($C116),"",IF(I116=Constants!$B$19,Constants!$B$19,Constants!$B$18))</f>
        <v/>
      </c>
      <c r="Z116" s="59" t="str">
        <f aca="false">IF(ISBLANK($C116),"",IF(ISNUMBER(J116),IF(J116&gt;=0,J116,""),""))</f>
        <v/>
      </c>
      <c r="AA116" s="59" t="str">
        <f aca="false">IF(ISBLANK($C116),"",IF(K116=Constants!$B$19,Constants!$B$19,Constants!$B$18))</f>
        <v/>
      </c>
      <c r="AB116" s="59" t="str">
        <f aca="false">IF(ISBLANK($C116),"",IF(ISNUMBER(L116),IF(L116&gt;=0,L116,""),""))</f>
        <v/>
      </c>
      <c r="AC116" s="59" t="str">
        <f aca="false">IF(ISBLANK($C116),"",IF(M116=Constants!$B$19,Constants!$B$19,Constants!$B$18))</f>
        <v/>
      </c>
      <c r="AD116" s="59" t="str">
        <f aca="false">IF(ISBLANK($C116),"",IF(ISNUMBER(N116),IF(N116&gt;=0,N116,""),""))</f>
        <v/>
      </c>
      <c r="AE116" s="59" t="str">
        <f aca="false">IF(ISBLANK($C116),"",IF(O116=Constants!$B$19,Constants!$B$19,Constants!$B$18))</f>
        <v/>
      </c>
      <c r="AF116" s="59" t="str">
        <f aca="false">IF(ISBLANK($C116),"",IF(ISNUMBER(P116),IF(P116&gt;=0,P116,""),""))</f>
        <v/>
      </c>
      <c r="AG116" s="59" t="str">
        <f aca="false">IF(ISBLANK($C116),"",IF(Q116=Constants!$B$19,Constants!$B$19,Constants!$B$18))</f>
        <v/>
      </c>
      <c r="AH116" s="59" t="str">
        <f aca="false">IF(ISBLANK($C116),"",IF(ISNUMBER(R116),IF(R116&gt;=0,R116,""),""))</f>
        <v/>
      </c>
      <c r="AI116" s="59" t="str">
        <f aca="false">IF(ISBLANK($C116),"",IF(S116=Constants!$B$2, TRUE(), IF(S116=Constants!$B$3, FALSE(), FALSE())))</f>
        <v/>
      </c>
      <c r="AJ116" s="59" t="str">
        <f aca="false">IF(ISBLANK($C116),"",IF(AI116,Constants!$B$4,IF(COUNTA(E116:R116)=0,Constants!$B$5,IF(COUNTA(J116,L116,N116,P116,R116)=0,Constants!$B$6,Constants!$B$7))))</f>
        <v/>
      </c>
      <c r="AK116" s="59" t="str">
        <f aca="false">IF(ISBLANK($C116),"",IF($AJ116&lt;&gt;Constants!$B$7,$AJ116,IF(OR(NOT(X116),AND(NOT(U116),COUNTIFS(Y116:AG116,Constants!$B$18,Z116:AH116,"&gt;=0")&gt;0),AND(NOT(V116),COUNTIFS(Y116:AG116,Constants!$B$19,Z116:AH116,"&gt;=0")&gt;0)),Constants!$B$12,Constants!$B$11)))</f>
        <v/>
      </c>
      <c r="AL116" s="59" t="str">
        <f aca="false">IF($AJ116=Constants!$B$7,IF(Z116="",Constants!$B$13,Z116),"")</f>
        <v/>
      </c>
      <c r="AM116" s="59" t="str">
        <f aca="false">IF($AJ116=Constants!$B$7,IF(AB116="",Constants!$B$13,AB116),"")</f>
        <v/>
      </c>
      <c r="AN116" s="59" t="str">
        <f aca="false">IF($AJ116=Constants!$B$7,IF(AD116="",Constants!$B$13,AD116),"")</f>
        <v/>
      </c>
      <c r="AO116" s="59" t="str">
        <f aca="false">IF($AJ116=Constants!$B$7,IF(AF116="",Constants!$B$13,AF116),"")</f>
        <v/>
      </c>
      <c r="AP116" s="59" t="str">
        <f aca="false">IF($AJ116=Constants!$B$7,IF(AH116="",Constants!$B$13,AH116),"")</f>
        <v/>
      </c>
      <c r="AQ116" s="59" t="str">
        <f aca="false">IF($AJ116=Constants!$B$7,IF(SUMPRODUCT(--($AL116:$AP116&gt;AL116))+SUMPRODUCT(--($AL116:AL116=AL116))=1,1,IF(SUMPRODUCT(--($AL116:$AP116&gt;AM116))+SUMPRODUCT(--($AL116:AM116=AM116))=1,2,IF(SUMPRODUCT(--($AL116:$AP116&gt;AN116))+SUMPRODUCT(--($AL116:AN116=AN116))=1,3,IF(SUMPRODUCT(--($AL116:$AP116&gt;AO116))+SUMPRODUCT(--($AL116:AO116=AO116))=1,4,5)))),"")</f>
        <v/>
      </c>
      <c r="AR116" s="59" t="str">
        <f aca="false">IF($AJ116=Constants!$B$7,IF(SUMPRODUCT(--($AL116:$AP116&gt;AL116))+SUMPRODUCT(--($AL116:AL116=AL116))=2,1,IF(SUMPRODUCT(--($AL116:$AP116&gt;AM116))+SUMPRODUCT(--($AL116:AM116=AM116))=2,2,IF(SUMPRODUCT(--($AL116:$AP116&gt;AN116))+SUMPRODUCT(--($AL116:AN116=AN116))=2,3,IF(SUMPRODUCT(--($AL116:$AP116&gt;AO116))+SUMPRODUCT(--($AL116:AO116=AO116))=2,4,5)))),"")</f>
        <v/>
      </c>
      <c r="AS116" s="59" t="str">
        <f aca="false">IF($AJ116=Constants!$B$7,IF(SUMPRODUCT(--($AL116:$AP116&gt;AL116))+SUMPRODUCT(--($AL116:AL116=AL116))=3,1,IF(SUMPRODUCT(--($AL116:$AP116&gt;AM116))+SUMPRODUCT(--($AL116:AM116=AM116))=3,2,IF(SUMPRODUCT(--($AL116:$AP116&gt;AN116))+SUMPRODUCT(--($AL116:AN116=AN116))=3,3,IF(SUMPRODUCT(--($AL116:$AP116&gt;AO116))+SUMPRODUCT(--($AL116:AO116=AO116))=3,4,5)))),"")</f>
        <v/>
      </c>
      <c r="AT116" s="59" t="str">
        <f aca="false">IF($AJ116=Constants!$B$7,LARGE(AL116:AP116,1)+LARGE(AL116:AP116,2)+LARGE(AL116:AP116,3),"")</f>
        <v/>
      </c>
      <c r="AU116" s="59" t="str">
        <f aca="false">IF(ISBLANK($C116),"",IF($AJ116&lt;&gt;Constants!$B$7,$AJ116,AT116*W116))</f>
        <v/>
      </c>
      <c r="AV116" s="59" t="str">
        <f aca="false">IF(ISBLANK($C116),"",IF($AJ116=Constants!$B$7,IF(ISNUMBER(AU116),RANK(AU116,$AU$8:$AU$507),Constants!$B$14),$AJ116))</f>
        <v/>
      </c>
      <c r="AW116" s="59" t="str">
        <f aca="false">IF(ISBLANK($C116),"",IF($AJ116=Constants!$B$7,IF(ISNUMBER(AV116),COUNTIFS($AK$8:$AK$507,"&lt;"&amp;$AK116)+COUNTIFS($AK$8:$AK$507,$AK116,$AV$8:$AV$507,"&lt;"&amp;$AV116)+1,Constants!$B$14),$AJ116))</f>
        <v/>
      </c>
      <c r="AX116" s="59" t="str">
        <f aca="false">IF(ISBLANK($C116),"",IF($AJ116=Constants!$B$7,LARGE(AL116:AP116,4)*W116,""))</f>
        <v/>
      </c>
      <c r="AY116" s="59" t="str">
        <f aca="false">IF(ISBLANK($C116),"",IF($AJ116=Constants!$B$7,RANK(AX116,$AX$8:$AX$507),$AJ116))</f>
        <v/>
      </c>
      <c r="AZ116" s="59" t="str">
        <f aca="false">IF(ISBLANK($C116),"",IF($AJ116=Constants!$B$7,IF(ISNUMBER(AV116),COUNTIFS($AK$8:$AK$507,"&lt;"&amp;$AK116)+COUNTIFS($AK$8:$AK$507,$AK116,$AV$8:$AV$507,"&lt;"&amp;$AV116)+COUNTIFS($AK$8:$AK$507,$AK116,$AV$8:$AV$507,$AV116,$AY$8:$AY$507,"&lt;"&amp;$AY116)+1,Constants!$B$14),$AJ116))</f>
        <v/>
      </c>
      <c r="BA116" s="59" t="str">
        <f aca="false">IF(ISBLANK($C116),"",IF($AJ116=Constants!$B$7,IF(ISNUMBER(AW116),AW116-AZ116,Constants!$B$14),$AJ116))</f>
        <v/>
      </c>
      <c r="BB116" s="61"/>
      <c r="BC116" s="62" t="str">
        <f aca="false">IF(ISBLANK($C116),"",IF($AJ116&lt;&gt;Constants!$B$7,$AJ116,SMALL(AQ116:AS116,1)&amp;", "&amp;SMALL(AQ116:AS116,2)&amp;", "&amp;SMALL(AQ116:AS116,3)))</f>
        <v/>
      </c>
      <c r="BD116" s="63" t="str">
        <f aca="false">IF(ISBLANK($C116),"",IF($AJ116&lt;&gt;Constants!$B$7,$AJ116,W116))</f>
        <v/>
      </c>
      <c r="BE116" s="64" t="str">
        <f aca="false">IF(ISBLANK($C116),"",IF($AJ116&lt;&gt;Constants!$B$7,$AJ116,AU116))</f>
        <v/>
      </c>
      <c r="BF116" s="65" t="str">
        <f aca="false">IF(ISBLANK($C116),"",IF($AJ116&lt;&gt;Constants!$B$7,$AJ116,AK116))</f>
        <v/>
      </c>
      <c r="BG116" s="63" t="str">
        <f aca="false">IF(ISBLANK($C116),"",BA116)</f>
        <v/>
      </c>
      <c r="BH116" s="63" t="str">
        <f aca="false">IF(ISBLANK($C116),"",AZ116)</f>
        <v/>
      </c>
      <c r="BI116" s="66" t="str">
        <f aca="false">IF(ISBLANK($C116),"",IF(BH116=Constants!$B$4,COUNTA($C$8:$C$507)+2,IF(BH116=Constants!$B$5,COUNTA($C$8:$C$507)+1,IF(BH116=Constants!$B$6,COUNTA($C$8:$C$507),BH116))))</f>
        <v/>
      </c>
      <c r="BJ116" s="5"/>
      <c r="BK116" s="67" t="n">
        <f aca="false">IF(OR(ISNUMBER(BH116),BH116=Constants!$B$4,BH116=Constants!$B$6,BH116=Constants!$B$5),1,0)</f>
        <v>0</v>
      </c>
      <c r="BL116" s="67" t="n">
        <v>109</v>
      </c>
      <c r="BM116" s="67" t="str">
        <f aca="false">IF(ISBLANK($C116),"",IF(ISNUMBER(BI116),BI116+ROW($B116)/1000,""))</f>
        <v/>
      </c>
      <c r="BN116" s="67" t="str">
        <f aca="false">IF(ISNUMBER(BM116),RANK(BM116,$BM$8:$BM$507,1),"")</f>
        <v/>
      </c>
      <c r="BO116" s="67" t="str">
        <f aca="false">IF(ISBLANK($C116),"",$B116)</f>
        <v/>
      </c>
      <c r="BP116" s="67" t="str">
        <f aca="false">IF(ISBLANK($C116),"",$C116)</f>
        <v/>
      </c>
      <c r="BQ116" s="67" t="str">
        <f aca="false">IF(ISBLANK($C116),"",$D116)</f>
        <v/>
      </c>
      <c r="BR116" s="68" t="str">
        <f aca="false">BF116</f>
        <v/>
      </c>
      <c r="BS116" s="69" t="str">
        <f aca="false">BE116</f>
        <v/>
      </c>
      <c r="BT116" s="67" t="str">
        <f aca="false">IF(ISBLANK($C116),"",BH116)</f>
        <v/>
      </c>
      <c r="BU116" s="70" t="str">
        <f aca="false">IF($BL116&gt;$BK$7,"",VLOOKUP($BL116,$BN$8:$BT$507,7,FALSE()))</f>
        <v/>
      </c>
      <c r="BV116" s="71" t="str">
        <f aca="false">IF($BL116&gt;$BK$7,"",VLOOKUP($BL116,$BN$8:$BT$507,2,FALSE()))</f>
        <v/>
      </c>
      <c r="BW116" s="71" t="str">
        <f aca="false">IF($BL116&gt;$BK$7,"",VLOOKUP($BL116,$BN$8:$BT$507,3,FALSE()))</f>
        <v/>
      </c>
      <c r="BX116" s="71" t="str">
        <f aca="false">IF($BL116&gt;$BK$7,"",VLOOKUP($BL116,$BN$8:$BT$507,4,FALSE()))</f>
        <v/>
      </c>
      <c r="BY116" s="71" t="str">
        <f aca="false">IF($BL116&gt;$BK$7,"",VLOOKUP($BL116,$BN$8:$BT$507,5,FALSE()))</f>
        <v/>
      </c>
      <c r="BZ116" s="72" t="str">
        <f aca="false">IF($BL116&gt;$BK$7,"",VLOOKUP($BL116,$BN$8:$BT$507,6,FALSE()))</f>
        <v/>
      </c>
      <c r="CA116" s="48"/>
    </row>
    <row r="117" customFormat="false" ht="15.75" hidden="false" customHeight="false" outlineLevel="0" collapsed="false">
      <c r="A117" s="5"/>
      <c r="B117" s="121"/>
      <c r="C117" s="50"/>
      <c r="D117" s="51"/>
      <c r="E117" s="74"/>
      <c r="F117" s="122"/>
      <c r="G117" s="54"/>
      <c r="H117" s="123"/>
      <c r="I117" s="124"/>
      <c r="J117" s="54"/>
      <c r="K117" s="123"/>
      <c r="L117" s="54"/>
      <c r="M117" s="123"/>
      <c r="N117" s="54"/>
      <c r="O117" s="123"/>
      <c r="P117" s="54"/>
      <c r="Q117" s="123"/>
      <c r="R117" s="54"/>
      <c r="S117" s="74"/>
      <c r="T117" s="58"/>
      <c r="U117" s="59" t="str">
        <f aca="false">IF(ISBLANK($C117),"",IF(E117=Constants!$B$2, TRUE(), IF(E117=Constants!$B$3, FALSE(), TRUE())))</f>
        <v/>
      </c>
      <c r="V117" s="59" t="str">
        <f aca="false">IF(ISBLANK($C117),"",IF(F117=Constants!$B$2, TRUE(), IF(F117=Constants!$B$3, FALSE(), TRUE())))</f>
        <v/>
      </c>
      <c r="W117" s="59" t="str">
        <f aca="false">IF(ISBLANK($C117),"",IF(G117=Constants!$B$15,Constants!$B$8,IF(G117=Constants!$B$16,Constants!$B$9,Constants!$B$10)))</f>
        <v/>
      </c>
      <c r="X117" s="59" t="str">
        <f aca="false">IF(ISBLANK($C117),"",IF(H117=Constants!$B$2, TRUE(), IF(H117=Constants!$B$3, FALSE(), TRUE())))</f>
        <v/>
      </c>
      <c r="Y117" s="59" t="str">
        <f aca="false">IF(ISBLANK($C117),"",IF(I117=Constants!$B$19,Constants!$B$19,Constants!$B$18))</f>
        <v/>
      </c>
      <c r="Z117" s="59" t="str">
        <f aca="false">IF(ISBLANK($C117),"",IF(ISNUMBER(J117),IF(J117&gt;=0,J117,""),""))</f>
        <v/>
      </c>
      <c r="AA117" s="59" t="str">
        <f aca="false">IF(ISBLANK($C117),"",IF(K117=Constants!$B$19,Constants!$B$19,Constants!$B$18))</f>
        <v/>
      </c>
      <c r="AB117" s="59" t="str">
        <f aca="false">IF(ISBLANK($C117),"",IF(ISNUMBER(L117),IF(L117&gt;=0,L117,""),""))</f>
        <v/>
      </c>
      <c r="AC117" s="59" t="str">
        <f aca="false">IF(ISBLANK($C117),"",IF(M117=Constants!$B$19,Constants!$B$19,Constants!$B$18))</f>
        <v/>
      </c>
      <c r="AD117" s="59" t="str">
        <f aca="false">IF(ISBLANK($C117),"",IF(ISNUMBER(N117),IF(N117&gt;=0,N117,""),""))</f>
        <v/>
      </c>
      <c r="AE117" s="59" t="str">
        <f aca="false">IF(ISBLANK($C117),"",IF(O117=Constants!$B$19,Constants!$B$19,Constants!$B$18))</f>
        <v/>
      </c>
      <c r="AF117" s="59" t="str">
        <f aca="false">IF(ISBLANK($C117),"",IF(ISNUMBER(P117),IF(P117&gt;=0,P117,""),""))</f>
        <v/>
      </c>
      <c r="AG117" s="59" t="str">
        <f aca="false">IF(ISBLANK($C117),"",IF(Q117=Constants!$B$19,Constants!$B$19,Constants!$B$18))</f>
        <v/>
      </c>
      <c r="AH117" s="59" t="str">
        <f aca="false">IF(ISBLANK($C117),"",IF(ISNUMBER(R117),IF(R117&gt;=0,R117,""),""))</f>
        <v/>
      </c>
      <c r="AI117" s="59" t="str">
        <f aca="false">IF(ISBLANK($C117),"",IF(S117=Constants!$B$2, TRUE(), IF(S117=Constants!$B$3, FALSE(), FALSE())))</f>
        <v/>
      </c>
      <c r="AJ117" s="59" t="str">
        <f aca="false">IF(ISBLANK($C117),"",IF(AI117,Constants!$B$4,IF(COUNTA(E117:R117)=0,Constants!$B$5,IF(COUNTA(J117,L117,N117,P117,R117)=0,Constants!$B$6,Constants!$B$7))))</f>
        <v/>
      </c>
      <c r="AK117" s="59" t="str">
        <f aca="false">IF(ISBLANK($C117),"",IF($AJ117&lt;&gt;Constants!$B$7,$AJ117,IF(OR(NOT(X117),AND(NOT(U117),COUNTIFS(Y117:AG117,Constants!$B$18,Z117:AH117,"&gt;=0")&gt;0),AND(NOT(V117),COUNTIFS(Y117:AG117,Constants!$B$19,Z117:AH117,"&gt;=0")&gt;0)),Constants!$B$12,Constants!$B$11)))</f>
        <v/>
      </c>
      <c r="AL117" s="59" t="str">
        <f aca="false">IF($AJ117=Constants!$B$7,IF(Z117="",Constants!$B$13,Z117),"")</f>
        <v/>
      </c>
      <c r="AM117" s="59" t="str">
        <f aca="false">IF($AJ117=Constants!$B$7,IF(AB117="",Constants!$B$13,AB117),"")</f>
        <v/>
      </c>
      <c r="AN117" s="59" t="str">
        <f aca="false">IF($AJ117=Constants!$B$7,IF(AD117="",Constants!$B$13,AD117),"")</f>
        <v/>
      </c>
      <c r="AO117" s="59" t="str">
        <f aca="false">IF($AJ117=Constants!$B$7,IF(AF117="",Constants!$B$13,AF117),"")</f>
        <v/>
      </c>
      <c r="AP117" s="59" t="str">
        <f aca="false">IF($AJ117=Constants!$B$7,IF(AH117="",Constants!$B$13,AH117),"")</f>
        <v/>
      </c>
      <c r="AQ117" s="59" t="str">
        <f aca="false">IF($AJ117=Constants!$B$7,IF(SUMPRODUCT(--($AL117:$AP117&gt;AL117))+SUMPRODUCT(--($AL117:AL117=AL117))=1,1,IF(SUMPRODUCT(--($AL117:$AP117&gt;AM117))+SUMPRODUCT(--($AL117:AM117=AM117))=1,2,IF(SUMPRODUCT(--($AL117:$AP117&gt;AN117))+SUMPRODUCT(--($AL117:AN117=AN117))=1,3,IF(SUMPRODUCT(--($AL117:$AP117&gt;AO117))+SUMPRODUCT(--($AL117:AO117=AO117))=1,4,5)))),"")</f>
        <v/>
      </c>
      <c r="AR117" s="59" t="str">
        <f aca="false">IF($AJ117=Constants!$B$7,IF(SUMPRODUCT(--($AL117:$AP117&gt;AL117))+SUMPRODUCT(--($AL117:AL117=AL117))=2,1,IF(SUMPRODUCT(--($AL117:$AP117&gt;AM117))+SUMPRODUCT(--($AL117:AM117=AM117))=2,2,IF(SUMPRODUCT(--($AL117:$AP117&gt;AN117))+SUMPRODUCT(--($AL117:AN117=AN117))=2,3,IF(SUMPRODUCT(--($AL117:$AP117&gt;AO117))+SUMPRODUCT(--($AL117:AO117=AO117))=2,4,5)))),"")</f>
        <v/>
      </c>
      <c r="AS117" s="59" t="str">
        <f aca="false">IF($AJ117=Constants!$B$7,IF(SUMPRODUCT(--($AL117:$AP117&gt;AL117))+SUMPRODUCT(--($AL117:AL117=AL117))=3,1,IF(SUMPRODUCT(--($AL117:$AP117&gt;AM117))+SUMPRODUCT(--($AL117:AM117=AM117))=3,2,IF(SUMPRODUCT(--($AL117:$AP117&gt;AN117))+SUMPRODUCT(--($AL117:AN117=AN117))=3,3,IF(SUMPRODUCT(--($AL117:$AP117&gt;AO117))+SUMPRODUCT(--($AL117:AO117=AO117))=3,4,5)))),"")</f>
        <v/>
      </c>
      <c r="AT117" s="59" t="str">
        <f aca="false">IF($AJ117=Constants!$B$7,LARGE(AL117:AP117,1)+LARGE(AL117:AP117,2)+LARGE(AL117:AP117,3),"")</f>
        <v/>
      </c>
      <c r="AU117" s="59" t="str">
        <f aca="false">IF(ISBLANK($C117),"",IF($AJ117&lt;&gt;Constants!$B$7,$AJ117,AT117*W117))</f>
        <v/>
      </c>
      <c r="AV117" s="59" t="str">
        <f aca="false">IF(ISBLANK($C117),"",IF($AJ117=Constants!$B$7,IF(ISNUMBER(AU117),RANK(AU117,$AU$8:$AU$507),Constants!$B$14),$AJ117))</f>
        <v/>
      </c>
      <c r="AW117" s="59" t="str">
        <f aca="false">IF(ISBLANK($C117),"",IF($AJ117=Constants!$B$7,IF(ISNUMBER(AV117),COUNTIFS($AK$8:$AK$507,"&lt;"&amp;$AK117)+COUNTIFS($AK$8:$AK$507,$AK117,$AV$8:$AV$507,"&lt;"&amp;$AV117)+1,Constants!$B$14),$AJ117))</f>
        <v/>
      </c>
      <c r="AX117" s="59" t="str">
        <f aca="false">IF(ISBLANK($C117),"",IF($AJ117=Constants!$B$7,LARGE(AL117:AP117,4)*W117,""))</f>
        <v/>
      </c>
      <c r="AY117" s="59" t="str">
        <f aca="false">IF(ISBLANK($C117),"",IF($AJ117=Constants!$B$7,RANK(AX117,$AX$8:$AX$507),$AJ117))</f>
        <v/>
      </c>
      <c r="AZ117" s="59" t="str">
        <f aca="false">IF(ISBLANK($C117),"",IF($AJ117=Constants!$B$7,IF(ISNUMBER(AV117),COUNTIFS($AK$8:$AK$507,"&lt;"&amp;$AK117)+COUNTIFS($AK$8:$AK$507,$AK117,$AV$8:$AV$507,"&lt;"&amp;$AV117)+COUNTIFS($AK$8:$AK$507,$AK117,$AV$8:$AV$507,$AV117,$AY$8:$AY$507,"&lt;"&amp;$AY117)+1,Constants!$B$14),$AJ117))</f>
        <v/>
      </c>
      <c r="BA117" s="59" t="str">
        <f aca="false">IF(ISBLANK($C117),"",IF($AJ117=Constants!$B$7,IF(ISNUMBER(AW117),AW117-AZ117,Constants!$B$14),$AJ117))</f>
        <v/>
      </c>
      <c r="BB117" s="61"/>
      <c r="BC117" s="62" t="str">
        <f aca="false">IF(ISBLANK($C117),"",IF($AJ117&lt;&gt;Constants!$B$7,$AJ117,SMALL(AQ117:AS117,1)&amp;", "&amp;SMALL(AQ117:AS117,2)&amp;", "&amp;SMALL(AQ117:AS117,3)))</f>
        <v/>
      </c>
      <c r="BD117" s="63" t="str">
        <f aca="false">IF(ISBLANK($C117),"",IF($AJ117&lt;&gt;Constants!$B$7,$AJ117,W117))</f>
        <v/>
      </c>
      <c r="BE117" s="64" t="str">
        <f aca="false">IF(ISBLANK($C117),"",IF($AJ117&lt;&gt;Constants!$B$7,$AJ117,AU117))</f>
        <v/>
      </c>
      <c r="BF117" s="65" t="str">
        <f aca="false">IF(ISBLANK($C117),"",IF($AJ117&lt;&gt;Constants!$B$7,$AJ117,AK117))</f>
        <v/>
      </c>
      <c r="BG117" s="63" t="str">
        <f aca="false">IF(ISBLANK($C117),"",BA117)</f>
        <v/>
      </c>
      <c r="BH117" s="63" t="str">
        <f aca="false">IF(ISBLANK($C117),"",AZ117)</f>
        <v/>
      </c>
      <c r="BI117" s="66" t="str">
        <f aca="false">IF(ISBLANK($C117),"",IF(BH117=Constants!$B$4,COUNTA($C$8:$C$507)+2,IF(BH117=Constants!$B$5,COUNTA($C$8:$C$507)+1,IF(BH117=Constants!$B$6,COUNTA($C$8:$C$507),BH117))))</f>
        <v/>
      </c>
      <c r="BJ117" s="5"/>
      <c r="BK117" s="67" t="n">
        <f aca="false">IF(OR(ISNUMBER(BH117),BH117=Constants!$B$4,BH117=Constants!$B$6,BH117=Constants!$B$5),1,0)</f>
        <v>0</v>
      </c>
      <c r="BL117" s="67" t="n">
        <v>110</v>
      </c>
      <c r="BM117" s="67" t="str">
        <f aca="false">IF(ISBLANK($C117),"",IF(ISNUMBER(BI117),BI117+ROW($B117)/1000,""))</f>
        <v/>
      </c>
      <c r="BN117" s="67" t="str">
        <f aca="false">IF(ISNUMBER(BM117),RANK(BM117,$BM$8:$BM$507,1),"")</f>
        <v/>
      </c>
      <c r="BO117" s="67" t="str">
        <f aca="false">IF(ISBLANK($C117),"",$B117)</f>
        <v/>
      </c>
      <c r="BP117" s="67" t="str">
        <f aca="false">IF(ISBLANK($C117),"",$C117)</f>
        <v/>
      </c>
      <c r="BQ117" s="67" t="str">
        <f aca="false">IF(ISBLANK($C117),"",$D117)</f>
        <v/>
      </c>
      <c r="BR117" s="68" t="str">
        <f aca="false">BF117</f>
        <v/>
      </c>
      <c r="BS117" s="69" t="str">
        <f aca="false">BE117</f>
        <v/>
      </c>
      <c r="BT117" s="67" t="str">
        <f aca="false">IF(ISBLANK($C117),"",BH117)</f>
        <v/>
      </c>
      <c r="BU117" s="70" t="str">
        <f aca="false">IF($BL117&gt;$BK$7,"",VLOOKUP($BL117,$BN$8:$BT$507,7,FALSE()))</f>
        <v/>
      </c>
      <c r="BV117" s="71" t="str">
        <f aca="false">IF($BL117&gt;$BK$7,"",VLOOKUP($BL117,$BN$8:$BT$507,2,FALSE()))</f>
        <v/>
      </c>
      <c r="BW117" s="71" t="str">
        <f aca="false">IF($BL117&gt;$BK$7,"",VLOOKUP($BL117,$BN$8:$BT$507,3,FALSE()))</f>
        <v/>
      </c>
      <c r="BX117" s="71" t="str">
        <f aca="false">IF($BL117&gt;$BK$7,"",VLOOKUP($BL117,$BN$8:$BT$507,4,FALSE()))</f>
        <v/>
      </c>
      <c r="BY117" s="71" t="str">
        <f aca="false">IF($BL117&gt;$BK$7,"",VLOOKUP($BL117,$BN$8:$BT$507,5,FALSE()))</f>
        <v/>
      </c>
      <c r="BZ117" s="72" t="str">
        <f aca="false">IF($BL117&gt;$BK$7,"",VLOOKUP($BL117,$BN$8:$BT$507,6,FALSE()))</f>
        <v/>
      </c>
      <c r="CA117" s="48"/>
    </row>
    <row r="118" customFormat="false" ht="15.75" hidden="false" customHeight="false" outlineLevel="0" collapsed="false">
      <c r="A118" s="5"/>
      <c r="B118" s="121"/>
      <c r="C118" s="50"/>
      <c r="D118" s="51"/>
      <c r="E118" s="74"/>
      <c r="F118" s="122"/>
      <c r="G118" s="54"/>
      <c r="H118" s="123"/>
      <c r="I118" s="124"/>
      <c r="J118" s="54"/>
      <c r="K118" s="123"/>
      <c r="L118" s="54"/>
      <c r="M118" s="123"/>
      <c r="N118" s="54"/>
      <c r="O118" s="123"/>
      <c r="P118" s="54"/>
      <c r="Q118" s="123"/>
      <c r="R118" s="54"/>
      <c r="S118" s="74"/>
      <c r="T118" s="58"/>
      <c r="U118" s="59" t="str">
        <f aca="false">IF(ISBLANK($C118),"",IF(E118=Constants!$B$2, TRUE(), IF(E118=Constants!$B$3, FALSE(), TRUE())))</f>
        <v/>
      </c>
      <c r="V118" s="59" t="str">
        <f aca="false">IF(ISBLANK($C118),"",IF(F118=Constants!$B$2, TRUE(), IF(F118=Constants!$B$3, FALSE(), TRUE())))</f>
        <v/>
      </c>
      <c r="W118" s="59" t="str">
        <f aca="false">IF(ISBLANK($C118),"",IF(G118=Constants!$B$15,Constants!$B$8,IF(G118=Constants!$B$16,Constants!$B$9,Constants!$B$10)))</f>
        <v/>
      </c>
      <c r="X118" s="59" t="str">
        <f aca="false">IF(ISBLANK($C118),"",IF(H118=Constants!$B$2, TRUE(), IF(H118=Constants!$B$3, FALSE(), TRUE())))</f>
        <v/>
      </c>
      <c r="Y118" s="59" t="str">
        <f aca="false">IF(ISBLANK($C118),"",IF(I118=Constants!$B$19,Constants!$B$19,Constants!$B$18))</f>
        <v/>
      </c>
      <c r="Z118" s="59" t="str">
        <f aca="false">IF(ISBLANK($C118),"",IF(ISNUMBER(J118),IF(J118&gt;=0,J118,""),""))</f>
        <v/>
      </c>
      <c r="AA118" s="59" t="str">
        <f aca="false">IF(ISBLANK($C118),"",IF(K118=Constants!$B$19,Constants!$B$19,Constants!$B$18))</f>
        <v/>
      </c>
      <c r="AB118" s="59" t="str">
        <f aca="false">IF(ISBLANK($C118),"",IF(ISNUMBER(L118),IF(L118&gt;=0,L118,""),""))</f>
        <v/>
      </c>
      <c r="AC118" s="59" t="str">
        <f aca="false">IF(ISBLANK($C118),"",IF(M118=Constants!$B$19,Constants!$B$19,Constants!$B$18))</f>
        <v/>
      </c>
      <c r="AD118" s="59" t="str">
        <f aca="false">IF(ISBLANK($C118),"",IF(ISNUMBER(N118),IF(N118&gt;=0,N118,""),""))</f>
        <v/>
      </c>
      <c r="AE118" s="59" t="str">
        <f aca="false">IF(ISBLANK($C118),"",IF(O118=Constants!$B$19,Constants!$B$19,Constants!$B$18))</f>
        <v/>
      </c>
      <c r="AF118" s="59" t="str">
        <f aca="false">IF(ISBLANK($C118),"",IF(ISNUMBER(P118),IF(P118&gt;=0,P118,""),""))</f>
        <v/>
      </c>
      <c r="AG118" s="59" t="str">
        <f aca="false">IF(ISBLANK($C118),"",IF(Q118=Constants!$B$19,Constants!$B$19,Constants!$B$18))</f>
        <v/>
      </c>
      <c r="AH118" s="59" t="str">
        <f aca="false">IF(ISBLANK($C118),"",IF(ISNUMBER(R118),IF(R118&gt;=0,R118,""),""))</f>
        <v/>
      </c>
      <c r="AI118" s="59" t="str">
        <f aca="false">IF(ISBLANK($C118),"",IF(S118=Constants!$B$2, TRUE(), IF(S118=Constants!$B$3, FALSE(), FALSE())))</f>
        <v/>
      </c>
      <c r="AJ118" s="59" t="str">
        <f aca="false">IF(ISBLANK($C118),"",IF(AI118,Constants!$B$4,IF(COUNTA(E118:R118)=0,Constants!$B$5,IF(COUNTA(J118,L118,N118,P118,R118)=0,Constants!$B$6,Constants!$B$7))))</f>
        <v/>
      </c>
      <c r="AK118" s="59" t="str">
        <f aca="false">IF(ISBLANK($C118),"",IF($AJ118&lt;&gt;Constants!$B$7,$AJ118,IF(OR(NOT(X118),AND(NOT(U118),COUNTIFS(Y118:AG118,Constants!$B$18,Z118:AH118,"&gt;=0")&gt;0),AND(NOT(V118),COUNTIFS(Y118:AG118,Constants!$B$19,Z118:AH118,"&gt;=0")&gt;0)),Constants!$B$12,Constants!$B$11)))</f>
        <v/>
      </c>
      <c r="AL118" s="59" t="str">
        <f aca="false">IF($AJ118=Constants!$B$7,IF(Z118="",Constants!$B$13,Z118),"")</f>
        <v/>
      </c>
      <c r="AM118" s="59" t="str">
        <f aca="false">IF($AJ118=Constants!$B$7,IF(AB118="",Constants!$B$13,AB118),"")</f>
        <v/>
      </c>
      <c r="AN118" s="59" t="str">
        <f aca="false">IF($AJ118=Constants!$B$7,IF(AD118="",Constants!$B$13,AD118),"")</f>
        <v/>
      </c>
      <c r="AO118" s="59" t="str">
        <f aca="false">IF($AJ118=Constants!$B$7,IF(AF118="",Constants!$B$13,AF118),"")</f>
        <v/>
      </c>
      <c r="AP118" s="59" t="str">
        <f aca="false">IF($AJ118=Constants!$B$7,IF(AH118="",Constants!$B$13,AH118),"")</f>
        <v/>
      </c>
      <c r="AQ118" s="59" t="str">
        <f aca="false">IF($AJ118=Constants!$B$7,IF(SUMPRODUCT(--($AL118:$AP118&gt;AL118))+SUMPRODUCT(--($AL118:AL118=AL118))=1,1,IF(SUMPRODUCT(--($AL118:$AP118&gt;AM118))+SUMPRODUCT(--($AL118:AM118=AM118))=1,2,IF(SUMPRODUCT(--($AL118:$AP118&gt;AN118))+SUMPRODUCT(--($AL118:AN118=AN118))=1,3,IF(SUMPRODUCT(--($AL118:$AP118&gt;AO118))+SUMPRODUCT(--($AL118:AO118=AO118))=1,4,5)))),"")</f>
        <v/>
      </c>
      <c r="AR118" s="59" t="str">
        <f aca="false">IF($AJ118=Constants!$B$7,IF(SUMPRODUCT(--($AL118:$AP118&gt;AL118))+SUMPRODUCT(--($AL118:AL118=AL118))=2,1,IF(SUMPRODUCT(--($AL118:$AP118&gt;AM118))+SUMPRODUCT(--($AL118:AM118=AM118))=2,2,IF(SUMPRODUCT(--($AL118:$AP118&gt;AN118))+SUMPRODUCT(--($AL118:AN118=AN118))=2,3,IF(SUMPRODUCT(--($AL118:$AP118&gt;AO118))+SUMPRODUCT(--($AL118:AO118=AO118))=2,4,5)))),"")</f>
        <v/>
      </c>
      <c r="AS118" s="59" t="str">
        <f aca="false">IF($AJ118=Constants!$B$7,IF(SUMPRODUCT(--($AL118:$AP118&gt;AL118))+SUMPRODUCT(--($AL118:AL118=AL118))=3,1,IF(SUMPRODUCT(--($AL118:$AP118&gt;AM118))+SUMPRODUCT(--($AL118:AM118=AM118))=3,2,IF(SUMPRODUCT(--($AL118:$AP118&gt;AN118))+SUMPRODUCT(--($AL118:AN118=AN118))=3,3,IF(SUMPRODUCT(--($AL118:$AP118&gt;AO118))+SUMPRODUCT(--($AL118:AO118=AO118))=3,4,5)))),"")</f>
        <v/>
      </c>
      <c r="AT118" s="59" t="str">
        <f aca="false">IF($AJ118=Constants!$B$7,LARGE(AL118:AP118,1)+LARGE(AL118:AP118,2)+LARGE(AL118:AP118,3),"")</f>
        <v/>
      </c>
      <c r="AU118" s="59" t="str">
        <f aca="false">IF(ISBLANK($C118),"",IF($AJ118&lt;&gt;Constants!$B$7,$AJ118,AT118*W118))</f>
        <v/>
      </c>
      <c r="AV118" s="59" t="str">
        <f aca="false">IF(ISBLANK($C118),"",IF($AJ118=Constants!$B$7,IF(ISNUMBER(AU118),RANK(AU118,$AU$8:$AU$507),Constants!$B$14),$AJ118))</f>
        <v/>
      </c>
      <c r="AW118" s="59" t="str">
        <f aca="false">IF(ISBLANK($C118),"",IF($AJ118=Constants!$B$7,IF(ISNUMBER(AV118),COUNTIFS($AK$8:$AK$507,"&lt;"&amp;$AK118)+COUNTIFS($AK$8:$AK$507,$AK118,$AV$8:$AV$507,"&lt;"&amp;$AV118)+1,Constants!$B$14),$AJ118))</f>
        <v/>
      </c>
      <c r="AX118" s="59" t="str">
        <f aca="false">IF(ISBLANK($C118),"",IF($AJ118=Constants!$B$7,LARGE(AL118:AP118,4)*W118,""))</f>
        <v/>
      </c>
      <c r="AY118" s="59" t="str">
        <f aca="false">IF(ISBLANK($C118),"",IF($AJ118=Constants!$B$7,RANK(AX118,$AX$8:$AX$507),$AJ118))</f>
        <v/>
      </c>
      <c r="AZ118" s="59" t="str">
        <f aca="false">IF(ISBLANK($C118),"",IF($AJ118=Constants!$B$7,IF(ISNUMBER(AV118),COUNTIFS($AK$8:$AK$507,"&lt;"&amp;$AK118)+COUNTIFS($AK$8:$AK$507,$AK118,$AV$8:$AV$507,"&lt;"&amp;$AV118)+COUNTIFS($AK$8:$AK$507,$AK118,$AV$8:$AV$507,$AV118,$AY$8:$AY$507,"&lt;"&amp;$AY118)+1,Constants!$B$14),$AJ118))</f>
        <v/>
      </c>
      <c r="BA118" s="59" t="str">
        <f aca="false">IF(ISBLANK($C118),"",IF($AJ118=Constants!$B$7,IF(ISNUMBER(AW118),AW118-AZ118,Constants!$B$14),$AJ118))</f>
        <v/>
      </c>
      <c r="BB118" s="61"/>
      <c r="BC118" s="62" t="str">
        <f aca="false">IF(ISBLANK($C118),"",IF($AJ118&lt;&gt;Constants!$B$7,$AJ118,SMALL(AQ118:AS118,1)&amp;", "&amp;SMALL(AQ118:AS118,2)&amp;", "&amp;SMALL(AQ118:AS118,3)))</f>
        <v/>
      </c>
      <c r="BD118" s="63" t="str">
        <f aca="false">IF(ISBLANK($C118),"",IF($AJ118&lt;&gt;Constants!$B$7,$AJ118,W118))</f>
        <v/>
      </c>
      <c r="BE118" s="64" t="str">
        <f aca="false">IF(ISBLANK($C118),"",IF($AJ118&lt;&gt;Constants!$B$7,$AJ118,AU118))</f>
        <v/>
      </c>
      <c r="BF118" s="65" t="str">
        <f aca="false">IF(ISBLANK($C118),"",IF($AJ118&lt;&gt;Constants!$B$7,$AJ118,AK118))</f>
        <v/>
      </c>
      <c r="BG118" s="63" t="str">
        <f aca="false">IF(ISBLANK($C118),"",BA118)</f>
        <v/>
      </c>
      <c r="BH118" s="63" t="str">
        <f aca="false">IF(ISBLANK($C118),"",AZ118)</f>
        <v/>
      </c>
      <c r="BI118" s="66" t="str">
        <f aca="false">IF(ISBLANK($C118),"",IF(BH118=Constants!$B$4,COUNTA($C$8:$C$507)+2,IF(BH118=Constants!$B$5,COUNTA($C$8:$C$507)+1,IF(BH118=Constants!$B$6,COUNTA($C$8:$C$507),BH118))))</f>
        <v/>
      </c>
      <c r="BJ118" s="5"/>
      <c r="BK118" s="67" t="n">
        <f aca="false">IF(OR(ISNUMBER(BH118),BH118=Constants!$B$4,BH118=Constants!$B$6,BH118=Constants!$B$5),1,0)</f>
        <v>0</v>
      </c>
      <c r="BL118" s="67" t="n">
        <v>111</v>
      </c>
      <c r="BM118" s="67" t="str">
        <f aca="false">IF(ISBLANK($C118),"",IF(ISNUMBER(BI118),BI118+ROW($B118)/1000,""))</f>
        <v/>
      </c>
      <c r="BN118" s="67" t="str">
        <f aca="false">IF(ISNUMBER(BM118),RANK(BM118,$BM$8:$BM$507,1),"")</f>
        <v/>
      </c>
      <c r="BO118" s="67" t="str">
        <f aca="false">IF(ISBLANK($C118),"",$B118)</f>
        <v/>
      </c>
      <c r="BP118" s="67" t="str">
        <f aca="false">IF(ISBLANK($C118),"",$C118)</f>
        <v/>
      </c>
      <c r="BQ118" s="67" t="str">
        <f aca="false">IF(ISBLANK($C118),"",$D118)</f>
        <v/>
      </c>
      <c r="BR118" s="68" t="str">
        <f aca="false">BF118</f>
        <v/>
      </c>
      <c r="BS118" s="69" t="str">
        <f aca="false">BE118</f>
        <v/>
      </c>
      <c r="BT118" s="67" t="str">
        <f aca="false">IF(ISBLANK($C118),"",BH118)</f>
        <v/>
      </c>
      <c r="BU118" s="70" t="str">
        <f aca="false">IF($BL118&gt;$BK$7,"",VLOOKUP($BL118,$BN$8:$BT$507,7,FALSE()))</f>
        <v/>
      </c>
      <c r="BV118" s="71" t="str">
        <f aca="false">IF($BL118&gt;$BK$7,"",VLOOKUP($BL118,$BN$8:$BT$507,2,FALSE()))</f>
        <v/>
      </c>
      <c r="BW118" s="71" t="str">
        <f aca="false">IF($BL118&gt;$BK$7,"",VLOOKUP($BL118,$BN$8:$BT$507,3,FALSE()))</f>
        <v/>
      </c>
      <c r="BX118" s="71" t="str">
        <f aca="false">IF($BL118&gt;$BK$7,"",VLOOKUP($BL118,$BN$8:$BT$507,4,FALSE()))</f>
        <v/>
      </c>
      <c r="BY118" s="71" t="str">
        <f aca="false">IF($BL118&gt;$BK$7,"",VLOOKUP($BL118,$BN$8:$BT$507,5,FALSE()))</f>
        <v/>
      </c>
      <c r="BZ118" s="72" t="str">
        <f aca="false">IF($BL118&gt;$BK$7,"",VLOOKUP($BL118,$BN$8:$BT$507,6,FALSE()))</f>
        <v/>
      </c>
      <c r="CA118" s="48"/>
    </row>
    <row r="119" customFormat="false" ht="15.75" hidden="false" customHeight="false" outlineLevel="0" collapsed="false">
      <c r="A119" s="5"/>
      <c r="B119" s="114"/>
      <c r="C119" s="115"/>
      <c r="D119" s="100"/>
      <c r="E119" s="120"/>
      <c r="F119" s="125"/>
      <c r="G119" s="82"/>
      <c r="H119" s="126"/>
      <c r="I119" s="127"/>
      <c r="J119" s="82"/>
      <c r="K119" s="126"/>
      <c r="L119" s="82"/>
      <c r="M119" s="126"/>
      <c r="N119" s="82"/>
      <c r="O119" s="126"/>
      <c r="P119" s="82"/>
      <c r="Q119" s="126"/>
      <c r="R119" s="82"/>
      <c r="S119" s="120"/>
      <c r="T119" s="86"/>
      <c r="U119" s="87" t="str">
        <f aca="false">IF(ISBLANK($C119),"",IF(E119=Constants!$B$2, TRUE(), IF(E119=Constants!$B$3, FALSE(), TRUE())))</f>
        <v/>
      </c>
      <c r="V119" s="87" t="str">
        <f aca="false">IF(ISBLANK($C119),"",IF(F119=Constants!$B$2, TRUE(), IF(F119=Constants!$B$3, FALSE(), TRUE())))</f>
        <v/>
      </c>
      <c r="W119" s="87" t="str">
        <f aca="false">IF(ISBLANK($C119),"",IF(G119=Constants!$B$15,Constants!$B$8,IF(G119=Constants!$B$16,Constants!$B$9,Constants!$B$10)))</f>
        <v/>
      </c>
      <c r="X119" s="87" t="str">
        <f aca="false">IF(ISBLANK($C119),"",IF(H119=Constants!$B$2, TRUE(), IF(H119=Constants!$B$3, FALSE(), TRUE())))</f>
        <v/>
      </c>
      <c r="Y119" s="87" t="str">
        <f aca="false">IF(ISBLANK($C119),"",IF(I119=Constants!$B$19,Constants!$B$19,Constants!$B$18))</f>
        <v/>
      </c>
      <c r="Z119" s="87" t="str">
        <f aca="false">IF(ISBLANK($C119),"",IF(ISNUMBER(J119),IF(J119&gt;=0,J119,""),""))</f>
        <v/>
      </c>
      <c r="AA119" s="87" t="str">
        <f aca="false">IF(ISBLANK($C119),"",IF(K119=Constants!$B$19,Constants!$B$19,Constants!$B$18))</f>
        <v/>
      </c>
      <c r="AB119" s="87" t="str">
        <f aca="false">IF(ISBLANK($C119),"",IF(ISNUMBER(L119),IF(L119&gt;=0,L119,""),""))</f>
        <v/>
      </c>
      <c r="AC119" s="87" t="str">
        <f aca="false">IF(ISBLANK($C119),"",IF(M119=Constants!$B$19,Constants!$B$19,Constants!$B$18))</f>
        <v/>
      </c>
      <c r="AD119" s="87" t="str">
        <f aca="false">IF(ISBLANK($C119),"",IF(ISNUMBER(N119),IF(N119&gt;=0,N119,""),""))</f>
        <v/>
      </c>
      <c r="AE119" s="87" t="str">
        <f aca="false">IF(ISBLANK($C119),"",IF(O119=Constants!$B$19,Constants!$B$19,Constants!$B$18))</f>
        <v/>
      </c>
      <c r="AF119" s="87" t="str">
        <f aca="false">IF(ISBLANK($C119),"",IF(ISNUMBER(P119),IF(P119&gt;=0,P119,""),""))</f>
        <v/>
      </c>
      <c r="AG119" s="87" t="str">
        <f aca="false">IF(ISBLANK($C119),"",IF(Q119=Constants!$B$19,Constants!$B$19,Constants!$B$18))</f>
        <v/>
      </c>
      <c r="AH119" s="87" t="str">
        <f aca="false">IF(ISBLANK($C119),"",IF(ISNUMBER(R119),IF(R119&gt;=0,R119,""),""))</f>
        <v/>
      </c>
      <c r="AI119" s="87" t="str">
        <f aca="false">IF(ISBLANK($C119),"",IF(S119=Constants!$B$2, TRUE(), IF(S119=Constants!$B$3, FALSE(), FALSE())))</f>
        <v/>
      </c>
      <c r="AJ119" s="87" t="str">
        <f aca="false">IF(ISBLANK($C119),"",IF(AI119,Constants!$B$4,IF(COUNTA(E119:R119)=0,Constants!$B$5,IF(COUNTA(J119,L119,N119,P119,R119)=0,Constants!$B$6,Constants!$B$7))))</f>
        <v/>
      </c>
      <c r="AK119" s="87" t="str">
        <f aca="false">IF(ISBLANK($C119),"",IF($AJ119&lt;&gt;Constants!$B$7,$AJ119,IF(OR(NOT(X119),AND(NOT(U119),COUNTIFS(Y119:AG119,Constants!$B$18,Z119:AH119,"&gt;=0")&gt;0),AND(NOT(V119),COUNTIFS(Y119:AG119,Constants!$B$19,Z119:AH119,"&gt;=0")&gt;0)),Constants!$B$12,Constants!$B$11)))</f>
        <v/>
      </c>
      <c r="AL119" s="87" t="str">
        <f aca="false">IF($AJ119=Constants!$B$7,IF(Z119="",Constants!$B$13,Z119),"")</f>
        <v/>
      </c>
      <c r="AM119" s="87" t="str">
        <f aca="false">IF($AJ119=Constants!$B$7,IF(AB119="",Constants!$B$13,AB119),"")</f>
        <v/>
      </c>
      <c r="AN119" s="87" t="str">
        <f aca="false">IF($AJ119=Constants!$B$7,IF(AD119="",Constants!$B$13,AD119),"")</f>
        <v/>
      </c>
      <c r="AO119" s="87" t="str">
        <f aca="false">IF($AJ119=Constants!$B$7,IF(AF119="",Constants!$B$13,AF119),"")</f>
        <v/>
      </c>
      <c r="AP119" s="87" t="str">
        <f aca="false">IF($AJ119=Constants!$B$7,IF(AH119="",Constants!$B$13,AH119),"")</f>
        <v/>
      </c>
      <c r="AQ119" s="87" t="str">
        <f aca="false">IF($AJ119=Constants!$B$7,IF(SUMPRODUCT(--($AL119:$AP119&gt;AL119))+SUMPRODUCT(--($AL119:AL119=AL119))=1,1,IF(SUMPRODUCT(--($AL119:$AP119&gt;AM119))+SUMPRODUCT(--($AL119:AM119=AM119))=1,2,IF(SUMPRODUCT(--($AL119:$AP119&gt;AN119))+SUMPRODUCT(--($AL119:AN119=AN119))=1,3,IF(SUMPRODUCT(--($AL119:$AP119&gt;AO119))+SUMPRODUCT(--($AL119:AO119=AO119))=1,4,5)))),"")</f>
        <v/>
      </c>
      <c r="AR119" s="87" t="str">
        <f aca="false">IF($AJ119=Constants!$B$7,IF(SUMPRODUCT(--($AL119:$AP119&gt;AL119))+SUMPRODUCT(--($AL119:AL119=AL119))=2,1,IF(SUMPRODUCT(--($AL119:$AP119&gt;AM119))+SUMPRODUCT(--($AL119:AM119=AM119))=2,2,IF(SUMPRODUCT(--($AL119:$AP119&gt;AN119))+SUMPRODUCT(--($AL119:AN119=AN119))=2,3,IF(SUMPRODUCT(--($AL119:$AP119&gt;AO119))+SUMPRODUCT(--($AL119:AO119=AO119))=2,4,5)))),"")</f>
        <v/>
      </c>
      <c r="AS119" s="87" t="str">
        <f aca="false">IF($AJ119=Constants!$B$7,IF(SUMPRODUCT(--($AL119:$AP119&gt;AL119))+SUMPRODUCT(--($AL119:AL119=AL119))=3,1,IF(SUMPRODUCT(--($AL119:$AP119&gt;AM119))+SUMPRODUCT(--($AL119:AM119=AM119))=3,2,IF(SUMPRODUCT(--($AL119:$AP119&gt;AN119))+SUMPRODUCT(--($AL119:AN119=AN119))=3,3,IF(SUMPRODUCT(--($AL119:$AP119&gt;AO119))+SUMPRODUCT(--($AL119:AO119=AO119))=3,4,5)))),"")</f>
        <v/>
      </c>
      <c r="AT119" s="87" t="str">
        <f aca="false">IF($AJ119=Constants!$B$7,LARGE(AL119:AP119,1)+LARGE(AL119:AP119,2)+LARGE(AL119:AP119,3),"")</f>
        <v/>
      </c>
      <c r="AU119" s="87" t="str">
        <f aca="false">IF(ISBLANK($C119),"",IF($AJ119&lt;&gt;Constants!$B$7,$AJ119,AT119*W119))</f>
        <v/>
      </c>
      <c r="AV119" s="87" t="str">
        <f aca="false">IF(ISBLANK($C119),"",IF($AJ119=Constants!$B$7,IF(ISNUMBER(AU119),RANK(AU119,$AU$8:$AU$507),Constants!$B$14),$AJ119))</f>
        <v/>
      </c>
      <c r="AW119" s="87" t="str">
        <f aca="false">IF(ISBLANK($C119),"",IF($AJ119=Constants!$B$7,IF(ISNUMBER(AV119),COUNTIFS($AK$8:$AK$507,"&lt;"&amp;$AK119)+COUNTIFS($AK$8:$AK$507,$AK119,$AV$8:$AV$507,"&lt;"&amp;$AV119)+1,Constants!$B$14),$AJ119))</f>
        <v/>
      </c>
      <c r="AX119" s="87" t="str">
        <f aca="false">IF(ISBLANK($C119),"",IF($AJ119=Constants!$B$7,LARGE(AL119:AP119,4)*W119,""))</f>
        <v/>
      </c>
      <c r="AY119" s="87" t="str">
        <f aca="false">IF(ISBLANK($C119),"",IF($AJ119=Constants!$B$7,RANK(AX119,$AX$8:$AX$507),$AJ119))</f>
        <v/>
      </c>
      <c r="AZ119" s="87" t="str">
        <f aca="false">IF(ISBLANK($C119),"",IF($AJ119=Constants!$B$7,IF(ISNUMBER(AV119),COUNTIFS($AK$8:$AK$507,"&lt;"&amp;$AK119)+COUNTIFS($AK$8:$AK$507,$AK119,$AV$8:$AV$507,"&lt;"&amp;$AV119)+COUNTIFS($AK$8:$AK$507,$AK119,$AV$8:$AV$507,$AV119,$AY$8:$AY$507,"&lt;"&amp;$AY119)+1,Constants!$B$14),$AJ119))</f>
        <v/>
      </c>
      <c r="BA119" s="87" t="str">
        <f aca="false">IF(ISBLANK($C119),"",IF($AJ119=Constants!$B$7,IF(ISNUMBER(AW119),AW119-AZ119,Constants!$B$14),$AJ119))</f>
        <v/>
      </c>
      <c r="BB119" s="88"/>
      <c r="BC119" s="89" t="str">
        <f aca="false">IF(ISBLANK($C119),"",IF($AJ119&lt;&gt;Constants!$B$7,$AJ119,SMALL(AQ119:AS119,1)&amp;", "&amp;SMALL(AQ119:AS119,2)&amp;", "&amp;SMALL(AQ119:AS119,3)))</f>
        <v/>
      </c>
      <c r="BD119" s="90" t="str">
        <f aca="false">IF(ISBLANK($C119),"",IF($AJ119&lt;&gt;Constants!$B$7,$AJ119,W119))</f>
        <v/>
      </c>
      <c r="BE119" s="91" t="str">
        <f aca="false">IF(ISBLANK($C119),"",IF($AJ119&lt;&gt;Constants!$B$7,$AJ119,AU119))</f>
        <v/>
      </c>
      <c r="BF119" s="92" t="str">
        <f aca="false">IF(ISBLANK($C119),"",IF($AJ119&lt;&gt;Constants!$B$7,$AJ119,AK119))</f>
        <v/>
      </c>
      <c r="BG119" s="90" t="str">
        <f aca="false">IF(ISBLANK($C119),"",BA119)</f>
        <v/>
      </c>
      <c r="BH119" s="90" t="str">
        <f aca="false">IF(ISBLANK($C119),"",AZ119)</f>
        <v/>
      </c>
      <c r="BI119" s="93" t="str">
        <f aca="false">IF(ISBLANK($C119),"",IF(BH119=Constants!$B$4,COUNTA($C$8:$C$507)+2,IF(BH119=Constants!$B$5,COUNTA($C$8:$C$507)+1,IF(BH119=Constants!$B$6,COUNTA($C$8:$C$507),BH119))))</f>
        <v/>
      </c>
      <c r="BJ119" s="5"/>
      <c r="BK119" s="94" t="n">
        <f aca="false">IF(OR(ISNUMBER(BH119),BH119=Constants!$B$4,BH119=Constants!$B$6,BH119=Constants!$B$5),1,0)</f>
        <v>0</v>
      </c>
      <c r="BL119" s="94" t="n">
        <v>112</v>
      </c>
      <c r="BM119" s="94" t="str">
        <f aca="false">IF(ISBLANK($C119),"",IF(ISNUMBER(BI119),BI119+ROW($B119)/1000,""))</f>
        <v/>
      </c>
      <c r="BN119" s="94" t="str">
        <f aca="false">IF(ISNUMBER(BM119),RANK(BM119,$BM$8:$BM$507,1),"")</f>
        <v/>
      </c>
      <c r="BO119" s="94" t="str">
        <f aca="false">IF(ISBLANK($C119),"",$B119)</f>
        <v/>
      </c>
      <c r="BP119" s="94" t="str">
        <f aca="false">IF(ISBLANK($C119),"",$C119)</f>
        <v/>
      </c>
      <c r="BQ119" s="94" t="str">
        <f aca="false">IF(ISBLANK($C119),"",$D119)</f>
        <v/>
      </c>
      <c r="BR119" s="95" t="str">
        <f aca="false">BF119</f>
        <v/>
      </c>
      <c r="BS119" s="96" t="str">
        <f aca="false">BE119</f>
        <v/>
      </c>
      <c r="BT119" s="94" t="str">
        <f aca="false">IF(ISBLANK($C119),"",BH119)</f>
        <v/>
      </c>
      <c r="BU119" s="97" t="str">
        <f aca="false">IF($BL119&gt;$BK$7,"",VLOOKUP($BL119,$BN$8:$BT$507,7,FALSE()))</f>
        <v/>
      </c>
      <c r="BV119" s="98" t="str">
        <f aca="false">IF($BL119&gt;$BK$7,"",VLOOKUP($BL119,$BN$8:$BT$507,2,FALSE()))</f>
        <v/>
      </c>
      <c r="BW119" s="98" t="str">
        <f aca="false">IF($BL119&gt;$BK$7,"",VLOOKUP($BL119,$BN$8:$BT$507,3,FALSE()))</f>
        <v/>
      </c>
      <c r="BX119" s="98" t="str">
        <f aca="false">IF($BL119&gt;$BK$7,"",VLOOKUP($BL119,$BN$8:$BT$507,4,FALSE()))</f>
        <v/>
      </c>
      <c r="BY119" s="98" t="str">
        <f aca="false">IF($BL119&gt;$BK$7,"",VLOOKUP($BL119,$BN$8:$BT$507,5,FALSE()))</f>
        <v/>
      </c>
      <c r="BZ119" s="99" t="str">
        <f aca="false">IF($BL119&gt;$BK$7,"",VLOOKUP($BL119,$BN$8:$BT$507,6,FALSE()))</f>
        <v/>
      </c>
      <c r="CA119" s="48"/>
    </row>
    <row r="120" customFormat="false" ht="15.75" hidden="false" customHeight="false" outlineLevel="0" collapsed="false">
      <c r="A120" s="5"/>
      <c r="B120" s="114"/>
      <c r="C120" s="115"/>
      <c r="D120" s="100"/>
      <c r="E120" s="120"/>
      <c r="F120" s="125"/>
      <c r="G120" s="82"/>
      <c r="H120" s="126"/>
      <c r="I120" s="127"/>
      <c r="J120" s="82"/>
      <c r="K120" s="126"/>
      <c r="L120" s="82"/>
      <c r="M120" s="126"/>
      <c r="N120" s="82"/>
      <c r="O120" s="126"/>
      <c r="P120" s="82"/>
      <c r="Q120" s="126"/>
      <c r="R120" s="82"/>
      <c r="S120" s="120"/>
      <c r="T120" s="86"/>
      <c r="U120" s="87" t="str">
        <f aca="false">IF(ISBLANK($C120),"",IF(E120=Constants!$B$2, TRUE(), IF(E120=Constants!$B$3, FALSE(), TRUE())))</f>
        <v/>
      </c>
      <c r="V120" s="87" t="str">
        <f aca="false">IF(ISBLANK($C120),"",IF(F120=Constants!$B$2, TRUE(), IF(F120=Constants!$B$3, FALSE(), TRUE())))</f>
        <v/>
      </c>
      <c r="W120" s="87" t="str">
        <f aca="false">IF(ISBLANK($C120),"",IF(G120=Constants!$B$15,Constants!$B$8,IF(G120=Constants!$B$16,Constants!$B$9,Constants!$B$10)))</f>
        <v/>
      </c>
      <c r="X120" s="87" t="str">
        <f aca="false">IF(ISBLANK($C120),"",IF(H120=Constants!$B$2, TRUE(), IF(H120=Constants!$B$3, FALSE(), TRUE())))</f>
        <v/>
      </c>
      <c r="Y120" s="87" t="str">
        <f aca="false">IF(ISBLANK($C120),"",IF(I120=Constants!$B$19,Constants!$B$19,Constants!$B$18))</f>
        <v/>
      </c>
      <c r="Z120" s="87" t="str">
        <f aca="false">IF(ISBLANK($C120),"",IF(ISNUMBER(J120),IF(J120&gt;=0,J120,""),""))</f>
        <v/>
      </c>
      <c r="AA120" s="87" t="str">
        <f aca="false">IF(ISBLANK($C120),"",IF(K120=Constants!$B$19,Constants!$B$19,Constants!$B$18))</f>
        <v/>
      </c>
      <c r="AB120" s="87" t="str">
        <f aca="false">IF(ISBLANK($C120),"",IF(ISNUMBER(L120),IF(L120&gt;=0,L120,""),""))</f>
        <v/>
      </c>
      <c r="AC120" s="87" t="str">
        <f aca="false">IF(ISBLANK($C120),"",IF(M120=Constants!$B$19,Constants!$B$19,Constants!$B$18))</f>
        <v/>
      </c>
      <c r="AD120" s="87" t="str">
        <f aca="false">IF(ISBLANK($C120),"",IF(ISNUMBER(N120),IF(N120&gt;=0,N120,""),""))</f>
        <v/>
      </c>
      <c r="AE120" s="87" t="str">
        <f aca="false">IF(ISBLANK($C120),"",IF(O120=Constants!$B$19,Constants!$B$19,Constants!$B$18))</f>
        <v/>
      </c>
      <c r="AF120" s="87" t="str">
        <f aca="false">IF(ISBLANK($C120),"",IF(ISNUMBER(P120),IF(P120&gt;=0,P120,""),""))</f>
        <v/>
      </c>
      <c r="AG120" s="87" t="str">
        <f aca="false">IF(ISBLANK($C120),"",IF(Q120=Constants!$B$19,Constants!$B$19,Constants!$B$18))</f>
        <v/>
      </c>
      <c r="AH120" s="87" t="str">
        <f aca="false">IF(ISBLANK($C120),"",IF(ISNUMBER(R120),IF(R120&gt;=0,R120,""),""))</f>
        <v/>
      </c>
      <c r="AI120" s="87" t="str">
        <f aca="false">IF(ISBLANK($C120),"",IF(S120=Constants!$B$2, TRUE(), IF(S120=Constants!$B$3, FALSE(), FALSE())))</f>
        <v/>
      </c>
      <c r="AJ120" s="87" t="str">
        <f aca="false">IF(ISBLANK($C120),"",IF(AI120,Constants!$B$4,IF(COUNTA(E120:R120)=0,Constants!$B$5,IF(COUNTA(J120,L120,N120,P120,R120)=0,Constants!$B$6,Constants!$B$7))))</f>
        <v/>
      </c>
      <c r="AK120" s="87" t="str">
        <f aca="false">IF(ISBLANK($C120),"",IF($AJ120&lt;&gt;Constants!$B$7,$AJ120,IF(OR(NOT(X120),AND(NOT(U120),COUNTIFS(Y120:AG120,Constants!$B$18,Z120:AH120,"&gt;=0")&gt;0),AND(NOT(V120),COUNTIFS(Y120:AG120,Constants!$B$19,Z120:AH120,"&gt;=0")&gt;0)),Constants!$B$12,Constants!$B$11)))</f>
        <v/>
      </c>
      <c r="AL120" s="87" t="str">
        <f aca="false">IF($AJ120=Constants!$B$7,IF(Z120="",Constants!$B$13,Z120),"")</f>
        <v/>
      </c>
      <c r="AM120" s="87" t="str">
        <f aca="false">IF($AJ120=Constants!$B$7,IF(AB120="",Constants!$B$13,AB120),"")</f>
        <v/>
      </c>
      <c r="AN120" s="87" t="str">
        <f aca="false">IF($AJ120=Constants!$B$7,IF(AD120="",Constants!$B$13,AD120),"")</f>
        <v/>
      </c>
      <c r="AO120" s="87" t="str">
        <f aca="false">IF($AJ120=Constants!$B$7,IF(AF120="",Constants!$B$13,AF120),"")</f>
        <v/>
      </c>
      <c r="AP120" s="87" t="str">
        <f aca="false">IF($AJ120=Constants!$B$7,IF(AH120="",Constants!$B$13,AH120),"")</f>
        <v/>
      </c>
      <c r="AQ120" s="87" t="str">
        <f aca="false">IF($AJ120=Constants!$B$7,IF(SUMPRODUCT(--($AL120:$AP120&gt;AL120))+SUMPRODUCT(--($AL120:AL120=AL120))=1,1,IF(SUMPRODUCT(--($AL120:$AP120&gt;AM120))+SUMPRODUCT(--($AL120:AM120=AM120))=1,2,IF(SUMPRODUCT(--($AL120:$AP120&gt;AN120))+SUMPRODUCT(--($AL120:AN120=AN120))=1,3,IF(SUMPRODUCT(--($AL120:$AP120&gt;AO120))+SUMPRODUCT(--($AL120:AO120=AO120))=1,4,5)))),"")</f>
        <v/>
      </c>
      <c r="AR120" s="87" t="str">
        <f aca="false">IF($AJ120=Constants!$B$7,IF(SUMPRODUCT(--($AL120:$AP120&gt;AL120))+SUMPRODUCT(--($AL120:AL120=AL120))=2,1,IF(SUMPRODUCT(--($AL120:$AP120&gt;AM120))+SUMPRODUCT(--($AL120:AM120=AM120))=2,2,IF(SUMPRODUCT(--($AL120:$AP120&gt;AN120))+SUMPRODUCT(--($AL120:AN120=AN120))=2,3,IF(SUMPRODUCT(--($AL120:$AP120&gt;AO120))+SUMPRODUCT(--($AL120:AO120=AO120))=2,4,5)))),"")</f>
        <v/>
      </c>
      <c r="AS120" s="87" t="str">
        <f aca="false">IF($AJ120=Constants!$B$7,IF(SUMPRODUCT(--($AL120:$AP120&gt;AL120))+SUMPRODUCT(--($AL120:AL120=AL120))=3,1,IF(SUMPRODUCT(--($AL120:$AP120&gt;AM120))+SUMPRODUCT(--($AL120:AM120=AM120))=3,2,IF(SUMPRODUCT(--($AL120:$AP120&gt;AN120))+SUMPRODUCT(--($AL120:AN120=AN120))=3,3,IF(SUMPRODUCT(--($AL120:$AP120&gt;AO120))+SUMPRODUCT(--($AL120:AO120=AO120))=3,4,5)))),"")</f>
        <v/>
      </c>
      <c r="AT120" s="87" t="str">
        <f aca="false">IF($AJ120=Constants!$B$7,LARGE(AL120:AP120,1)+LARGE(AL120:AP120,2)+LARGE(AL120:AP120,3),"")</f>
        <v/>
      </c>
      <c r="AU120" s="87" t="str">
        <f aca="false">IF(ISBLANK($C120),"",IF($AJ120&lt;&gt;Constants!$B$7,$AJ120,AT120*W120))</f>
        <v/>
      </c>
      <c r="AV120" s="87" t="str">
        <f aca="false">IF(ISBLANK($C120),"",IF($AJ120=Constants!$B$7,IF(ISNUMBER(AU120),RANK(AU120,$AU$8:$AU$507),Constants!$B$14),$AJ120))</f>
        <v/>
      </c>
      <c r="AW120" s="87" t="str">
        <f aca="false">IF(ISBLANK($C120),"",IF($AJ120=Constants!$B$7,IF(ISNUMBER(AV120),COUNTIFS($AK$8:$AK$507,"&lt;"&amp;$AK120)+COUNTIFS($AK$8:$AK$507,$AK120,$AV$8:$AV$507,"&lt;"&amp;$AV120)+1,Constants!$B$14),$AJ120))</f>
        <v/>
      </c>
      <c r="AX120" s="87" t="str">
        <f aca="false">IF(ISBLANK($C120),"",IF($AJ120=Constants!$B$7,LARGE(AL120:AP120,4)*W120,""))</f>
        <v/>
      </c>
      <c r="AY120" s="87" t="str">
        <f aca="false">IF(ISBLANK($C120),"",IF($AJ120=Constants!$B$7,RANK(AX120,$AX$8:$AX$507),$AJ120))</f>
        <v/>
      </c>
      <c r="AZ120" s="87" t="str">
        <f aca="false">IF(ISBLANK($C120),"",IF($AJ120=Constants!$B$7,IF(ISNUMBER(AV120),COUNTIFS($AK$8:$AK$507,"&lt;"&amp;$AK120)+COUNTIFS($AK$8:$AK$507,$AK120,$AV$8:$AV$507,"&lt;"&amp;$AV120)+COUNTIFS($AK$8:$AK$507,$AK120,$AV$8:$AV$507,$AV120,$AY$8:$AY$507,"&lt;"&amp;$AY120)+1,Constants!$B$14),$AJ120))</f>
        <v/>
      </c>
      <c r="BA120" s="87" t="str">
        <f aca="false">IF(ISBLANK($C120),"",IF($AJ120=Constants!$B$7,IF(ISNUMBER(AW120),AW120-AZ120,Constants!$B$14),$AJ120))</f>
        <v/>
      </c>
      <c r="BB120" s="88"/>
      <c r="BC120" s="89" t="str">
        <f aca="false">IF(ISBLANK($C120),"",IF($AJ120&lt;&gt;Constants!$B$7,$AJ120,SMALL(AQ120:AS120,1)&amp;", "&amp;SMALL(AQ120:AS120,2)&amp;", "&amp;SMALL(AQ120:AS120,3)))</f>
        <v/>
      </c>
      <c r="BD120" s="90" t="str">
        <f aca="false">IF(ISBLANK($C120),"",IF($AJ120&lt;&gt;Constants!$B$7,$AJ120,W120))</f>
        <v/>
      </c>
      <c r="BE120" s="91" t="str">
        <f aca="false">IF(ISBLANK($C120),"",IF($AJ120&lt;&gt;Constants!$B$7,$AJ120,AU120))</f>
        <v/>
      </c>
      <c r="BF120" s="92" t="str">
        <f aca="false">IF(ISBLANK($C120),"",IF($AJ120&lt;&gt;Constants!$B$7,$AJ120,AK120))</f>
        <v/>
      </c>
      <c r="BG120" s="90" t="str">
        <f aca="false">IF(ISBLANK($C120),"",BA120)</f>
        <v/>
      </c>
      <c r="BH120" s="90" t="str">
        <f aca="false">IF(ISBLANK($C120),"",AZ120)</f>
        <v/>
      </c>
      <c r="BI120" s="93" t="str">
        <f aca="false">IF(ISBLANK($C120),"",IF(BH120=Constants!$B$4,COUNTA($C$8:$C$507)+2,IF(BH120=Constants!$B$5,COUNTA($C$8:$C$507)+1,IF(BH120=Constants!$B$6,COUNTA($C$8:$C$507),BH120))))</f>
        <v/>
      </c>
      <c r="BJ120" s="5"/>
      <c r="BK120" s="94" t="n">
        <f aca="false">IF(OR(ISNUMBER(BH120),BH120=Constants!$B$4,BH120=Constants!$B$6,BH120=Constants!$B$5),1,0)</f>
        <v>0</v>
      </c>
      <c r="BL120" s="94" t="n">
        <v>113</v>
      </c>
      <c r="BM120" s="94" t="str">
        <f aca="false">IF(ISBLANK($C120),"",IF(ISNUMBER(BI120),BI120+ROW($B120)/1000,""))</f>
        <v/>
      </c>
      <c r="BN120" s="94" t="str">
        <f aca="false">IF(ISNUMBER(BM120),RANK(BM120,$BM$8:$BM$507,1),"")</f>
        <v/>
      </c>
      <c r="BO120" s="94" t="str">
        <f aca="false">IF(ISBLANK($C120),"",$B120)</f>
        <v/>
      </c>
      <c r="BP120" s="94" t="str">
        <f aca="false">IF(ISBLANK($C120),"",$C120)</f>
        <v/>
      </c>
      <c r="BQ120" s="94" t="str">
        <f aca="false">IF(ISBLANK($C120),"",$D120)</f>
        <v/>
      </c>
      <c r="BR120" s="95" t="str">
        <f aca="false">BF120</f>
        <v/>
      </c>
      <c r="BS120" s="96" t="str">
        <f aca="false">BE120</f>
        <v/>
      </c>
      <c r="BT120" s="94" t="str">
        <f aca="false">IF(ISBLANK($C120),"",BH120)</f>
        <v/>
      </c>
      <c r="BU120" s="97" t="str">
        <f aca="false">IF($BL120&gt;$BK$7,"",VLOOKUP($BL120,$BN$8:$BT$507,7,FALSE()))</f>
        <v/>
      </c>
      <c r="BV120" s="98" t="str">
        <f aca="false">IF($BL120&gt;$BK$7,"",VLOOKUP($BL120,$BN$8:$BT$507,2,FALSE()))</f>
        <v/>
      </c>
      <c r="BW120" s="98" t="str">
        <f aca="false">IF($BL120&gt;$BK$7,"",VLOOKUP($BL120,$BN$8:$BT$507,3,FALSE()))</f>
        <v/>
      </c>
      <c r="BX120" s="98" t="str">
        <f aca="false">IF($BL120&gt;$BK$7,"",VLOOKUP($BL120,$BN$8:$BT$507,4,FALSE()))</f>
        <v/>
      </c>
      <c r="BY120" s="98" t="str">
        <f aca="false">IF($BL120&gt;$BK$7,"",VLOOKUP($BL120,$BN$8:$BT$507,5,FALSE()))</f>
        <v/>
      </c>
      <c r="BZ120" s="99" t="str">
        <f aca="false">IF($BL120&gt;$BK$7,"",VLOOKUP($BL120,$BN$8:$BT$507,6,FALSE()))</f>
        <v/>
      </c>
      <c r="CA120" s="48"/>
    </row>
    <row r="121" customFormat="false" ht="15.75" hidden="false" customHeight="false" outlineLevel="0" collapsed="false">
      <c r="A121" s="5"/>
      <c r="B121" s="114"/>
      <c r="C121" s="115"/>
      <c r="D121" s="100"/>
      <c r="E121" s="120"/>
      <c r="F121" s="125"/>
      <c r="G121" s="82"/>
      <c r="H121" s="126"/>
      <c r="I121" s="127"/>
      <c r="J121" s="82"/>
      <c r="K121" s="126"/>
      <c r="L121" s="82"/>
      <c r="M121" s="126"/>
      <c r="N121" s="82"/>
      <c r="O121" s="126"/>
      <c r="P121" s="82"/>
      <c r="Q121" s="126"/>
      <c r="R121" s="82"/>
      <c r="S121" s="120"/>
      <c r="T121" s="86"/>
      <c r="U121" s="87" t="str">
        <f aca="false">IF(ISBLANK($C121),"",IF(E121=Constants!$B$2, TRUE(), IF(E121=Constants!$B$3, FALSE(), TRUE())))</f>
        <v/>
      </c>
      <c r="V121" s="87" t="str">
        <f aca="false">IF(ISBLANK($C121),"",IF(F121=Constants!$B$2, TRUE(), IF(F121=Constants!$B$3, FALSE(), TRUE())))</f>
        <v/>
      </c>
      <c r="W121" s="87" t="str">
        <f aca="false">IF(ISBLANK($C121),"",IF(G121=Constants!$B$15,Constants!$B$8,IF(G121=Constants!$B$16,Constants!$B$9,Constants!$B$10)))</f>
        <v/>
      </c>
      <c r="X121" s="87" t="str">
        <f aca="false">IF(ISBLANK($C121),"",IF(H121=Constants!$B$2, TRUE(), IF(H121=Constants!$B$3, FALSE(), TRUE())))</f>
        <v/>
      </c>
      <c r="Y121" s="87" t="str">
        <f aca="false">IF(ISBLANK($C121),"",IF(I121=Constants!$B$19,Constants!$B$19,Constants!$B$18))</f>
        <v/>
      </c>
      <c r="Z121" s="87" t="str">
        <f aca="false">IF(ISBLANK($C121),"",IF(ISNUMBER(J121),IF(J121&gt;=0,J121,""),""))</f>
        <v/>
      </c>
      <c r="AA121" s="87" t="str">
        <f aca="false">IF(ISBLANK($C121),"",IF(K121=Constants!$B$19,Constants!$B$19,Constants!$B$18))</f>
        <v/>
      </c>
      <c r="AB121" s="87" t="str">
        <f aca="false">IF(ISBLANK($C121),"",IF(ISNUMBER(L121),IF(L121&gt;=0,L121,""),""))</f>
        <v/>
      </c>
      <c r="AC121" s="87" t="str">
        <f aca="false">IF(ISBLANK($C121),"",IF(M121=Constants!$B$19,Constants!$B$19,Constants!$B$18))</f>
        <v/>
      </c>
      <c r="AD121" s="87" t="str">
        <f aca="false">IF(ISBLANK($C121),"",IF(ISNUMBER(N121),IF(N121&gt;=0,N121,""),""))</f>
        <v/>
      </c>
      <c r="AE121" s="87" t="str">
        <f aca="false">IF(ISBLANK($C121),"",IF(O121=Constants!$B$19,Constants!$B$19,Constants!$B$18))</f>
        <v/>
      </c>
      <c r="AF121" s="87" t="str">
        <f aca="false">IF(ISBLANK($C121),"",IF(ISNUMBER(P121),IF(P121&gt;=0,P121,""),""))</f>
        <v/>
      </c>
      <c r="AG121" s="87" t="str">
        <f aca="false">IF(ISBLANK($C121),"",IF(Q121=Constants!$B$19,Constants!$B$19,Constants!$B$18))</f>
        <v/>
      </c>
      <c r="AH121" s="87" t="str">
        <f aca="false">IF(ISBLANK($C121),"",IF(ISNUMBER(R121),IF(R121&gt;=0,R121,""),""))</f>
        <v/>
      </c>
      <c r="AI121" s="87" t="str">
        <f aca="false">IF(ISBLANK($C121),"",IF(S121=Constants!$B$2, TRUE(), IF(S121=Constants!$B$3, FALSE(), FALSE())))</f>
        <v/>
      </c>
      <c r="AJ121" s="87" t="str">
        <f aca="false">IF(ISBLANK($C121),"",IF(AI121,Constants!$B$4,IF(COUNTA(E121:R121)=0,Constants!$B$5,IF(COUNTA(J121,L121,N121,P121,R121)=0,Constants!$B$6,Constants!$B$7))))</f>
        <v/>
      </c>
      <c r="AK121" s="87" t="str">
        <f aca="false">IF(ISBLANK($C121),"",IF($AJ121&lt;&gt;Constants!$B$7,$AJ121,IF(OR(NOT(X121),AND(NOT(U121),COUNTIFS(Y121:AG121,Constants!$B$18,Z121:AH121,"&gt;=0")&gt;0),AND(NOT(V121),COUNTIFS(Y121:AG121,Constants!$B$19,Z121:AH121,"&gt;=0")&gt;0)),Constants!$B$12,Constants!$B$11)))</f>
        <v/>
      </c>
      <c r="AL121" s="87" t="str">
        <f aca="false">IF($AJ121=Constants!$B$7,IF(Z121="",Constants!$B$13,Z121),"")</f>
        <v/>
      </c>
      <c r="AM121" s="87" t="str">
        <f aca="false">IF($AJ121=Constants!$B$7,IF(AB121="",Constants!$B$13,AB121),"")</f>
        <v/>
      </c>
      <c r="AN121" s="87" t="str">
        <f aca="false">IF($AJ121=Constants!$B$7,IF(AD121="",Constants!$B$13,AD121),"")</f>
        <v/>
      </c>
      <c r="AO121" s="87" t="str">
        <f aca="false">IF($AJ121=Constants!$B$7,IF(AF121="",Constants!$B$13,AF121),"")</f>
        <v/>
      </c>
      <c r="AP121" s="87" t="str">
        <f aca="false">IF($AJ121=Constants!$B$7,IF(AH121="",Constants!$B$13,AH121),"")</f>
        <v/>
      </c>
      <c r="AQ121" s="87" t="str">
        <f aca="false">IF($AJ121=Constants!$B$7,IF(SUMPRODUCT(--($AL121:$AP121&gt;AL121))+SUMPRODUCT(--($AL121:AL121=AL121))=1,1,IF(SUMPRODUCT(--($AL121:$AP121&gt;AM121))+SUMPRODUCT(--($AL121:AM121=AM121))=1,2,IF(SUMPRODUCT(--($AL121:$AP121&gt;AN121))+SUMPRODUCT(--($AL121:AN121=AN121))=1,3,IF(SUMPRODUCT(--($AL121:$AP121&gt;AO121))+SUMPRODUCT(--($AL121:AO121=AO121))=1,4,5)))),"")</f>
        <v/>
      </c>
      <c r="AR121" s="87" t="str">
        <f aca="false">IF($AJ121=Constants!$B$7,IF(SUMPRODUCT(--($AL121:$AP121&gt;AL121))+SUMPRODUCT(--($AL121:AL121=AL121))=2,1,IF(SUMPRODUCT(--($AL121:$AP121&gt;AM121))+SUMPRODUCT(--($AL121:AM121=AM121))=2,2,IF(SUMPRODUCT(--($AL121:$AP121&gt;AN121))+SUMPRODUCT(--($AL121:AN121=AN121))=2,3,IF(SUMPRODUCT(--($AL121:$AP121&gt;AO121))+SUMPRODUCT(--($AL121:AO121=AO121))=2,4,5)))),"")</f>
        <v/>
      </c>
      <c r="AS121" s="87" t="str">
        <f aca="false">IF($AJ121=Constants!$B$7,IF(SUMPRODUCT(--($AL121:$AP121&gt;AL121))+SUMPRODUCT(--($AL121:AL121=AL121))=3,1,IF(SUMPRODUCT(--($AL121:$AP121&gt;AM121))+SUMPRODUCT(--($AL121:AM121=AM121))=3,2,IF(SUMPRODUCT(--($AL121:$AP121&gt;AN121))+SUMPRODUCT(--($AL121:AN121=AN121))=3,3,IF(SUMPRODUCT(--($AL121:$AP121&gt;AO121))+SUMPRODUCT(--($AL121:AO121=AO121))=3,4,5)))),"")</f>
        <v/>
      </c>
      <c r="AT121" s="87" t="str">
        <f aca="false">IF($AJ121=Constants!$B$7,LARGE(AL121:AP121,1)+LARGE(AL121:AP121,2)+LARGE(AL121:AP121,3),"")</f>
        <v/>
      </c>
      <c r="AU121" s="87" t="str">
        <f aca="false">IF(ISBLANK($C121),"",IF($AJ121&lt;&gt;Constants!$B$7,$AJ121,AT121*W121))</f>
        <v/>
      </c>
      <c r="AV121" s="87" t="str">
        <f aca="false">IF(ISBLANK($C121),"",IF($AJ121=Constants!$B$7,IF(ISNUMBER(AU121),RANK(AU121,$AU$8:$AU$507),Constants!$B$14),$AJ121))</f>
        <v/>
      </c>
      <c r="AW121" s="87" t="str">
        <f aca="false">IF(ISBLANK($C121),"",IF($AJ121=Constants!$B$7,IF(ISNUMBER(AV121),COUNTIFS($AK$8:$AK$507,"&lt;"&amp;$AK121)+COUNTIFS($AK$8:$AK$507,$AK121,$AV$8:$AV$507,"&lt;"&amp;$AV121)+1,Constants!$B$14),$AJ121))</f>
        <v/>
      </c>
      <c r="AX121" s="87" t="str">
        <f aca="false">IF(ISBLANK($C121),"",IF($AJ121=Constants!$B$7,LARGE(AL121:AP121,4)*W121,""))</f>
        <v/>
      </c>
      <c r="AY121" s="87" t="str">
        <f aca="false">IF(ISBLANK($C121),"",IF($AJ121=Constants!$B$7,RANK(AX121,$AX$8:$AX$507),$AJ121))</f>
        <v/>
      </c>
      <c r="AZ121" s="87" t="str">
        <f aca="false">IF(ISBLANK($C121),"",IF($AJ121=Constants!$B$7,IF(ISNUMBER(AV121),COUNTIFS($AK$8:$AK$507,"&lt;"&amp;$AK121)+COUNTIFS($AK$8:$AK$507,$AK121,$AV$8:$AV$507,"&lt;"&amp;$AV121)+COUNTIFS($AK$8:$AK$507,$AK121,$AV$8:$AV$507,$AV121,$AY$8:$AY$507,"&lt;"&amp;$AY121)+1,Constants!$B$14),$AJ121))</f>
        <v/>
      </c>
      <c r="BA121" s="87" t="str">
        <f aca="false">IF(ISBLANK($C121),"",IF($AJ121=Constants!$B$7,IF(ISNUMBER(AW121),AW121-AZ121,Constants!$B$14),$AJ121))</f>
        <v/>
      </c>
      <c r="BB121" s="88"/>
      <c r="BC121" s="89" t="str">
        <f aca="false">IF(ISBLANK($C121),"",IF($AJ121&lt;&gt;Constants!$B$7,$AJ121,SMALL(AQ121:AS121,1)&amp;", "&amp;SMALL(AQ121:AS121,2)&amp;", "&amp;SMALL(AQ121:AS121,3)))</f>
        <v/>
      </c>
      <c r="BD121" s="90" t="str">
        <f aca="false">IF(ISBLANK($C121),"",IF($AJ121&lt;&gt;Constants!$B$7,$AJ121,W121))</f>
        <v/>
      </c>
      <c r="BE121" s="91" t="str">
        <f aca="false">IF(ISBLANK($C121),"",IF($AJ121&lt;&gt;Constants!$B$7,$AJ121,AU121))</f>
        <v/>
      </c>
      <c r="BF121" s="92" t="str">
        <f aca="false">IF(ISBLANK($C121),"",IF($AJ121&lt;&gt;Constants!$B$7,$AJ121,AK121))</f>
        <v/>
      </c>
      <c r="BG121" s="90" t="str">
        <f aca="false">IF(ISBLANK($C121),"",BA121)</f>
        <v/>
      </c>
      <c r="BH121" s="90" t="str">
        <f aca="false">IF(ISBLANK($C121),"",AZ121)</f>
        <v/>
      </c>
      <c r="BI121" s="93" t="str">
        <f aca="false">IF(ISBLANK($C121),"",IF(BH121=Constants!$B$4,COUNTA($C$8:$C$507)+2,IF(BH121=Constants!$B$5,COUNTA($C$8:$C$507)+1,IF(BH121=Constants!$B$6,COUNTA($C$8:$C$507),BH121))))</f>
        <v/>
      </c>
      <c r="BJ121" s="5"/>
      <c r="BK121" s="94" t="n">
        <f aca="false">IF(OR(ISNUMBER(BH121),BH121=Constants!$B$4,BH121=Constants!$B$6,BH121=Constants!$B$5),1,0)</f>
        <v>0</v>
      </c>
      <c r="BL121" s="94" t="n">
        <v>114</v>
      </c>
      <c r="BM121" s="94" t="str">
        <f aca="false">IF(ISBLANK($C121),"",IF(ISNUMBER(BI121),BI121+ROW($B121)/1000,""))</f>
        <v/>
      </c>
      <c r="BN121" s="94" t="str">
        <f aca="false">IF(ISNUMBER(BM121),RANK(BM121,$BM$8:$BM$507,1),"")</f>
        <v/>
      </c>
      <c r="BO121" s="94" t="str">
        <f aca="false">IF(ISBLANK($C121),"",$B121)</f>
        <v/>
      </c>
      <c r="BP121" s="94" t="str">
        <f aca="false">IF(ISBLANK($C121),"",$C121)</f>
        <v/>
      </c>
      <c r="BQ121" s="94" t="str">
        <f aca="false">IF(ISBLANK($C121),"",$D121)</f>
        <v/>
      </c>
      <c r="BR121" s="95" t="str">
        <f aca="false">BF121</f>
        <v/>
      </c>
      <c r="BS121" s="96" t="str">
        <f aca="false">BE121</f>
        <v/>
      </c>
      <c r="BT121" s="94" t="str">
        <f aca="false">IF(ISBLANK($C121),"",BH121)</f>
        <v/>
      </c>
      <c r="BU121" s="97" t="str">
        <f aca="false">IF($BL121&gt;$BK$7,"",VLOOKUP($BL121,$BN$8:$BT$507,7,FALSE()))</f>
        <v/>
      </c>
      <c r="BV121" s="98" t="str">
        <f aca="false">IF($BL121&gt;$BK$7,"",VLOOKUP($BL121,$BN$8:$BT$507,2,FALSE()))</f>
        <v/>
      </c>
      <c r="BW121" s="98" t="str">
        <f aca="false">IF($BL121&gt;$BK$7,"",VLOOKUP($BL121,$BN$8:$BT$507,3,FALSE()))</f>
        <v/>
      </c>
      <c r="BX121" s="98" t="str">
        <f aca="false">IF($BL121&gt;$BK$7,"",VLOOKUP($BL121,$BN$8:$BT$507,4,FALSE()))</f>
        <v/>
      </c>
      <c r="BY121" s="98" t="str">
        <f aca="false">IF($BL121&gt;$BK$7,"",VLOOKUP($BL121,$BN$8:$BT$507,5,FALSE()))</f>
        <v/>
      </c>
      <c r="BZ121" s="99" t="str">
        <f aca="false">IF($BL121&gt;$BK$7,"",VLOOKUP($BL121,$BN$8:$BT$507,6,FALSE()))</f>
        <v/>
      </c>
      <c r="CA121" s="48"/>
    </row>
    <row r="122" customFormat="false" ht="15.75" hidden="false" customHeight="false" outlineLevel="0" collapsed="false">
      <c r="A122" s="5"/>
      <c r="B122" s="121"/>
      <c r="C122" s="50"/>
      <c r="D122" s="51"/>
      <c r="E122" s="74"/>
      <c r="F122" s="122"/>
      <c r="G122" s="54"/>
      <c r="H122" s="123"/>
      <c r="I122" s="124"/>
      <c r="J122" s="54"/>
      <c r="K122" s="123"/>
      <c r="L122" s="54"/>
      <c r="M122" s="123"/>
      <c r="N122" s="54"/>
      <c r="O122" s="123"/>
      <c r="P122" s="54"/>
      <c r="Q122" s="123"/>
      <c r="R122" s="54"/>
      <c r="S122" s="74"/>
      <c r="T122" s="58"/>
      <c r="U122" s="59" t="str">
        <f aca="false">IF(ISBLANK($C122),"",IF(E122=Constants!$B$2, TRUE(), IF(E122=Constants!$B$3, FALSE(), TRUE())))</f>
        <v/>
      </c>
      <c r="V122" s="59" t="str">
        <f aca="false">IF(ISBLANK($C122),"",IF(F122=Constants!$B$2, TRUE(), IF(F122=Constants!$B$3, FALSE(), TRUE())))</f>
        <v/>
      </c>
      <c r="W122" s="59" t="str">
        <f aca="false">IF(ISBLANK($C122),"",IF(G122=Constants!$B$15,Constants!$B$8,IF(G122=Constants!$B$16,Constants!$B$9,Constants!$B$10)))</f>
        <v/>
      </c>
      <c r="X122" s="59" t="str">
        <f aca="false">IF(ISBLANK($C122),"",IF(H122=Constants!$B$2, TRUE(), IF(H122=Constants!$B$3, FALSE(), TRUE())))</f>
        <v/>
      </c>
      <c r="Y122" s="59" t="str">
        <f aca="false">IF(ISBLANK($C122),"",IF(I122=Constants!$B$19,Constants!$B$19,Constants!$B$18))</f>
        <v/>
      </c>
      <c r="Z122" s="59" t="str">
        <f aca="false">IF(ISBLANK($C122),"",IF(ISNUMBER(J122),IF(J122&gt;=0,J122,""),""))</f>
        <v/>
      </c>
      <c r="AA122" s="59" t="str">
        <f aca="false">IF(ISBLANK($C122),"",IF(K122=Constants!$B$19,Constants!$B$19,Constants!$B$18))</f>
        <v/>
      </c>
      <c r="AB122" s="59" t="str">
        <f aca="false">IF(ISBLANK($C122),"",IF(ISNUMBER(L122),IF(L122&gt;=0,L122,""),""))</f>
        <v/>
      </c>
      <c r="AC122" s="59" t="str">
        <f aca="false">IF(ISBLANK($C122),"",IF(M122=Constants!$B$19,Constants!$B$19,Constants!$B$18))</f>
        <v/>
      </c>
      <c r="AD122" s="59" t="str">
        <f aca="false">IF(ISBLANK($C122),"",IF(ISNUMBER(N122),IF(N122&gt;=0,N122,""),""))</f>
        <v/>
      </c>
      <c r="AE122" s="59" t="str">
        <f aca="false">IF(ISBLANK($C122),"",IF(O122=Constants!$B$19,Constants!$B$19,Constants!$B$18))</f>
        <v/>
      </c>
      <c r="AF122" s="59" t="str">
        <f aca="false">IF(ISBLANK($C122),"",IF(ISNUMBER(P122),IF(P122&gt;=0,P122,""),""))</f>
        <v/>
      </c>
      <c r="AG122" s="59" t="str">
        <f aca="false">IF(ISBLANK($C122),"",IF(Q122=Constants!$B$19,Constants!$B$19,Constants!$B$18))</f>
        <v/>
      </c>
      <c r="AH122" s="59" t="str">
        <f aca="false">IF(ISBLANK($C122),"",IF(ISNUMBER(R122),IF(R122&gt;=0,R122,""),""))</f>
        <v/>
      </c>
      <c r="AI122" s="59" t="str">
        <f aca="false">IF(ISBLANK($C122),"",IF(S122=Constants!$B$2, TRUE(), IF(S122=Constants!$B$3, FALSE(), FALSE())))</f>
        <v/>
      </c>
      <c r="AJ122" s="59" t="str">
        <f aca="false">IF(ISBLANK($C122),"",IF(AI122,Constants!$B$4,IF(COUNTA(E122:R122)=0,Constants!$B$5,IF(COUNTA(J122,L122,N122,P122,R122)=0,Constants!$B$6,Constants!$B$7))))</f>
        <v/>
      </c>
      <c r="AK122" s="59" t="str">
        <f aca="false">IF(ISBLANK($C122),"",IF($AJ122&lt;&gt;Constants!$B$7,$AJ122,IF(OR(NOT(X122),AND(NOT(U122),COUNTIFS(Y122:AG122,Constants!$B$18,Z122:AH122,"&gt;=0")&gt;0),AND(NOT(V122),COUNTIFS(Y122:AG122,Constants!$B$19,Z122:AH122,"&gt;=0")&gt;0)),Constants!$B$12,Constants!$B$11)))</f>
        <v/>
      </c>
      <c r="AL122" s="59" t="str">
        <f aca="false">IF($AJ122=Constants!$B$7,IF(Z122="",Constants!$B$13,Z122),"")</f>
        <v/>
      </c>
      <c r="AM122" s="59" t="str">
        <f aca="false">IF($AJ122=Constants!$B$7,IF(AB122="",Constants!$B$13,AB122),"")</f>
        <v/>
      </c>
      <c r="AN122" s="59" t="str">
        <f aca="false">IF($AJ122=Constants!$B$7,IF(AD122="",Constants!$B$13,AD122),"")</f>
        <v/>
      </c>
      <c r="AO122" s="59" t="str">
        <f aca="false">IF($AJ122=Constants!$B$7,IF(AF122="",Constants!$B$13,AF122),"")</f>
        <v/>
      </c>
      <c r="AP122" s="59" t="str">
        <f aca="false">IF($AJ122=Constants!$B$7,IF(AH122="",Constants!$B$13,AH122),"")</f>
        <v/>
      </c>
      <c r="AQ122" s="59" t="str">
        <f aca="false">IF($AJ122=Constants!$B$7,IF(SUMPRODUCT(--($AL122:$AP122&gt;AL122))+SUMPRODUCT(--($AL122:AL122=AL122))=1,1,IF(SUMPRODUCT(--($AL122:$AP122&gt;AM122))+SUMPRODUCT(--($AL122:AM122=AM122))=1,2,IF(SUMPRODUCT(--($AL122:$AP122&gt;AN122))+SUMPRODUCT(--($AL122:AN122=AN122))=1,3,IF(SUMPRODUCT(--($AL122:$AP122&gt;AO122))+SUMPRODUCT(--($AL122:AO122=AO122))=1,4,5)))),"")</f>
        <v/>
      </c>
      <c r="AR122" s="59" t="str">
        <f aca="false">IF($AJ122=Constants!$B$7,IF(SUMPRODUCT(--($AL122:$AP122&gt;AL122))+SUMPRODUCT(--($AL122:AL122=AL122))=2,1,IF(SUMPRODUCT(--($AL122:$AP122&gt;AM122))+SUMPRODUCT(--($AL122:AM122=AM122))=2,2,IF(SUMPRODUCT(--($AL122:$AP122&gt;AN122))+SUMPRODUCT(--($AL122:AN122=AN122))=2,3,IF(SUMPRODUCT(--($AL122:$AP122&gt;AO122))+SUMPRODUCT(--($AL122:AO122=AO122))=2,4,5)))),"")</f>
        <v/>
      </c>
      <c r="AS122" s="59" t="str">
        <f aca="false">IF($AJ122=Constants!$B$7,IF(SUMPRODUCT(--($AL122:$AP122&gt;AL122))+SUMPRODUCT(--($AL122:AL122=AL122))=3,1,IF(SUMPRODUCT(--($AL122:$AP122&gt;AM122))+SUMPRODUCT(--($AL122:AM122=AM122))=3,2,IF(SUMPRODUCT(--($AL122:$AP122&gt;AN122))+SUMPRODUCT(--($AL122:AN122=AN122))=3,3,IF(SUMPRODUCT(--($AL122:$AP122&gt;AO122))+SUMPRODUCT(--($AL122:AO122=AO122))=3,4,5)))),"")</f>
        <v/>
      </c>
      <c r="AT122" s="59" t="str">
        <f aca="false">IF($AJ122=Constants!$B$7,LARGE(AL122:AP122,1)+LARGE(AL122:AP122,2)+LARGE(AL122:AP122,3),"")</f>
        <v/>
      </c>
      <c r="AU122" s="59" t="str">
        <f aca="false">IF(ISBLANK($C122),"",IF($AJ122&lt;&gt;Constants!$B$7,$AJ122,AT122*W122))</f>
        <v/>
      </c>
      <c r="AV122" s="59" t="str">
        <f aca="false">IF(ISBLANK($C122),"",IF($AJ122=Constants!$B$7,IF(ISNUMBER(AU122),RANK(AU122,$AU$8:$AU$507),Constants!$B$14),$AJ122))</f>
        <v/>
      </c>
      <c r="AW122" s="59" t="str">
        <f aca="false">IF(ISBLANK($C122),"",IF($AJ122=Constants!$B$7,IF(ISNUMBER(AV122),COUNTIFS($AK$8:$AK$507,"&lt;"&amp;$AK122)+COUNTIFS($AK$8:$AK$507,$AK122,$AV$8:$AV$507,"&lt;"&amp;$AV122)+1,Constants!$B$14),$AJ122))</f>
        <v/>
      </c>
      <c r="AX122" s="59" t="str">
        <f aca="false">IF(ISBLANK($C122),"",IF($AJ122=Constants!$B$7,LARGE(AL122:AP122,4)*W122,""))</f>
        <v/>
      </c>
      <c r="AY122" s="59" t="str">
        <f aca="false">IF(ISBLANK($C122),"",IF($AJ122=Constants!$B$7,RANK(AX122,$AX$8:$AX$507),$AJ122))</f>
        <v/>
      </c>
      <c r="AZ122" s="59" t="str">
        <f aca="false">IF(ISBLANK($C122),"",IF($AJ122=Constants!$B$7,IF(ISNUMBER(AV122),COUNTIFS($AK$8:$AK$507,"&lt;"&amp;$AK122)+COUNTIFS($AK$8:$AK$507,$AK122,$AV$8:$AV$507,"&lt;"&amp;$AV122)+COUNTIFS($AK$8:$AK$507,$AK122,$AV$8:$AV$507,$AV122,$AY$8:$AY$507,"&lt;"&amp;$AY122)+1,Constants!$B$14),$AJ122))</f>
        <v/>
      </c>
      <c r="BA122" s="59" t="str">
        <f aca="false">IF(ISBLANK($C122),"",IF($AJ122=Constants!$B$7,IF(ISNUMBER(AW122),AW122-AZ122,Constants!$B$14),$AJ122))</f>
        <v/>
      </c>
      <c r="BB122" s="61"/>
      <c r="BC122" s="62" t="str">
        <f aca="false">IF(ISBLANK($C122),"",IF($AJ122&lt;&gt;Constants!$B$7,$AJ122,SMALL(AQ122:AS122,1)&amp;", "&amp;SMALL(AQ122:AS122,2)&amp;", "&amp;SMALL(AQ122:AS122,3)))</f>
        <v/>
      </c>
      <c r="BD122" s="63" t="str">
        <f aca="false">IF(ISBLANK($C122),"",IF($AJ122&lt;&gt;Constants!$B$7,$AJ122,W122))</f>
        <v/>
      </c>
      <c r="BE122" s="64" t="str">
        <f aca="false">IF(ISBLANK($C122),"",IF($AJ122&lt;&gt;Constants!$B$7,$AJ122,AU122))</f>
        <v/>
      </c>
      <c r="BF122" s="65" t="str">
        <f aca="false">IF(ISBLANK($C122),"",IF($AJ122&lt;&gt;Constants!$B$7,$AJ122,AK122))</f>
        <v/>
      </c>
      <c r="BG122" s="63" t="str">
        <f aca="false">IF(ISBLANK($C122),"",BA122)</f>
        <v/>
      </c>
      <c r="BH122" s="63" t="str">
        <f aca="false">IF(ISBLANK($C122),"",AZ122)</f>
        <v/>
      </c>
      <c r="BI122" s="66" t="str">
        <f aca="false">IF(ISBLANK($C122),"",IF(BH122=Constants!$B$4,COUNTA($C$8:$C$507)+2,IF(BH122=Constants!$B$5,COUNTA($C$8:$C$507)+1,IF(BH122=Constants!$B$6,COUNTA($C$8:$C$507),BH122))))</f>
        <v/>
      </c>
      <c r="BJ122" s="5"/>
      <c r="BK122" s="67" t="n">
        <f aca="false">IF(OR(ISNUMBER(BH122),BH122=Constants!$B$4,BH122=Constants!$B$6,BH122=Constants!$B$5),1,0)</f>
        <v>0</v>
      </c>
      <c r="BL122" s="67" t="n">
        <v>115</v>
      </c>
      <c r="BM122" s="67" t="str">
        <f aca="false">IF(ISBLANK($C122),"",IF(ISNUMBER(BI122),BI122+ROW($B122)/1000,""))</f>
        <v/>
      </c>
      <c r="BN122" s="67" t="str">
        <f aca="false">IF(ISNUMBER(BM122),RANK(BM122,$BM$8:$BM$507,1),"")</f>
        <v/>
      </c>
      <c r="BO122" s="67" t="str">
        <f aca="false">IF(ISBLANK($C122),"",$B122)</f>
        <v/>
      </c>
      <c r="BP122" s="67" t="str">
        <f aca="false">IF(ISBLANK($C122),"",$C122)</f>
        <v/>
      </c>
      <c r="BQ122" s="67" t="str">
        <f aca="false">IF(ISBLANK($C122),"",$D122)</f>
        <v/>
      </c>
      <c r="BR122" s="68" t="str">
        <f aca="false">BF122</f>
        <v/>
      </c>
      <c r="BS122" s="69" t="str">
        <f aca="false">BE122</f>
        <v/>
      </c>
      <c r="BT122" s="67" t="str">
        <f aca="false">IF(ISBLANK($C122),"",BH122)</f>
        <v/>
      </c>
      <c r="BU122" s="70" t="str">
        <f aca="false">IF($BL122&gt;$BK$7,"",VLOOKUP($BL122,$BN$8:$BT$507,7,FALSE()))</f>
        <v/>
      </c>
      <c r="BV122" s="71" t="str">
        <f aca="false">IF($BL122&gt;$BK$7,"",VLOOKUP($BL122,$BN$8:$BT$507,2,FALSE()))</f>
        <v/>
      </c>
      <c r="BW122" s="71" t="str">
        <f aca="false">IF($BL122&gt;$BK$7,"",VLOOKUP($BL122,$BN$8:$BT$507,3,FALSE()))</f>
        <v/>
      </c>
      <c r="BX122" s="71" t="str">
        <f aca="false">IF($BL122&gt;$BK$7,"",VLOOKUP($BL122,$BN$8:$BT$507,4,FALSE()))</f>
        <v/>
      </c>
      <c r="BY122" s="71" t="str">
        <f aca="false">IF($BL122&gt;$BK$7,"",VLOOKUP($BL122,$BN$8:$BT$507,5,FALSE()))</f>
        <v/>
      </c>
      <c r="BZ122" s="72" t="str">
        <f aca="false">IF($BL122&gt;$BK$7,"",VLOOKUP($BL122,$BN$8:$BT$507,6,FALSE()))</f>
        <v/>
      </c>
      <c r="CA122" s="48"/>
    </row>
    <row r="123" customFormat="false" ht="15.75" hidden="false" customHeight="false" outlineLevel="0" collapsed="false">
      <c r="A123" s="5"/>
      <c r="B123" s="121"/>
      <c r="C123" s="50"/>
      <c r="D123" s="51"/>
      <c r="E123" s="74"/>
      <c r="F123" s="122"/>
      <c r="G123" s="54"/>
      <c r="H123" s="123"/>
      <c r="I123" s="124"/>
      <c r="J123" s="54"/>
      <c r="K123" s="123"/>
      <c r="L123" s="54"/>
      <c r="M123" s="123"/>
      <c r="N123" s="54"/>
      <c r="O123" s="123"/>
      <c r="P123" s="54"/>
      <c r="Q123" s="123"/>
      <c r="R123" s="54"/>
      <c r="S123" s="74"/>
      <c r="T123" s="58"/>
      <c r="U123" s="59" t="str">
        <f aca="false">IF(ISBLANK($C123),"",IF(E123=Constants!$B$2, TRUE(), IF(E123=Constants!$B$3, FALSE(), TRUE())))</f>
        <v/>
      </c>
      <c r="V123" s="59" t="str">
        <f aca="false">IF(ISBLANK($C123),"",IF(F123=Constants!$B$2, TRUE(), IF(F123=Constants!$B$3, FALSE(), TRUE())))</f>
        <v/>
      </c>
      <c r="W123" s="59" t="str">
        <f aca="false">IF(ISBLANK($C123),"",IF(G123=Constants!$B$15,Constants!$B$8,IF(G123=Constants!$B$16,Constants!$B$9,Constants!$B$10)))</f>
        <v/>
      </c>
      <c r="X123" s="59" t="str">
        <f aca="false">IF(ISBLANK($C123),"",IF(H123=Constants!$B$2, TRUE(), IF(H123=Constants!$B$3, FALSE(), TRUE())))</f>
        <v/>
      </c>
      <c r="Y123" s="59" t="str">
        <f aca="false">IF(ISBLANK($C123),"",IF(I123=Constants!$B$19,Constants!$B$19,Constants!$B$18))</f>
        <v/>
      </c>
      <c r="Z123" s="59" t="str">
        <f aca="false">IF(ISBLANK($C123),"",IF(ISNUMBER(J123),IF(J123&gt;=0,J123,""),""))</f>
        <v/>
      </c>
      <c r="AA123" s="59" t="str">
        <f aca="false">IF(ISBLANK($C123),"",IF(K123=Constants!$B$19,Constants!$B$19,Constants!$B$18))</f>
        <v/>
      </c>
      <c r="AB123" s="59" t="str">
        <f aca="false">IF(ISBLANK($C123),"",IF(ISNUMBER(L123),IF(L123&gt;=0,L123,""),""))</f>
        <v/>
      </c>
      <c r="AC123" s="59" t="str">
        <f aca="false">IF(ISBLANK($C123),"",IF(M123=Constants!$B$19,Constants!$B$19,Constants!$B$18))</f>
        <v/>
      </c>
      <c r="AD123" s="59" t="str">
        <f aca="false">IF(ISBLANK($C123),"",IF(ISNUMBER(N123),IF(N123&gt;=0,N123,""),""))</f>
        <v/>
      </c>
      <c r="AE123" s="59" t="str">
        <f aca="false">IF(ISBLANK($C123),"",IF(O123=Constants!$B$19,Constants!$B$19,Constants!$B$18))</f>
        <v/>
      </c>
      <c r="AF123" s="59" t="str">
        <f aca="false">IF(ISBLANK($C123),"",IF(ISNUMBER(P123),IF(P123&gt;=0,P123,""),""))</f>
        <v/>
      </c>
      <c r="AG123" s="59" t="str">
        <f aca="false">IF(ISBLANK($C123),"",IF(Q123=Constants!$B$19,Constants!$B$19,Constants!$B$18))</f>
        <v/>
      </c>
      <c r="AH123" s="59" t="str">
        <f aca="false">IF(ISBLANK($C123),"",IF(ISNUMBER(R123),IF(R123&gt;=0,R123,""),""))</f>
        <v/>
      </c>
      <c r="AI123" s="59" t="str">
        <f aca="false">IF(ISBLANK($C123),"",IF(S123=Constants!$B$2, TRUE(), IF(S123=Constants!$B$3, FALSE(), FALSE())))</f>
        <v/>
      </c>
      <c r="AJ123" s="59" t="str">
        <f aca="false">IF(ISBLANK($C123),"",IF(AI123,Constants!$B$4,IF(COUNTA(E123:R123)=0,Constants!$B$5,IF(COUNTA(J123,L123,N123,P123,R123)=0,Constants!$B$6,Constants!$B$7))))</f>
        <v/>
      </c>
      <c r="AK123" s="59" t="str">
        <f aca="false">IF(ISBLANK($C123),"",IF($AJ123&lt;&gt;Constants!$B$7,$AJ123,IF(OR(NOT(X123),AND(NOT(U123),COUNTIFS(Y123:AG123,Constants!$B$18,Z123:AH123,"&gt;=0")&gt;0),AND(NOT(V123),COUNTIFS(Y123:AG123,Constants!$B$19,Z123:AH123,"&gt;=0")&gt;0)),Constants!$B$12,Constants!$B$11)))</f>
        <v/>
      </c>
      <c r="AL123" s="59" t="str">
        <f aca="false">IF($AJ123=Constants!$B$7,IF(Z123="",Constants!$B$13,Z123),"")</f>
        <v/>
      </c>
      <c r="AM123" s="59" t="str">
        <f aca="false">IF($AJ123=Constants!$B$7,IF(AB123="",Constants!$B$13,AB123),"")</f>
        <v/>
      </c>
      <c r="AN123" s="59" t="str">
        <f aca="false">IF($AJ123=Constants!$B$7,IF(AD123="",Constants!$B$13,AD123),"")</f>
        <v/>
      </c>
      <c r="AO123" s="59" t="str">
        <f aca="false">IF($AJ123=Constants!$B$7,IF(AF123="",Constants!$B$13,AF123),"")</f>
        <v/>
      </c>
      <c r="AP123" s="59" t="str">
        <f aca="false">IF($AJ123=Constants!$B$7,IF(AH123="",Constants!$B$13,AH123),"")</f>
        <v/>
      </c>
      <c r="AQ123" s="59" t="str">
        <f aca="false">IF($AJ123=Constants!$B$7,IF(SUMPRODUCT(--($AL123:$AP123&gt;AL123))+SUMPRODUCT(--($AL123:AL123=AL123))=1,1,IF(SUMPRODUCT(--($AL123:$AP123&gt;AM123))+SUMPRODUCT(--($AL123:AM123=AM123))=1,2,IF(SUMPRODUCT(--($AL123:$AP123&gt;AN123))+SUMPRODUCT(--($AL123:AN123=AN123))=1,3,IF(SUMPRODUCT(--($AL123:$AP123&gt;AO123))+SUMPRODUCT(--($AL123:AO123=AO123))=1,4,5)))),"")</f>
        <v/>
      </c>
      <c r="AR123" s="59" t="str">
        <f aca="false">IF($AJ123=Constants!$B$7,IF(SUMPRODUCT(--($AL123:$AP123&gt;AL123))+SUMPRODUCT(--($AL123:AL123=AL123))=2,1,IF(SUMPRODUCT(--($AL123:$AP123&gt;AM123))+SUMPRODUCT(--($AL123:AM123=AM123))=2,2,IF(SUMPRODUCT(--($AL123:$AP123&gt;AN123))+SUMPRODUCT(--($AL123:AN123=AN123))=2,3,IF(SUMPRODUCT(--($AL123:$AP123&gt;AO123))+SUMPRODUCT(--($AL123:AO123=AO123))=2,4,5)))),"")</f>
        <v/>
      </c>
      <c r="AS123" s="59" t="str">
        <f aca="false">IF($AJ123=Constants!$B$7,IF(SUMPRODUCT(--($AL123:$AP123&gt;AL123))+SUMPRODUCT(--($AL123:AL123=AL123))=3,1,IF(SUMPRODUCT(--($AL123:$AP123&gt;AM123))+SUMPRODUCT(--($AL123:AM123=AM123))=3,2,IF(SUMPRODUCT(--($AL123:$AP123&gt;AN123))+SUMPRODUCT(--($AL123:AN123=AN123))=3,3,IF(SUMPRODUCT(--($AL123:$AP123&gt;AO123))+SUMPRODUCT(--($AL123:AO123=AO123))=3,4,5)))),"")</f>
        <v/>
      </c>
      <c r="AT123" s="59" t="str">
        <f aca="false">IF($AJ123=Constants!$B$7,LARGE(AL123:AP123,1)+LARGE(AL123:AP123,2)+LARGE(AL123:AP123,3),"")</f>
        <v/>
      </c>
      <c r="AU123" s="59" t="str">
        <f aca="false">IF(ISBLANK($C123),"",IF($AJ123&lt;&gt;Constants!$B$7,$AJ123,AT123*W123))</f>
        <v/>
      </c>
      <c r="AV123" s="59" t="str">
        <f aca="false">IF(ISBLANK($C123),"",IF($AJ123=Constants!$B$7,IF(ISNUMBER(AU123),RANK(AU123,$AU$8:$AU$507),Constants!$B$14),$AJ123))</f>
        <v/>
      </c>
      <c r="AW123" s="59" t="str">
        <f aca="false">IF(ISBLANK($C123),"",IF($AJ123=Constants!$B$7,IF(ISNUMBER(AV123),COUNTIFS($AK$8:$AK$507,"&lt;"&amp;$AK123)+COUNTIFS($AK$8:$AK$507,$AK123,$AV$8:$AV$507,"&lt;"&amp;$AV123)+1,Constants!$B$14),$AJ123))</f>
        <v/>
      </c>
      <c r="AX123" s="59" t="str">
        <f aca="false">IF(ISBLANK($C123),"",IF($AJ123=Constants!$B$7,LARGE(AL123:AP123,4)*W123,""))</f>
        <v/>
      </c>
      <c r="AY123" s="59" t="str">
        <f aca="false">IF(ISBLANK($C123),"",IF($AJ123=Constants!$B$7,RANK(AX123,$AX$8:$AX$507),$AJ123))</f>
        <v/>
      </c>
      <c r="AZ123" s="59" t="str">
        <f aca="false">IF(ISBLANK($C123),"",IF($AJ123=Constants!$B$7,IF(ISNUMBER(AV123),COUNTIFS($AK$8:$AK$507,"&lt;"&amp;$AK123)+COUNTIFS($AK$8:$AK$507,$AK123,$AV$8:$AV$507,"&lt;"&amp;$AV123)+COUNTIFS($AK$8:$AK$507,$AK123,$AV$8:$AV$507,$AV123,$AY$8:$AY$507,"&lt;"&amp;$AY123)+1,Constants!$B$14),$AJ123))</f>
        <v/>
      </c>
      <c r="BA123" s="59" t="str">
        <f aca="false">IF(ISBLANK($C123),"",IF($AJ123=Constants!$B$7,IF(ISNUMBER(AW123),AW123-AZ123,Constants!$B$14),$AJ123))</f>
        <v/>
      </c>
      <c r="BB123" s="61"/>
      <c r="BC123" s="62" t="str">
        <f aca="false">IF(ISBLANK($C123),"",IF($AJ123&lt;&gt;Constants!$B$7,$AJ123,SMALL(AQ123:AS123,1)&amp;", "&amp;SMALL(AQ123:AS123,2)&amp;", "&amp;SMALL(AQ123:AS123,3)))</f>
        <v/>
      </c>
      <c r="BD123" s="63" t="str">
        <f aca="false">IF(ISBLANK($C123),"",IF($AJ123&lt;&gt;Constants!$B$7,$AJ123,W123))</f>
        <v/>
      </c>
      <c r="BE123" s="64" t="str">
        <f aca="false">IF(ISBLANK($C123),"",IF($AJ123&lt;&gt;Constants!$B$7,$AJ123,AU123))</f>
        <v/>
      </c>
      <c r="BF123" s="65" t="str">
        <f aca="false">IF(ISBLANK($C123),"",IF($AJ123&lt;&gt;Constants!$B$7,$AJ123,AK123))</f>
        <v/>
      </c>
      <c r="BG123" s="63" t="str">
        <f aca="false">IF(ISBLANK($C123),"",BA123)</f>
        <v/>
      </c>
      <c r="BH123" s="63" t="str">
        <f aca="false">IF(ISBLANK($C123),"",AZ123)</f>
        <v/>
      </c>
      <c r="BI123" s="66" t="str">
        <f aca="false">IF(ISBLANK($C123),"",IF(BH123=Constants!$B$4,COUNTA($C$8:$C$507)+2,IF(BH123=Constants!$B$5,COUNTA($C$8:$C$507)+1,IF(BH123=Constants!$B$6,COUNTA($C$8:$C$507),BH123))))</f>
        <v/>
      </c>
      <c r="BJ123" s="5"/>
      <c r="BK123" s="67" t="n">
        <f aca="false">IF(OR(ISNUMBER(BH123),BH123=Constants!$B$4,BH123=Constants!$B$6,BH123=Constants!$B$5),1,0)</f>
        <v>0</v>
      </c>
      <c r="BL123" s="67" t="n">
        <v>116</v>
      </c>
      <c r="BM123" s="67" t="str">
        <f aca="false">IF(ISBLANK($C123),"",IF(ISNUMBER(BI123),BI123+ROW($B123)/1000,""))</f>
        <v/>
      </c>
      <c r="BN123" s="67" t="str">
        <f aca="false">IF(ISNUMBER(BM123),RANK(BM123,$BM$8:$BM$507,1),"")</f>
        <v/>
      </c>
      <c r="BO123" s="67" t="str">
        <f aca="false">IF(ISBLANK($C123),"",$B123)</f>
        <v/>
      </c>
      <c r="BP123" s="67" t="str">
        <f aca="false">IF(ISBLANK($C123),"",$C123)</f>
        <v/>
      </c>
      <c r="BQ123" s="67" t="str">
        <f aca="false">IF(ISBLANK($C123),"",$D123)</f>
        <v/>
      </c>
      <c r="BR123" s="68" t="str">
        <f aca="false">BF123</f>
        <v/>
      </c>
      <c r="BS123" s="69" t="str">
        <f aca="false">BE123</f>
        <v/>
      </c>
      <c r="BT123" s="67" t="str">
        <f aca="false">IF(ISBLANK($C123),"",BH123)</f>
        <v/>
      </c>
      <c r="BU123" s="70" t="str">
        <f aca="false">IF($BL123&gt;$BK$7,"",VLOOKUP($BL123,$BN$8:$BT$507,7,FALSE()))</f>
        <v/>
      </c>
      <c r="BV123" s="71" t="str">
        <f aca="false">IF($BL123&gt;$BK$7,"",VLOOKUP($BL123,$BN$8:$BT$507,2,FALSE()))</f>
        <v/>
      </c>
      <c r="BW123" s="71" t="str">
        <f aca="false">IF($BL123&gt;$BK$7,"",VLOOKUP($BL123,$BN$8:$BT$507,3,FALSE()))</f>
        <v/>
      </c>
      <c r="BX123" s="71" t="str">
        <f aca="false">IF($BL123&gt;$BK$7,"",VLOOKUP($BL123,$BN$8:$BT$507,4,FALSE()))</f>
        <v/>
      </c>
      <c r="BY123" s="71" t="str">
        <f aca="false">IF($BL123&gt;$BK$7,"",VLOOKUP($BL123,$BN$8:$BT$507,5,FALSE()))</f>
        <v/>
      </c>
      <c r="BZ123" s="72" t="str">
        <f aca="false">IF($BL123&gt;$BK$7,"",VLOOKUP($BL123,$BN$8:$BT$507,6,FALSE()))</f>
        <v/>
      </c>
      <c r="CA123" s="48"/>
    </row>
    <row r="124" customFormat="false" ht="15.75" hidden="false" customHeight="false" outlineLevel="0" collapsed="false">
      <c r="A124" s="5"/>
      <c r="B124" s="121"/>
      <c r="C124" s="50"/>
      <c r="D124" s="51"/>
      <c r="E124" s="74"/>
      <c r="F124" s="122"/>
      <c r="G124" s="54"/>
      <c r="H124" s="123"/>
      <c r="I124" s="124"/>
      <c r="J124" s="54"/>
      <c r="K124" s="123"/>
      <c r="L124" s="54"/>
      <c r="M124" s="123"/>
      <c r="N124" s="54"/>
      <c r="O124" s="123"/>
      <c r="P124" s="54"/>
      <c r="Q124" s="123"/>
      <c r="R124" s="54"/>
      <c r="S124" s="74"/>
      <c r="T124" s="58"/>
      <c r="U124" s="59" t="str">
        <f aca="false">IF(ISBLANK($C124),"",IF(E124=Constants!$B$2, TRUE(), IF(E124=Constants!$B$3, FALSE(), TRUE())))</f>
        <v/>
      </c>
      <c r="V124" s="59" t="str">
        <f aca="false">IF(ISBLANK($C124),"",IF(F124=Constants!$B$2, TRUE(), IF(F124=Constants!$B$3, FALSE(), TRUE())))</f>
        <v/>
      </c>
      <c r="W124" s="59" t="str">
        <f aca="false">IF(ISBLANK($C124),"",IF(G124=Constants!$B$15,Constants!$B$8,IF(G124=Constants!$B$16,Constants!$B$9,Constants!$B$10)))</f>
        <v/>
      </c>
      <c r="X124" s="59" t="str">
        <f aca="false">IF(ISBLANK($C124),"",IF(H124=Constants!$B$2, TRUE(), IF(H124=Constants!$B$3, FALSE(), TRUE())))</f>
        <v/>
      </c>
      <c r="Y124" s="59" t="str">
        <f aca="false">IF(ISBLANK($C124),"",IF(I124=Constants!$B$19,Constants!$B$19,Constants!$B$18))</f>
        <v/>
      </c>
      <c r="Z124" s="59" t="str">
        <f aca="false">IF(ISBLANK($C124),"",IF(ISNUMBER(J124),IF(J124&gt;=0,J124,""),""))</f>
        <v/>
      </c>
      <c r="AA124" s="59" t="str">
        <f aca="false">IF(ISBLANK($C124),"",IF(K124=Constants!$B$19,Constants!$B$19,Constants!$B$18))</f>
        <v/>
      </c>
      <c r="AB124" s="59" t="str">
        <f aca="false">IF(ISBLANK($C124),"",IF(ISNUMBER(L124),IF(L124&gt;=0,L124,""),""))</f>
        <v/>
      </c>
      <c r="AC124" s="59" t="str">
        <f aca="false">IF(ISBLANK($C124),"",IF(M124=Constants!$B$19,Constants!$B$19,Constants!$B$18))</f>
        <v/>
      </c>
      <c r="AD124" s="59" t="str">
        <f aca="false">IF(ISBLANK($C124),"",IF(ISNUMBER(N124),IF(N124&gt;=0,N124,""),""))</f>
        <v/>
      </c>
      <c r="AE124" s="59" t="str">
        <f aca="false">IF(ISBLANK($C124),"",IF(O124=Constants!$B$19,Constants!$B$19,Constants!$B$18))</f>
        <v/>
      </c>
      <c r="AF124" s="59" t="str">
        <f aca="false">IF(ISBLANK($C124),"",IF(ISNUMBER(P124),IF(P124&gt;=0,P124,""),""))</f>
        <v/>
      </c>
      <c r="AG124" s="59" t="str">
        <f aca="false">IF(ISBLANK($C124),"",IF(Q124=Constants!$B$19,Constants!$B$19,Constants!$B$18))</f>
        <v/>
      </c>
      <c r="AH124" s="59" t="str">
        <f aca="false">IF(ISBLANK($C124),"",IF(ISNUMBER(R124),IF(R124&gt;=0,R124,""),""))</f>
        <v/>
      </c>
      <c r="AI124" s="59" t="str">
        <f aca="false">IF(ISBLANK($C124),"",IF(S124=Constants!$B$2, TRUE(), IF(S124=Constants!$B$3, FALSE(), FALSE())))</f>
        <v/>
      </c>
      <c r="AJ124" s="59" t="str">
        <f aca="false">IF(ISBLANK($C124),"",IF(AI124,Constants!$B$4,IF(COUNTA(E124:R124)=0,Constants!$B$5,IF(COUNTA(J124,L124,N124,P124,R124)=0,Constants!$B$6,Constants!$B$7))))</f>
        <v/>
      </c>
      <c r="AK124" s="59" t="str">
        <f aca="false">IF(ISBLANK($C124),"",IF($AJ124&lt;&gt;Constants!$B$7,$AJ124,IF(OR(NOT(X124),AND(NOT(U124),COUNTIFS(Y124:AG124,Constants!$B$18,Z124:AH124,"&gt;=0")&gt;0),AND(NOT(V124),COUNTIFS(Y124:AG124,Constants!$B$19,Z124:AH124,"&gt;=0")&gt;0)),Constants!$B$12,Constants!$B$11)))</f>
        <v/>
      </c>
      <c r="AL124" s="59" t="str">
        <f aca="false">IF($AJ124=Constants!$B$7,IF(Z124="",Constants!$B$13,Z124),"")</f>
        <v/>
      </c>
      <c r="AM124" s="59" t="str">
        <f aca="false">IF($AJ124=Constants!$B$7,IF(AB124="",Constants!$B$13,AB124),"")</f>
        <v/>
      </c>
      <c r="AN124" s="59" t="str">
        <f aca="false">IF($AJ124=Constants!$B$7,IF(AD124="",Constants!$B$13,AD124),"")</f>
        <v/>
      </c>
      <c r="AO124" s="59" t="str">
        <f aca="false">IF($AJ124=Constants!$B$7,IF(AF124="",Constants!$B$13,AF124),"")</f>
        <v/>
      </c>
      <c r="AP124" s="59" t="str">
        <f aca="false">IF($AJ124=Constants!$B$7,IF(AH124="",Constants!$B$13,AH124),"")</f>
        <v/>
      </c>
      <c r="AQ124" s="59" t="str">
        <f aca="false">IF($AJ124=Constants!$B$7,IF(SUMPRODUCT(--($AL124:$AP124&gt;AL124))+SUMPRODUCT(--($AL124:AL124=AL124))=1,1,IF(SUMPRODUCT(--($AL124:$AP124&gt;AM124))+SUMPRODUCT(--($AL124:AM124=AM124))=1,2,IF(SUMPRODUCT(--($AL124:$AP124&gt;AN124))+SUMPRODUCT(--($AL124:AN124=AN124))=1,3,IF(SUMPRODUCT(--($AL124:$AP124&gt;AO124))+SUMPRODUCT(--($AL124:AO124=AO124))=1,4,5)))),"")</f>
        <v/>
      </c>
      <c r="AR124" s="59" t="str">
        <f aca="false">IF($AJ124=Constants!$B$7,IF(SUMPRODUCT(--($AL124:$AP124&gt;AL124))+SUMPRODUCT(--($AL124:AL124=AL124))=2,1,IF(SUMPRODUCT(--($AL124:$AP124&gt;AM124))+SUMPRODUCT(--($AL124:AM124=AM124))=2,2,IF(SUMPRODUCT(--($AL124:$AP124&gt;AN124))+SUMPRODUCT(--($AL124:AN124=AN124))=2,3,IF(SUMPRODUCT(--($AL124:$AP124&gt;AO124))+SUMPRODUCT(--($AL124:AO124=AO124))=2,4,5)))),"")</f>
        <v/>
      </c>
      <c r="AS124" s="59" t="str">
        <f aca="false">IF($AJ124=Constants!$B$7,IF(SUMPRODUCT(--($AL124:$AP124&gt;AL124))+SUMPRODUCT(--($AL124:AL124=AL124))=3,1,IF(SUMPRODUCT(--($AL124:$AP124&gt;AM124))+SUMPRODUCT(--($AL124:AM124=AM124))=3,2,IF(SUMPRODUCT(--($AL124:$AP124&gt;AN124))+SUMPRODUCT(--($AL124:AN124=AN124))=3,3,IF(SUMPRODUCT(--($AL124:$AP124&gt;AO124))+SUMPRODUCT(--($AL124:AO124=AO124))=3,4,5)))),"")</f>
        <v/>
      </c>
      <c r="AT124" s="59" t="str">
        <f aca="false">IF($AJ124=Constants!$B$7,LARGE(AL124:AP124,1)+LARGE(AL124:AP124,2)+LARGE(AL124:AP124,3),"")</f>
        <v/>
      </c>
      <c r="AU124" s="59" t="str">
        <f aca="false">IF(ISBLANK($C124),"",IF($AJ124&lt;&gt;Constants!$B$7,$AJ124,AT124*W124))</f>
        <v/>
      </c>
      <c r="AV124" s="59" t="str">
        <f aca="false">IF(ISBLANK($C124),"",IF($AJ124=Constants!$B$7,IF(ISNUMBER(AU124),RANK(AU124,$AU$8:$AU$507),Constants!$B$14),$AJ124))</f>
        <v/>
      </c>
      <c r="AW124" s="59" t="str">
        <f aca="false">IF(ISBLANK($C124),"",IF($AJ124=Constants!$B$7,IF(ISNUMBER(AV124),COUNTIFS($AK$8:$AK$507,"&lt;"&amp;$AK124)+COUNTIFS($AK$8:$AK$507,$AK124,$AV$8:$AV$507,"&lt;"&amp;$AV124)+1,Constants!$B$14),$AJ124))</f>
        <v/>
      </c>
      <c r="AX124" s="59" t="str">
        <f aca="false">IF(ISBLANK($C124),"",IF($AJ124=Constants!$B$7,LARGE(AL124:AP124,4)*W124,""))</f>
        <v/>
      </c>
      <c r="AY124" s="59" t="str">
        <f aca="false">IF(ISBLANK($C124),"",IF($AJ124=Constants!$B$7,RANK(AX124,$AX$8:$AX$507),$AJ124))</f>
        <v/>
      </c>
      <c r="AZ124" s="59" t="str">
        <f aca="false">IF(ISBLANK($C124),"",IF($AJ124=Constants!$B$7,IF(ISNUMBER(AV124),COUNTIFS($AK$8:$AK$507,"&lt;"&amp;$AK124)+COUNTIFS($AK$8:$AK$507,$AK124,$AV$8:$AV$507,"&lt;"&amp;$AV124)+COUNTIFS($AK$8:$AK$507,$AK124,$AV$8:$AV$507,$AV124,$AY$8:$AY$507,"&lt;"&amp;$AY124)+1,Constants!$B$14),$AJ124))</f>
        <v/>
      </c>
      <c r="BA124" s="59" t="str">
        <f aca="false">IF(ISBLANK($C124),"",IF($AJ124=Constants!$B$7,IF(ISNUMBER(AW124),AW124-AZ124,Constants!$B$14),$AJ124))</f>
        <v/>
      </c>
      <c r="BB124" s="61"/>
      <c r="BC124" s="62" t="str">
        <f aca="false">IF(ISBLANK($C124),"",IF($AJ124&lt;&gt;Constants!$B$7,$AJ124,SMALL(AQ124:AS124,1)&amp;", "&amp;SMALL(AQ124:AS124,2)&amp;", "&amp;SMALL(AQ124:AS124,3)))</f>
        <v/>
      </c>
      <c r="BD124" s="63" t="str">
        <f aca="false">IF(ISBLANK($C124),"",IF($AJ124&lt;&gt;Constants!$B$7,$AJ124,W124))</f>
        <v/>
      </c>
      <c r="BE124" s="64" t="str">
        <f aca="false">IF(ISBLANK($C124),"",IF($AJ124&lt;&gt;Constants!$B$7,$AJ124,AU124))</f>
        <v/>
      </c>
      <c r="BF124" s="65" t="str">
        <f aca="false">IF(ISBLANK($C124),"",IF($AJ124&lt;&gt;Constants!$B$7,$AJ124,AK124))</f>
        <v/>
      </c>
      <c r="BG124" s="63" t="str">
        <f aca="false">IF(ISBLANK($C124),"",BA124)</f>
        <v/>
      </c>
      <c r="BH124" s="63" t="str">
        <f aca="false">IF(ISBLANK($C124),"",AZ124)</f>
        <v/>
      </c>
      <c r="BI124" s="66" t="str">
        <f aca="false">IF(ISBLANK($C124),"",IF(BH124=Constants!$B$4,COUNTA($C$8:$C$507)+2,IF(BH124=Constants!$B$5,COUNTA($C$8:$C$507)+1,IF(BH124=Constants!$B$6,COUNTA($C$8:$C$507),BH124))))</f>
        <v/>
      </c>
      <c r="BJ124" s="5"/>
      <c r="BK124" s="67" t="n">
        <f aca="false">IF(OR(ISNUMBER(BH124),BH124=Constants!$B$4,BH124=Constants!$B$6,BH124=Constants!$B$5),1,0)</f>
        <v>0</v>
      </c>
      <c r="BL124" s="67" t="n">
        <v>117</v>
      </c>
      <c r="BM124" s="67" t="str">
        <f aca="false">IF(ISBLANK($C124),"",IF(ISNUMBER(BI124),BI124+ROW($B124)/1000,""))</f>
        <v/>
      </c>
      <c r="BN124" s="67" t="str">
        <f aca="false">IF(ISNUMBER(BM124),RANK(BM124,$BM$8:$BM$507,1),"")</f>
        <v/>
      </c>
      <c r="BO124" s="67" t="str">
        <f aca="false">IF(ISBLANK($C124),"",$B124)</f>
        <v/>
      </c>
      <c r="BP124" s="67" t="str">
        <f aca="false">IF(ISBLANK($C124),"",$C124)</f>
        <v/>
      </c>
      <c r="BQ124" s="67" t="str">
        <f aca="false">IF(ISBLANK($C124),"",$D124)</f>
        <v/>
      </c>
      <c r="BR124" s="68" t="str">
        <f aca="false">BF124</f>
        <v/>
      </c>
      <c r="BS124" s="69" t="str">
        <f aca="false">BE124</f>
        <v/>
      </c>
      <c r="BT124" s="67" t="str">
        <f aca="false">IF(ISBLANK($C124),"",BH124)</f>
        <v/>
      </c>
      <c r="BU124" s="70" t="str">
        <f aca="false">IF($BL124&gt;$BK$7,"",VLOOKUP($BL124,$BN$8:$BT$507,7,FALSE()))</f>
        <v/>
      </c>
      <c r="BV124" s="71" t="str">
        <f aca="false">IF($BL124&gt;$BK$7,"",VLOOKUP($BL124,$BN$8:$BT$507,2,FALSE()))</f>
        <v/>
      </c>
      <c r="BW124" s="71" t="str">
        <f aca="false">IF($BL124&gt;$BK$7,"",VLOOKUP($BL124,$BN$8:$BT$507,3,FALSE()))</f>
        <v/>
      </c>
      <c r="BX124" s="71" t="str">
        <f aca="false">IF($BL124&gt;$BK$7,"",VLOOKUP($BL124,$BN$8:$BT$507,4,FALSE()))</f>
        <v/>
      </c>
      <c r="BY124" s="71" t="str">
        <f aca="false">IF($BL124&gt;$BK$7,"",VLOOKUP($BL124,$BN$8:$BT$507,5,FALSE()))</f>
        <v/>
      </c>
      <c r="BZ124" s="72" t="str">
        <f aca="false">IF($BL124&gt;$BK$7,"",VLOOKUP($BL124,$BN$8:$BT$507,6,FALSE()))</f>
        <v/>
      </c>
      <c r="CA124" s="48"/>
    </row>
    <row r="125" customFormat="false" ht="15.75" hidden="false" customHeight="false" outlineLevel="0" collapsed="false">
      <c r="A125" s="5"/>
      <c r="B125" s="114"/>
      <c r="C125" s="115"/>
      <c r="D125" s="100"/>
      <c r="E125" s="120"/>
      <c r="F125" s="125"/>
      <c r="G125" s="82"/>
      <c r="H125" s="126"/>
      <c r="I125" s="127"/>
      <c r="J125" s="82"/>
      <c r="K125" s="126"/>
      <c r="L125" s="82"/>
      <c r="M125" s="126"/>
      <c r="N125" s="82"/>
      <c r="O125" s="126"/>
      <c r="P125" s="82"/>
      <c r="Q125" s="126"/>
      <c r="R125" s="82"/>
      <c r="S125" s="120"/>
      <c r="T125" s="86"/>
      <c r="U125" s="87" t="str">
        <f aca="false">IF(ISBLANK($C125),"",IF(E125=Constants!$B$2, TRUE(), IF(E125=Constants!$B$3, FALSE(), TRUE())))</f>
        <v/>
      </c>
      <c r="V125" s="87" t="str">
        <f aca="false">IF(ISBLANK($C125),"",IF(F125=Constants!$B$2, TRUE(), IF(F125=Constants!$B$3, FALSE(), TRUE())))</f>
        <v/>
      </c>
      <c r="W125" s="87" t="str">
        <f aca="false">IF(ISBLANK($C125),"",IF(G125=Constants!$B$15,Constants!$B$8,IF(G125=Constants!$B$16,Constants!$B$9,Constants!$B$10)))</f>
        <v/>
      </c>
      <c r="X125" s="87" t="str">
        <f aca="false">IF(ISBLANK($C125),"",IF(H125=Constants!$B$2, TRUE(), IF(H125=Constants!$B$3, FALSE(), TRUE())))</f>
        <v/>
      </c>
      <c r="Y125" s="87" t="str">
        <f aca="false">IF(ISBLANK($C125),"",IF(I125=Constants!$B$19,Constants!$B$19,Constants!$B$18))</f>
        <v/>
      </c>
      <c r="Z125" s="87" t="str">
        <f aca="false">IF(ISBLANK($C125),"",IF(ISNUMBER(J125),IF(J125&gt;=0,J125,""),""))</f>
        <v/>
      </c>
      <c r="AA125" s="87" t="str">
        <f aca="false">IF(ISBLANK($C125),"",IF(K125=Constants!$B$19,Constants!$B$19,Constants!$B$18))</f>
        <v/>
      </c>
      <c r="AB125" s="87" t="str">
        <f aca="false">IF(ISBLANK($C125),"",IF(ISNUMBER(L125),IF(L125&gt;=0,L125,""),""))</f>
        <v/>
      </c>
      <c r="AC125" s="87" t="str">
        <f aca="false">IF(ISBLANK($C125),"",IF(M125=Constants!$B$19,Constants!$B$19,Constants!$B$18))</f>
        <v/>
      </c>
      <c r="AD125" s="87" t="str">
        <f aca="false">IF(ISBLANK($C125),"",IF(ISNUMBER(N125),IF(N125&gt;=0,N125,""),""))</f>
        <v/>
      </c>
      <c r="AE125" s="87" t="str">
        <f aca="false">IF(ISBLANK($C125),"",IF(O125=Constants!$B$19,Constants!$B$19,Constants!$B$18))</f>
        <v/>
      </c>
      <c r="AF125" s="87" t="str">
        <f aca="false">IF(ISBLANK($C125),"",IF(ISNUMBER(P125),IF(P125&gt;=0,P125,""),""))</f>
        <v/>
      </c>
      <c r="AG125" s="87" t="str">
        <f aca="false">IF(ISBLANK($C125),"",IF(Q125=Constants!$B$19,Constants!$B$19,Constants!$B$18))</f>
        <v/>
      </c>
      <c r="AH125" s="87" t="str">
        <f aca="false">IF(ISBLANK($C125),"",IF(ISNUMBER(R125),IF(R125&gt;=0,R125,""),""))</f>
        <v/>
      </c>
      <c r="AI125" s="87" t="str">
        <f aca="false">IF(ISBLANK($C125),"",IF(S125=Constants!$B$2, TRUE(), IF(S125=Constants!$B$3, FALSE(), FALSE())))</f>
        <v/>
      </c>
      <c r="AJ125" s="87" t="str">
        <f aca="false">IF(ISBLANK($C125),"",IF(AI125,Constants!$B$4,IF(COUNTA(E125:R125)=0,Constants!$B$5,IF(COUNTA(J125,L125,N125,P125,R125)=0,Constants!$B$6,Constants!$B$7))))</f>
        <v/>
      </c>
      <c r="AK125" s="87" t="str">
        <f aca="false">IF(ISBLANK($C125),"",IF($AJ125&lt;&gt;Constants!$B$7,$AJ125,IF(OR(NOT(X125),AND(NOT(U125),COUNTIFS(Y125:AG125,Constants!$B$18,Z125:AH125,"&gt;=0")&gt;0),AND(NOT(V125),COUNTIFS(Y125:AG125,Constants!$B$19,Z125:AH125,"&gt;=0")&gt;0)),Constants!$B$12,Constants!$B$11)))</f>
        <v/>
      </c>
      <c r="AL125" s="87" t="str">
        <f aca="false">IF($AJ125=Constants!$B$7,IF(Z125="",Constants!$B$13,Z125),"")</f>
        <v/>
      </c>
      <c r="AM125" s="87" t="str">
        <f aca="false">IF($AJ125=Constants!$B$7,IF(AB125="",Constants!$B$13,AB125),"")</f>
        <v/>
      </c>
      <c r="AN125" s="87" t="str">
        <f aca="false">IF($AJ125=Constants!$B$7,IF(AD125="",Constants!$B$13,AD125),"")</f>
        <v/>
      </c>
      <c r="AO125" s="87" t="str">
        <f aca="false">IF($AJ125=Constants!$B$7,IF(AF125="",Constants!$B$13,AF125),"")</f>
        <v/>
      </c>
      <c r="AP125" s="87" t="str">
        <f aca="false">IF($AJ125=Constants!$B$7,IF(AH125="",Constants!$B$13,AH125),"")</f>
        <v/>
      </c>
      <c r="AQ125" s="87" t="str">
        <f aca="false">IF($AJ125=Constants!$B$7,IF(SUMPRODUCT(--($AL125:$AP125&gt;AL125))+SUMPRODUCT(--($AL125:AL125=AL125))=1,1,IF(SUMPRODUCT(--($AL125:$AP125&gt;AM125))+SUMPRODUCT(--($AL125:AM125=AM125))=1,2,IF(SUMPRODUCT(--($AL125:$AP125&gt;AN125))+SUMPRODUCT(--($AL125:AN125=AN125))=1,3,IF(SUMPRODUCT(--($AL125:$AP125&gt;AO125))+SUMPRODUCT(--($AL125:AO125=AO125))=1,4,5)))),"")</f>
        <v/>
      </c>
      <c r="AR125" s="87" t="str">
        <f aca="false">IF($AJ125=Constants!$B$7,IF(SUMPRODUCT(--($AL125:$AP125&gt;AL125))+SUMPRODUCT(--($AL125:AL125=AL125))=2,1,IF(SUMPRODUCT(--($AL125:$AP125&gt;AM125))+SUMPRODUCT(--($AL125:AM125=AM125))=2,2,IF(SUMPRODUCT(--($AL125:$AP125&gt;AN125))+SUMPRODUCT(--($AL125:AN125=AN125))=2,3,IF(SUMPRODUCT(--($AL125:$AP125&gt;AO125))+SUMPRODUCT(--($AL125:AO125=AO125))=2,4,5)))),"")</f>
        <v/>
      </c>
      <c r="AS125" s="87" t="str">
        <f aca="false">IF($AJ125=Constants!$B$7,IF(SUMPRODUCT(--($AL125:$AP125&gt;AL125))+SUMPRODUCT(--($AL125:AL125=AL125))=3,1,IF(SUMPRODUCT(--($AL125:$AP125&gt;AM125))+SUMPRODUCT(--($AL125:AM125=AM125))=3,2,IF(SUMPRODUCT(--($AL125:$AP125&gt;AN125))+SUMPRODUCT(--($AL125:AN125=AN125))=3,3,IF(SUMPRODUCT(--($AL125:$AP125&gt;AO125))+SUMPRODUCT(--($AL125:AO125=AO125))=3,4,5)))),"")</f>
        <v/>
      </c>
      <c r="AT125" s="87" t="str">
        <f aca="false">IF($AJ125=Constants!$B$7,LARGE(AL125:AP125,1)+LARGE(AL125:AP125,2)+LARGE(AL125:AP125,3),"")</f>
        <v/>
      </c>
      <c r="AU125" s="87" t="str">
        <f aca="false">IF(ISBLANK($C125),"",IF($AJ125&lt;&gt;Constants!$B$7,$AJ125,AT125*W125))</f>
        <v/>
      </c>
      <c r="AV125" s="87" t="str">
        <f aca="false">IF(ISBLANK($C125),"",IF($AJ125=Constants!$B$7,IF(ISNUMBER(AU125),RANK(AU125,$AU$8:$AU$507),Constants!$B$14),$AJ125))</f>
        <v/>
      </c>
      <c r="AW125" s="87" t="str">
        <f aca="false">IF(ISBLANK($C125),"",IF($AJ125=Constants!$B$7,IF(ISNUMBER(AV125),COUNTIFS($AK$8:$AK$507,"&lt;"&amp;$AK125)+COUNTIFS($AK$8:$AK$507,$AK125,$AV$8:$AV$507,"&lt;"&amp;$AV125)+1,Constants!$B$14),$AJ125))</f>
        <v/>
      </c>
      <c r="AX125" s="87" t="str">
        <f aca="false">IF(ISBLANK($C125),"",IF($AJ125=Constants!$B$7,LARGE(AL125:AP125,4)*W125,""))</f>
        <v/>
      </c>
      <c r="AY125" s="87" t="str">
        <f aca="false">IF(ISBLANK($C125),"",IF($AJ125=Constants!$B$7,RANK(AX125,$AX$8:$AX$507),$AJ125))</f>
        <v/>
      </c>
      <c r="AZ125" s="87" t="str">
        <f aca="false">IF(ISBLANK($C125),"",IF($AJ125=Constants!$B$7,IF(ISNUMBER(AV125),COUNTIFS($AK$8:$AK$507,"&lt;"&amp;$AK125)+COUNTIFS($AK$8:$AK$507,$AK125,$AV$8:$AV$507,"&lt;"&amp;$AV125)+COUNTIFS($AK$8:$AK$507,$AK125,$AV$8:$AV$507,$AV125,$AY$8:$AY$507,"&lt;"&amp;$AY125)+1,Constants!$B$14),$AJ125))</f>
        <v/>
      </c>
      <c r="BA125" s="87" t="str">
        <f aca="false">IF(ISBLANK($C125),"",IF($AJ125=Constants!$B$7,IF(ISNUMBER(AW125),AW125-AZ125,Constants!$B$14),$AJ125))</f>
        <v/>
      </c>
      <c r="BB125" s="88"/>
      <c r="BC125" s="89" t="str">
        <f aca="false">IF(ISBLANK($C125),"",IF($AJ125&lt;&gt;Constants!$B$7,$AJ125,SMALL(AQ125:AS125,1)&amp;", "&amp;SMALL(AQ125:AS125,2)&amp;", "&amp;SMALL(AQ125:AS125,3)))</f>
        <v/>
      </c>
      <c r="BD125" s="90" t="str">
        <f aca="false">IF(ISBLANK($C125),"",IF($AJ125&lt;&gt;Constants!$B$7,$AJ125,W125))</f>
        <v/>
      </c>
      <c r="BE125" s="91" t="str">
        <f aca="false">IF(ISBLANK($C125),"",IF($AJ125&lt;&gt;Constants!$B$7,$AJ125,AU125))</f>
        <v/>
      </c>
      <c r="BF125" s="92" t="str">
        <f aca="false">IF(ISBLANK($C125),"",IF($AJ125&lt;&gt;Constants!$B$7,$AJ125,AK125))</f>
        <v/>
      </c>
      <c r="BG125" s="90" t="str">
        <f aca="false">IF(ISBLANK($C125),"",BA125)</f>
        <v/>
      </c>
      <c r="BH125" s="90" t="str">
        <f aca="false">IF(ISBLANK($C125),"",AZ125)</f>
        <v/>
      </c>
      <c r="BI125" s="93" t="str">
        <f aca="false">IF(ISBLANK($C125),"",IF(BH125=Constants!$B$4,COUNTA($C$8:$C$507)+2,IF(BH125=Constants!$B$5,COUNTA($C$8:$C$507)+1,IF(BH125=Constants!$B$6,COUNTA($C$8:$C$507),BH125))))</f>
        <v/>
      </c>
      <c r="BJ125" s="5"/>
      <c r="BK125" s="94" t="n">
        <f aca="false">IF(OR(ISNUMBER(BH125),BH125=Constants!$B$4,BH125=Constants!$B$6,BH125=Constants!$B$5),1,0)</f>
        <v>0</v>
      </c>
      <c r="BL125" s="94" t="n">
        <v>118</v>
      </c>
      <c r="BM125" s="94" t="str">
        <f aca="false">IF(ISBLANK($C125),"",IF(ISNUMBER(BI125),BI125+ROW($B125)/1000,""))</f>
        <v/>
      </c>
      <c r="BN125" s="94" t="str">
        <f aca="false">IF(ISNUMBER(BM125),RANK(BM125,$BM$8:$BM$507,1),"")</f>
        <v/>
      </c>
      <c r="BO125" s="94" t="str">
        <f aca="false">IF(ISBLANK($C125),"",$B125)</f>
        <v/>
      </c>
      <c r="BP125" s="94" t="str">
        <f aca="false">IF(ISBLANK($C125),"",$C125)</f>
        <v/>
      </c>
      <c r="BQ125" s="94" t="str">
        <f aca="false">IF(ISBLANK($C125),"",$D125)</f>
        <v/>
      </c>
      <c r="BR125" s="95" t="str">
        <f aca="false">BF125</f>
        <v/>
      </c>
      <c r="BS125" s="96" t="str">
        <f aca="false">BE125</f>
        <v/>
      </c>
      <c r="BT125" s="94" t="str">
        <f aca="false">IF(ISBLANK($C125),"",BH125)</f>
        <v/>
      </c>
      <c r="BU125" s="97" t="str">
        <f aca="false">IF($BL125&gt;$BK$7,"",VLOOKUP($BL125,$BN$8:$BT$507,7,FALSE()))</f>
        <v/>
      </c>
      <c r="BV125" s="98" t="str">
        <f aca="false">IF($BL125&gt;$BK$7,"",VLOOKUP($BL125,$BN$8:$BT$507,2,FALSE()))</f>
        <v/>
      </c>
      <c r="BW125" s="98" t="str">
        <f aca="false">IF($BL125&gt;$BK$7,"",VLOOKUP($BL125,$BN$8:$BT$507,3,FALSE()))</f>
        <v/>
      </c>
      <c r="BX125" s="98" t="str">
        <f aca="false">IF($BL125&gt;$BK$7,"",VLOOKUP($BL125,$BN$8:$BT$507,4,FALSE()))</f>
        <v/>
      </c>
      <c r="BY125" s="98" t="str">
        <f aca="false">IF($BL125&gt;$BK$7,"",VLOOKUP($BL125,$BN$8:$BT$507,5,FALSE()))</f>
        <v/>
      </c>
      <c r="BZ125" s="99" t="str">
        <f aca="false">IF($BL125&gt;$BK$7,"",VLOOKUP($BL125,$BN$8:$BT$507,6,FALSE()))</f>
        <v/>
      </c>
      <c r="CA125" s="48"/>
    </row>
    <row r="126" customFormat="false" ht="15.75" hidden="false" customHeight="false" outlineLevel="0" collapsed="false">
      <c r="A126" s="5"/>
      <c r="B126" s="114"/>
      <c r="C126" s="115"/>
      <c r="D126" s="100"/>
      <c r="E126" s="120"/>
      <c r="F126" s="125"/>
      <c r="G126" s="82"/>
      <c r="H126" s="126"/>
      <c r="I126" s="127"/>
      <c r="J126" s="82"/>
      <c r="K126" s="126"/>
      <c r="L126" s="82"/>
      <c r="M126" s="126"/>
      <c r="N126" s="82"/>
      <c r="O126" s="126"/>
      <c r="P126" s="82"/>
      <c r="Q126" s="126"/>
      <c r="R126" s="82"/>
      <c r="S126" s="120"/>
      <c r="T126" s="86"/>
      <c r="U126" s="87" t="str">
        <f aca="false">IF(ISBLANK($C126),"",IF(E126=Constants!$B$2, TRUE(), IF(E126=Constants!$B$3, FALSE(), TRUE())))</f>
        <v/>
      </c>
      <c r="V126" s="87" t="str">
        <f aca="false">IF(ISBLANK($C126),"",IF(F126=Constants!$B$2, TRUE(), IF(F126=Constants!$B$3, FALSE(), TRUE())))</f>
        <v/>
      </c>
      <c r="W126" s="87" t="str">
        <f aca="false">IF(ISBLANK($C126),"",IF(G126=Constants!$B$15,Constants!$B$8,IF(G126=Constants!$B$16,Constants!$B$9,Constants!$B$10)))</f>
        <v/>
      </c>
      <c r="X126" s="87" t="str">
        <f aca="false">IF(ISBLANK($C126),"",IF(H126=Constants!$B$2, TRUE(), IF(H126=Constants!$B$3, FALSE(), TRUE())))</f>
        <v/>
      </c>
      <c r="Y126" s="87" t="str">
        <f aca="false">IF(ISBLANK($C126),"",IF(I126=Constants!$B$19,Constants!$B$19,Constants!$B$18))</f>
        <v/>
      </c>
      <c r="Z126" s="87" t="str">
        <f aca="false">IF(ISBLANK($C126),"",IF(ISNUMBER(J126),IF(J126&gt;=0,J126,""),""))</f>
        <v/>
      </c>
      <c r="AA126" s="87" t="str">
        <f aca="false">IF(ISBLANK($C126),"",IF(K126=Constants!$B$19,Constants!$B$19,Constants!$B$18))</f>
        <v/>
      </c>
      <c r="AB126" s="87" t="str">
        <f aca="false">IF(ISBLANK($C126),"",IF(ISNUMBER(L126),IF(L126&gt;=0,L126,""),""))</f>
        <v/>
      </c>
      <c r="AC126" s="87" t="str">
        <f aca="false">IF(ISBLANK($C126),"",IF(M126=Constants!$B$19,Constants!$B$19,Constants!$B$18))</f>
        <v/>
      </c>
      <c r="AD126" s="87" t="str">
        <f aca="false">IF(ISBLANK($C126),"",IF(ISNUMBER(N126),IF(N126&gt;=0,N126,""),""))</f>
        <v/>
      </c>
      <c r="AE126" s="87" t="str">
        <f aca="false">IF(ISBLANK($C126),"",IF(O126=Constants!$B$19,Constants!$B$19,Constants!$B$18))</f>
        <v/>
      </c>
      <c r="AF126" s="87" t="str">
        <f aca="false">IF(ISBLANK($C126),"",IF(ISNUMBER(P126),IF(P126&gt;=0,P126,""),""))</f>
        <v/>
      </c>
      <c r="AG126" s="87" t="str">
        <f aca="false">IF(ISBLANK($C126),"",IF(Q126=Constants!$B$19,Constants!$B$19,Constants!$B$18))</f>
        <v/>
      </c>
      <c r="AH126" s="87" t="str">
        <f aca="false">IF(ISBLANK($C126),"",IF(ISNUMBER(R126),IF(R126&gt;=0,R126,""),""))</f>
        <v/>
      </c>
      <c r="AI126" s="87" t="str">
        <f aca="false">IF(ISBLANK($C126),"",IF(S126=Constants!$B$2, TRUE(), IF(S126=Constants!$B$3, FALSE(), FALSE())))</f>
        <v/>
      </c>
      <c r="AJ126" s="87" t="str">
        <f aca="false">IF(ISBLANK($C126),"",IF(AI126,Constants!$B$4,IF(COUNTA(E126:R126)=0,Constants!$B$5,IF(COUNTA(J126,L126,N126,P126,R126)=0,Constants!$B$6,Constants!$B$7))))</f>
        <v/>
      </c>
      <c r="AK126" s="87" t="str">
        <f aca="false">IF(ISBLANK($C126),"",IF($AJ126&lt;&gt;Constants!$B$7,$AJ126,IF(OR(NOT(X126),AND(NOT(U126),COUNTIFS(Y126:AG126,Constants!$B$18,Z126:AH126,"&gt;=0")&gt;0),AND(NOT(V126),COUNTIFS(Y126:AG126,Constants!$B$19,Z126:AH126,"&gt;=0")&gt;0)),Constants!$B$12,Constants!$B$11)))</f>
        <v/>
      </c>
      <c r="AL126" s="87" t="str">
        <f aca="false">IF($AJ126=Constants!$B$7,IF(Z126="",Constants!$B$13,Z126),"")</f>
        <v/>
      </c>
      <c r="AM126" s="87" t="str">
        <f aca="false">IF($AJ126=Constants!$B$7,IF(AB126="",Constants!$B$13,AB126),"")</f>
        <v/>
      </c>
      <c r="AN126" s="87" t="str">
        <f aca="false">IF($AJ126=Constants!$B$7,IF(AD126="",Constants!$B$13,AD126),"")</f>
        <v/>
      </c>
      <c r="AO126" s="87" t="str">
        <f aca="false">IF($AJ126=Constants!$B$7,IF(AF126="",Constants!$B$13,AF126),"")</f>
        <v/>
      </c>
      <c r="AP126" s="87" t="str">
        <f aca="false">IF($AJ126=Constants!$B$7,IF(AH126="",Constants!$B$13,AH126),"")</f>
        <v/>
      </c>
      <c r="AQ126" s="87" t="str">
        <f aca="false">IF($AJ126=Constants!$B$7,IF(SUMPRODUCT(--($AL126:$AP126&gt;AL126))+SUMPRODUCT(--($AL126:AL126=AL126))=1,1,IF(SUMPRODUCT(--($AL126:$AP126&gt;AM126))+SUMPRODUCT(--($AL126:AM126=AM126))=1,2,IF(SUMPRODUCT(--($AL126:$AP126&gt;AN126))+SUMPRODUCT(--($AL126:AN126=AN126))=1,3,IF(SUMPRODUCT(--($AL126:$AP126&gt;AO126))+SUMPRODUCT(--($AL126:AO126=AO126))=1,4,5)))),"")</f>
        <v/>
      </c>
      <c r="AR126" s="87" t="str">
        <f aca="false">IF($AJ126=Constants!$B$7,IF(SUMPRODUCT(--($AL126:$AP126&gt;AL126))+SUMPRODUCT(--($AL126:AL126=AL126))=2,1,IF(SUMPRODUCT(--($AL126:$AP126&gt;AM126))+SUMPRODUCT(--($AL126:AM126=AM126))=2,2,IF(SUMPRODUCT(--($AL126:$AP126&gt;AN126))+SUMPRODUCT(--($AL126:AN126=AN126))=2,3,IF(SUMPRODUCT(--($AL126:$AP126&gt;AO126))+SUMPRODUCT(--($AL126:AO126=AO126))=2,4,5)))),"")</f>
        <v/>
      </c>
      <c r="AS126" s="87" t="str">
        <f aca="false">IF($AJ126=Constants!$B$7,IF(SUMPRODUCT(--($AL126:$AP126&gt;AL126))+SUMPRODUCT(--($AL126:AL126=AL126))=3,1,IF(SUMPRODUCT(--($AL126:$AP126&gt;AM126))+SUMPRODUCT(--($AL126:AM126=AM126))=3,2,IF(SUMPRODUCT(--($AL126:$AP126&gt;AN126))+SUMPRODUCT(--($AL126:AN126=AN126))=3,3,IF(SUMPRODUCT(--($AL126:$AP126&gt;AO126))+SUMPRODUCT(--($AL126:AO126=AO126))=3,4,5)))),"")</f>
        <v/>
      </c>
      <c r="AT126" s="87" t="str">
        <f aca="false">IF($AJ126=Constants!$B$7,LARGE(AL126:AP126,1)+LARGE(AL126:AP126,2)+LARGE(AL126:AP126,3),"")</f>
        <v/>
      </c>
      <c r="AU126" s="87" t="str">
        <f aca="false">IF(ISBLANK($C126),"",IF($AJ126&lt;&gt;Constants!$B$7,$AJ126,AT126*W126))</f>
        <v/>
      </c>
      <c r="AV126" s="87" t="str">
        <f aca="false">IF(ISBLANK($C126),"",IF($AJ126=Constants!$B$7,IF(ISNUMBER(AU126),RANK(AU126,$AU$8:$AU$507),Constants!$B$14),$AJ126))</f>
        <v/>
      </c>
      <c r="AW126" s="87" t="str">
        <f aca="false">IF(ISBLANK($C126),"",IF($AJ126=Constants!$B$7,IF(ISNUMBER(AV126),COUNTIFS($AK$8:$AK$507,"&lt;"&amp;$AK126)+COUNTIFS($AK$8:$AK$507,$AK126,$AV$8:$AV$507,"&lt;"&amp;$AV126)+1,Constants!$B$14),$AJ126))</f>
        <v/>
      </c>
      <c r="AX126" s="87" t="str">
        <f aca="false">IF(ISBLANK($C126),"",IF($AJ126=Constants!$B$7,LARGE(AL126:AP126,4)*W126,""))</f>
        <v/>
      </c>
      <c r="AY126" s="87" t="str">
        <f aca="false">IF(ISBLANK($C126),"",IF($AJ126=Constants!$B$7,RANK(AX126,$AX$8:$AX$507),$AJ126))</f>
        <v/>
      </c>
      <c r="AZ126" s="87" t="str">
        <f aca="false">IF(ISBLANK($C126),"",IF($AJ126=Constants!$B$7,IF(ISNUMBER(AV126),COUNTIFS($AK$8:$AK$507,"&lt;"&amp;$AK126)+COUNTIFS($AK$8:$AK$507,$AK126,$AV$8:$AV$507,"&lt;"&amp;$AV126)+COUNTIFS($AK$8:$AK$507,$AK126,$AV$8:$AV$507,$AV126,$AY$8:$AY$507,"&lt;"&amp;$AY126)+1,Constants!$B$14),$AJ126))</f>
        <v/>
      </c>
      <c r="BA126" s="87" t="str">
        <f aca="false">IF(ISBLANK($C126),"",IF($AJ126=Constants!$B$7,IF(ISNUMBER(AW126),AW126-AZ126,Constants!$B$14),$AJ126))</f>
        <v/>
      </c>
      <c r="BB126" s="88"/>
      <c r="BC126" s="89" t="str">
        <f aca="false">IF(ISBLANK($C126),"",IF($AJ126&lt;&gt;Constants!$B$7,$AJ126,SMALL(AQ126:AS126,1)&amp;", "&amp;SMALL(AQ126:AS126,2)&amp;", "&amp;SMALL(AQ126:AS126,3)))</f>
        <v/>
      </c>
      <c r="BD126" s="90" t="str">
        <f aca="false">IF(ISBLANK($C126),"",IF($AJ126&lt;&gt;Constants!$B$7,$AJ126,W126))</f>
        <v/>
      </c>
      <c r="BE126" s="91" t="str">
        <f aca="false">IF(ISBLANK($C126),"",IF($AJ126&lt;&gt;Constants!$B$7,$AJ126,AU126))</f>
        <v/>
      </c>
      <c r="BF126" s="92" t="str">
        <f aca="false">IF(ISBLANK($C126),"",IF($AJ126&lt;&gt;Constants!$B$7,$AJ126,AK126))</f>
        <v/>
      </c>
      <c r="BG126" s="90" t="str">
        <f aca="false">IF(ISBLANK($C126),"",BA126)</f>
        <v/>
      </c>
      <c r="BH126" s="90" t="str">
        <f aca="false">IF(ISBLANK($C126),"",AZ126)</f>
        <v/>
      </c>
      <c r="BI126" s="93" t="str">
        <f aca="false">IF(ISBLANK($C126),"",IF(BH126=Constants!$B$4,COUNTA($C$8:$C$507)+2,IF(BH126=Constants!$B$5,COUNTA($C$8:$C$507)+1,IF(BH126=Constants!$B$6,COUNTA($C$8:$C$507),BH126))))</f>
        <v/>
      </c>
      <c r="BJ126" s="5"/>
      <c r="BK126" s="94" t="n">
        <f aca="false">IF(OR(ISNUMBER(BH126),BH126=Constants!$B$4,BH126=Constants!$B$6,BH126=Constants!$B$5),1,0)</f>
        <v>0</v>
      </c>
      <c r="BL126" s="94" t="n">
        <v>119</v>
      </c>
      <c r="BM126" s="94" t="str">
        <f aca="false">IF(ISBLANK($C126),"",IF(ISNUMBER(BI126),BI126+ROW($B126)/1000,""))</f>
        <v/>
      </c>
      <c r="BN126" s="94" t="str">
        <f aca="false">IF(ISNUMBER(BM126),RANK(BM126,$BM$8:$BM$507,1),"")</f>
        <v/>
      </c>
      <c r="BO126" s="94" t="str">
        <f aca="false">IF(ISBLANK($C126),"",$B126)</f>
        <v/>
      </c>
      <c r="BP126" s="94" t="str">
        <f aca="false">IF(ISBLANK($C126),"",$C126)</f>
        <v/>
      </c>
      <c r="BQ126" s="94" t="str">
        <f aca="false">IF(ISBLANK($C126),"",$D126)</f>
        <v/>
      </c>
      <c r="BR126" s="95" t="str">
        <f aca="false">BF126</f>
        <v/>
      </c>
      <c r="BS126" s="96" t="str">
        <f aca="false">BE126</f>
        <v/>
      </c>
      <c r="BT126" s="94" t="str">
        <f aca="false">IF(ISBLANK($C126),"",BH126)</f>
        <v/>
      </c>
      <c r="BU126" s="97" t="str">
        <f aca="false">IF($BL126&gt;$BK$7,"",VLOOKUP($BL126,$BN$8:$BT$507,7,FALSE()))</f>
        <v/>
      </c>
      <c r="BV126" s="98" t="str">
        <f aca="false">IF($BL126&gt;$BK$7,"",VLOOKUP($BL126,$BN$8:$BT$507,2,FALSE()))</f>
        <v/>
      </c>
      <c r="BW126" s="98" t="str">
        <f aca="false">IF($BL126&gt;$BK$7,"",VLOOKUP($BL126,$BN$8:$BT$507,3,FALSE()))</f>
        <v/>
      </c>
      <c r="BX126" s="98" t="str">
        <f aca="false">IF($BL126&gt;$BK$7,"",VLOOKUP($BL126,$BN$8:$BT$507,4,FALSE()))</f>
        <v/>
      </c>
      <c r="BY126" s="98" t="str">
        <f aca="false">IF($BL126&gt;$BK$7,"",VLOOKUP($BL126,$BN$8:$BT$507,5,FALSE()))</f>
        <v/>
      </c>
      <c r="BZ126" s="99" t="str">
        <f aca="false">IF($BL126&gt;$BK$7,"",VLOOKUP($BL126,$BN$8:$BT$507,6,FALSE()))</f>
        <v/>
      </c>
      <c r="CA126" s="48"/>
    </row>
    <row r="127" customFormat="false" ht="15.75" hidden="false" customHeight="false" outlineLevel="0" collapsed="false">
      <c r="A127" s="5"/>
      <c r="B127" s="114"/>
      <c r="C127" s="115"/>
      <c r="D127" s="100"/>
      <c r="E127" s="120"/>
      <c r="F127" s="125"/>
      <c r="G127" s="82"/>
      <c r="H127" s="126"/>
      <c r="I127" s="127"/>
      <c r="J127" s="82"/>
      <c r="K127" s="126"/>
      <c r="L127" s="82"/>
      <c r="M127" s="126"/>
      <c r="N127" s="82"/>
      <c r="O127" s="126"/>
      <c r="P127" s="82"/>
      <c r="Q127" s="126"/>
      <c r="R127" s="82"/>
      <c r="S127" s="120"/>
      <c r="T127" s="86"/>
      <c r="U127" s="87" t="str">
        <f aca="false">IF(ISBLANK($C127),"",IF(E127=Constants!$B$2, TRUE(), IF(E127=Constants!$B$3, FALSE(), TRUE())))</f>
        <v/>
      </c>
      <c r="V127" s="87" t="str">
        <f aca="false">IF(ISBLANK($C127),"",IF(F127=Constants!$B$2, TRUE(), IF(F127=Constants!$B$3, FALSE(), TRUE())))</f>
        <v/>
      </c>
      <c r="W127" s="87" t="str">
        <f aca="false">IF(ISBLANK($C127),"",IF(G127=Constants!$B$15,Constants!$B$8,IF(G127=Constants!$B$16,Constants!$B$9,Constants!$B$10)))</f>
        <v/>
      </c>
      <c r="X127" s="87" t="str">
        <f aca="false">IF(ISBLANK($C127),"",IF(H127=Constants!$B$2, TRUE(), IF(H127=Constants!$B$3, FALSE(), TRUE())))</f>
        <v/>
      </c>
      <c r="Y127" s="87" t="str">
        <f aca="false">IF(ISBLANK($C127),"",IF(I127=Constants!$B$19,Constants!$B$19,Constants!$B$18))</f>
        <v/>
      </c>
      <c r="Z127" s="87" t="str">
        <f aca="false">IF(ISBLANK($C127),"",IF(ISNUMBER(J127),IF(J127&gt;=0,J127,""),""))</f>
        <v/>
      </c>
      <c r="AA127" s="87" t="str">
        <f aca="false">IF(ISBLANK($C127),"",IF(K127=Constants!$B$19,Constants!$B$19,Constants!$B$18))</f>
        <v/>
      </c>
      <c r="AB127" s="87" t="str">
        <f aca="false">IF(ISBLANK($C127),"",IF(ISNUMBER(L127),IF(L127&gt;=0,L127,""),""))</f>
        <v/>
      </c>
      <c r="AC127" s="87" t="str">
        <f aca="false">IF(ISBLANK($C127),"",IF(M127=Constants!$B$19,Constants!$B$19,Constants!$B$18))</f>
        <v/>
      </c>
      <c r="AD127" s="87" t="str">
        <f aca="false">IF(ISBLANK($C127),"",IF(ISNUMBER(N127),IF(N127&gt;=0,N127,""),""))</f>
        <v/>
      </c>
      <c r="AE127" s="87" t="str">
        <f aca="false">IF(ISBLANK($C127),"",IF(O127=Constants!$B$19,Constants!$B$19,Constants!$B$18))</f>
        <v/>
      </c>
      <c r="AF127" s="87" t="str">
        <f aca="false">IF(ISBLANK($C127),"",IF(ISNUMBER(P127),IF(P127&gt;=0,P127,""),""))</f>
        <v/>
      </c>
      <c r="AG127" s="87" t="str">
        <f aca="false">IF(ISBLANK($C127),"",IF(Q127=Constants!$B$19,Constants!$B$19,Constants!$B$18))</f>
        <v/>
      </c>
      <c r="AH127" s="87" t="str">
        <f aca="false">IF(ISBLANK($C127),"",IF(ISNUMBER(R127),IF(R127&gt;=0,R127,""),""))</f>
        <v/>
      </c>
      <c r="AI127" s="87" t="str">
        <f aca="false">IF(ISBLANK($C127),"",IF(S127=Constants!$B$2, TRUE(), IF(S127=Constants!$B$3, FALSE(), FALSE())))</f>
        <v/>
      </c>
      <c r="AJ127" s="87" t="str">
        <f aca="false">IF(ISBLANK($C127),"",IF(AI127,Constants!$B$4,IF(COUNTA(E127:R127)=0,Constants!$B$5,IF(COUNTA(J127,L127,N127,P127,R127)=0,Constants!$B$6,Constants!$B$7))))</f>
        <v/>
      </c>
      <c r="AK127" s="87" t="str">
        <f aca="false">IF(ISBLANK($C127),"",IF($AJ127&lt;&gt;Constants!$B$7,$AJ127,IF(OR(NOT(X127),AND(NOT(U127),COUNTIFS(Y127:AG127,Constants!$B$18,Z127:AH127,"&gt;=0")&gt;0),AND(NOT(V127),COUNTIFS(Y127:AG127,Constants!$B$19,Z127:AH127,"&gt;=0")&gt;0)),Constants!$B$12,Constants!$B$11)))</f>
        <v/>
      </c>
      <c r="AL127" s="87" t="str">
        <f aca="false">IF($AJ127=Constants!$B$7,IF(Z127="",Constants!$B$13,Z127),"")</f>
        <v/>
      </c>
      <c r="AM127" s="87" t="str">
        <f aca="false">IF($AJ127=Constants!$B$7,IF(AB127="",Constants!$B$13,AB127),"")</f>
        <v/>
      </c>
      <c r="AN127" s="87" t="str">
        <f aca="false">IF($AJ127=Constants!$B$7,IF(AD127="",Constants!$B$13,AD127),"")</f>
        <v/>
      </c>
      <c r="AO127" s="87" t="str">
        <f aca="false">IF($AJ127=Constants!$B$7,IF(AF127="",Constants!$B$13,AF127),"")</f>
        <v/>
      </c>
      <c r="AP127" s="87" t="str">
        <f aca="false">IF($AJ127=Constants!$B$7,IF(AH127="",Constants!$B$13,AH127),"")</f>
        <v/>
      </c>
      <c r="AQ127" s="87" t="str">
        <f aca="false">IF($AJ127=Constants!$B$7,IF(SUMPRODUCT(--($AL127:$AP127&gt;AL127))+SUMPRODUCT(--($AL127:AL127=AL127))=1,1,IF(SUMPRODUCT(--($AL127:$AP127&gt;AM127))+SUMPRODUCT(--($AL127:AM127=AM127))=1,2,IF(SUMPRODUCT(--($AL127:$AP127&gt;AN127))+SUMPRODUCT(--($AL127:AN127=AN127))=1,3,IF(SUMPRODUCT(--($AL127:$AP127&gt;AO127))+SUMPRODUCT(--($AL127:AO127=AO127))=1,4,5)))),"")</f>
        <v/>
      </c>
      <c r="AR127" s="87" t="str">
        <f aca="false">IF($AJ127=Constants!$B$7,IF(SUMPRODUCT(--($AL127:$AP127&gt;AL127))+SUMPRODUCT(--($AL127:AL127=AL127))=2,1,IF(SUMPRODUCT(--($AL127:$AP127&gt;AM127))+SUMPRODUCT(--($AL127:AM127=AM127))=2,2,IF(SUMPRODUCT(--($AL127:$AP127&gt;AN127))+SUMPRODUCT(--($AL127:AN127=AN127))=2,3,IF(SUMPRODUCT(--($AL127:$AP127&gt;AO127))+SUMPRODUCT(--($AL127:AO127=AO127))=2,4,5)))),"")</f>
        <v/>
      </c>
      <c r="AS127" s="87" t="str">
        <f aca="false">IF($AJ127=Constants!$B$7,IF(SUMPRODUCT(--($AL127:$AP127&gt;AL127))+SUMPRODUCT(--($AL127:AL127=AL127))=3,1,IF(SUMPRODUCT(--($AL127:$AP127&gt;AM127))+SUMPRODUCT(--($AL127:AM127=AM127))=3,2,IF(SUMPRODUCT(--($AL127:$AP127&gt;AN127))+SUMPRODUCT(--($AL127:AN127=AN127))=3,3,IF(SUMPRODUCT(--($AL127:$AP127&gt;AO127))+SUMPRODUCT(--($AL127:AO127=AO127))=3,4,5)))),"")</f>
        <v/>
      </c>
      <c r="AT127" s="87" t="str">
        <f aca="false">IF($AJ127=Constants!$B$7,LARGE(AL127:AP127,1)+LARGE(AL127:AP127,2)+LARGE(AL127:AP127,3),"")</f>
        <v/>
      </c>
      <c r="AU127" s="87" t="str">
        <f aca="false">IF(ISBLANK($C127),"",IF($AJ127&lt;&gt;Constants!$B$7,$AJ127,AT127*W127))</f>
        <v/>
      </c>
      <c r="AV127" s="87" t="str">
        <f aca="false">IF(ISBLANK($C127),"",IF($AJ127=Constants!$B$7,IF(ISNUMBER(AU127),RANK(AU127,$AU$8:$AU$507),Constants!$B$14),$AJ127))</f>
        <v/>
      </c>
      <c r="AW127" s="87" t="str">
        <f aca="false">IF(ISBLANK($C127),"",IF($AJ127=Constants!$B$7,IF(ISNUMBER(AV127),COUNTIFS($AK$8:$AK$507,"&lt;"&amp;$AK127)+COUNTIFS($AK$8:$AK$507,$AK127,$AV$8:$AV$507,"&lt;"&amp;$AV127)+1,Constants!$B$14),$AJ127))</f>
        <v/>
      </c>
      <c r="AX127" s="87" t="str">
        <f aca="false">IF(ISBLANK($C127),"",IF($AJ127=Constants!$B$7,LARGE(AL127:AP127,4)*W127,""))</f>
        <v/>
      </c>
      <c r="AY127" s="87" t="str">
        <f aca="false">IF(ISBLANK($C127),"",IF($AJ127=Constants!$B$7,RANK(AX127,$AX$8:$AX$507),$AJ127))</f>
        <v/>
      </c>
      <c r="AZ127" s="87" t="str">
        <f aca="false">IF(ISBLANK($C127),"",IF($AJ127=Constants!$B$7,IF(ISNUMBER(AV127),COUNTIFS($AK$8:$AK$507,"&lt;"&amp;$AK127)+COUNTIFS($AK$8:$AK$507,$AK127,$AV$8:$AV$507,"&lt;"&amp;$AV127)+COUNTIFS($AK$8:$AK$507,$AK127,$AV$8:$AV$507,$AV127,$AY$8:$AY$507,"&lt;"&amp;$AY127)+1,Constants!$B$14),$AJ127))</f>
        <v/>
      </c>
      <c r="BA127" s="87" t="str">
        <f aca="false">IF(ISBLANK($C127),"",IF($AJ127=Constants!$B$7,IF(ISNUMBER(AW127),AW127-AZ127,Constants!$B$14),$AJ127))</f>
        <v/>
      </c>
      <c r="BB127" s="88"/>
      <c r="BC127" s="89" t="str">
        <f aca="false">IF(ISBLANK($C127),"",IF($AJ127&lt;&gt;Constants!$B$7,$AJ127,SMALL(AQ127:AS127,1)&amp;", "&amp;SMALL(AQ127:AS127,2)&amp;", "&amp;SMALL(AQ127:AS127,3)))</f>
        <v/>
      </c>
      <c r="BD127" s="90" t="str">
        <f aca="false">IF(ISBLANK($C127),"",IF($AJ127&lt;&gt;Constants!$B$7,$AJ127,W127))</f>
        <v/>
      </c>
      <c r="BE127" s="91" t="str">
        <f aca="false">IF(ISBLANK($C127),"",IF($AJ127&lt;&gt;Constants!$B$7,$AJ127,AU127))</f>
        <v/>
      </c>
      <c r="BF127" s="92" t="str">
        <f aca="false">IF(ISBLANK($C127),"",IF($AJ127&lt;&gt;Constants!$B$7,$AJ127,AK127))</f>
        <v/>
      </c>
      <c r="BG127" s="90" t="str">
        <f aca="false">IF(ISBLANK($C127),"",BA127)</f>
        <v/>
      </c>
      <c r="BH127" s="90" t="str">
        <f aca="false">IF(ISBLANK($C127),"",AZ127)</f>
        <v/>
      </c>
      <c r="BI127" s="93" t="str">
        <f aca="false">IF(ISBLANK($C127),"",IF(BH127=Constants!$B$4,COUNTA($C$8:$C$507)+2,IF(BH127=Constants!$B$5,COUNTA($C$8:$C$507)+1,IF(BH127=Constants!$B$6,COUNTA($C$8:$C$507),BH127))))</f>
        <v/>
      </c>
      <c r="BJ127" s="5"/>
      <c r="BK127" s="94" t="n">
        <f aca="false">IF(OR(ISNUMBER(BH127),BH127=Constants!$B$4,BH127=Constants!$B$6,BH127=Constants!$B$5),1,0)</f>
        <v>0</v>
      </c>
      <c r="BL127" s="94" t="n">
        <v>120</v>
      </c>
      <c r="BM127" s="94" t="str">
        <f aca="false">IF(ISBLANK($C127),"",IF(ISNUMBER(BI127),BI127+ROW($B127)/1000,""))</f>
        <v/>
      </c>
      <c r="BN127" s="94" t="str">
        <f aca="false">IF(ISNUMBER(BM127),RANK(BM127,$BM$8:$BM$507,1),"")</f>
        <v/>
      </c>
      <c r="BO127" s="94" t="str">
        <f aca="false">IF(ISBLANK($C127),"",$B127)</f>
        <v/>
      </c>
      <c r="BP127" s="94" t="str">
        <f aca="false">IF(ISBLANK($C127),"",$C127)</f>
        <v/>
      </c>
      <c r="BQ127" s="94" t="str">
        <f aca="false">IF(ISBLANK($C127),"",$D127)</f>
        <v/>
      </c>
      <c r="BR127" s="95" t="str">
        <f aca="false">BF127</f>
        <v/>
      </c>
      <c r="BS127" s="96" t="str">
        <f aca="false">BE127</f>
        <v/>
      </c>
      <c r="BT127" s="94" t="str">
        <f aca="false">IF(ISBLANK($C127),"",BH127)</f>
        <v/>
      </c>
      <c r="BU127" s="97" t="str">
        <f aca="false">IF($BL127&gt;$BK$7,"",VLOOKUP($BL127,$BN$8:$BT$507,7,FALSE()))</f>
        <v/>
      </c>
      <c r="BV127" s="98" t="str">
        <f aca="false">IF($BL127&gt;$BK$7,"",VLOOKUP($BL127,$BN$8:$BT$507,2,FALSE()))</f>
        <v/>
      </c>
      <c r="BW127" s="98" t="str">
        <f aca="false">IF($BL127&gt;$BK$7,"",VLOOKUP($BL127,$BN$8:$BT$507,3,FALSE()))</f>
        <v/>
      </c>
      <c r="BX127" s="98" t="str">
        <f aca="false">IF($BL127&gt;$BK$7,"",VLOOKUP($BL127,$BN$8:$BT$507,4,FALSE()))</f>
        <v/>
      </c>
      <c r="BY127" s="98" t="str">
        <f aca="false">IF($BL127&gt;$BK$7,"",VLOOKUP($BL127,$BN$8:$BT$507,5,FALSE()))</f>
        <v/>
      </c>
      <c r="BZ127" s="99" t="str">
        <f aca="false">IF($BL127&gt;$BK$7,"",VLOOKUP($BL127,$BN$8:$BT$507,6,FALSE()))</f>
        <v/>
      </c>
      <c r="CA127" s="48"/>
    </row>
    <row r="128" customFormat="false" ht="15.75" hidden="false" customHeight="false" outlineLevel="0" collapsed="false">
      <c r="A128" s="5"/>
      <c r="B128" s="121"/>
      <c r="C128" s="50"/>
      <c r="D128" s="51"/>
      <c r="E128" s="74"/>
      <c r="F128" s="122"/>
      <c r="G128" s="54"/>
      <c r="H128" s="123"/>
      <c r="I128" s="124"/>
      <c r="J128" s="54"/>
      <c r="K128" s="123"/>
      <c r="L128" s="54"/>
      <c r="M128" s="123"/>
      <c r="N128" s="54"/>
      <c r="O128" s="123"/>
      <c r="P128" s="54"/>
      <c r="Q128" s="123"/>
      <c r="R128" s="54"/>
      <c r="S128" s="74"/>
      <c r="T128" s="58"/>
      <c r="U128" s="59" t="str">
        <f aca="false">IF(ISBLANK($C128),"",IF(E128=Constants!$B$2, TRUE(), IF(E128=Constants!$B$3, FALSE(), TRUE())))</f>
        <v/>
      </c>
      <c r="V128" s="59" t="str">
        <f aca="false">IF(ISBLANK($C128),"",IF(F128=Constants!$B$2, TRUE(), IF(F128=Constants!$B$3, FALSE(), TRUE())))</f>
        <v/>
      </c>
      <c r="W128" s="59" t="str">
        <f aca="false">IF(ISBLANK($C128),"",IF(G128=Constants!$B$15,Constants!$B$8,IF(G128=Constants!$B$16,Constants!$B$9,Constants!$B$10)))</f>
        <v/>
      </c>
      <c r="X128" s="59" t="str">
        <f aca="false">IF(ISBLANK($C128),"",IF(H128=Constants!$B$2, TRUE(), IF(H128=Constants!$B$3, FALSE(), TRUE())))</f>
        <v/>
      </c>
      <c r="Y128" s="59" t="str">
        <f aca="false">IF(ISBLANK($C128),"",IF(I128=Constants!$B$19,Constants!$B$19,Constants!$B$18))</f>
        <v/>
      </c>
      <c r="Z128" s="59" t="str">
        <f aca="false">IF(ISBLANK($C128),"",IF(ISNUMBER(J128),IF(J128&gt;=0,J128,""),""))</f>
        <v/>
      </c>
      <c r="AA128" s="59" t="str">
        <f aca="false">IF(ISBLANK($C128),"",IF(K128=Constants!$B$19,Constants!$B$19,Constants!$B$18))</f>
        <v/>
      </c>
      <c r="AB128" s="59" t="str">
        <f aca="false">IF(ISBLANK($C128),"",IF(ISNUMBER(L128),IF(L128&gt;=0,L128,""),""))</f>
        <v/>
      </c>
      <c r="AC128" s="59" t="str">
        <f aca="false">IF(ISBLANK($C128),"",IF(M128=Constants!$B$19,Constants!$B$19,Constants!$B$18))</f>
        <v/>
      </c>
      <c r="AD128" s="59" t="str">
        <f aca="false">IF(ISBLANK($C128),"",IF(ISNUMBER(N128),IF(N128&gt;=0,N128,""),""))</f>
        <v/>
      </c>
      <c r="AE128" s="59" t="str">
        <f aca="false">IF(ISBLANK($C128),"",IF(O128=Constants!$B$19,Constants!$B$19,Constants!$B$18))</f>
        <v/>
      </c>
      <c r="AF128" s="59" t="str">
        <f aca="false">IF(ISBLANK($C128),"",IF(ISNUMBER(P128),IF(P128&gt;=0,P128,""),""))</f>
        <v/>
      </c>
      <c r="AG128" s="59" t="str">
        <f aca="false">IF(ISBLANK($C128),"",IF(Q128=Constants!$B$19,Constants!$B$19,Constants!$B$18))</f>
        <v/>
      </c>
      <c r="AH128" s="59" t="str">
        <f aca="false">IF(ISBLANK($C128),"",IF(ISNUMBER(R128),IF(R128&gt;=0,R128,""),""))</f>
        <v/>
      </c>
      <c r="AI128" s="59" t="str">
        <f aca="false">IF(ISBLANK($C128),"",IF(S128=Constants!$B$2, TRUE(), IF(S128=Constants!$B$3, FALSE(), FALSE())))</f>
        <v/>
      </c>
      <c r="AJ128" s="59" t="str">
        <f aca="false">IF(ISBLANK($C128),"",IF(AI128,Constants!$B$4,IF(COUNTA(E128:R128)=0,Constants!$B$5,IF(COUNTA(J128,L128,N128,P128,R128)=0,Constants!$B$6,Constants!$B$7))))</f>
        <v/>
      </c>
      <c r="AK128" s="59" t="str">
        <f aca="false">IF(ISBLANK($C128),"",IF($AJ128&lt;&gt;Constants!$B$7,$AJ128,IF(OR(NOT(X128),AND(NOT(U128),COUNTIFS(Y128:AG128,Constants!$B$18,Z128:AH128,"&gt;=0")&gt;0),AND(NOT(V128),COUNTIFS(Y128:AG128,Constants!$B$19,Z128:AH128,"&gt;=0")&gt;0)),Constants!$B$12,Constants!$B$11)))</f>
        <v/>
      </c>
      <c r="AL128" s="59" t="str">
        <f aca="false">IF($AJ128=Constants!$B$7,IF(Z128="",Constants!$B$13,Z128),"")</f>
        <v/>
      </c>
      <c r="AM128" s="59" t="str">
        <f aca="false">IF($AJ128=Constants!$B$7,IF(AB128="",Constants!$B$13,AB128),"")</f>
        <v/>
      </c>
      <c r="AN128" s="59" t="str">
        <f aca="false">IF($AJ128=Constants!$B$7,IF(AD128="",Constants!$B$13,AD128),"")</f>
        <v/>
      </c>
      <c r="AO128" s="59" t="str">
        <f aca="false">IF($AJ128=Constants!$B$7,IF(AF128="",Constants!$B$13,AF128),"")</f>
        <v/>
      </c>
      <c r="AP128" s="59" t="str">
        <f aca="false">IF($AJ128=Constants!$B$7,IF(AH128="",Constants!$B$13,AH128),"")</f>
        <v/>
      </c>
      <c r="AQ128" s="59" t="str">
        <f aca="false">IF($AJ128=Constants!$B$7,IF(SUMPRODUCT(--($AL128:$AP128&gt;AL128))+SUMPRODUCT(--($AL128:AL128=AL128))=1,1,IF(SUMPRODUCT(--($AL128:$AP128&gt;AM128))+SUMPRODUCT(--($AL128:AM128=AM128))=1,2,IF(SUMPRODUCT(--($AL128:$AP128&gt;AN128))+SUMPRODUCT(--($AL128:AN128=AN128))=1,3,IF(SUMPRODUCT(--($AL128:$AP128&gt;AO128))+SUMPRODUCT(--($AL128:AO128=AO128))=1,4,5)))),"")</f>
        <v/>
      </c>
      <c r="AR128" s="59" t="str">
        <f aca="false">IF($AJ128=Constants!$B$7,IF(SUMPRODUCT(--($AL128:$AP128&gt;AL128))+SUMPRODUCT(--($AL128:AL128=AL128))=2,1,IF(SUMPRODUCT(--($AL128:$AP128&gt;AM128))+SUMPRODUCT(--($AL128:AM128=AM128))=2,2,IF(SUMPRODUCT(--($AL128:$AP128&gt;AN128))+SUMPRODUCT(--($AL128:AN128=AN128))=2,3,IF(SUMPRODUCT(--($AL128:$AP128&gt;AO128))+SUMPRODUCT(--($AL128:AO128=AO128))=2,4,5)))),"")</f>
        <v/>
      </c>
      <c r="AS128" s="59" t="str">
        <f aca="false">IF($AJ128=Constants!$B$7,IF(SUMPRODUCT(--($AL128:$AP128&gt;AL128))+SUMPRODUCT(--($AL128:AL128=AL128))=3,1,IF(SUMPRODUCT(--($AL128:$AP128&gt;AM128))+SUMPRODUCT(--($AL128:AM128=AM128))=3,2,IF(SUMPRODUCT(--($AL128:$AP128&gt;AN128))+SUMPRODUCT(--($AL128:AN128=AN128))=3,3,IF(SUMPRODUCT(--($AL128:$AP128&gt;AO128))+SUMPRODUCT(--($AL128:AO128=AO128))=3,4,5)))),"")</f>
        <v/>
      </c>
      <c r="AT128" s="59" t="str">
        <f aca="false">IF($AJ128=Constants!$B$7,LARGE(AL128:AP128,1)+LARGE(AL128:AP128,2)+LARGE(AL128:AP128,3),"")</f>
        <v/>
      </c>
      <c r="AU128" s="59" t="str">
        <f aca="false">IF(ISBLANK($C128),"",IF($AJ128&lt;&gt;Constants!$B$7,$AJ128,AT128*W128))</f>
        <v/>
      </c>
      <c r="AV128" s="59" t="str">
        <f aca="false">IF(ISBLANK($C128),"",IF($AJ128=Constants!$B$7,IF(ISNUMBER(AU128),RANK(AU128,$AU$8:$AU$507),Constants!$B$14),$AJ128))</f>
        <v/>
      </c>
      <c r="AW128" s="59" t="str">
        <f aca="false">IF(ISBLANK($C128),"",IF($AJ128=Constants!$B$7,IF(ISNUMBER(AV128),COUNTIFS($AK$8:$AK$507,"&lt;"&amp;$AK128)+COUNTIFS($AK$8:$AK$507,$AK128,$AV$8:$AV$507,"&lt;"&amp;$AV128)+1,Constants!$B$14),$AJ128))</f>
        <v/>
      </c>
      <c r="AX128" s="59" t="str">
        <f aca="false">IF(ISBLANK($C128),"",IF($AJ128=Constants!$B$7,LARGE(AL128:AP128,4)*W128,""))</f>
        <v/>
      </c>
      <c r="AY128" s="59" t="str">
        <f aca="false">IF(ISBLANK($C128),"",IF($AJ128=Constants!$B$7,RANK(AX128,$AX$8:$AX$507),$AJ128))</f>
        <v/>
      </c>
      <c r="AZ128" s="59" t="str">
        <f aca="false">IF(ISBLANK($C128),"",IF($AJ128=Constants!$B$7,IF(ISNUMBER(AV128),COUNTIFS($AK$8:$AK$507,"&lt;"&amp;$AK128)+COUNTIFS($AK$8:$AK$507,$AK128,$AV$8:$AV$507,"&lt;"&amp;$AV128)+COUNTIFS($AK$8:$AK$507,$AK128,$AV$8:$AV$507,$AV128,$AY$8:$AY$507,"&lt;"&amp;$AY128)+1,Constants!$B$14),$AJ128))</f>
        <v/>
      </c>
      <c r="BA128" s="59" t="str">
        <f aca="false">IF(ISBLANK($C128),"",IF($AJ128=Constants!$B$7,IF(ISNUMBER(AW128),AW128-AZ128,Constants!$B$14),$AJ128))</f>
        <v/>
      </c>
      <c r="BB128" s="61"/>
      <c r="BC128" s="62" t="str">
        <f aca="false">IF(ISBLANK($C128),"",IF($AJ128&lt;&gt;Constants!$B$7,$AJ128,SMALL(AQ128:AS128,1)&amp;", "&amp;SMALL(AQ128:AS128,2)&amp;", "&amp;SMALL(AQ128:AS128,3)))</f>
        <v/>
      </c>
      <c r="BD128" s="63" t="str">
        <f aca="false">IF(ISBLANK($C128),"",IF($AJ128&lt;&gt;Constants!$B$7,$AJ128,W128))</f>
        <v/>
      </c>
      <c r="BE128" s="64" t="str">
        <f aca="false">IF(ISBLANK($C128),"",IF($AJ128&lt;&gt;Constants!$B$7,$AJ128,AU128))</f>
        <v/>
      </c>
      <c r="BF128" s="65" t="str">
        <f aca="false">IF(ISBLANK($C128),"",IF($AJ128&lt;&gt;Constants!$B$7,$AJ128,AK128))</f>
        <v/>
      </c>
      <c r="BG128" s="63" t="str">
        <f aca="false">IF(ISBLANK($C128),"",BA128)</f>
        <v/>
      </c>
      <c r="BH128" s="63" t="str">
        <f aca="false">IF(ISBLANK($C128),"",AZ128)</f>
        <v/>
      </c>
      <c r="BI128" s="66" t="str">
        <f aca="false">IF(ISBLANK($C128),"",IF(BH128=Constants!$B$4,COUNTA($C$8:$C$507)+2,IF(BH128=Constants!$B$5,COUNTA($C$8:$C$507)+1,IF(BH128=Constants!$B$6,COUNTA($C$8:$C$507),BH128))))</f>
        <v/>
      </c>
      <c r="BJ128" s="5"/>
      <c r="BK128" s="67" t="n">
        <f aca="false">IF(OR(ISNUMBER(BH128),BH128=Constants!$B$4,BH128=Constants!$B$6,BH128=Constants!$B$5),1,0)</f>
        <v>0</v>
      </c>
      <c r="BL128" s="67" t="n">
        <v>121</v>
      </c>
      <c r="BM128" s="67" t="str">
        <f aca="false">IF(ISBLANK($C128),"",IF(ISNUMBER(BI128),BI128+ROW($B128)/1000,""))</f>
        <v/>
      </c>
      <c r="BN128" s="67" t="str">
        <f aca="false">IF(ISNUMBER(BM128),RANK(BM128,$BM$8:$BM$507,1),"")</f>
        <v/>
      </c>
      <c r="BO128" s="67" t="str">
        <f aca="false">IF(ISBLANK($C128),"",$B128)</f>
        <v/>
      </c>
      <c r="BP128" s="67" t="str">
        <f aca="false">IF(ISBLANK($C128),"",$C128)</f>
        <v/>
      </c>
      <c r="BQ128" s="67" t="str">
        <f aca="false">IF(ISBLANK($C128),"",$D128)</f>
        <v/>
      </c>
      <c r="BR128" s="68" t="str">
        <f aca="false">BF128</f>
        <v/>
      </c>
      <c r="BS128" s="69" t="str">
        <f aca="false">BE128</f>
        <v/>
      </c>
      <c r="BT128" s="67" t="str">
        <f aca="false">IF(ISBLANK($C128),"",BH128)</f>
        <v/>
      </c>
      <c r="BU128" s="70" t="str">
        <f aca="false">IF($BL128&gt;$BK$7,"",VLOOKUP($BL128,$BN$8:$BT$507,7,FALSE()))</f>
        <v/>
      </c>
      <c r="BV128" s="71" t="str">
        <f aca="false">IF($BL128&gt;$BK$7,"",VLOOKUP($BL128,$BN$8:$BT$507,2,FALSE()))</f>
        <v/>
      </c>
      <c r="BW128" s="71" t="str">
        <f aca="false">IF($BL128&gt;$BK$7,"",VLOOKUP($BL128,$BN$8:$BT$507,3,FALSE()))</f>
        <v/>
      </c>
      <c r="BX128" s="71" t="str">
        <f aca="false">IF($BL128&gt;$BK$7,"",VLOOKUP($BL128,$BN$8:$BT$507,4,FALSE()))</f>
        <v/>
      </c>
      <c r="BY128" s="71" t="str">
        <f aca="false">IF($BL128&gt;$BK$7,"",VLOOKUP($BL128,$BN$8:$BT$507,5,FALSE()))</f>
        <v/>
      </c>
      <c r="BZ128" s="72" t="str">
        <f aca="false">IF($BL128&gt;$BK$7,"",VLOOKUP($BL128,$BN$8:$BT$507,6,FALSE()))</f>
        <v/>
      </c>
      <c r="CA128" s="48"/>
    </row>
    <row r="129" customFormat="false" ht="15.75" hidden="false" customHeight="false" outlineLevel="0" collapsed="false">
      <c r="A129" s="5"/>
      <c r="B129" s="121"/>
      <c r="C129" s="50"/>
      <c r="D129" s="51"/>
      <c r="E129" s="74"/>
      <c r="F129" s="122"/>
      <c r="G129" s="54"/>
      <c r="H129" s="123"/>
      <c r="I129" s="124"/>
      <c r="J129" s="54"/>
      <c r="K129" s="123"/>
      <c r="L129" s="54"/>
      <c r="M129" s="123"/>
      <c r="N129" s="54"/>
      <c r="O129" s="123"/>
      <c r="P129" s="54"/>
      <c r="Q129" s="123"/>
      <c r="R129" s="54"/>
      <c r="S129" s="74"/>
      <c r="T129" s="58"/>
      <c r="U129" s="59" t="str">
        <f aca="false">IF(ISBLANK($C129),"",IF(E129=Constants!$B$2, TRUE(), IF(E129=Constants!$B$3, FALSE(), TRUE())))</f>
        <v/>
      </c>
      <c r="V129" s="59" t="str">
        <f aca="false">IF(ISBLANK($C129),"",IF(F129=Constants!$B$2, TRUE(), IF(F129=Constants!$B$3, FALSE(), TRUE())))</f>
        <v/>
      </c>
      <c r="W129" s="59" t="str">
        <f aca="false">IF(ISBLANK($C129),"",IF(G129=Constants!$B$15,Constants!$B$8,IF(G129=Constants!$B$16,Constants!$B$9,Constants!$B$10)))</f>
        <v/>
      </c>
      <c r="X129" s="59" t="str">
        <f aca="false">IF(ISBLANK($C129),"",IF(H129=Constants!$B$2, TRUE(), IF(H129=Constants!$B$3, FALSE(), TRUE())))</f>
        <v/>
      </c>
      <c r="Y129" s="59" t="str">
        <f aca="false">IF(ISBLANK($C129),"",IF(I129=Constants!$B$19,Constants!$B$19,Constants!$B$18))</f>
        <v/>
      </c>
      <c r="Z129" s="59" t="str">
        <f aca="false">IF(ISBLANK($C129),"",IF(ISNUMBER(J129),IF(J129&gt;=0,J129,""),""))</f>
        <v/>
      </c>
      <c r="AA129" s="59" t="str">
        <f aca="false">IF(ISBLANK($C129),"",IF(K129=Constants!$B$19,Constants!$B$19,Constants!$B$18))</f>
        <v/>
      </c>
      <c r="AB129" s="59" t="str">
        <f aca="false">IF(ISBLANK($C129),"",IF(ISNUMBER(L129),IF(L129&gt;=0,L129,""),""))</f>
        <v/>
      </c>
      <c r="AC129" s="59" t="str">
        <f aca="false">IF(ISBLANK($C129),"",IF(M129=Constants!$B$19,Constants!$B$19,Constants!$B$18))</f>
        <v/>
      </c>
      <c r="AD129" s="59" t="str">
        <f aca="false">IF(ISBLANK($C129),"",IF(ISNUMBER(N129),IF(N129&gt;=0,N129,""),""))</f>
        <v/>
      </c>
      <c r="AE129" s="59" t="str">
        <f aca="false">IF(ISBLANK($C129),"",IF(O129=Constants!$B$19,Constants!$B$19,Constants!$B$18))</f>
        <v/>
      </c>
      <c r="AF129" s="59" t="str">
        <f aca="false">IF(ISBLANK($C129),"",IF(ISNUMBER(P129),IF(P129&gt;=0,P129,""),""))</f>
        <v/>
      </c>
      <c r="AG129" s="59" t="str">
        <f aca="false">IF(ISBLANK($C129),"",IF(Q129=Constants!$B$19,Constants!$B$19,Constants!$B$18))</f>
        <v/>
      </c>
      <c r="AH129" s="59" t="str">
        <f aca="false">IF(ISBLANK($C129),"",IF(ISNUMBER(R129),IF(R129&gt;=0,R129,""),""))</f>
        <v/>
      </c>
      <c r="AI129" s="59" t="str">
        <f aca="false">IF(ISBLANK($C129),"",IF(S129=Constants!$B$2, TRUE(), IF(S129=Constants!$B$3, FALSE(), FALSE())))</f>
        <v/>
      </c>
      <c r="AJ129" s="59" t="str">
        <f aca="false">IF(ISBLANK($C129),"",IF(AI129,Constants!$B$4,IF(COUNTA(E129:R129)=0,Constants!$B$5,IF(COUNTA(J129,L129,N129,P129,R129)=0,Constants!$B$6,Constants!$B$7))))</f>
        <v/>
      </c>
      <c r="AK129" s="59" t="str">
        <f aca="false">IF(ISBLANK($C129),"",IF($AJ129&lt;&gt;Constants!$B$7,$AJ129,IF(OR(NOT(X129),AND(NOT(U129),COUNTIFS(Y129:AG129,Constants!$B$18,Z129:AH129,"&gt;=0")&gt;0),AND(NOT(V129),COUNTIFS(Y129:AG129,Constants!$B$19,Z129:AH129,"&gt;=0")&gt;0)),Constants!$B$12,Constants!$B$11)))</f>
        <v/>
      </c>
      <c r="AL129" s="59" t="str">
        <f aca="false">IF($AJ129=Constants!$B$7,IF(Z129="",Constants!$B$13,Z129),"")</f>
        <v/>
      </c>
      <c r="AM129" s="59" t="str">
        <f aca="false">IF($AJ129=Constants!$B$7,IF(AB129="",Constants!$B$13,AB129),"")</f>
        <v/>
      </c>
      <c r="AN129" s="59" t="str">
        <f aca="false">IF($AJ129=Constants!$B$7,IF(AD129="",Constants!$B$13,AD129),"")</f>
        <v/>
      </c>
      <c r="AO129" s="59" t="str">
        <f aca="false">IF($AJ129=Constants!$B$7,IF(AF129="",Constants!$B$13,AF129),"")</f>
        <v/>
      </c>
      <c r="AP129" s="59" t="str">
        <f aca="false">IF($AJ129=Constants!$B$7,IF(AH129="",Constants!$B$13,AH129),"")</f>
        <v/>
      </c>
      <c r="AQ129" s="59" t="str">
        <f aca="false">IF($AJ129=Constants!$B$7,IF(SUMPRODUCT(--($AL129:$AP129&gt;AL129))+SUMPRODUCT(--($AL129:AL129=AL129))=1,1,IF(SUMPRODUCT(--($AL129:$AP129&gt;AM129))+SUMPRODUCT(--($AL129:AM129=AM129))=1,2,IF(SUMPRODUCT(--($AL129:$AP129&gt;AN129))+SUMPRODUCT(--($AL129:AN129=AN129))=1,3,IF(SUMPRODUCT(--($AL129:$AP129&gt;AO129))+SUMPRODUCT(--($AL129:AO129=AO129))=1,4,5)))),"")</f>
        <v/>
      </c>
      <c r="AR129" s="59" t="str">
        <f aca="false">IF($AJ129=Constants!$B$7,IF(SUMPRODUCT(--($AL129:$AP129&gt;AL129))+SUMPRODUCT(--($AL129:AL129=AL129))=2,1,IF(SUMPRODUCT(--($AL129:$AP129&gt;AM129))+SUMPRODUCT(--($AL129:AM129=AM129))=2,2,IF(SUMPRODUCT(--($AL129:$AP129&gt;AN129))+SUMPRODUCT(--($AL129:AN129=AN129))=2,3,IF(SUMPRODUCT(--($AL129:$AP129&gt;AO129))+SUMPRODUCT(--($AL129:AO129=AO129))=2,4,5)))),"")</f>
        <v/>
      </c>
      <c r="AS129" s="59" t="str">
        <f aca="false">IF($AJ129=Constants!$B$7,IF(SUMPRODUCT(--($AL129:$AP129&gt;AL129))+SUMPRODUCT(--($AL129:AL129=AL129))=3,1,IF(SUMPRODUCT(--($AL129:$AP129&gt;AM129))+SUMPRODUCT(--($AL129:AM129=AM129))=3,2,IF(SUMPRODUCT(--($AL129:$AP129&gt;AN129))+SUMPRODUCT(--($AL129:AN129=AN129))=3,3,IF(SUMPRODUCT(--($AL129:$AP129&gt;AO129))+SUMPRODUCT(--($AL129:AO129=AO129))=3,4,5)))),"")</f>
        <v/>
      </c>
      <c r="AT129" s="59" t="str">
        <f aca="false">IF($AJ129=Constants!$B$7,LARGE(AL129:AP129,1)+LARGE(AL129:AP129,2)+LARGE(AL129:AP129,3),"")</f>
        <v/>
      </c>
      <c r="AU129" s="59" t="str">
        <f aca="false">IF(ISBLANK($C129),"",IF($AJ129&lt;&gt;Constants!$B$7,$AJ129,AT129*W129))</f>
        <v/>
      </c>
      <c r="AV129" s="59" t="str">
        <f aca="false">IF(ISBLANK($C129),"",IF($AJ129=Constants!$B$7,IF(ISNUMBER(AU129),RANK(AU129,$AU$8:$AU$507),Constants!$B$14),$AJ129))</f>
        <v/>
      </c>
      <c r="AW129" s="59" t="str">
        <f aca="false">IF(ISBLANK($C129),"",IF($AJ129=Constants!$B$7,IF(ISNUMBER(AV129),COUNTIFS($AK$8:$AK$507,"&lt;"&amp;$AK129)+COUNTIFS($AK$8:$AK$507,$AK129,$AV$8:$AV$507,"&lt;"&amp;$AV129)+1,Constants!$B$14),$AJ129))</f>
        <v/>
      </c>
      <c r="AX129" s="59" t="str">
        <f aca="false">IF(ISBLANK($C129),"",IF($AJ129=Constants!$B$7,LARGE(AL129:AP129,4)*W129,""))</f>
        <v/>
      </c>
      <c r="AY129" s="59" t="str">
        <f aca="false">IF(ISBLANK($C129),"",IF($AJ129=Constants!$B$7,RANK(AX129,$AX$8:$AX$507),$AJ129))</f>
        <v/>
      </c>
      <c r="AZ129" s="59" t="str">
        <f aca="false">IF(ISBLANK($C129),"",IF($AJ129=Constants!$B$7,IF(ISNUMBER(AV129),COUNTIFS($AK$8:$AK$507,"&lt;"&amp;$AK129)+COUNTIFS($AK$8:$AK$507,$AK129,$AV$8:$AV$507,"&lt;"&amp;$AV129)+COUNTIFS($AK$8:$AK$507,$AK129,$AV$8:$AV$507,$AV129,$AY$8:$AY$507,"&lt;"&amp;$AY129)+1,Constants!$B$14),$AJ129))</f>
        <v/>
      </c>
      <c r="BA129" s="59" t="str">
        <f aca="false">IF(ISBLANK($C129),"",IF($AJ129=Constants!$B$7,IF(ISNUMBER(AW129),AW129-AZ129,Constants!$B$14),$AJ129))</f>
        <v/>
      </c>
      <c r="BB129" s="61"/>
      <c r="BC129" s="62" t="str">
        <f aca="false">IF(ISBLANK($C129),"",IF($AJ129&lt;&gt;Constants!$B$7,$AJ129,SMALL(AQ129:AS129,1)&amp;", "&amp;SMALL(AQ129:AS129,2)&amp;", "&amp;SMALL(AQ129:AS129,3)))</f>
        <v/>
      </c>
      <c r="BD129" s="63" t="str">
        <f aca="false">IF(ISBLANK($C129),"",IF($AJ129&lt;&gt;Constants!$B$7,$AJ129,W129))</f>
        <v/>
      </c>
      <c r="BE129" s="64" t="str">
        <f aca="false">IF(ISBLANK($C129),"",IF($AJ129&lt;&gt;Constants!$B$7,$AJ129,AU129))</f>
        <v/>
      </c>
      <c r="BF129" s="65" t="str">
        <f aca="false">IF(ISBLANK($C129),"",IF($AJ129&lt;&gt;Constants!$B$7,$AJ129,AK129))</f>
        <v/>
      </c>
      <c r="BG129" s="63" t="str">
        <f aca="false">IF(ISBLANK($C129),"",BA129)</f>
        <v/>
      </c>
      <c r="BH129" s="63" t="str">
        <f aca="false">IF(ISBLANK($C129),"",AZ129)</f>
        <v/>
      </c>
      <c r="BI129" s="66" t="str">
        <f aca="false">IF(ISBLANK($C129),"",IF(BH129=Constants!$B$4,COUNTA($C$8:$C$507)+2,IF(BH129=Constants!$B$5,COUNTA($C$8:$C$507)+1,IF(BH129=Constants!$B$6,COUNTA($C$8:$C$507),BH129))))</f>
        <v/>
      </c>
      <c r="BJ129" s="5"/>
      <c r="BK129" s="67" t="n">
        <f aca="false">IF(OR(ISNUMBER(BH129),BH129=Constants!$B$4,BH129=Constants!$B$6,BH129=Constants!$B$5),1,0)</f>
        <v>0</v>
      </c>
      <c r="BL129" s="67" t="n">
        <v>122</v>
      </c>
      <c r="BM129" s="67" t="str">
        <f aca="false">IF(ISBLANK($C129),"",IF(ISNUMBER(BI129),BI129+ROW($B129)/1000,""))</f>
        <v/>
      </c>
      <c r="BN129" s="67" t="str">
        <f aca="false">IF(ISNUMBER(BM129),RANK(BM129,$BM$8:$BM$507,1),"")</f>
        <v/>
      </c>
      <c r="BO129" s="67" t="str">
        <f aca="false">IF(ISBLANK($C129),"",$B129)</f>
        <v/>
      </c>
      <c r="BP129" s="67" t="str">
        <f aca="false">IF(ISBLANK($C129),"",$C129)</f>
        <v/>
      </c>
      <c r="BQ129" s="67" t="str">
        <f aca="false">IF(ISBLANK($C129),"",$D129)</f>
        <v/>
      </c>
      <c r="BR129" s="68" t="str">
        <f aca="false">BF129</f>
        <v/>
      </c>
      <c r="BS129" s="69" t="str">
        <f aca="false">BE129</f>
        <v/>
      </c>
      <c r="BT129" s="67" t="str">
        <f aca="false">IF(ISBLANK($C129),"",BH129)</f>
        <v/>
      </c>
      <c r="BU129" s="70" t="str">
        <f aca="false">IF($BL129&gt;$BK$7,"",VLOOKUP($BL129,$BN$8:$BT$507,7,FALSE()))</f>
        <v/>
      </c>
      <c r="BV129" s="71" t="str">
        <f aca="false">IF($BL129&gt;$BK$7,"",VLOOKUP($BL129,$BN$8:$BT$507,2,FALSE()))</f>
        <v/>
      </c>
      <c r="BW129" s="71" t="str">
        <f aca="false">IF($BL129&gt;$BK$7,"",VLOOKUP($BL129,$BN$8:$BT$507,3,FALSE()))</f>
        <v/>
      </c>
      <c r="BX129" s="71" t="str">
        <f aca="false">IF($BL129&gt;$BK$7,"",VLOOKUP($BL129,$BN$8:$BT$507,4,FALSE()))</f>
        <v/>
      </c>
      <c r="BY129" s="71" t="str">
        <f aca="false">IF($BL129&gt;$BK$7,"",VLOOKUP($BL129,$BN$8:$BT$507,5,FALSE()))</f>
        <v/>
      </c>
      <c r="BZ129" s="72" t="str">
        <f aca="false">IF($BL129&gt;$BK$7,"",VLOOKUP($BL129,$BN$8:$BT$507,6,FALSE()))</f>
        <v/>
      </c>
      <c r="CA129" s="48"/>
    </row>
    <row r="130" customFormat="false" ht="15.75" hidden="false" customHeight="false" outlineLevel="0" collapsed="false">
      <c r="A130" s="5"/>
      <c r="B130" s="121"/>
      <c r="C130" s="50"/>
      <c r="D130" s="51"/>
      <c r="E130" s="74"/>
      <c r="F130" s="122"/>
      <c r="G130" s="54"/>
      <c r="H130" s="123"/>
      <c r="I130" s="124"/>
      <c r="J130" s="54"/>
      <c r="K130" s="123"/>
      <c r="L130" s="54"/>
      <c r="M130" s="123"/>
      <c r="N130" s="54"/>
      <c r="O130" s="123"/>
      <c r="P130" s="54"/>
      <c r="Q130" s="123"/>
      <c r="R130" s="54"/>
      <c r="S130" s="74"/>
      <c r="T130" s="58"/>
      <c r="U130" s="59" t="str">
        <f aca="false">IF(ISBLANK($C130),"",IF(E130=Constants!$B$2, TRUE(), IF(E130=Constants!$B$3, FALSE(), TRUE())))</f>
        <v/>
      </c>
      <c r="V130" s="59" t="str">
        <f aca="false">IF(ISBLANK($C130),"",IF(F130=Constants!$B$2, TRUE(), IF(F130=Constants!$B$3, FALSE(), TRUE())))</f>
        <v/>
      </c>
      <c r="W130" s="59" t="str">
        <f aca="false">IF(ISBLANK($C130),"",IF(G130=Constants!$B$15,Constants!$B$8,IF(G130=Constants!$B$16,Constants!$B$9,Constants!$B$10)))</f>
        <v/>
      </c>
      <c r="X130" s="59" t="str">
        <f aca="false">IF(ISBLANK($C130),"",IF(H130=Constants!$B$2, TRUE(), IF(H130=Constants!$B$3, FALSE(), TRUE())))</f>
        <v/>
      </c>
      <c r="Y130" s="59" t="str">
        <f aca="false">IF(ISBLANK($C130),"",IF(I130=Constants!$B$19,Constants!$B$19,Constants!$B$18))</f>
        <v/>
      </c>
      <c r="Z130" s="59" t="str">
        <f aca="false">IF(ISBLANK($C130),"",IF(ISNUMBER(J130),IF(J130&gt;=0,J130,""),""))</f>
        <v/>
      </c>
      <c r="AA130" s="59" t="str">
        <f aca="false">IF(ISBLANK($C130),"",IF(K130=Constants!$B$19,Constants!$B$19,Constants!$B$18))</f>
        <v/>
      </c>
      <c r="AB130" s="59" t="str">
        <f aca="false">IF(ISBLANK($C130),"",IF(ISNUMBER(L130),IF(L130&gt;=0,L130,""),""))</f>
        <v/>
      </c>
      <c r="AC130" s="59" t="str">
        <f aca="false">IF(ISBLANK($C130),"",IF(M130=Constants!$B$19,Constants!$B$19,Constants!$B$18))</f>
        <v/>
      </c>
      <c r="AD130" s="59" t="str">
        <f aca="false">IF(ISBLANK($C130),"",IF(ISNUMBER(N130),IF(N130&gt;=0,N130,""),""))</f>
        <v/>
      </c>
      <c r="AE130" s="59" t="str">
        <f aca="false">IF(ISBLANK($C130),"",IF(O130=Constants!$B$19,Constants!$B$19,Constants!$B$18))</f>
        <v/>
      </c>
      <c r="AF130" s="59" t="str">
        <f aca="false">IF(ISBLANK($C130),"",IF(ISNUMBER(P130),IF(P130&gt;=0,P130,""),""))</f>
        <v/>
      </c>
      <c r="AG130" s="59" t="str">
        <f aca="false">IF(ISBLANK($C130),"",IF(Q130=Constants!$B$19,Constants!$B$19,Constants!$B$18))</f>
        <v/>
      </c>
      <c r="AH130" s="59" t="str">
        <f aca="false">IF(ISBLANK($C130),"",IF(ISNUMBER(R130),IF(R130&gt;=0,R130,""),""))</f>
        <v/>
      </c>
      <c r="AI130" s="59" t="str">
        <f aca="false">IF(ISBLANK($C130),"",IF(S130=Constants!$B$2, TRUE(), IF(S130=Constants!$B$3, FALSE(), FALSE())))</f>
        <v/>
      </c>
      <c r="AJ130" s="59" t="str">
        <f aca="false">IF(ISBLANK($C130),"",IF(AI130,Constants!$B$4,IF(COUNTA(E130:R130)=0,Constants!$B$5,IF(COUNTA(J130,L130,N130,P130,R130)=0,Constants!$B$6,Constants!$B$7))))</f>
        <v/>
      </c>
      <c r="AK130" s="59" t="str">
        <f aca="false">IF(ISBLANK($C130),"",IF($AJ130&lt;&gt;Constants!$B$7,$AJ130,IF(OR(NOT(X130),AND(NOT(U130),COUNTIFS(Y130:AG130,Constants!$B$18,Z130:AH130,"&gt;=0")&gt;0),AND(NOT(V130),COUNTIFS(Y130:AG130,Constants!$B$19,Z130:AH130,"&gt;=0")&gt;0)),Constants!$B$12,Constants!$B$11)))</f>
        <v/>
      </c>
      <c r="AL130" s="59" t="str">
        <f aca="false">IF($AJ130=Constants!$B$7,IF(Z130="",Constants!$B$13,Z130),"")</f>
        <v/>
      </c>
      <c r="AM130" s="59" t="str">
        <f aca="false">IF($AJ130=Constants!$B$7,IF(AB130="",Constants!$B$13,AB130),"")</f>
        <v/>
      </c>
      <c r="AN130" s="59" t="str">
        <f aca="false">IF($AJ130=Constants!$B$7,IF(AD130="",Constants!$B$13,AD130),"")</f>
        <v/>
      </c>
      <c r="AO130" s="59" t="str">
        <f aca="false">IF($AJ130=Constants!$B$7,IF(AF130="",Constants!$B$13,AF130),"")</f>
        <v/>
      </c>
      <c r="AP130" s="59" t="str">
        <f aca="false">IF($AJ130=Constants!$B$7,IF(AH130="",Constants!$B$13,AH130),"")</f>
        <v/>
      </c>
      <c r="AQ130" s="59" t="str">
        <f aca="false">IF($AJ130=Constants!$B$7,IF(SUMPRODUCT(--($AL130:$AP130&gt;AL130))+SUMPRODUCT(--($AL130:AL130=AL130))=1,1,IF(SUMPRODUCT(--($AL130:$AP130&gt;AM130))+SUMPRODUCT(--($AL130:AM130=AM130))=1,2,IF(SUMPRODUCT(--($AL130:$AP130&gt;AN130))+SUMPRODUCT(--($AL130:AN130=AN130))=1,3,IF(SUMPRODUCT(--($AL130:$AP130&gt;AO130))+SUMPRODUCT(--($AL130:AO130=AO130))=1,4,5)))),"")</f>
        <v/>
      </c>
      <c r="AR130" s="59" t="str">
        <f aca="false">IF($AJ130=Constants!$B$7,IF(SUMPRODUCT(--($AL130:$AP130&gt;AL130))+SUMPRODUCT(--($AL130:AL130=AL130))=2,1,IF(SUMPRODUCT(--($AL130:$AP130&gt;AM130))+SUMPRODUCT(--($AL130:AM130=AM130))=2,2,IF(SUMPRODUCT(--($AL130:$AP130&gt;AN130))+SUMPRODUCT(--($AL130:AN130=AN130))=2,3,IF(SUMPRODUCT(--($AL130:$AP130&gt;AO130))+SUMPRODUCT(--($AL130:AO130=AO130))=2,4,5)))),"")</f>
        <v/>
      </c>
      <c r="AS130" s="59" t="str">
        <f aca="false">IF($AJ130=Constants!$B$7,IF(SUMPRODUCT(--($AL130:$AP130&gt;AL130))+SUMPRODUCT(--($AL130:AL130=AL130))=3,1,IF(SUMPRODUCT(--($AL130:$AP130&gt;AM130))+SUMPRODUCT(--($AL130:AM130=AM130))=3,2,IF(SUMPRODUCT(--($AL130:$AP130&gt;AN130))+SUMPRODUCT(--($AL130:AN130=AN130))=3,3,IF(SUMPRODUCT(--($AL130:$AP130&gt;AO130))+SUMPRODUCT(--($AL130:AO130=AO130))=3,4,5)))),"")</f>
        <v/>
      </c>
      <c r="AT130" s="59" t="str">
        <f aca="false">IF($AJ130=Constants!$B$7,LARGE(AL130:AP130,1)+LARGE(AL130:AP130,2)+LARGE(AL130:AP130,3),"")</f>
        <v/>
      </c>
      <c r="AU130" s="59" t="str">
        <f aca="false">IF(ISBLANK($C130),"",IF($AJ130&lt;&gt;Constants!$B$7,$AJ130,AT130*W130))</f>
        <v/>
      </c>
      <c r="AV130" s="59" t="str">
        <f aca="false">IF(ISBLANK($C130),"",IF($AJ130=Constants!$B$7,IF(ISNUMBER(AU130),RANK(AU130,$AU$8:$AU$507),Constants!$B$14),$AJ130))</f>
        <v/>
      </c>
      <c r="AW130" s="59" t="str">
        <f aca="false">IF(ISBLANK($C130),"",IF($AJ130=Constants!$B$7,IF(ISNUMBER(AV130),COUNTIFS($AK$8:$AK$507,"&lt;"&amp;$AK130)+COUNTIFS($AK$8:$AK$507,$AK130,$AV$8:$AV$507,"&lt;"&amp;$AV130)+1,Constants!$B$14),$AJ130))</f>
        <v/>
      </c>
      <c r="AX130" s="59" t="str">
        <f aca="false">IF(ISBLANK($C130),"",IF($AJ130=Constants!$B$7,LARGE(AL130:AP130,4)*W130,""))</f>
        <v/>
      </c>
      <c r="AY130" s="59" t="str">
        <f aca="false">IF(ISBLANK($C130),"",IF($AJ130=Constants!$B$7,RANK(AX130,$AX$8:$AX$507),$AJ130))</f>
        <v/>
      </c>
      <c r="AZ130" s="59" t="str">
        <f aca="false">IF(ISBLANK($C130),"",IF($AJ130=Constants!$B$7,IF(ISNUMBER(AV130),COUNTIFS($AK$8:$AK$507,"&lt;"&amp;$AK130)+COUNTIFS($AK$8:$AK$507,$AK130,$AV$8:$AV$507,"&lt;"&amp;$AV130)+COUNTIFS($AK$8:$AK$507,$AK130,$AV$8:$AV$507,$AV130,$AY$8:$AY$507,"&lt;"&amp;$AY130)+1,Constants!$B$14),$AJ130))</f>
        <v/>
      </c>
      <c r="BA130" s="59" t="str">
        <f aca="false">IF(ISBLANK($C130),"",IF($AJ130=Constants!$B$7,IF(ISNUMBER(AW130),AW130-AZ130,Constants!$B$14),$AJ130))</f>
        <v/>
      </c>
      <c r="BB130" s="61"/>
      <c r="BC130" s="62" t="str">
        <f aca="false">IF(ISBLANK($C130),"",IF($AJ130&lt;&gt;Constants!$B$7,$AJ130,SMALL(AQ130:AS130,1)&amp;", "&amp;SMALL(AQ130:AS130,2)&amp;", "&amp;SMALL(AQ130:AS130,3)))</f>
        <v/>
      </c>
      <c r="BD130" s="63" t="str">
        <f aca="false">IF(ISBLANK($C130),"",IF($AJ130&lt;&gt;Constants!$B$7,$AJ130,W130))</f>
        <v/>
      </c>
      <c r="BE130" s="64" t="str">
        <f aca="false">IF(ISBLANK($C130),"",IF($AJ130&lt;&gt;Constants!$B$7,$AJ130,AU130))</f>
        <v/>
      </c>
      <c r="BF130" s="65" t="str">
        <f aca="false">IF(ISBLANK($C130),"",IF($AJ130&lt;&gt;Constants!$B$7,$AJ130,AK130))</f>
        <v/>
      </c>
      <c r="BG130" s="63" t="str">
        <f aca="false">IF(ISBLANK($C130),"",BA130)</f>
        <v/>
      </c>
      <c r="BH130" s="63" t="str">
        <f aca="false">IF(ISBLANK($C130),"",AZ130)</f>
        <v/>
      </c>
      <c r="BI130" s="66" t="str">
        <f aca="false">IF(ISBLANK($C130),"",IF(BH130=Constants!$B$4,COUNTA($C$8:$C$507)+2,IF(BH130=Constants!$B$5,COUNTA($C$8:$C$507)+1,IF(BH130=Constants!$B$6,COUNTA($C$8:$C$507),BH130))))</f>
        <v/>
      </c>
      <c r="BJ130" s="5"/>
      <c r="BK130" s="67" t="n">
        <f aca="false">IF(OR(ISNUMBER(BH130),BH130=Constants!$B$4,BH130=Constants!$B$6,BH130=Constants!$B$5),1,0)</f>
        <v>0</v>
      </c>
      <c r="BL130" s="67" t="n">
        <v>123</v>
      </c>
      <c r="BM130" s="67" t="str">
        <f aca="false">IF(ISBLANK($C130),"",IF(ISNUMBER(BI130),BI130+ROW($B130)/1000,""))</f>
        <v/>
      </c>
      <c r="BN130" s="67" t="str">
        <f aca="false">IF(ISNUMBER(BM130),RANK(BM130,$BM$8:$BM$507,1),"")</f>
        <v/>
      </c>
      <c r="BO130" s="67" t="str">
        <f aca="false">IF(ISBLANK($C130),"",$B130)</f>
        <v/>
      </c>
      <c r="BP130" s="67" t="str">
        <f aca="false">IF(ISBLANK($C130),"",$C130)</f>
        <v/>
      </c>
      <c r="BQ130" s="67" t="str">
        <f aca="false">IF(ISBLANK($C130),"",$D130)</f>
        <v/>
      </c>
      <c r="BR130" s="68" t="str">
        <f aca="false">BF130</f>
        <v/>
      </c>
      <c r="BS130" s="69" t="str">
        <f aca="false">BE130</f>
        <v/>
      </c>
      <c r="BT130" s="67" t="str">
        <f aca="false">IF(ISBLANK($C130),"",BH130)</f>
        <v/>
      </c>
      <c r="BU130" s="70" t="str">
        <f aca="false">IF($BL130&gt;$BK$7,"",VLOOKUP($BL130,$BN$8:$BT$507,7,FALSE()))</f>
        <v/>
      </c>
      <c r="BV130" s="71" t="str">
        <f aca="false">IF($BL130&gt;$BK$7,"",VLOOKUP($BL130,$BN$8:$BT$507,2,FALSE()))</f>
        <v/>
      </c>
      <c r="BW130" s="71" t="str">
        <f aca="false">IF($BL130&gt;$BK$7,"",VLOOKUP($BL130,$BN$8:$BT$507,3,FALSE()))</f>
        <v/>
      </c>
      <c r="BX130" s="71" t="str">
        <f aca="false">IF($BL130&gt;$BK$7,"",VLOOKUP($BL130,$BN$8:$BT$507,4,FALSE()))</f>
        <v/>
      </c>
      <c r="BY130" s="71" t="str">
        <f aca="false">IF($BL130&gt;$BK$7,"",VLOOKUP($BL130,$BN$8:$BT$507,5,FALSE()))</f>
        <v/>
      </c>
      <c r="BZ130" s="72" t="str">
        <f aca="false">IF($BL130&gt;$BK$7,"",VLOOKUP($BL130,$BN$8:$BT$507,6,FALSE()))</f>
        <v/>
      </c>
      <c r="CA130" s="48"/>
    </row>
    <row r="131" customFormat="false" ht="15.75" hidden="false" customHeight="false" outlineLevel="0" collapsed="false">
      <c r="A131" s="5"/>
      <c r="B131" s="114"/>
      <c r="C131" s="115"/>
      <c r="D131" s="100"/>
      <c r="E131" s="120"/>
      <c r="F131" s="125"/>
      <c r="G131" s="82"/>
      <c r="H131" s="126"/>
      <c r="I131" s="127"/>
      <c r="J131" s="82"/>
      <c r="K131" s="126"/>
      <c r="L131" s="82"/>
      <c r="M131" s="126"/>
      <c r="N131" s="82"/>
      <c r="O131" s="126"/>
      <c r="P131" s="82"/>
      <c r="Q131" s="126"/>
      <c r="R131" s="82"/>
      <c r="S131" s="120"/>
      <c r="T131" s="86"/>
      <c r="U131" s="87" t="str">
        <f aca="false">IF(ISBLANK($C131),"",IF(E131=Constants!$B$2, TRUE(), IF(E131=Constants!$B$3, FALSE(), TRUE())))</f>
        <v/>
      </c>
      <c r="V131" s="87" t="str">
        <f aca="false">IF(ISBLANK($C131),"",IF(F131=Constants!$B$2, TRUE(), IF(F131=Constants!$B$3, FALSE(), TRUE())))</f>
        <v/>
      </c>
      <c r="W131" s="87" t="str">
        <f aca="false">IF(ISBLANK($C131),"",IF(G131=Constants!$B$15,Constants!$B$8,IF(G131=Constants!$B$16,Constants!$B$9,Constants!$B$10)))</f>
        <v/>
      </c>
      <c r="X131" s="87" t="str">
        <f aca="false">IF(ISBLANK($C131),"",IF(H131=Constants!$B$2, TRUE(), IF(H131=Constants!$B$3, FALSE(), TRUE())))</f>
        <v/>
      </c>
      <c r="Y131" s="87" t="str">
        <f aca="false">IF(ISBLANK($C131),"",IF(I131=Constants!$B$19,Constants!$B$19,Constants!$B$18))</f>
        <v/>
      </c>
      <c r="Z131" s="87" t="str">
        <f aca="false">IF(ISBLANK($C131),"",IF(ISNUMBER(J131),IF(J131&gt;=0,J131,""),""))</f>
        <v/>
      </c>
      <c r="AA131" s="87" t="str">
        <f aca="false">IF(ISBLANK($C131),"",IF(K131=Constants!$B$19,Constants!$B$19,Constants!$B$18))</f>
        <v/>
      </c>
      <c r="AB131" s="87" t="str">
        <f aca="false">IF(ISBLANK($C131),"",IF(ISNUMBER(L131),IF(L131&gt;=0,L131,""),""))</f>
        <v/>
      </c>
      <c r="AC131" s="87" t="str">
        <f aca="false">IF(ISBLANK($C131),"",IF(M131=Constants!$B$19,Constants!$B$19,Constants!$B$18))</f>
        <v/>
      </c>
      <c r="AD131" s="87" t="str">
        <f aca="false">IF(ISBLANK($C131),"",IF(ISNUMBER(N131),IF(N131&gt;=0,N131,""),""))</f>
        <v/>
      </c>
      <c r="AE131" s="87" t="str">
        <f aca="false">IF(ISBLANK($C131),"",IF(O131=Constants!$B$19,Constants!$B$19,Constants!$B$18))</f>
        <v/>
      </c>
      <c r="AF131" s="87" t="str">
        <f aca="false">IF(ISBLANK($C131),"",IF(ISNUMBER(P131),IF(P131&gt;=0,P131,""),""))</f>
        <v/>
      </c>
      <c r="AG131" s="87" t="str">
        <f aca="false">IF(ISBLANK($C131),"",IF(Q131=Constants!$B$19,Constants!$B$19,Constants!$B$18))</f>
        <v/>
      </c>
      <c r="AH131" s="87" t="str">
        <f aca="false">IF(ISBLANK($C131),"",IF(ISNUMBER(R131),IF(R131&gt;=0,R131,""),""))</f>
        <v/>
      </c>
      <c r="AI131" s="87" t="str">
        <f aca="false">IF(ISBLANK($C131),"",IF(S131=Constants!$B$2, TRUE(), IF(S131=Constants!$B$3, FALSE(), FALSE())))</f>
        <v/>
      </c>
      <c r="AJ131" s="87" t="str">
        <f aca="false">IF(ISBLANK($C131),"",IF(AI131,Constants!$B$4,IF(COUNTA(E131:R131)=0,Constants!$B$5,IF(COUNTA(J131,L131,N131,P131,R131)=0,Constants!$B$6,Constants!$B$7))))</f>
        <v/>
      </c>
      <c r="AK131" s="87" t="str">
        <f aca="false">IF(ISBLANK($C131),"",IF($AJ131&lt;&gt;Constants!$B$7,$AJ131,IF(OR(NOT(X131),AND(NOT(U131),COUNTIFS(Y131:AG131,Constants!$B$18,Z131:AH131,"&gt;=0")&gt;0),AND(NOT(V131),COUNTIFS(Y131:AG131,Constants!$B$19,Z131:AH131,"&gt;=0")&gt;0)),Constants!$B$12,Constants!$B$11)))</f>
        <v/>
      </c>
      <c r="AL131" s="87" t="str">
        <f aca="false">IF($AJ131=Constants!$B$7,IF(Z131="",Constants!$B$13,Z131),"")</f>
        <v/>
      </c>
      <c r="AM131" s="87" t="str">
        <f aca="false">IF($AJ131=Constants!$B$7,IF(AB131="",Constants!$B$13,AB131),"")</f>
        <v/>
      </c>
      <c r="AN131" s="87" t="str">
        <f aca="false">IF($AJ131=Constants!$B$7,IF(AD131="",Constants!$B$13,AD131),"")</f>
        <v/>
      </c>
      <c r="AO131" s="87" t="str">
        <f aca="false">IF($AJ131=Constants!$B$7,IF(AF131="",Constants!$B$13,AF131),"")</f>
        <v/>
      </c>
      <c r="AP131" s="87" t="str">
        <f aca="false">IF($AJ131=Constants!$B$7,IF(AH131="",Constants!$B$13,AH131),"")</f>
        <v/>
      </c>
      <c r="AQ131" s="87" t="str">
        <f aca="false">IF($AJ131=Constants!$B$7,IF(SUMPRODUCT(--($AL131:$AP131&gt;AL131))+SUMPRODUCT(--($AL131:AL131=AL131))=1,1,IF(SUMPRODUCT(--($AL131:$AP131&gt;AM131))+SUMPRODUCT(--($AL131:AM131=AM131))=1,2,IF(SUMPRODUCT(--($AL131:$AP131&gt;AN131))+SUMPRODUCT(--($AL131:AN131=AN131))=1,3,IF(SUMPRODUCT(--($AL131:$AP131&gt;AO131))+SUMPRODUCT(--($AL131:AO131=AO131))=1,4,5)))),"")</f>
        <v/>
      </c>
      <c r="AR131" s="87" t="str">
        <f aca="false">IF($AJ131=Constants!$B$7,IF(SUMPRODUCT(--($AL131:$AP131&gt;AL131))+SUMPRODUCT(--($AL131:AL131=AL131))=2,1,IF(SUMPRODUCT(--($AL131:$AP131&gt;AM131))+SUMPRODUCT(--($AL131:AM131=AM131))=2,2,IF(SUMPRODUCT(--($AL131:$AP131&gt;AN131))+SUMPRODUCT(--($AL131:AN131=AN131))=2,3,IF(SUMPRODUCT(--($AL131:$AP131&gt;AO131))+SUMPRODUCT(--($AL131:AO131=AO131))=2,4,5)))),"")</f>
        <v/>
      </c>
      <c r="AS131" s="87" t="str">
        <f aca="false">IF($AJ131=Constants!$B$7,IF(SUMPRODUCT(--($AL131:$AP131&gt;AL131))+SUMPRODUCT(--($AL131:AL131=AL131))=3,1,IF(SUMPRODUCT(--($AL131:$AP131&gt;AM131))+SUMPRODUCT(--($AL131:AM131=AM131))=3,2,IF(SUMPRODUCT(--($AL131:$AP131&gt;AN131))+SUMPRODUCT(--($AL131:AN131=AN131))=3,3,IF(SUMPRODUCT(--($AL131:$AP131&gt;AO131))+SUMPRODUCT(--($AL131:AO131=AO131))=3,4,5)))),"")</f>
        <v/>
      </c>
      <c r="AT131" s="87" t="str">
        <f aca="false">IF($AJ131=Constants!$B$7,LARGE(AL131:AP131,1)+LARGE(AL131:AP131,2)+LARGE(AL131:AP131,3),"")</f>
        <v/>
      </c>
      <c r="AU131" s="87" t="str">
        <f aca="false">IF(ISBLANK($C131),"",IF($AJ131&lt;&gt;Constants!$B$7,$AJ131,AT131*W131))</f>
        <v/>
      </c>
      <c r="AV131" s="87" t="str">
        <f aca="false">IF(ISBLANK($C131),"",IF($AJ131=Constants!$B$7,IF(ISNUMBER(AU131),RANK(AU131,$AU$8:$AU$507),Constants!$B$14),$AJ131))</f>
        <v/>
      </c>
      <c r="AW131" s="87" t="str">
        <f aca="false">IF(ISBLANK($C131),"",IF($AJ131=Constants!$B$7,IF(ISNUMBER(AV131),COUNTIFS($AK$8:$AK$507,"&lt;"&amp;$AK131)+COUNTIFS($AK$8:$AK$507,$AK131,$AV$8:$AV$507,"&lt;"&amp;$AV131)+1,Constants!$B$14),$AJ131))</f>
        <v/>
      </c>
      <c r="AX131" s="87" t="str">
        <f aca="false">IF(ISBLANK($C131),"",IF($AJ131=Constants!$B$7,LARGE(AL131:AP131,4)*W131,""))</f>
        <v/>
      </c>
      <c r="AY131" s="87" t="str">
        <f aca="false">IF(ISBLANK($C131),"",IF($AJ131=Constants!$B$7,RANK(AX131,$AX$8:$AX$507),$AJ131))</f>
        <v/>
      </c>
      <c r="AZ131" s="87" t="str">
        <f aca="false">IF(ISBLANK($C131),"",IF($AJ131=Constants!$B$7,IF(ISNUMBER(AV131),COUNTIFS($AK$8:$AK$507,"&lt;"&amp;$AK131)+COUNTIFS($AK$8:$AK$507,$AK131,$AV$8:$AV$507,"&lt;"&amp;$AV131)+COUNTIFS($AK$8:$AK$507,$AK131,$AV$8:$AV$507,$AV131,$AY$8:$AY$507,"&lt;"&amp;$AY131)+1,Constants!$B$14),$AJ131))</f>
        <v/>
      </c>
      <c r="BA131" s="87" t="str">
        <f aca="false">IF(ISBLANK($C131),"",IF($AJ131=Constants!$B$7,IF(ISNUMBER(AW131),AW131-AZ131,Constants!$B$14),$AJ131))</f>
        <v/>
      </c>
      <c r="BB131" s="88"/>
      <c r="BC131" s="89" t="str">
        <f aca="false">IF(ISBLANK($C131),"",IF($AJ131&lt;&gt;Constants!$B$7,$AJ131,SMALL(AQ131:AS131,1)&amp;", "&amp;SMALL(AQ131:AS131,2)&amp;", "&amp;SMALL(AQ131:AS131,3)))</f>
        <v/>
      </c>
      <c r="BD131" s="90" t="str">
        <f aca="false">IF(ISBLANK($C131),"",IF($AJ131&lt;&gt;Constants!$B$7,$AJ131,W131))</f>
        <v/>
      </c>
      <c r="BE131" s="91" t="str">
        <f aca="false">IF(ISBLANK($C131),"",IF($AJ131&lt;&gt;Constants!$B$7,$AJ131,AU131))</f>
        <v/>
      </c>
      <c r="BF131" s="92" t="str">
        <f aca="false">IF(ISBLANK($C131),"",IF($AJ131&lt;&gt;Constants!$B$7,$AJ131,AK131))</f>
        <v/>
      </c>
      <c r="BG131" s="90" t="str">
        <f aca="false">IF(ISBLANK($C131),"",BA131)</f>
        <v/>
      </c>
      <c r="BH131" s="90" t="str">
        <f aca="false">IF(ISBLANK($C131),"",AZ131)</f>
        <v/>
      </c>
      <c r="BI131" s="93" t="str">
        <f aca="false">IF(ISBLANK($C131),"",IF(BH131=Constants!$B$4,COUNTA($C$8:$C$507)+2,IF(BH131=Constants!$B$5,COUNTA($C$8:$C$507)+1,IF(BH131=Constants!$B$6,COUNTA($C$8:$C$507),BH131))))</f>
        <v/>
      </c>
      <c r="BJ131" s="5"/>
      <c r="BK131" s="94" t="n">
        <f aca="false">IF(OR(ISNUMBER(BH131),BH131=Constants!$B$4,BH131=Constants!$B$6,BH131=Constants!$B$5),1,0)</f>
        <v>0</v>
      </c>
      <c r="BL131" s="94" t="n">
        <v>124</v>
      </c>
      <c r="BM131" s="94" t="str">
        <f aca="false">IF(ISBLANK($C131),"",IF(ISNUMBER(BI131),BI131+ROW($B131)/1000,""))</f>
        <v/>
      </c>
      <c r="BN131" s="94" t="str">
        <f aca="false">IF(ISNUMBER(BM131),RANK(BM131,$BM$8:$BM$507,1),"")</f>
        <v/>
      </c>
      <c r="BO131" s="94" t="str">
        <f aca="false">IF(ISBLANK($C131),"",$B131)</f>
        <v/>
      </c>
      <c r="BP131" s="94" t="str">
        <f aca="false">IF(ISBLANK($C131),"",$C131)</f>
        <v/>
      </c>
      <c r="BQ131" s="94" t="str">
        <f aca="false">IF(ISBLANK($C131),"",$D131)</f>
        <v/>
      </c>
      <c r="BR131" s="95" t="str">
        <f aca="false">BF131</f>
        <v/>
      </c>
      <c r="BS131" s="96" t="str">
        <f aca="false">BE131</f>
        <v/>
      </c>
      <c r="BT131" s="94" t="str">
        <f aca="false">IF(ISBLANK($C131),"",BH131)</f>
        <v/>
      </c>
      <c r="BU131" s="97" t="str">
        <f aca="false">IF($BL131&gt;$BK$7,"",VLOOKUP($BL131,$BN$8:$BT$507,7,FALSE()))</f>
        <v/>
      </c>
      <c r="BV131" s="98" t="str">
        <f aca="false">IF($BL131&gt;$BK$7,"",VLOOKUP($BL131,$BN$8:$BT$507,2,FALSE()))</f>
        <v/>
      </c>
      <c r="BW131" s="98" t="str">
        <f aca="false">IF($BL131&gt;$BK$7,"",VLOOKUP($BL131,$BN$8:$BT$507,3,FALSE()))</f>
        <v/>
      </c>
      <c r="BX131" s="98" t="str">
        <f aca="false">IF($BL131&gt;$BK$7,"",VLOOKUP($BL131,$BN$8:$BT$507,4,FALSE()))</f>
        <v/>
      </c>
      <c r="BY131" s="98" t="str">
        <f aca="false">IF($BL131&gt;$BK$7,"",VLOOKUP($BL131,$BN$8:$BT$507,5,FALSE()))</f>
        <v/>
      </c>
      <c r="BZ131" s="99" t="str">
        <f aca="false">IF($BL131&gt;$BK$7,"",VLOOKUP($BL131,$BN$8:$BT$507,6,FALSE()))</f>
        <v/>
      </c>
      <c r="CA131" s="48"/>
    </row>
    <row r="132" customFormat="false" ht="15.75" hidden="false" customHeight="false" outlineLevel="0" collapsed="false">
      <c r="A132" s="5"/>
      <c r="B132" s="114"/>
      <c r="C132" s="115"/>
      <c r="D132" s="100"/>
      <c r="E132" s="120"/>
      <c r="F132" s="125"/>
      <c r="G132" s="82"/>
      <c r="H132" s="126"/>
      <c r="I132" s="127"/>
      <c r="J132" s="82"/>
      <c r="K132" s="126"/>
      <c r="L132" s="82"/>
      <c r="M132" s="126"/>
      <c r="N132" s="82"/>
      <c r="O132" s="126"/>
      <c r="P132" s="82"/>
      <c r="Q132" s="126"/>
      <c r="R132" s="82"/>
      <c r="S132" s="120"/>
      <c r="T132" s="86"/>
      <c r="U132" s="87" t="str">
        <f aca="false">IF(ISBLANK($C132),"",IF(E132=Constants!$B$2, TRUE(), IF(E132=Constants!$B$3, FALSE(), TRUE())))</f>
        <v/>
      </c>
      <c r="V132" s="87" t="str">
        <f aca="false">IF(ISBLANK($C132),"",IF(F132=Constants!$B$2, TRUE(), IF(F132=Constants!$B$3, FALSE(), TRUE())))</f>
        <v/>
      </c>
      <c r="W132" s="87" t="str">
        <f aca="false">IF(ISBLANK($C132),"",IF(G132=Constants!$B$15,Constants!$B$8,IF(G132=Constants!$B$16,Constants!$B$9,Constants!$B$10)))</f>
        <v/>
      </c>
      <c r="X132" s="87" t="str">
        <f aca="false">IF(ISBLANK($C132),"",IF(H132=Constants!$B$2, TRUE(), IF(H132=Constants!$B$3, FALSE(), TRUE())))</f>
        <v/>
      </c>
      <c r="Y132" s="87" t="str">
        <f aca="false">IF(ISBLANK($C132),"",IF(I132=Constants!$B$19,Constants!$B$19,Constants!$B$18))</f>
        <v/>
      </c>
      <c r="Z132" s="87" t="str">
        <f aca="false">IF(ISBLANK($C132),"",IF(ISNUMBER(J132),IF(J132&gt;=0,J132,""),""))</f>
        <v/>
      </c>
      <c r="AA132" s="87" t="str">
        <f aca="false">IF(ISBLANK($C132),"",IF(K132=Constants!$B$19,Constants!$B$19,Constants!$B$18))</f>
        <v/>
      </c>
      <c r="AB132" s="87" t="str">
        <f aca="false">IF(ISBLANK($C132),"",IF(ISNUMBER(L132),IF(L132&gt;=0,L132,""),""))</f>
        <v/>
      </c>
      <c r="AC132" s="87" t="str">
        <f aca="false">IF(ISBLANK($C132),"",IF(M132=Constants!$B$19,Constants!$B$19,Constants!$B$18))</f>
        <v/>
      </c>
      <c r="AD132" s="87" t="str">
        <f aca="false">IF(ISBLANK($C132),"",IF(ISNUMBER(N132),IF(N132&gt;=0,N132,""),""))</f>
        <v/>
      </c>
      <c r="AE132" s="87" t="str">
        <f aca="false">IF(ISBLANK($C132),"",IF(O132=Constants!$B$19,Constants!$B$19,Constants!$B$18))</f>
        <v/>
      </c>
      <c r="AF132" s="87" t="str">
        <f aca="false">IF(ISBLANK($C132),"",IF(ISNUMBER(P132),IF(P132&gt;=0,P132,""),""))</f>
        <v/>
      </c>
      <c r="AG132" s="87" t="str">
        <f aca="false">IF(ISBLANK($C132),"",IF(Q132=Constants!$B$19,Constants!$B$19,Constants!$B$18))</f>
        <v/>
      </c>
      <c r="AH132" s="87" t="str">
        <f aca="false">IF(ISBLANK($C132),"",IF(ISNUMBER(R132),IF(R132&gt;=0,R132,""),""))</f>
        <v/>
      </c>
      <c r="AI132" s="87" t="str">
        <f aca="false">IF(ISBLANK($C132),"",IF(S132=Constants!$B$2, TRUE(), IF(S132=Constants!$B$3, FALSE(), FALSE())))</f>
        <v/>
      </c>
      <c r="AJ132" s="87" t="str">
        <f aca="false">IF(ISBLANK($C132),"",IF(AI132,Constants!$B$4,IF(COUNTA(E132:R132)=0,Constants!$B$5,IF(COUNTA(J132,L132,N132,P132,R132)=0,Constants!$B$6,Constants!$B$7))))</f>
        <v/>
      </c>
      <c r="AK132" s="87" t="str">
        <f aca="false">IF(ISBLANK($C132),"",IF($AJ132&lt;&gt;Constants!$B$7,$AJ132,IF(OR(NOT(X132),AND(NOT(U132),COUNTIFS(Y132:AG132,Constants!$B$18,Z132:AH132,"&gt;=0")&gt;0),AND(NOT(V132),COUNTIFS(Y132:AG132,Constants!$B$19,Z132:AH132,"&gt;=0")&gt;0)),Constants!$B$12,Constants!$B$11)))</f>
        <v/>
      </c>
      <c r="AL132" s="87" t="str">
        <f aca="false">IF($AJ132=Constants!$B$7,IF(Z132="",Constants!$B$13,Z132),"")</f>
        <v/>
      </c>
      <c r="AM132" s="87" t="str">
        <f aca="false">IF($AJ132=Constants!$B$7,IF(AB132="",Constants!$B$13,AB132),"")</f>
        <v/>
      </c>
      <c r="AN132" s="87" t="str">
        <f aca="false">IF($AJ132=Constants!$B$7,IF(AD132="",Constants!$B$13,AD132),"")</f>
        <v/>
      </c>
      <c r="AO132" s="87" t="str">
        <f aca="false">IF($AJ132=Constants!$B$7,IF(AF132="",Constants!$B$13,AF132),"")</f>
        <v/>
      </c>
      <c r="AP132" s="87" t="str">
        <f aca="false">IF($AJ132=Constants!$B$7,IF(AH132="",Constants!$B$13,AH132),"")</f>
        <v/>
      </c>
      <c r="AQ132" s="87" t="str">
        <f aca="false">IF($AJ132=Constants!$B$7,IF(SUMPRODUCT(--($AL132:$AP132&gt;AL132))+SUMPRODUCT(--($AL132:AL132=AL132))=1,1,IF(SUMPRODUCT(--($AL132:$AP132&gt;AM132))+SUMPRODUCT(--($AL132:AM132=AM132))=1,2,IF(SUMPRODUCT(--($AL132:$AP132&gt;AN132))+SUMPRODUCT(--($AL132:AN132=AN132))=1,3,IF(SUMPRODUCT(--($AL132:$AP132&gt;AO132))+SUMPRODUCT(--($AL132:AO132=AO132))=1,4,5)))),"")</f>
        <v/>
      </c>
      <c r="AR132" s="87" t="str">
        <f aca="false">IF($AJ132=Constants!$B$7,IF(SUMPRODUCT(--($AL132:$AP132&gt;AL132))+SUMPRODUCT(--($AL132:AL132=AL132))=2,1,IF(SUMPRODUCT(--($AL132:$AP132&gt;AM132))+SUMPRODUCT(--($AL132:AM132=AM132))=2,2,IF(SUMPRODUCT(--($AL132:$AP132&gt;AN132))+SUMPRODUCT(--($AL132:AN132=AN132))=2,3,IF(SUMPRODUCT(--($AL132:$AP132&gt;AO132))+SUMPRODUCT(--($AL132:AO132=AO132))=2,4,5)))),"")</f>
        <v/>
      </c>
      <c r="AS132" s="87" t="str">
        <f aca="false">IF($AJ132=Constants!$B$7,IF(SUMPRODUCT(--($AL132:$AP132&gt;AL132))+SUMPRODUCT(--($AL132:AL132=AL132))=3,1,IF(SUMPRODUCT(--($AL132:$AP132&gt;AM132))+SUMPRODUCT(--($AL132:AM132=AM132))=3,2,IF(SUMPRODUCT(--($AL132:$AP132&gt;AN132))+SUMPRODUCT(--($AL132:AN132=AN132))=3,3,IF(SUMPRODUCT(--($AL132:$AP132&gt;AO132))+SUMPRODUCT(--($AL132:AO132=AO132))=3,4,5)))),"")</f>
        <v/>
      </c>
      <c r="AT132" s="87" t="str">
        <f aca="false">IF($AJ132=Constants!$B$7,LARGE(AL132:AP132,1)+LARGE(AL132:AP132,2)+LARGE(AL132:AP132,3),"")</f>
        <v/>
      </c>
      <c r="AU132" s="87" t="str">
        <f aca="false">IF(ISBLANK($C132),"",IF($AJ132&lt;&gt;Constants!$B$7,$AJ132,AT132*W132))</f>
        <v/>
      </c>
      <c r="AV132" s="87" t="str">
        <f aca="false">IF(ISBLANK($C132),"",IF($AJ132=Constants!$B$7,IF(ISNUMBER(AU132),RANK(AU132,$AU$8:$AU$507),Constants!$B$14),$AJ132))</f>
        <v/>
      </c>
      <c r="AW132" s="87" t="str">
        <f aca="false">IF(ISBLANK($C132),"",IF($AJ132=Constants!$B$7,IF(ISNUMBER(AV132),COUNTIFS($AK$8:$AK$507,"&lt;"&amp;$AK132)+COUNTIFS($AK$8:$AK$507,$AK132,$AV$8:$AV$507,"&lt;"&amp;$AV132)+1,Constants!$B$14),$AJ132))</f>
        <v/>
      </c>
      <c r="AX132" s="87" t="str">
        <f aca="false">IF(ISBLANK($C132),"",IF($AJ132=Constants!$B$7,LARGE(AL132:AP132,4)*W132,""))</f>
        <v/>
      </c>
      <c r="AY132" s="87" t="str">
        <f aca="false">IF(ISBLANK($C132),"",IF($AJ132=Constants!$B$7,RANK(AX132,$AX$8:$AX$507),$AJ132))</f>
        <v/>
      </c>
      <c r="AZ132" s="87" t="str">
        <f aca="false">IF(ISBLANK($C132),"",IF($AJ132=Constants!$B$7,IF(ISNUMBER(AV132),COUNTIFS($AK$8:$AK$507,"&lt;"&amp;$AK132)+COUNTIFS($AK$8:$AK$507,$AK132,$AV$8:$AV$507,"&lt;"&amp;$AV132)+COUNTIFS($AK$8:$AK$507,$AK132,$AV$8:$AV$507,$AV132,$AY$8:$AY$507,"&lt;"&amp;$AY132)+1,Constants!$B$14),$AJ132))</f>
        <v/>
      </c>
      <c r="BA132" s="87" t="str">
        <f aca="false">IF(ISBLANK($C132),"",IF($AJ132=Constants!$B$7,IF(ISNUMBER(AW132),AW132-AZ132,Constants!$B$14),$AJ132))</f>
        <v/>
      </c>
      <c r="BB132" s="88"/>
      <c r="BC132" s="89" t="str">
        <f aca="false">IF(ISBLANK($C132),"",IF($AJ132&lt;&gt;Constants!$B$7,$AJ132,SMALL(AQ132:AS132,1)&amp;", "&amp;SMALL(AQ132:AS132,2)&amp;", "&amp;SMALL(AQ132:AS132,3)))</f>
        <v/>
      </c>
      <c r="BD132" s="90" t="str">
        <f aca="false">IF(ISBLANK($C132),"",IF($AJ132&lt;&gt;Constants!$B$7,$AJ132,W132))</f>
        <v/>
      </c>
      <c r="BE132" s="91" t="str">
        <f aca="false">IF(ISBLANK($C132),"",IF($AJ132&lt;&gt;Constants!$B$7,$AJ132,AU132))</f>
        <v/>
      </c>
      <c r="BF132" s="92" t="str">
        <f aca="false">IF(ISBLANK($C132),"",IF($AJ132&lt;&gt;Constants!$B$7,$AJ132,AK132))</f>
        <v/>
      </c>
      <c r="BG132" s="90" t="str">
        <f aca="false">IF(ISBLANK($C132),"",BA132)</f>
        <v/>
      </c>
      <c r="BH132" s="90" t="str">
        <f aca="false">IF(ISBLANK($C132),"",AZ132)</f>
        <v/>
      </c>
      <c r="BI132" s="93" t="str">
        <f aca="false">IF(ISBLANK($C132),"",IF(BH132=Constants!$B$4,COUNTA($C$8:$C$507)+2,IF(BH132=Constants!$B$5,COUNTA($C$8:$C$507)+1,IF(BH132=Constants!$B$6,COUNTA($C$8:$C$507),BH132))))</f>
        <v/>
      </c>
      <c r="BJ132" s="5"/>
      <c r="BK132" s="94" t="n">
        <f aca="false">IF(OR(ISNUMBER(BH132),BH132=Constants!$B$4,BH132=Constants!$B$6,BH132=Constants!$B$5),1,0)</f>
        <v>0</v>
      </c>
      <c r="BL132" s="94" t="n">
        <v>125</v>
      </c>
      <c r="BM132" s="94" t="str">
        <f aca="false">IF(ISBLANK($C132),"",IF(ISNUMBER(BI132),BI132+ROW($B132)/1000,""))</f>
        <v/>
      </c>
      <c r="BN132" s="94" t="str">
        <f aca="false">IF(ISNUMBER(BM132),RANK(BM132,$BM$8:$BM$507,1),"")</f>
        <v/>
      </c>
      <c r="BO132" s="94" t="str">
        <f aca="false">IF(ISBLANK($C132),"",$B132)</f>
        <v/>
      </c>
      <c r="BP132" s="94" t="str">
        <f aca="false">IF(ISBLANK($C132),"",$C132)</f>
        <v/>
      </c>
      <c r="BQ132" s="94" t="str">
        <f aca="false">IF(ISBLANK($C132),"",$D132)</f>
        <v/>
      </c>
      <c r="BR132" s="95" t="str">
        <f aca="false">BF132</f>
        <v/>
      </c>
      <c r="BS132" s="96" t="str">
        <f aca="false">BE132</f>
        <v/>
      </c>
      <c r="BT132" s="94" t="str">
        <f aca="false">IF(ISBLANK($C132),"",BH132)</f>
        <v/>
      </c>
      <c r="BU132" s="97" t="str">
        <f aca="false">IF($BL132&gt;$BK$7,"",VLOOKUP($BL132,$BN$8:$BT$507,7,FALSE()))</f>
        <v/>
      </c>
      <c r="BV132" s="98" t="str">
        <f aca="false">IF($BL132&gt;$BK$7,"",VLOOKUP($BL132,$BN$8:$BT$507,2,FALSE()))</f>
        <v/>
      </c>
      <c r="BW132" s="98" t="str">
        <f aca="false">IF($BL132&gt;$BK$7,"",VLOOKUP($BL132,$BN$8:$BT$507,3,FALSE()))</f>
        <v/>
      </c>
      <c r="BX132" s="98" t="str">
        <f aca="false">IF($BL132&gt;$BK$7,"",VLOOKUP($BL132,$BN$8:$BT$507,4,FALSE()))</f>
        <v/>
      </c>
      <c r="BY132" s="98" t="str">
        <f aca="false">IF($BL132&gt;$BK$7,"",VLOOKUP($BL132,$BN$8:$BT$507,5,FALSE()))</f>
        <v/>
      </c>
      <c r="BZ132" s="99" t="str">
        <f aca="false">IF($BL132&gt;$BK$7,"",VLOOKUP($BL132,$BN$8:$BT$507,6,FALSE()))</f>
        <v/>
      </c>
      <c r="CA132" s="48"/>
    </row>
    <row r="133" customFormat="false" ht="15.75" hidden="false" customHeight="false" outlineLevel="0" collapsed="false">
      <c r="A133" s="5"/>
      <c r="B133" s="114"/>
      <c r="C133" s="115"/>
      <c r="D133" s="100"/>
      <c r="E133" s="120"/>
      <c r="F133" s="125"/>
      <c r="G133" s="82"/>
      <c r="H133" s="126"/>
      <c r="I133" s="127"/>
      <c r="J133" s="82"/>
      <c r="K133" s="126"/>
      <c r="L133" s="82"/>
      <c r="M133" s="126"/>
      <c r="N133" s="82"/>
      <c r="O133" s="126"/>
      <c r="P133" s="82"/>
      <c r="Q133" s="126"/>
      <c r="R133" s="82"/>
      <c r="S133" s="120"/>
      <c r="T133" s="86"/>
      <c r="U133" s="87" t="str">
        <f aca="false">IF(ISBLANK($C133),"",IF(E133=Constants!$B$2, TRUE(), IF(E133=Constants!$B$3, FALSE(), TRUE())))</f>
        <v/>
      </c>
      <c r="V133" s="87" t="str">
        <f aca="false">IF(ISBLANK($C133),"",IF(F133=Constants!$B$2, TRUE(), IF(F133=Constants!$B$3, FALSE(), TRUE())))</f>
        <v/>
      </c>
      <c r="W133" s="87" t="str">
        <f aca="false">IF(ISBLANK($C133),"",IF(G133=Constants!$B$15,Constants!$B$8,IF(G133=Constants!$B$16,Constants!$B$9,Constants!$B$10)))</f>
        <v/>
      </c>
      <c r="X133" s="87" t="str">
        <f aca="false">IF(ISBLANK($C133),"",IF(H133=Constants!$B$2, TRUE(), IF(H133=Constants!$B$3, FALSE(), TRUE())))</f>
        <v/>
      </c>
      <c r="Y133" s="87" t="str">
        <f aca="false">IF(ISBLANK($C133),"",IF(I133=Constants!$B$19,Constants!$B$19,Constants!$B$18))</f>
        <v/>
      </c>
      <c r="Z133" s="87" t="str">
        <f aca="false">IF(ISBLANK($C133),"",IF(ISNUMBER(J133),IF(J133&gt;=0,J133,""),""))</f>
        <v/>
      </c>
      <c r="AA133" s="87" t="str">
        <f aca="false">IF(ISBLANK($C133),"",IF(K133=Constants!$B$19,Constants!$B$19,Constants!$B$18))</f>
        <v/>
      </c>
      <c r="AB133" s="87" t="str">
        <f aca="false">IF(ISBLANK($C133),"",IF(ISNUMBER(L133),IF(L133&gt;=0,L133,""),""))</f>
        <v/>
      </c>
      <c r="AC133" s="87" t="str">
        <f aca="false">IF(ISBLANK($C133),"",IF(M133=Constants!$B$19,Constants!$B$19,Constants!$B$18))</f>
        <v/>
      </c>
      <c r="AD133" s="87" t="str">
        <f aca="false">IF(ISBLANK($C133),"",IF(ISNUMBER(N133),IF(N133&gt;=0,N133,""),""))</f>
        <v/>
      </c>
      <c r="AE133" s="87" t="str">
        <f aca="false">IF(ISBLANK($C133),"",IF(O133=Constants!$B$19,Constants!$B$19,Constants!$B$18))</f>
        <v/>
      </c>
      <c r="AF133" s="87" t="str">
        <f aca="false">IF(ISBLANK($C133),"",IF(ISNUMBER(P133),IF(P133&gt;=0,P133,""),""))</f>
        <v/>
      </c>
      <c r="AG133" s="87" t="str">
        <f aca="false">IF(ISBLANK($C133),"",IF(Q133=Constants!$B$19,Constants!$B$19,Constants!$B$18))</f>
        <v/>
      </c>
      <c r="AH133" s="87" t="str">
        <f aca="false">IF(ISBLANK($C133),"",IF(ISNUMBER(R133),IF(R133&gt;=0,R133,""),""))</f>
        <v/>
      </c>
      <c r="AI133" s="87" t="str">
        <f aca="false">IF(ISBLANK($C133),"",IF(S133=Constants!$B$2, TRUE(), IF(S133=Constants!$B$3, FALSE(), FALSE())))</f>
        <v/>
      </c>
      <c r="AJ133" s="87" t="str">
        <f aca="false">IF(ISBLANK($C133),"",IF(AI133,Constants!$B$4,IF(COUNTA(E133:R133)=0,Constants!$B$5,IF(COUNTA(J133,L133,N133,P133,R133)=0,Constants!$B$6,Constants!$B$7))))</f>
        <v/>
      </c>
      <c r="AK133" s="87" t="str">
        <f aca="false">IF(ISBLANK($C133),"",IF($AJ133&lt;&gt;Constants!$B$7,$AJ133,IF(OR(NOT(X133),AND(NOT(U133),COUNTIFS(Y133:AG133,Constants!$B$18,Z133:AH133,"&gt;=0")&gt;0),AND(NOT(V133),COUNTIFS(Y133:AG133,Constants!$B$19,Z133:AH133,"&gt;=0")&gt;0)),Constants!$B$12,Constants!$B$11)))</f>
        <v/>
      </c>
      <c r="AL133" s="87" t="str">
        <f aca="false">IF($AJ133=Constants!$B$7,IF(Z133="",Constants!$B$13,Z133),"")</f>
        <v/>
      </c>
      <c r="AM133" s="87" t="str">
        <f aca="false">IF($AJ133=Constants!$B$7,IF(AB133="",Constants!$B$13,AB133),"")</f>
        <v/>
      </c>
      <c r="AN133" s="87" t="str">
        <f aca="false">IF($AJ133=Constants!$B$7,IF(AD133="",Constants!$B$13,AD133),"")</f>
        <v/>
      </c>
      <c r="AO133" s="87" t="str">
        <f aca="false">IF($AJ133=Constants!$B$7,IF(AF133="",Constants!$B$13,AF133),"")</f>
        <v/>
      </c>
      <c r="AP133" s="87" t="str">
        <f aca="false">IF($AJ133=Constants!$B$7,IF(AH133="",Constants!$B$13,AH133),"")</f>
        <v/>
      </c>
      <c r="AQ133" s="87" t="str">
        <f aca="false">IF($AJ133=Constants!$B$7,IF(SUMPRODUCT(--($AL133:$AP133&gt;AL133))+SUMPRODUCT(--($AL133:AL133=AL133))=1,1,IF(SUMPRODUCT(--($AL133:$AP133&gt;AM133))+SUMPRODUCT(--($AL133:AM133=AM133))=1,2,IF(SUMPRODUCT(--($AL133:$AP133&gt;AN133))+SUMPRODUCT(--($AL133:AN133=AN133))=1,3,IF(SUMPRODUCT(--($AL133:$AP133&gt;AO133))+SUMPRODUCT(--($AL133:AO133=AO133))=1,4,5)))),"")</f>
        <v/>
      </c>
      <c r="AR133" s="87" t="str">
        <f aca="false">IF($AJ133=Constants!$B$7,IF(SUMPRODUCT(--($AL133:$AP133&gt;AL133))+SUMPRODUCT(--($AL133:AL133=AL133))=2,1,IF(SUMPRODUCT(--($AL133:$AP133&gt;AM133))+SUMPRODUCT(--($AL133:AM133=AM133))=2,2,IF(SUMPRODUCT(--($AL133:$AP133&gt;AN133))+SUMPRODUCT(--($AL133:AN133=AN133))=2,3,IF(SUMPRODUCT(--($AL133:$AP133&gt;AO133))+SUMPRODUCT(--($AL133:AO133=AO133))=2,4,5)))),"")</f>
        <v/>
      </c>
      <c r="AS133" s="87" t="str">
        <f aca="false">IF($AJ133=Constants!$B$7,IF(SUMPRODUCT(--($AL133:$AP133&gt;AL133))+SUMPRODUCT(--($AL133:AL133=AL133))=3,1,IF(SUMPRODUCT(--($AL133:$AP133&gt;AM133))+SUMPRODUCT(--($AL133:AM133=AM133))=3,2,IF(SUMPRODUCT(--($AL133:$AP133&gt;AN133))+SUMPRODUCT(--($AL133:AN133=AN133))=3,3,IF(SUMPRODUCT(--($AL133:$AP133&gt;AO133))+SUMPRODUCT(--($AL133:AO133=AO133))=3,4,5)))),"")</f>
        <v/>
      </c>
      <c r="AT133" s="87" t="str">
        <f aca="false">IF($AJ133=Constants!$B$7,LARGE(AL133:AP133,1)+LARGE(AL133:AP133,2)+LARGE(AL133:AP133,3),"")</f>
        <v/>
      </c>
      <c r="AU133" s="87" t="str">
        <f aca="false">IF(ISBLANK($C133),"",IF($AJ133&lt;&gt;Constants!$B$7,$AJ133,AT133*W133))</f>
        <v/>
      </c>
      <c r="AV133" s="87" t="str">
        <f aca="false">IF(ISBLANK($C133),"",IF($AJ133=Constants!$B$7,IF(ISNUMBER(AU133),RANK(AU133,$AU$8:$AU$507),Constants!$B$14),$AJ133))</f>
        <v/>
      </c>
      <c r="AW133" s="87" t="str">
        <f aca="false">IF(ISBLANK($C133),"",IF($AJ133=Constants!$B$7,IF(ISNUMBER(AV133),COUNTIFS($AK$8:$AK$507,"&lt;"&amp;$AK133)+COUNTIFS($AK$8:$AK$507,$AK133,$AV$8:$AV$507,"&lt;"&amp;$AV133)+1,Constants!$B$14),$AJ133))</f>
        <v/>
      </c>
      <c r="AX133" s="87" t="str">
        <f aca="false">IF(ISBLANK($C133),"",IF($AJ133=Constants!$B$7,LARGE(AL133:AP133,4)*W133,""))</f>
        <v/>
      </c>
      <c r="AY133" s="87" t="str">
        <f aca="false">IF(ISBLANK($C133),"",IF($AJ133=Constants!$B$7,RANK(AX133,$AX$8:$AX$507),$AJ133))</f>
        <v/>
      </c>
      <c r="AZ133" s="87" t="str">
        <f aca="false">IF(ISBLANK($C133),"",IF($AJ133=Constants!$B$7,IF(ISNUMBER(AV133),COUNTIFS($AK$8:$AK$507,"&lt;"&amp;$AK133)+COUNTIFS($AK$8:$AK$507,$AK133,$AV$8:$AV$507,"&lt;"&amp;$AV133)+COUNTIFS($AK$8:$AK$507,$AK133,$AV$8:$AV$507,$AV133,$AY$8:$AY$507,"&lt;"&amp;$AY133)+1,Constants!$B$14),$AJ133))</f>
        <v/>
      </c>
      <c r="BA133" s="87" t="str">
        <f aca="false">IF(ISBLANK($C133),"",IF($AJ133=Constants!$B$7,IF(ISNUMBER(AW133),AW133-AZ133,Constants!$B$14),$AJ133))</f>
        <v/>
      </c>
      <c r="BB133" s="88"/>
      <c r="BC133" s="89" t="str">
        <f aca="false">IF(ISBLANK($C133),"",IF($AJ133&lt;&gt;Constants!$B$7,$AJ133,SMALL(AQ133:AS133,1)&amp;", "&amp;SMALL(AQ133:AS133,2)&amp;", "&amp;SMALL(AQ133:AS133,3)))</f>
        <v/>
      </c>
      <c r="BD133" s="90" t="str">
        <f aca="false">IF(ISBLANK($C133),"",IF($AJ133&lt;&gt;Constants!$B$7,$AJ133,W133))</f>
        <v/>
      </c>
      <c r="BE133" s="91" t="str">
        <f aca="false">IF(ISBLANK($C133),"",IF($AJ133&lt;&gt;Constants!$B$7,$AJ133,AU133))</f>
        <v/>
      </c>
      <c r="BF133" s="92" t="str">
        <f aca="false">IF(ISBLANK($C133),"",IF($AJ133&lt;&gt;Constants!$B$7,$AJ133,AK133))</f>
        <v/>
      </c>
      <c r="BG133" s="90" t="str">
        <f aca="false">IF(ISBLANK($C133),"",BA133)</f>
        <v/>
      </c>
      <c r="BH133" s="90" t="str">
        <f aca="false">IF(ISBLANK($C133),"",AZ133)</f>
        <v/>
      </c>
      <c r="BI133" s="93" t="str">
        <f aca="false">IF(ISBLANK($C133),"",IF(BH133=Constants!$B$4,COUNTA($C$8:$C$507)+2,IF(BH133=Constants!$B$5,COUNTA($C$8:$C$507)+1,IF(BH133=Constants!$B$6,COUNTA($C$8:$C$507),BH133))))</f>
        <v/>
      </c>
      <c r="BJ133" s="5"/>
      <c r="BK133" s="94" t="n">
        <f aca="false">IF(OR(ISNUMBER(BH133),BH133=Constants!$B$4,BH133=Constants!$B$6,BH133=Constants!$B$5),1,0)</f>
        <v>0</v>
      </c>
      <c r="BL133" s="94" t="n">
        <v>126</v>
      </c>
      <c r="BM133" s="94" t="str">
        <f aca="false">IF(ISBLANK($C133),"",IF(ISNUMBER(BI133),BI133+ROW($B133)/1000,""))</f>
        <v/>
      </c>
      <c r="BN133" s="94" t="str">
        <f aca="false">IF(ISNUMBER(BM133),RANK(BM133,$BM$8:$BM$507,1),"")</f>
        <v/>
      </c>
      <c r="BO133" s="94" t="str">
        <f aca="false">IF(ISBLANK($C133),"",$B133)</f>
        <v/>
      </c>
      <c r="BP133" s="94" t="str">
        <f aca="false">IF(ISBLANK($C133),"",$C133)</f>
        <v/>
      </c>
      <c r="BQ133" s="94" t="str">
        <f aca="false">IF(ISBLANK($C133),"",$D133)</f>
        <v/>
      </c>
      <c r="BR133" s="95" t="str">
        <f aca="false">BF133</f>
        <v/>
      </c>
      <c r="BS133" s="96" t="str">
        <f aca="false">BE133</f>
        <v/>
      </c>
      <c r="BT133" s="94" t="str">
        <f aca="false">IF(ISBLANK($C133),"",BH133)</f>
        <v/>
      </c>
      <c r="BU133" s="97" t="str">
        <f aca="false">IF($BL133&gt;$BK$7,"",VLOOKUP($BL133,$BN$8:$BT$507,7,FALSE()))</f>
        <v/>
      </c>
      <c r="BV133" s="98" t="str">
        <f aca="false">IF($BL133&gt;$BK$7,"",VLOOKUP($BL133,$BN$8:$BT$507,2,FALSE()))</f>
        <v/>
      </c>
      <c r="BW133" s="98" t="str">
        <f aca="false">IF($BL133&gt;$BK$7,"",VLOOKUP($BL133,$BN$8:$BT$507,3,FALSE()))</f>
        <v/>
      </c>
      <c r="BX133" s="98" t="str">
        <f aca="false">IF($BL133&gt;$BK$7,"",VLOOKUP($BL133,$BN$8:$BT$507,4,FALSE()))</f>
        <v/>
      </c>
      <c r="BY133" s="98" t="str">
        <f aca="false">IF($BL133&gt;$BK$7,"",VLOOKUP($BL133,$BN$8:$BT$507,5,FALSE()))</f>
        <v/>
      </c>
      <c r="BZ133" s="99" t="str">
        <f aca="false">IF($BL133&gt;$BK$7,"",VLOOKUP($BL133,$BN$8:$BT$507,6,FALSE()))</f>
        <v/>
      </c>
      <c r="CA133" s="48"/>
    </row>
    <row r="134" customFormat="false" ht="15.75" hidden="false" customHeight="false" outlineLevel="0" collapsed="false">
      <c r="A134" s="5"/>
      <c r="B134" s="121"/>
      <c r="C134" s="50"/>
      <c r="D134" s="51"/>
      <c r="E134" s="74"/>
      <c r="F134" s="122"/>
      <c r="G134" s="54"/>
      <c r="H134" s="123"/>
      <c r="I134" s="124"/>
      <c r="J134" s="54"/>
      <c r="K134" s="123"/>
      <c r="L134" s="54"/>
      <c r="M134" s="123"/>
      <c r="N134" s="54"/>
      <c r="O134" s="123"/>
      <c r="P134" s="54"/>
      <c r="Q134" s="123"/>
      <c r="R134" s="54"/>
      <c r="S134" s="74"/>
      <c r="T134" s="58"/>
      <c r="U134" s="59" t="str">
        <f aca="false">IF(ISBLANK($C134),"",IF(E134=Constants!$B$2, TRUE(), IF(E134=Constants!$B$3, FALSE(), TRUE())))</f>
        <v/>
      </c>
      <c r="V134" s="59" t="str">
        <f aca="false">IF(ISBLANK($C134),"",IF(F134=Constants!$B$2, TRUE(), IF(F134=Constants!$B$3, FALSE(), TRUE())))</f>
        <v/>
      </c>
      <c r="W134" s="59" t="str">
        <f aca="false">IF(ISBLANK($C134),"",IF(G134=Constants!$B$15,Constants!$B$8,IF(G134=Constants!$B$16,Constants!$B$9,Constants!$B$10)))</f>
        <v/>
      </c>
      <c r="X134" s="59" t="str">
        <f aca="false">IF(ISBLANK($C134),"",IF(H134=Constants!$B$2, TRUE(), IF(H134=Constants!$B$3, FALSE(), TRUE())))</f>
        <v/>
      </c>
      <c r="Y134" s="59" t="str">
        <f aca="false">IF(ISBLANK($C134),"",IF(I134=Constants!$B$19,Constants!$B$19,Constants!$B$18))</f>
        <v/>
      </c>
      <c r="Z134" s="59" t="str">
        <f aca="false">IF(ISBLANK($C134),"",IF(ISNUMBER(J134),IF(J134&gt;=0,J134,""),""))</f>
        <v/>
      </c>
      <c r="AA134" s="59" t="str">
        <f aca="false">IF(ISBLANK($C134),"",IF(K134=Constants!$B$19,Constants!$B$19,Constants!$B$18))</f>
        <v/>
      </c>
      <c r="AB134" s="59" t="str">
        <f aca="false">IF(ISBLANK($C134),"",IF(ISNUMBER(L134),IF(L134&gt;=0,L134,""),""))</f>
        <v/>
      </c>
      <c r="AC134" s="59" t="str">
        <f aca="false">IF(ISBLANK($C134),"",IF(M134=Constants!$B$19,Constants!$B$19,Constants!$B$18))</f>
        <v/>
      </c>
      <c r="AD134" s="59" t="str">
        <f aca="false">IF(ISBLANK($C134),"",IF(ISNUMBER(N134),IF(N134&gt;=0,N134,""),""))</f>
        <v/>
      </c>
      <c r="AE134" s="59" t="str">
        <f aca="false">IF(ISBLANK($C134),"",IF(O134=Constants!$B$19,Constants!$B$19,Constants!$B$18))</f>
        <v/>
      </c>
      <c r="AF134" s="59" t="str">
        <f aca="false">IF(ISBLANK($C134),"",IF(ISNUMBER(P134),IF(P134&gt;=0,P134,""),""))</f>
        <v/>
      </c>
      <c r="AG134" s="59" t="str">
        <f aca="false">IF(ISBLANK($C134),"",IF(Q134=Constants!$B$19,Constants!$B$19,Constants!$B$18))</f>
        <v/>
      </c>
      <c r="AH134" s="59" t="str">
        <f aca="false">IF(ISBLANK($C134),"",IF(ISNUMBER(R134),IF(R134&gt;=0,R134,""),""))</f>
        <v/>
      </c>
      <c r="AI134" s="59" t="str">
        <f aca="false">IF(ISBLANK($C134),"",IF(S134=Constants!$B$2, TRUE(), IF(S134=Constants!$B$3, FALSE(), FALSE())))</f>
        <v/>
      </c>
      <c r="AJ134" s="59" t="str">
        <f aca="false">IF(ISBLANK($C134),"",IF(AI134,Constants!$B$4,IF(COUNTA(E134:R134)=0,Constants!$B$5,IF(COUNTA(J134,L134,N134,P134,R134)=0,Constants!$B$6,Constants!$B$7))))</f>
        <v/>
      </c>
      <c r="AK134" s="59" t="str">
        <f aca="false">IF(ISBLANK($C134),"",IF($AJ134&lt;&gt;Constants!$B$7,$AJ134,IF(OR(NOT(X134),AND(NOT(U134),COUNTIFS(Y134:AG134,Constants!$B$18,Z134:AH134,"&gt;=0")&gt;0),AND(NOT(V134),COUNTIFS(Y134:AG134,Constants!$B$19,Z134:AH134,"&gt;=0")&gt;0)),Constants!$B$12,Constants!$B$11)))</f>
        <v/>
      </c>
      <c r="AL134" s="59" t="str">
        <f aca="false">IF($AJ134=Constants!$B$7,IF(Z134="",Constants!$B$13,Z134),"")</f>
        <v/>
      </c>
      <c r="AM134" s="59" t="str">
        <f aca="false">IF($AJ134=Constants!$B$7,IF(AB134="",Constants!$B$13,AB134),"")</f>
        <v/>
      </c>
      <c r="AN134" s="59" t="str">
        <f aca="false">IF($AJ134=Constants!$B$7,IF(AD134="",Constants!$B$13,AD134),"")</f>
        <v/>
      </c>
      <c r="AO134" s="59" t="str">
        <f aca="false">IF($AJ134=Constants!$B$7,IF(AF134="",Constants!$B$13,AF134),"")</f>
        <v/>
      </c>
      <c r="AP134" s="59" t="str">
        <f aca="false">IF($AJ134=Constants!$B$7,IF(AH134="",Constants!$B$13,AH134),"")</f>
        <v/>
      </c>
      <c r="AQ134" s="59" t="str">
        <f aca="false">IF($AJ134=Constants!$B$7,IF(SUMPRODUCT(--($AL134:$AP134&gt;AL134))+SUMPRODUCT(--($AL134:AL134=AL134))=1,1,IF(SUMPRODUCT(--($AL134:$AP134&gt;AM134))+SUMPRODUCT(--($AL134:AM134=AM134))=1,2,IF(SUMPRODUCT(--($AL134:$AP134&gt;AN134))+SUMPRODUCT(--($AL134:AN134=AN134))=1,3,IF(SUMPRODUCT(--($AL134:$AP134&gt;AO134))+SUMPRODUCT(--($AL134:AO134=AO134))=1,4,5)))),"")</f>
        <v/>
      </c>
      <c r="AR134" s="59" t="str">
        <f aca="false">IF($AJ134=Constants!$B$7,IF(SUMPRODUCT(--($AL134:$AP134&gt;AL134))+SUMPRODUCT(--($AL134:AL134=AL134))=2,1,IF(SUMPRODUCT(--($AL134:$AP134&gt;AM134))+SUMPRODUCT(--($AL134:AM134=AM134))=2,2,IF(SUMPRODUCT(--($AL134:$AP134&gt;AN134))+SUMPRODUCT(--($AL134:AN134=AN134))=2,3,IF(SUMPRODUCT(--($AL134:$AP134&gt;AO134))+SUMPRODUCT(--($AL134:AO134=AO134))=2,4,5)))),"")</f>
        <v/>
      </c>
      <c r="AS134" s="59" t="str">
        <f aca="false">IF($AJ134=Constants!$B$7,IF(SUMPRODUCT(--($AL134:$AP134&gt;AL134))+SUMPRODUCT(--($AL134:AL134=AL134))=3,1,IF(SUMPRODUCT(--($AL134:$AP134&gt;AM134))+SUMPRODUCT(--($AL134:AM134=AM134))=3,2,IF(SUMPRODUCT(--($AL134:$AP134&gt;AN134))+SUMPRODUCT(--($AL134:AN134=AN134))=3,3,IF(SUMPRODUCT(--($AL134:$AP134&gt;AO134))+SUMPRODUCT(--($AL134:AO134=AO134))=3,4,5)))),"")</f>
        <v/>
      </c>
      <c r="AT134" s="59" t="str">
        <f aca="false">IF($AJ134=Constants!$B$7,LARGE(AL134:AP134,1)+LARGE(AL134:AP134,2)+LARGE(AL134:AP134,3),"")</f>
        <v/>
      </c>
      <c r="AU134" s="59" t="str">
        <f aca="false">IF(ISBLANK($C134),"",IF($AJ134&lt;&gt;Constants!$B$7,$AJ134,AT134*W134))</f>
        <v/>
      </c>
      <c r="AV134" s="59" t="str">
        <f aca="false">IF(ISBLANK($C134),"",IF($AJ134=Constants!$B$7,IF(ISNUMBER(AU134),RANK(AU134,$AU$8:$AU$507),Constants!$B$14),$AJ134))</f>
        <v/>
      </c>
      <c r="AW134" s="59" t="str">
        <f aca="false">IF(ISBLANK($C134),"",IF($AJ134=Constants!$B$7,IF(ISNUMBER(AV134),COUNTIFS($AK$8:$AK$507,"&lt;"&amp;$AK134)+COUNTIFS($AK$8:$AK$507,$AK134,$AV$8:$AV$507,"&lt;"&amp;$AV134)+1,Constants!$B$14),$AJ134))</f>
        <v/>
      </c>
      <c r="AX134" s="59" t="str">
        <f aca="false">IF(ISBLANK($C134),"",IF($AJ134=Constants!$B$7,LARGE(AL134:AP134,4)*W134,""))</f>
        <v/>
      </c>
      <c r="AY134" s="59" t="str">
        <f aca="false">IF(ISBLANK($C134),"",IF($AJ134=Constants!$B$7,RANK(AX134,$AX$8:$AX$507),$AJ134))</f>
        <v/>
      </c>
      <c r="AZ134" s="59" t="str">
        <f aca="false">IF(ISBLANK($C134),"",IF($AJ134=Constants!$B$7,IF(ISNUMBER(AV134),COUNTIFS($AK$8:$AK$507,"&lt;"&amp;$AK134)+COUNTIFS($AK$8:$AK$507,$AK134,$AV$8:$AV$507,"&lt;"&amp;$AV134)+COUNTIFS($AK$8:$AK$507,$AK134,$AV$8:$AV$507,$AV134,$AY$8:$AY$507,"&lt;"&amp;$AY134)+1,Constants!$B$14),$AJ134))</f>
        <v/>
      </c>
      <c r="BA134" s="59" t="str">
        <f aca="false">IF(ISBLANK($C134),"",IF($AJ134=Constants!$B$7,IF(ISNUMBER(AW134),AW134-AZ134,Constants!$B$14),$AJ134))</f>
        <v/>
      </c>
      <c r="BB134" s="61"/>
      <c r="BC134" s="62" t="str">
        <f aca="false">IF(ISBLANK($C134),"",IF($AJ134&lt;&gt;Constants!$B$7,$AJ134,SMALL(AQ134:AS134,1)&amp;", "&amp;SMALL(AQ134:AS134,2)&amp;", "&amp;SMALL(AQ134:AS134,3)))</f>
        <v/>
      </c>
      <c r="BD134" s="63" t="str">
        <f aca="false">IF(ISBLANK($C134),"",IF($AJ134&lt;&gt;Constants!$B$7,$AJ134,W134))</f>
        <v/>
      </c>
      <c r="BE134" s="64" t="str">
        <f aca="false">IF(ISBLANK($C134),"",IF($AJ134&lt;&gt;Constants!$B$7,$AJ134,AU134))</f>
        <v/>
      </c>
      <c r="BF134" s="65" t="str">
        <f aca="false">IF(ISBLANK($C134),"",IF($AJ134&lt;&gt;Constants!$B$7,$AJ134,AK134))</f>
        <v/>
      </c>
      <c r="BG134" s="63" t="str">
        <f aca="false">IF(ISBLANK($C134),"",BA134)</f>
        <v/>
      </c>
      <c r="BH134" s="63" t="str">
        <f aca="false">IF(ISBLANK($C134),"",AZ134)</f>
        <v/>
      </c>
      <c r="BI134" s="66" t="str">
        <f aca="false">IF(ISBLANK($C134),"",IF(BH134=Constants!$B$4,COUNTA($C$8:$C$507)+2,IF(BH134=Constants!$B$5,COUNTA($C$8:$C$507)+1,IF(BH134=Constants!$B$6,COUNTA($C$8:$C$507),BH134))))</f>
        <v/>
      </c>
      <c r="BJ134" s="5"/>
      <c r="BK134" s="67" t="n">
        <f aca="false">IF(OR(ISNUMBER(BH134),BH134=Constants!$B$4,BH134=Constants!$B$6,BH134=Constants!$B$5),1,0)</f>
        <v>0</v>
      </c>
      <c r="BL134" s="67" t="n">
        <v>127</v>
      </c>
      <c r="BM134" s="67" t="str">
        <f aca="false">IF(ISBLANK($C134),"",IF(ISNUMBER(BI134),BI134+ROW($B134)/1000,""))</f>
        <v/>
      </c>
      <c r="BN134" s="67" t="str">
        <f aca="false">IF(ISNUMBER(BM134),RANK(BM134,$BM$8:$BM$507,1),"")</f>
        <v/>
      </c>
      <c r="BO134" s="67" t="str">
        <f aca="false">IF(ISBLANK($C134),"",$B134)</f>
        <v/>
      </c>
      <c r="BP134" s="67" t="str">
        <f aca="false">IF(ISBLANK($C134),"",$C134)</f>
        <v/>
      </c>
      <c r="BQ134" s="67" t="str">
        <f aca="false">IF(ISBLANK($C134),"",$D134)</f>
        <v/>
      </c>
      <c r="BR134" s="68" t="str">
        <f aca="false">BF134</f>
        <v/>
      </c>
      <c r="BS134" s="69" t="str">
        <f aca="false">BE134</f>
        <v/>
      </c>
      <c r="BT134" s="67" t="str">
        <f aca="false">IF(ISBLANK($C134),"",BH134)</f>
        <v/>
      </c>
      <c r="BU134" s="70" t="str">
        <f aca="false">IF($BL134&gt;$BK$7,"",VLOOKUP($BL134,$BN$8:$BT$507,7,FALSE()))</f>
        <v/>
      </c>
      <c r="BV134" s="71" t="str">
        <f aca="false">IF($BL134&gt;$BK$7,"",VLOOKUP($BL134,$BN$8:$BT$507,2,FALSE()))</f>
        <v/>
      </c>
      <c r="BW134" s="71" t="str">
        <f aca="false">IF($BL134&gt;$BK$7,"",VLOOKUP($BL134,$BN$8:$BT$507,3,FALSE()))</f>
        <v/>
      </c>
      <c r="BX134" s="71" t="str">
        <f aca="false">IF($BL134&gt;$BK$7,"",VLOOKUP($BL134,$BN$8:$BT$507,4,FALSE()))</f>
        <v/>
      </c>
      <c r="BY134" s="71" t="str">
        <f aca="false">IF($BL134&gt;$BK$7,"",VLOOKUP($BL134,$BN$8:$BT$507,5,FALSE()))</f>
        <v/>
      </c>
      <c r="BZ134" s="72" t="str">
        <f aca="false">IF($BL134&gt;$BK$7,"",VLOOKUP($BL134,$BN$8:$BT$507,6,FALSE()))</f>
        <v/>
      </c>
      <c r="CA134" s="48"/>
    </row>
    <row r="135" customFormat="false" ht="15.75" hidden="false" customHeight="false" outlineLevel="0" collapsed="false">
      <c r="A135" s="5"/>
      <c r="B135" s="121"/>
      <c r="C135" s="50"/>
      <c r="D135" s="51"/>
      <c r="E135" s="74"/>
      <c r="F135" s="122"/>
      <c r="G135" s="54"/>
      <c r="H135" s="123"/>
      <c r="I135" s="124"/>
      <c r="J135" s="54"/>
      <c r="K135" s="123"/>
      <c r="L135" s="54"/>
      <c r="M135" s="123"/>
      <c r="N135" s="54"/>
      <c r="O135" s="123"/>
      <c r="P135" s="54"/>
      <c r="Q135" s="123"/>
      <c r="R135" s="54"/>
      <c r="S135" s="74"/>
      <c r="T135" s="58"/>
      <c r="U135" s="59" t="str">
        <f aca="false">IF(ISBLANK($C135),"",IF(E135=Constants!$B$2, TRUE(), IF(E135=Constants!$B$3, FALSE(), TRUE())))</f>
        <v/>
      </c>
      <c r="V135" s="59" t="str">
        <f aca="false">IF(ISBLANK($C135),"",IF(F135=Constants!$B$2, TRUE(), IF(F135=Constants!$B$3, FALSE(), TRUE())))</f>
        <v/>
      </c>
      <c r="W135" s="59" t="str">
        <f aca="false">IF(ISBLANK($C135),"",IF(G135=Constants!$B$15,Constants!$B$8,IF(G135=Constants!$B$16,Constants!$B$9,Constants!$B$10)))</f>
        <v/>
      </c>
      <c r="X135" s="59" t="str">
        <f aca="false">IF(ISBLANK($C135),"",IF(H135=Constants!$B$2, TRUE(), IF(H135=Constants!$B$3, FALSE(), TRUE())))</f>
        <v/>
      </c>
      <c r="Y135" s="59" t="str">
        <f aca="false">IF(ISBLANK($C135),"",IF(I135=Constants!$B$19,Constants!$B$19,Constants!$B$18))</f>
        <v/>
      </c>
      <c r="Z135" s="59" t="str">
        <f aca="false">IF(ISBLANK($C135),"",IF(ISNUMBER(J135),IF(J135&gt;=0,J135,""),""))</f>
        <v/>
      </c>
      <c r="AA135" s="59" t="str">
        <f aca="false">IF(ISBLANK($C135),"",IF(K135=Constants!$B$19,Constants!$B$19,Constants!$B$18))</f>
        <v/>
      </c>
      <c r="AB135" s="59" t="str">
        <f aca="false">IF(ISBLANK($C135),"",IF(ISNUMBER(L135),IF(L135&gt;=0,L135,""),""))</f>
        <v/>
      </c>
      <c r="AC135" s="59" t="str">
        <f aca="false">IF(ISBLANK($C135),"",IF(M135=Constants!$B$19,Constants!$B$19,Constants!$B$18))</f>
        <v/>
      </c>
      <c r="AD135" s="59" t="str">
        <f aca="false">IF(ISBLANK($C135),"",IF(ISNUMBER(N135),IF(N135&gt;=0,N135,""),""))</f>
        <v/>
      </c>
      <c r="AE135" s="59" t="str">
        <f aca="false">IF(ISBLANK($C135),"",IF(O135=Constants!$B$19,Constants!$B$19,Constants!$B$18))</f>
        <v/>
      </c>
      <c r="AF135" s="59" t="str">
        <f aca="false">IF(ISBLANK($C135),"",IF(ISNUMBER(P135),IF(P135&gt;=0,P135,""),""))</f>
        <v/>
      </c>
      <c r="AG135" s="59" t="str">
        <f aca="false">IF(ISBLANK($C135),"",IF(Q135=Constants!$B$19,Constants!$B$19,Constants!$B$18))</f>
        <v/>
      </c>
      <c r="AH135" s="59" t="str">
        <f aca="false">IF(ISBLANK($C135),"",IF(ISNUMBER(R135),IF(R135&gt;=0,R135,""),""))</f>
        <v/>
      </c>
      <c r="AI135" s="59" t="str">
        <f aca="false">IF(ISBLANK($C135),"",IF(S135=Constants!$B$2, TRUE(), IF(S135=Constants!$B$3, FALSE(), FALSE())))</f>
        <v/>
      </c>
      <c r="AJ135" s="59" t="str">
        <f aca="false">IF(ISBLANK($C135),"",IF(AI135,Constants!$B$4,IF(COUNTA(E135:R135)=0,Constants!$B$5,IF(COUNTA(J135,L135,N135,P135,R135)=0,Constants!$B$6,Constants!$B$7))))</f>
        <v/>
      </c>
      <c r="AK135" s="59" t="str">
        <f aca="false">IF(ISBLANK($C135),"",IF($AJ135&lt;&gt;Constants!$B$7,$AJ135,IF(OR(NOT(X135),AND(NOT(U135),COUNTIFS(Y135:AG135,Constants!$B$18,Z135:AH135,"&gt;=0")&gt;0),AND(NOT(V135),COUNTIFS(Y135:AG135,Constants!$B$19,Z135:AH135,"&gt;=0")&gt;0)),Constants!$B$12,Constants!$B$11)))</f>
        <v/>
      </c>
      <c r="AL135" s="59" t="str">
        <f aca="false">IF($AJ135=Constants!$B$7,IF(Z135="",Constants!$B$13,Z135),"")</f>
        <v/>
      </c>
      <c r="AM135" s="59" t="str">
        <f aca="false">IF($AJ135=Constants!$B$7,IF(AB135="",Constants!$B$13,AB135),"")</f>
        <v/>
      </c>
      <c r="AN135" s="59" t="str">
        <f aca="false">IF($AJ135=Constants!$B$7,IF(AD135="",Constants!$B$13,AD135),"")</f>
        <v/>
      </c>
      <c r="AO135" s="59" t="str">
        <f aca="false">IF($AJ135=Constants!$B$7,IF(AF135="",Constants!$B$13,AF135),"")</f>
        <v/>
      </c>
      <c r="AP135" s="59" t="str">
        <f aca="false">IF($AJ135=Constants!$B$7,IF(AH135="",Constants!$B$13,AH135),"")</f>
        <v/>
      </c>
      <c r="AQ135" s="59" t="str">
        <f aca="false">IF($AJ135=Constants!$B$7,IF(SUMPRODUCT(--($AL135:$AP135&gt;AL135))+SUMPRODUCT(--($AL135:AL135=AL135))=1,1,IF(SUMPRODUCT(--($AL135:$AP135&gt;AM135))+SUMPRODUCT(--($AL135:AM135=AM135))=1,2,IF(SUMPRODUCT(--($AL135:$AP135&gt;AN135))+SUMPRODUCT(--($AL135:AN135=AN135))=1,3,IF(SUMPRODUCT(--($AL135:$AP135&gt;AO135))+SUMPRODUCT(--($AL135:AO135=AO135))=1,4,5)))),"")</f>
        <v/>
      </c>
      <c r="AR135" s="59" t="str">
        <f aca="false">IF($AJ135=Constants!$B$7,IF(SUMPRODUCT(--($AL135:$AP135&gt;AL135))+SUMPRODUCT(--($AL135:AL135=AL135))=2,1,IF(SUMPRODUCT(--($AL135:$AP135&gt;AM135))+SUMPRODUCT(--($AL135:AM135=AM135))=2,2,IF(SUMPRODUCT(--($AL135:$AP135&gt;AN135))+SUMPRODUCT(--($AL135:AN135=AN135))=2,3,IF(SUMPRODUCT(--($AL135:$AP135&gt;AO135))+SUMPRODUCT(--($AL135:AO135=AO135))=2,4,5)))),"")</f>
        <v/>
      </c>
      <c r="AS135" s="59" t="str">
        <f aca="false">IF($AJ135=Constants!$B$7,IF(SUMPRODUCT(--($AL135:$AP135&gt;AL135))+SUMPRODUCT(--($AL135:AL135=AL135))=3,1,IF(SUMPRODUCT(--($AL135:$AP135&gt;AM135))+SUMPRODUCT(--($AL135:AM135=AM135))=3,2,IF(SUMPRODUCT(--($AL135:$AP135&gt;AN135))+SUMPRODUCT(--($AL135:AN135=AN135))=3,3,IF(SUMPRODUCT(--($AL135:$AP135&gt;AO135))+SUMPRODUCT(--($AL135:AO135=AO135))=3,4,5)))),"")</f>
        <v/>
      </c>
      <c r="AT135" s="59" t="str">
        <f aca="false">IF($AJ135=Constants!$B$7,LARGE(AL135:AP135,1)+LARGE(AL135:AP135,2)+LARGE(AL135:AP135,3),"")</f>
        <v/>
      </c>
      <c r="AU135" s="59" t="str">
        <f aca="false">IF(ISBLANK($C135),"",IF($AJ135&lt;&gt;Constants!$B$7,$AJ135,AT135*W135))</f>
        <v/>
      </c>
      <c r="AV135" s="59" t="str">
        <f aca="false">IF(ISBLANK($C135),"",IF($AJ135=Constants!$B$7,IF(ISNUMBER(AU135),RANK(AU135,$AU$8:$AU$507),Constants!$B$14),$AJ135))</f>
        <v/>
      </c>
      <c r="AW135" s="59" t="str">
        <f aca="false">IF(ISBLANK($C135),"",IF($AJ135=Constants!$B$7,IF(ISNUMBER(AV135),COUNTIFS($AK$8:$AK$507,"&lt;"&amp;$AK135)+COUNTIFS($AK$8:$AK$507,$AK135,$AV$8:$AV$507,"&lt;"&amp;$AV135)+1,Constants!$B$14),$AJ135))</f>
        <v/>
      </c>
      <c r="AX135" s="59" t="str">
        <f aca="false">IF(ISBLANK($C135),"",IF($AJ135=Constants!$B$7,LARGE(AL135:AP135,4)*W135,""))</f>
        <v/>
      </c>
      <c r="AY135" s="59" t="str">
        <f aca="false">IF(ISBLANK($C135),"",IF($AJ135=Constants!$B$7,RANK(AX135,$AX$8:$AX$507),$AJ135))</f>
        <v/>
      </c>
      <c r="AZ135" s="59" t="str">
        <f aca="false">IF(ISBLANK($C135),"",IF($AJ135=Constants!$B$7,IF(ISNUMBER(AV135),COUNTIFS($AK$8:$AK$507,"&lt;"&amp;$AK135)+COUNTIFS($AK$8:$AK$507,$AK135,$AV$8:$AV$507,"&lt;"&amp;$AV135)+COUNTIFS($AK$8:$AK$507,$AK135,$AV$8:$AV$507,$AV135,$AY$8:$AY$507,"&lt;"&amp;$AY135)+1,Constants!$B$14),$AJ135))</f>
        <v/>
      </c>
      <c r="BA135" s="59" t="str">
        <f aca="false">IF(ISBLANK($C135),"",IF($AJ135=Constants!$B$7,IF(ISNUMBER(AW135),AW135-AZ135,Constants!$B$14),$AJ135))</f>
        <v/>
      </c>
      <c r="BB135" s="61"/>
      <c r="BC135" s="62" t="str">
        <f aca="false">IF(ISBLANK($C135),"",IF($AJ135&lt;&gt;Constants!$B$7,$AJ135,SMALL(AQ135:AS135,1)&amp;", "&amp;SMALL(AQ135:AS135,2)&amp;", "&amp;SMALL(AQ135:AS135,3)))</f>
        <v/>
      </c>
      <c r="BD135" s="63" t="str">
        <f aca="false">IF(ISBLANK($C135),"",IF($AJ135&lt;&gt;Constants!$B$7,$AJ135,W135))</f>
        <v/>
      </c>
      <c r="BE135" s="64" t="str">
        <f aca="false">IF(ISBLANK($C135),"",IF($AJ135&lt;&gt;Constants!$B$7,$AJ135,AU135))</f>
        <v/>
      </c>
      <c r="BF135" s="65" t="str">
        <f aca="false">IF(ISBLANK($C135),"",IF($AJ135&lt;&gt;Constants!$B$7,$AJ135,AK135))</f>
        <v/>
      </c>
      <c r="BG135" s="63" t="str">
        <f aca="false">IF(ISBLANK($C135),"",BA135)</f>
        <v/>
      </c>
      <c r="BH135" s="63" t="str">
        <f aca="false">IF(ISBLANK($C135),"",AZ135)</f>
        <v/>
      </c>
      <c r="BI135" s="66" t="str">
        <f aca="false">IF(ISBLANK($C135),"",IF(BH135=Constants!$B$4,COUNTA($C$8:$C$507)+2,IF(BH135=Constants!$B$5,COUNTA($C$8:$C$507)+1,IF(BH135=Constants!$B$6,COUNTA($C$8:$C$507),BH135))))</f>
        <v/>
      </c>
      <c r="BJ135" s="5"/>
      <c r="BK135" s="67" t="n">
        <f aca="false">IF(OR(ISNUMBER(BH135),BH135=Constants!$B$4,BH135=Constants!$B$6,BH135=Constants!$B$5),1,0)</f>
        <v>0</v>
      </c>
      <c r="BL135" s="67" t="n">
        <v>128</v>
      </c>
      <c r="BM135" s="67" t="str">
        <f aca="false">IF(ISBLANK($C135),"",IF(ISNUMBER(BI135),BI135+ROW($B135)/1000,""))</f>
        <v/>
      </c>
      <c r="BN135" s="67" t="str">
        <f aca="false">IF(ISNUMBER(BM135),RANK(BM135,$BM$8:$BM$507,1),"")</f>
        <v/>
      </c>
      <c r="BO135" s="67" t="str">
        <f aca="false">IF(ISBLANK($C135),"",$B135)</f>
        <v/>
      </c>
      <c r="BP135" s="67" t="str">
        <f aca="false">IF(ISBLANK($C135),"",$C135)</f>
        <v/>
      </c>
      <c r="BQ135" s="67" t="str">
        <f aca="false">IF(ISBLANK($C135),"",$D135)</f>
        <v/>
      </c>
      <c r="BR135" s="68" t="str">
        <f aca="false">BF135</f>
        <v/>
      </c>
      <c r="BS135" s="69" t="str">
        <f aca="false">BE135</f>
        <v/>
      </c>
      <c r="BT135" s="67" t="str">
        <f aca="false">IF(ISBLANK($C135),"",BH135)</f>
        <v/>
      </c>
      <c r="BU135" s="70" t="str">
        <f aca="false">IF($BL135&gt;$BK$7,"",VLOOKUP($BL135,$BN$8:$BT$507,7,FALSE()))</f>
        <v/>
      </c>
      <c r="BV135" s="71" t="str">
        <f aca="false">IF($BL135&gt;$BK$7,"",VLOOKUP($BL135,$BN$8:$BT$507,2,FALSE()))</f>
        <v/>
      </c>
      <c r="BW135" s="71" t="str">
        <f aca="false">IF($BL135&gt;$BK$7,"",VLOOKUP($BL135,$BN$8:$BT$507,3,FALSE()))</f>
        <v/>
      </c>
      <c r="BX135" s="71" t="str">
        <f aca="false">IF($BL135&gt;$BK$7,"",VLOOKUP($BL135,$BN$8:$BT$507,4,FALSE()))</f>
        <v/>
      </c>
      <c r="BY135" s="71" t="str">
        <f aca="false">IF($BL135&gt;$BK$7,"",VLOOKUP($BL135,$BN$8:$BT$507,5,FALSE()))</f>
        <v/>
      </c>
      <c r="BZ135" s="72" t="str">
        <f aca="false">IF($BL135&gt;$BK$7,"",VLOOKUP($BL135,$BN$8:$BT$507,6,FALSE()))</f>
        <v/>
      </c>
      <c r="CA135" s="48"/>
    </row>
    <row r="136" customFormat="false" ht="15.75" hidden="false" customHeight="false" outlineLevel="0" collapsed="false">
      <c r="A136" s="5"/>
      <c r="B136" s="121"/>
      <c r="C136" s="50"/>
      <c r="D136" s="51"/>
      <c r="E136" s="74"/>
      <c r="F136" s="122"/>
      <c r="G136" s="54"/>
      <c r="H136" s="123"/>
      <c r="I136" s="124"/>
      <c r="J136" s="54"/>
      <c r="K136" s="123"/>
      <c r="L136" s="54"/>
      <c r="M136" s="123"/>
      <c r="N136" s="54"/>
      <c r="O136" s="123"/>
      <c r="P136" s="54"/>
      <c r="Q136" s="123"/>
      <c r="R136" s="54"/>
      <c r="S136" s="74"/>
      <c r="T136" s="58"/>
      <c r="U136" s="59" t="str">
        <f aca="false">IF(ISBLANK($C136),"",IF(E136=Constants!$B$2, TRUE(), IF(E136=Constants!$B$3, FALSE(), TRUE())))</f>
        <v/>
      </c>
      <c r="V136" s="59" t="str">
        <f aca="false">IF(ISBLANK($C136),"",IF(F136=Constants!$B$2, TRUE(), IF(F136=Constants!$B$3, FALSE(), TRUE())))</f>
        <v/>
      </c>
      <c r="W136" s="59" t="str">
        <f aca="false">IF(ISBLANK($C136),"",IF(G136=Constants!$B$15,Constants!$B$8,IF(G136=Constants!$B$16,Constants!$B$9,Constants!$B$10)))</f>
        <v/>
      </c>
      <c r="X136" s="59" t="str">
        <f aca="false">IF(ISBLANK($C136),"",IF(H136=Constants!$B$2, TRUE(), IF(H136=Constants!$B$3, FALSE(), TRUE())))</f>
        <v/>
      </c>
      <c r="Y136" s="59" t="str">
        <f aca="false">IF(ISBLANK($C136),"",IF(I136=Constants!$B$19,Constants!$B$19,Constants!$B$18))</f>
        <v/>
      </c>
      <c r="Z136" s="59" t="str">
        <f aca="false">IF(ISBLANK($C136),"",IF(ISNUMBER(J136),IF(J136&gt;=0,J136,""),""))</f>
        <v/>
      </c>
      <c r="AA136" s="59" t="str">
        <f aca="false">IF(ISBLANK($C136),"",IF(K136=Constants!$B$19,Constants!$B$19,Constants!$B$18))</f>
        <v/>
      </c>
      <c r="AB136" s="59" t="str">
        <f aca="false">IF(ISBLANK($C136),"",IF(ISNUMBER(L136),IF(L136&gt;=0,L136,""),""))</f>
        <v/>
      </c>
      <c r="AC136" s="59" t="str">
        <f aca="false">IF(ISBLANK($C136),"",IF(M136=Constants!$B$19,Constants!$B$19,Constants!$B$18))</f>
        <v/>
      </c>
      <c r="AD136" s="59" t="str">
        <f aca="false">IF(ISBLANK($C136),"",IF(ISNUMBER(N136),IF(N136&gt;=0,N136,""),""))</f>
        <v/>
      </c>
      <c r="AE136" s="59" t="str">
        <f aca="false">IF(ISBLANK($C136),"",IF(O136=Constants!$B$19,Constants!$B$19,Constants!$B$18))</f>
        <v/>
      </c>
      <c r="AF136" s="59" t="str">
        <f aca="false">IF(ISBLANK($C136),"",IF(ISNUMBER(P136),IF(P136&gt;=0,P136,""),""))</f>
        <v/>
      </c>
      <c r="AG136" s="59" t="str">
        <f aca="false">IF(ISBLANK($C136),"",IF(Q136=Constants!$B$19,Constants!$B$19,Constants!$B$18))</f>
        <v/>
      </c>
      <c r="AH136" s="59" t="str">
        <f aca="false">IF(ISBLANK($C136),"",IF(ISNUMBER(R136),IF(R136&gt;=0,R136,""),""))</f>
        <v/>
      </c>
      <c r="AI136" s="59" t="str">
        <f aca="false">IF(ISBLANK($C136),"",IF(S136=Constants!$B$2, TRUE(), IF(S136=Constants!$B$3, FALSE(), FALSE())))</f>
        <v/>
      </c>
      <c r="AJ136" s="59" t="str">
        <f aca="false">IF(ISBLANK($C136),"",IF(AI136,Constants!$B$4,IF(COUNTA(E136:R136)=0,Constants!$B$5,IF(COUNTA(J136,L136,N136,P136,R136)=0,Constants!$B$6,Constants!$B$7))))</f>
        <v/>
      </c>
      <c r="AK136" s="59" t="str">
        <f aca="false">IF(ISBLANK($C136),"",IF($AJ136&lt;&gt;Constants!$B$7,$AJ136,IF(OR(NOT(X136),AND(NOT(U136),COUNTIFS(Y136:AG136,Constants!$B$18,Z136:AH136,"&gt;=0")&gt;0),AND(NOT(V136),COUNTIFS(Y136:AG136,Constants!$B$19,Z136:AH136,"&gt;=0")&gt;0)),Constants!$B$12,Constants!$B$11)))</f>
        <v/>
      </c>
      <c r="AL136" s="59" t="str">
        <f aca="false">IF($AJ136=Constants!$B$7,IF(Z136="",Constants!$B$13,Z136),"")</f>
        <v/>
      </c>
      <c r="AM136" s="59" t="str">
        <f aca="false">IF($AJ136=Constants!$B$7,IF(AB136="",Constants!$B$13,AB136),"")</f>
        <v/>
      </c>
      <c r="AN136" s="59" t="str">
        <f aca="false">IF($AJ136=Constants!$B$7,IF(AD136="",Constants!$B$13,AD136),"")</f>
        <v/>
      </c>
      <c r="AO136" s="59" t="str">
        <f aca="false">IF($AJ136=Constants!$B$7,IF(AF136="",Constants!$B$13,AF136),"")</f>
        <v/>
      </c>
      <c r="AP136" s="59" t="str">
        <f aca="false">IF($AJ136=Constants!$B$7,IF(AH136="",Constants!$B$13,AH136),"")</f>
        <v/>
      </c>
      <c r="AQ136" s="59" t="str">
        <f aca="false">IF($AJ136=Constants!$B$7,IF(SUMPRODUCT(--($AL136:$AP136&gt;AL136))+SUMPRODUCT(--($AL136:AL136=AL136))=1,1,IF(SUMPRODUCT(--($AL136:$AP136&gt;AM136))+SUMPRODUCT(--($AL136:AM136=AM136))=1,2,IF(SUMPRODUCT(--($AL136:$AP136&gt;AN136))+SUMPRODUCT(--($AL136:AN136=AN136))=1,3,IF(SUMPRODUCT(--($AL136:$AP136&gt;AO136))+SUMPRODUCT(--($AL136:AO136=AO136))=1,4,5)))),"")</f>
        <v/>
      </c>
      <c r="AR136" s="59" t="str">
        <f aca="false">IF($AJ136=Constants!$B$7,IF(SUMPRODUCT(--($AL136:$AP136&gt;AL136))+SUMPRODUCT(--($AL136:AL136=AL136))=2,1,IF(SUMPRODUCT(--($AL136:$AP136&gt;AM136))+SUMPRODUCT(--($AL136:AM136=AM136))=2,2,IF(SUMPRODUCT(--($AL136:$AP136&gt;AN136))+SUMPRODUCT(--($AL136:AN136=AN136))=2,3,IF(SUMPRODUCT(--($AL136:$AP136&gt;AO136))+SUMPRODUCT(--($AL136:AO136=AO136))=2,4,5)))),"")</f>
        <v/>
      </c>
      <c r="AS136" s="59" t="str">
        <f aca="false">IF($AJ136=Constants!$B$7,IF(SUMPRODUCT(--($AL136:$AP136&gt;AL136))+SUMPRODUCT(--($AL136:AL136=AL136))=3,1,IF(SUMPRODUCT(--($AL136:$AP136&gt;AM136))+SUMPRODUCT(--($AL136:AM136=AM136))=3,2,IF(SUMPRODUCT(--($AL136:$AP136&gt;AN136))+SUMPRODUCT(--($AL136:AN136=AN136))=3,3,IF(SUMPRODUCT(--($AL136:$AP136&gt;AO136))+SUMPRODUCT(--($AL136:AO136=AO136))=3,4,5)))),"")</f>
        <v/>
      </c>
      <c r="AT136" s="59" t="str">
        <f aca="false">IF($AJ136=Constants!$B$7,LARGE(AL136:AP136,1)+LARGE(AL136:AP136,2)+LARGE(AL136:AP136,3),"")</f>
        <v/>
      </c>
      <c r="AU136" s="59" t="str">
        <f aca="false">IF(ISBLANK($C136),"",IF($AJ136&lt;&gt;Constants!$B$7,$AJ136,AT136*W136))</f>
        <v/>
      </c>
      <c r="AV136" s="59" t="str">
        <f aca="false">IF(ISBLANK($C136),"",IF($AJ136=Constants!$B$7,IF(ISNUMBER(AU136),RANK(AU136,$AU$8:$AU$507),Constants!$B$14),$AJ136))</f>
        <v/>
      </c>
      <c r="AW136" s="59" t="str">
        <f aca="false">IF(ISBLANK($C136),"",IF($AJ136=Constants!$B$7,IF(ISNUMBER(AV136),COUNTIFS($AK$8:$AK$507,"&lt;"&amp;$AK136)+COUNTIFS($AK$8:$AK$507,$AK136,$AV$8:$AV$507,"&lt;"&amp;$AV136)+1,Constants!$B$14),$AJ136))</f>
        <v/>
      </c>
      <c r="AX136" s="59" t="str">
        <f aca="false">IF(ISBLANK($C136),"",IF($AJ136=Constants!$B$7,LARGE(AL136:AP136,4)*W136,""))</f>
        <v/>
      </c>
      <c r="AY136" s="59" t="str">
        <f aca="false">IF(ISBLANK($C136),"",IF($AJ136=Constants!$B$7,RANK(AX136,$AX$8:$AX$507),$AJ136))</f>
        <v/>
      </c>
      <c r="AZ136" s="59" t="str">
        <f aca="false">IF(ISBLANK($C136),"",IF($AJ136=Constants!$B$7,IF(ISNUMBER(AV136),COUNTIFS($AK$8:$AK$507,"&lt;"&amp;$AK136)+COUNTIFS($AK$8:$AK$507,$AK136,$AV$8:$AV$507,"&lt;"&amp;$AV136)+COUNTIFS($AK$8:$AK$507,$AK136,$AV$8:$AV$507,$AV136,$AY$8:$AY$507,"&lt;"&amp;$AY136)+1,Constants!$B$14),$AJ136))</f>
        <v/>
      </c>
      <c r="BA136" s="59" t="str">
        <f aca="false">IF(ISBLANK($C136),"",IF($AJ136=Constants!$B$7,IF(ISNUMBER(AW136),AW136-AZ136,Constants!$B$14),$AJ136))</f>
        <v/>
      </c>
      <c r="BB136" s="61"/>
      <c r="BC136" s="62" t="str">
        <f aca="false">IF(ISBLANK($C136),"",IF($AJ136&lt;&gt;Constants!$B$7,$AJ136,SMALL(AQ136:AS136,1)&amp;", "&amp;SMALL(AQ136:AS136,2)&amp;", "&amp;SMALL(AQ136:AS136,3)))</f>
        <v/>
      </c>
      <c r="BD136" s="63" t="str">
        <f aca="false">IF(ISBLANK($C136),"",IF($AJ136&lt;&gt;Constants!$B$7,$AJ136,W136))</f>
        <v/>
      </c>
      <c r="BE136" s="64" t="str">
        <f aca="false">IF(ISBLANK($C136),"",IF($AJ136&lt;&gt;Constants!$B$7,$AJ136,AU136))</f>
        <v/>
      </c>
      <c r="BF136" s="65" t="str">
        <f aca="false">IF(ISBLANK($C136),"",IF($AJ136&lt;&gt;Constants!$B$7,$AJ136,AK136))</f>
        <v/>
      </c>
      <c r="BG136" s="63" t="str">
        <f aca="false">IF(ISBLANK($C136),"",BA136)</f>
        <v/>
      </c>
      <c r="BH136" s="63" t="str">
        <f aca="false">IF(ISBLANK($C136),"",AZ136)</f>
        <v/>
      </c>
      <c r="BI136" s="66" t="str">
        <f aca="false">IF(ISBLANK($C136),"",IF(BH136=Constants!$B$4,COUNTA($C$8:$C$507)+2,IF(BH136=Constants!$B$5,COUNTA($C$8:$C$507)+1,IF(BH136=Constants!$B$6,COUNTA($C$8:$C$507),BH136))))</f>
        <v/>
      </c>
      <c r="BJ136" s="5"/>
      <c r="BK136" s="67" t="n">
        <f aca="false">IF(OR(ISNUMBER(BH136),BH136=Constants!$B$4,BH136=Constants!$B$6,BH136=Constants!$B$5),1,0)</f>
        <v>0</v>
      </c>
      <c r="BL136" s="67" t="n">
        <v>129</v>
      </c>
      <c r="BM136" s="67" t="str">
        <f aca="false">IF(ISBLANK($C136),"",IF(ISNUMBER(BI136),BI136+ROW($B136)/1000,""))</f>
        <v/>
      </c>
      <c r="BN136" s="67" t="str">
        <f aca="false">IF(ISNUMBER(BM136),RANK(BM136,$BM$8:$BM$507,1),"")</f>
        <v/>
      </c>
      <c r="BO136" s="67" t="str">
        <f aca="false">IF(ISBLANK($C136),"",$B136)</f>
        <v/>
      </c>
      <c r="BP136" s="67" t="str">
        <f aca="false">IF(ISBLANK($C136),"",$C136)</f>
        <v/>
      </c>
      <c r="BQ136" s="67" t="str">
        <f aca="false">IF(ISBLANK($C136),"",$D136)</f>
        <v/>
      </c>
      <c r="BR136" s="68" t="str">
        <f aca="false">BF136</f>
        <v/>
      </c>
      <c r="BS136" s="69" t="str">
        <f aca="false">BE136</f>
        <v/>
      </c>
      <c r="BT136" s="67" t="str">
        <f aca="false">IF(ISBLANK($C136),"",BH136)</f>
        <v/>
      </c>
      <c r="BU136" s="70" t="str">
        <f aca="false">IF($BL136&gt;$BK$7,"",VLOOKUP($BL136,$BN$8:$BT$507,7,FALSE()))</f>
        <v/>
      </c>
      <c r="BV136" s="71" t="str">
        <f aca="false">IF($BL136&gt;$BK$7,"",VLOOKUP($BL136,$BN$8:$BT$507,2,FALSE()))</f>
        <v/>
      </c>
      <c r="BW136" s="71" t="str">
        <f aca="false">IF($BL136&gt;$BK$7,"",VLOOKUP($BL136,$BN$8:$BT$507,3,FALSE()))</f>
        <v/>
      </c>
      <c r="BX136" s="71" t="str">
        <f aca="false">IF($BL136&gt;$BK$7,"",VLOOKUP($BL136,$BN$8:$BT$507,4,FALSE()))</f>
        <v/>
      </c>
      <c r="BY136" s="71" t="str">
        <f aca="false">IF($BL136&gt;$BK$7,"",VLOOKUP($BL136,$BN$8:$BT$507,5,FALSE()))</f>
        <v/>
      </c>
      <c r="BZ136" s="72" t="str">
        <f aca="false">IF($BL136&gt;$BK$7,"",VLOOKUP($BL136,$BN$8:$BT$507,6,FALSE()))</f>
        <v/>
      </c>
      <c r="CA136" s="48"/>
    </row>
    <row r="137" customFormat="false" ht="15.75" hidden="false" customHeight="false" outlineLevel="0" collapsed="false">
      <c r="A137" s="5"/>
      <c r="B137" s="114"/>
      <c r="C137" s="115"/>
      <c r="D137" s="100"/>
      <c r="E137" s="120"/>
      <c r="F137" s="125"/>
      <c r="G137" s="82"/>
      <c r="H137" s="126"/>
      <c r="I137" s="127"/>
      <c r="J137" s="82"/>
      <c r="K137" s="126"/>
      <c r="L137" s="82"/>
      <c r="M137" s="126"/>
      <c r="N137" s="82"/>
      <c r="O137" s="126"/>
      <c r="P137" s="82"/>
      <c r="Q137" s="126"/>
      <c r="R137" s="82"/>
      <c r="S137" s="120"/>
      <c r="T137" s="86"/>
      <c r="U137" s="87" t="str">
        <f aca="false">IF(ISBLANK($C137),"",IF(E137=Constants!$B$2, TRUE(), IF(E137=Constants!$B$3, FALSE(), TRUE())))</f>
        <v/>
      </c>
      <c r="V137" s="87" t="str">
        <f aca="false">IF(ISBLANK($C137),"",IF(F137=Constants!$B$2, TRUE(), IF(F137=Constants!$B$3, FALSE(), TRUE())))</f>
        <v/>
      </c>
      <c r="W137" s="87" t="str">
        <f aca="false">IF(ISBLANK($C137),"",IF(G137=Constants!$B$15,Constants!$B$8,IF(G137=Constants!$B$16,Constants!$B$9,Constants!$B$10)))</f>
        <v/>
      </c>
      <c r="X137" s="87" t="str">
        <f aca="false">IF(ISBLANK($C137),"",IF(H137=Constants!$B$2, TRUE(), IF(H137=Constants!$B$3, FALSE(), TRUE())))</f>
        <v/>
      </c>
      <c r="Y137" s="87" t="str">
        <f aca="false">IF(ISBLANK($C137),"",IF(I137=Constants!$B$19,Constants!$B$19,Constants!$B$18))</f>
        <v/>
      </c>
      <c r="Z137" s="87" t="str">
        <f aca="false">IF(ISBLANK($C137),"",IF(ISNUMBER(J137),IF(J137&gt;=0,J137,""),""))</f>
        <v/>
      </c>
      <c r="AA137" s="87" t="str">
        <f aca="false">IF(ISBLANK($C137),"",IF(K137=Constants!$B$19,Constants!$B$19,Constants!$B$18))</f>
        <v/>
      </c>
      <c r="AB137" s="87" t="str">
        <f aca="false">IF(ISBLANK($C137),"",IF(ISNUMBER(L137),IF(L137&gt;=0,L137,""),""))</f>
        <v/>
      </c>
      <c r="AC137" s="87" t="str">
        <f aca="false">IF(ISBLANK($C137),"",IF(M137=Constants!$B$19,Constants!$B$19,Constants!$B$18))</f>
        <v/>
      </c>
      <c r="AD137" s="87" t="str">
        <f aca="false">IF(ISBLANK($C137),"",IF(ISNUMBER(N137),IF(N137&gt;=0,N137,""),""))</f>
        <v/>
      </c>
      <c r="AE137" s="87" t="str">
        <f aca="false">IF(ISBLANK($C137),"",IF(O137=Constants!$B$19,Constants!$B$19,Constants!$B$18))</f>
        <v/>
      </c>
      <c r="AF137" s="87" t="str">
        <f aca="false">IF(ISBLANK($C137),"",IF(ISNUMBER(P137),IF(P137&gt;=0,P137,""),""))</f>
        <v/>
      </c>
      <c r="AG137" s="87" t="str">
        <f aca="false">IF(ISBLANK($C137),"",IF(Q137=Constants!$B$19,Constants!$B$19,Constants!$B$18))</f>
        <v/>
      </c>
      <c r="AH137" s="87" t="str">
        <f aca="false">IF(ISBLANK($C137),"",IF(ISNUMBER(R137),IF(R137&gt;=0,R137,""),""))</f>
        <v/>
      </c>
      <c r="AI137" s="87" t="str">
        <f aca="false">IF(ISBLANK($C137),"",IF(S137=Constants!$B$2, TRUE(), IF(S137=Constants!$B$3, FALSE(), FALSE())))</f>
        <v/>
      </c>
      <c r="AJ137" s="87" t="str">
        <f aca="false">IF(ISBLANK($C137),"",IF(AI137,Constants!$B$4,IF(COUNTA(E137:R137)=0,Constants!$B$5,IF(COUNTA(J137,L137,N137,P137,R137)=0,Constants!$B$6,Constants!$B$7))))</f>
        <v/>
      </c>
      <c r="AK137" s="87" t="str">
        <f aca="false">IF(ISBLANK($C137),"",IF($AJ137&lt;&gt;Constants!$B$7,$AJ137,IF(OR(NOT(X137),AND(NOT(U137),COUNTIFS(Y137:AG137,Constants!$B$18,Z137:AH137,"&gt;=0")&gt;0),AND(NOT(V137),COUNTIFS(Y137:AG137,Constants!$B$19,Z137:AH137,"&gt;=0")&gt;0)),Constants!$B$12,Constants!$B$11)))</f>
        <v/>
      </c>
      <c r="AL137" s="87" t="str">
        <f aca="false">IF($AJ137=Constants!$B$7,IF(Z137="",Constants!$B$13,Z137),"")</f>
        <v/>
      </c>
      <c r="AM137" s="87" t="str">
        <f aca="false">IF($AJ137=Constants!$B$7,IF(AB137="",Constants!$B$13,AB137),"")</f>
        <v/>
      </c>
      <c r="AN137" s="87" t="str">
        <f aca="false">IF($AJ137=Constants!$B$7,IF(AD137="",Constants!$B$13,AD137),"")</f>
        <v/>
      </c>
      <c r="AO137" s="87" t="str">
        <f aca="false">IF($AJ137=Constants!$B$7,IF(AF137="",Constants!$B$13,AF137),"")</f>
        <v/>
      </c>
      <c r="AP137" s="87" t="str">
        <f aca="false">IF($AJ137=Constants!$B$7,IF(AH137="",Constants!$B$13,AH137),"")</f>
        <v/>
      </c>
      <c r="AQ137" s="87" t="str">
        <f aca="false">IF($AJ137=Constants!$B$7,IF(SUMPRODUCT(--($AL137:$AP137&gt;AL137))+SUMPRODUCT(--($AL137:AL137=AL137))=1,1,IF(SUMPRODUCT(--($AL137:$AP137&gt;AM137))+SUMPRODUCT(--($AL137:AM137=AM137))=1,2,IF(SUMPRODUCT(--($AL137:$AP137&gt;AN137))+SUMPRODUCT(--($AL137:AN137=AN137))=1,3,IF(SUMPRODUCT(--($AL137:$AP137&gt;AO137))+SUMPRODUCT(--($AL137:AO137=AO137))=1,4,5)))),"")</f>
        <v/>
      </c>
      <c r="AR137" s="87" t="str">
        <f aca="false">IF($AJ137=Constants!$B$7,IF(SUMPRODUCT(--($AL137:$AP137&gt;AL137))+SUMPRODUCT(--($AL137:AL137=AL137))=2,1,IF(SUMPRODUCT(--($AL137:$AP137&gt;AM137))+SUMPRODUCT(--($AL137:AM137=AM137))=2,2,IF(SUMPRODUCT(--($AL137:$AP137&gt;AN137))+SUMPRODUCT(--($AL137:AN137=AN137))=2,3,IF(SUMPRODUCT(--($AL137:$AP137&gt;AO137))+SUMPRODUCT(--($AL137:AO137=AO137))=2,4,5)))),"")</f>
        <v/>
      </c>
      <c r="AS137" s="87" t="str">
        <f aca="false">IF($AJ137=Constants!$B$7,IF(SUMPRODUCT(--($AL137:$AP137&gt;AL137))+SUMPRODUCT(--($AL137:AL137=AL137))=3,1,IF(SUMPRODUCT(--($AL137:$AP137&gt;AM137))+SUMPRODUCT(--($AL137:AM137=AM137))=3,2,IF(SUMPRODUCT(--($AL137:$AP137&gt;AN137))+SUMPRODUCT(--($AL137:AN137=AN137))=3,3,IF(SUMPRODUCT(--($AL137:$AP137&gt;AO137))+SUMPRODUCT(--($AL137:AO137=AO137))=3,4,5)))),"")</f>
        <v/>
      </c>
      <c r="AT137" s="87" t="str">
        <f aca="false">IF($AJ137=Constants!$B$7,LARGE(AL137:AP137,1)+LARGE(AL137:AP137,2)+LARGE(AL137:AP137,3),"")</f>
        <v/>
      </c>
      <c r="AU137" s="87" t="str">
        <f aca="false">IF(ISBLANK($C137),"",IF($AJ137&lt;&gt;Constants!$B$7,$AJ137,AT137*W137))</f>
        <v/>
      </c>
      <c r="AV137" s="87" t="str">
        <f aca="false">IF(ISBLANK($C137),"",IF($AJ137=Constants!$B$7,IF(ISNUMBER(AU137),RANK(AU137,$AU$8:$AU$507),Constants!$B$14),$AJ137))</f>
        <v/>
      </c>
      <c r="AW137" s="87" t="str">
        <f aca="false">IF(ISBLANK($C137),"",IF($AJ137=Constants!$B$7,IF(ISNUMBER(AV137),COUNTIFS($AK$8:$AK$507,"&lt;"&amp;$AK137)+COUNTIFS($AK$8:$AK$507,$AK137,$AV$8:$AV$507,"&lt;"&amp;$AV137)+1,Constants!$B$14),$AJ137))</f>
        <v/>
      </c>
      <c r="AX137" s="87" t="str">
        <f aca="false">IF(ISBLANK($C137),"",IF($AJ137=Constants!$B$7,LARGE(AL137:AP137,4)*W137,""))</f>
        <v/>
      </c>
      <c r="AY137" s="87" t="str">
        <f aca="false">IF(ISBLANK($C137),"",IF($AJ137=Constants!$B$7,RANK(AX137,$AX$8:$AX$507),$AJ137))</f>
        <v/>
      </c>
      <c r="AZ137" s="87" t="str">
        <f aca="false">IF(ISBLANK($C137),"",IF($AJ137=Constants!$B$7,IF(ISNUMBER(AV137),COUNTIFS($AK$8:$AK$507,"&lt;"&amp;$AK137)+COUNTIFS($AK$8:$AK$507,$AK137,$AV$8:$AV$507,"&lt;"&amp;$AV137)+COUNTIFS($AK$8:$AK$507,$AK137,$AV$8:$AV$507,$AV137,$AY$8:$AY$507,"&lt;"&amp;$AY137)+1,Constants!$B$14),$AJ137))</f>
        <v/>
      </c>
      <c r="BA137" s="87" t="str">
        <f aca="false">IF(ISBLANK($C137),"",IF($AJ137=Constants!$B$7,IF(ISNUMBER(AW137),AW137-AZ137,Constants!$B$14),$AJ137))</f>
        <v/>
      </c>
      <c r="BB137" s="88"/>
      <c r="BC137" s="89" t="str">
        <f aca="false">IF(ISBLANK($C137),"",IF($AJ137&lt;&gt;Constants!$B$7,$AJ137,SMALL(AQ137:AS137,1)&amp;", "&amp;SMALL(AQ137:AS137,2)&amp;", "&amp;SMALL(AQ137:AS137,3)))</f>
        <v/>
      </c>
      <c r="BD137" s="90" t="str">
        <f aca="false">IF(ISBLANK($C137),"",IF($AJ137&lt;&gt;Constants!$B$7,$AJ137,W137))</f>
        <v/>
      </c>
      <c r="BE137" s="91" t="str">
        <f aca="false">IF(ISBLANK($C137),"",IF($AJ137&lt;&gt;Constants!$B$7,$AJ137,AU137))</f>
        <v/>
      </c>
      <c r="BF137" s="92" t="str">
        <f aca="false">IF(ISBLANK($C137),"",IF($AJ137&lt;&gt;Constants!$B$7,$AJ137,AK137))</f>
        <v/>
      </c>
      <c r="BG137" s="90" t="str">
        <f aca="false">IF(ISBLANK($C137),"",BA137)</f>
        <v/>
      </c>
      <c r="BH137" s="90" t="str">
        <f aca="false">IF(ISBLANK($C137),"",AZ137)</f>
        <v/>
      </c>
      <c r="BI137" s="93" t="str">
        <f aca="false">IF(ISBLANK($C137),"",IF(BH137=Constants!$B$4,COUNTA($C$8:$C$507)+2,IF(BH137=Constants!$B$5,COUNTA($C$8:$C$507)+1,IF(BH137=Constants!$B$6,COUNTA($C$8:$C$507),BH137))))</f>
        <v/>
      </c>
      <c r="BJ137" s="5"/>
      <c r="BK137" s="94" t="n">
        <f aca="false">IF(OR(ISNUMBER(BH137),BH137=Constants!$B$4,BH137=Constants!$B$6,BH137=Constants!$B$5),1,0)</f>
        <v>0</v>
      </c>
      <c r="BL137" s="94" t="n">
        <v>130</v>
      </c>
      <c r="BM137" s="94" t="str">
        <f aca="false">IF(ISBLANK($C137),"",IF(ISNUMBER(BI137),BI137+ROW($B137)/1000,""))</f>
        <v/>
      </c>
      <c r="BN137" s="94" t="str">
        <f aca="false">IF(ISNUMBER(BM137),RANK(BM137,$BM$8:$BM$507,1),"")</f>
        <v/>
      </c>
      <c r="BO137" s="94" t="str">
        <f aca="false">IF(ISBLANK($C137),"",$B137)</f>
        <v/>
      </c>
      <c r="BP137" s="94" t="str">
        <f aca="false">IF(ISBLANK($C137),"",$C137)</f>
        <v/>
      </c>
      <c r="BQ137" s="94" t="str">
        <f aca="false">IF(ISBLANK($C137),"",$D137)</f>
        <v/>
      </c>
      <c r="BR137" s="95" t="str">
        <f aca="false">BF137</f>
        <v/>
      </c>
      <c r="BS137" s="96" t="str">
        <f aca="false">BE137</f>
        <v/>
      </c>
      <c r="BT137" s="94" t="str">
        <f aca="false">IF(ISBLANK($C137),"",BH137)</f>
        <v/>
      </c>
      <c r="BU137" s="97" t="str">
        <f aca="false">IF($BL137&gt;$BK$7,"",VLOOKUP($BL137,$BN$8:$BT$507,7,FALSE()))</f>
        <v/>
      </c>
      <c r="BV137" s="98" t="str">
        <f aca="false">IF($BL137&gt;$BK$7,"",VLOOKUP($BL137,$BN$8:$BT$507,2,FALSE()))</f>
        <v/>
      </c>
      <c r="BW137" s="98" t="str">
        <f aca="false">IF($BL137&gt;$BK$7,"",VLOOKUP($BL137,$BN$8:$BT$507,3,FALSE()))</f>
        <v/>
      </c>
      <c r="BX137" s="98" t="str">
        <f aca="false">IF($BL137&gt;$BK$7,"",VLOOKUP($BL137,$BN$8:$BT$507,4,FALSE()))</f>
        <v/>
      </c>
      <c r="BY137" s="98" t="str">
        <f aca="false">IF($BL137&gt;$BK$7,"",VLOOKUP($BL137,$BN$8:$BT$507,5,FALSE()))</f>
        <v/>
      </c>
      <c r="BZ137" s="99" t="str">
        <f aca="false">IF($BL137&gt;$BK$7,"",VLOOKUP($BL137,$BN$8:$BT$507,6,FALSE()))</f>
        <v/>
      </c>
      <c r="CA137" s="48"/>
    </row>
    <row r="138" customFormat="false" ht="15.75" hidden="false" customHeight="false" outlineLevel="0" collapsed="false">
      <c r="A138" s="5"/>
      <c r="B138" s="114"/>
      <c r="C138" s="115"/>
      <c r="D138" s="100"/>
      <c r="E138" s="120"/>
      <c r="F138" s="125"/>
      <c r="G138" s="82"/>
      <c r="H138" s="126"/>
      <c r="I138" s="127"/>
      <c r="J138" s="82"/>
      <c r="K138" s="126"/>
      <c r="L138" s="82"/>
      <c r="M138" s="126"/>
      <c r="N138" s="82"/>
      <c r="O138" s="126"/>
      <c r="P138" s="82"/>
      <c r="Q138" s="126"/>
      <c r="R138" s="82"/>
      <c r="S138" s="120"/>
      <c r="T138" s="86"/>
      <c r="U138" s="87" t="str">
        <f aca="false">IF(ISBLANK($C138),"",IF(E138=Constants!$B$2, TRUE(), IF(E138=Constants!$B$3, FALSE(), TRUE())))</f>
        <v/>
      </c>
      <c r="V138" s="87" t="str">
        <f aca="false">IF(ISBLANK($C138),"",IF(F138=Constants!$B$2, TRUE(), IF(F138=Constants!$B$3, FALSE(), TRUE())))</f>
        <v/>
      </c>
      <c r="W138" s="87" t="str">
        <f aca="false">IF(ISBLANK($C138),"",IF(G138=Constants!$B$15,Constants!$B$8,IF(G138=Constants!$B$16,Constants!$B$9,Constants!$B$10)))</f>
        <v/>
      </c>
      <c r="X138" s="87" t="str">
        <f aca="false">IF(ISBLANK($C138),"",IF(H138=Constants!$B$2, TRUE(), IF(H138=Constants!$B$3, FALSE(), TRUE())))</f>
        <v/>
      </c>
      <c r="Y138" s="87" t="str">
        <f aca="false">IF(ISBLANK($C138),"",IF(I138=Constants!$B$19,Constants!$B$19,Constants!$B$18))</f>
        <v/>
      </c>
      <c r="Z138" s="87" t="str">
        <f aca="false">IF(ISBLANK($C138),"",IF(ISNUMBER(J138),IF(J138&gt;=0,J138,""),""))</f>
        <v/>
      </c>
      <c r="AA138" s="87" t="str">
        <f aca="false">IF(ISBLANK($C138),"",IF(K138=Constants!$B$19,Constants!$B$19,Constants!$B$18))</f>
        <v/>
      </c>
      <c r="AB138" s="87" t="str">
        <f aca="false">IF(ISBLANK($C138),"",IF(ISNUMBER(L138),IF(L138&gt;=0,L138,""),""))</f>
        <v/>
      </c>
      <c r="AC138" s="87" t="str">
        <f aca="false">IF(ISBLANK($C138),"",IF(M138=Constants!$B$19,Constants!$B$19,Constants!$B$18))</f>
        <v/>
      </c>
      <c r="AD138" s="87" t="str">
        <f aca="false">IF(ISBLANK($C138),"",IF(ISNUMBER(N138),IF(N138&gt;=0,N138,""),""))</f>
        <v/>
      </c>
      <c r="AE138" s="87" t="str">
        <f aca="false">IF(ISBLANK($C138),"",IF(O138=Constants!$B$19,Constants!$B$19,Constants!$B$18))</f>
        <v/>
      </c>
      <c r="AF138" s="87" t="str">
        <f aca="false">IF(ISBLANK($C138),"",IF(ISNUMBER(P138),IF(P138&gt;=0,P138,""),""))</f>
        <v/>
      </c>
      <c r="AG138" s="87" t="str">
        <f aca="false">IF(ISBLANK($C138),"",IF(Q138=Constants!$B$19,Constants!$B$19,Constants!$B$18))</f>
        <v/>
      </c>
      <c r="AH138" s="87" t="str">
        <f aca="false">IF(ISBLANK($C138),"",IF(ISNUMBER(R138),IF(R138&gt;=0,R138,""),""))</f>
        <v/>
      </c>
      <c r="AI138" s="87" t="str">
        <f aca="false">IF(ISBLANK($C138),"",IF(S138=Constants!$B$2, TRUE(), IF(S138=Constants!$B$3, FALSE(), FALSE())))</f>
        <v/>
      </c>
      <c r="AJ138" s="87" t="str">
        <f aca="false">IF(ISBLANK($C138),"",IF(AI138,Constants!$B$4,IF(COUNTA(E138:R138)=0,Constants!$B$5,IF(COUNTA(J138,L138,N138,P138,R138)=0,Constants!$B$6,Constants!$B$7))))</f>
        <v/>
      </c>
      <c r="AK138" s="87" t="str">
        <f aca="false">IF(ISBLANK($C138),"",IF($AJ138&lt;&gt;Constants!$B$7,$AJ138,IF(OR(NOT(X138),AND(NOT(U138),COUNTIFS(Y138:AG138,Constants!$B$18,Z138:AH138,"&gt;=0")&gt;0),AND(NOT(V138),COUNTIFS(Y138:AG138,Constants!$B$19,Z138:AH138,"&gt;=0")&gt;0)),Constants!$B$12,Constants!$B$11)))</f>
        <v/>
      </c>
      <c r="AL138" s="87" t="str">
        <f aca="false">IF($AJ138=Constants!$B$7,IF(Z138="",Constants!$B$13,Z138),"")</f>
        <v/>
      </c>
      <c r="AM138" s="87" t="str">
        <f aca="false">IF($AJ138=Constants!$B$7,IF(AB138="",Constants!$B$13,AB138),"")</f>
        <v/>
      </c>
      <c r="AN138" s="87" t="str">
        <f aca="false">IF($AJ138=Constants!$B$7,IF(AD138="",Constants!$B$13,AD138),"")</f>
        <v/>
      </c>
      <c r="AO138" s="87" t="str">
        <f aca="false">IF($AJ138=Constants!$B$7,IF(AF138="",Constants!$B$13,AF138),"")</f>
        <v/>
      </c>
      <c r="AP138" s="87" t="str">
        <f aca="false">IF($AJ138=Constants!$B$7,IF(AH138="",Constants!$B$13,AH138),"")</f>
        <v/>
      </c>
      <c r="AQ138" s="87" t="str">
        <f aca="false">IF($AJ138=Constants!$B$7,IF(SUMPRODUCT(--($AL138:$AP138&gt;AL138))+SUMPRODUCT(--($AL138:AL138=AL138))=1,1,IF(SUMPRODUCT(--($AL138:$AP138&gt;AM138))+SUMPRODUCT(--($AL138:AM138=AM138))=1,2,IF(SUMPRODUCT(--($AL138:$AP138&gt;AN138))+SUMPRODUCT(--($AL138:AN138=AN138))=1,3,IF(SUMPRODUCT(--($AL138:$AP138&gt;AO138))+SUMPRODUCT(--($AL138:AO138=AO138))=1,4,5)))),"")</f>
        <v/>
      </c>
      <c r="AR138" s="87" t="str">
        <f aca="false">IF($AJ138=Constants!$B$7,IF(SUMPRODUCT(--($AL138:$AP138&gt;AL138))+SUMPRODUCT(--($AL138:AL138=AL138))=2,1,IF(SUMPRODUCT(--($AL138:$AP138&gt;AM138))+SUMPRODUCT(--($AL138:AM138=AM138))=2,2,IF(SUMPRODUCT(--($AL138:$AP138&gt;AN138))+SUMPRODUCT(--($AL138:AN138=AN138))=2,3,IF(SUMPRODUCT(--($AL138:$AP138&gt;AO138))+SUMPRODUCT(--($AL138:AO138=AO138))=2,4,5)))),"")</f>
        <v/>
      </c>
      <c r="AS138" s="87" t="str">
        <f aca="false">IF($AJ138=Constants!$B$7,IF(SUMPRODUCT(--($AL138:$AP138&gt;AL138))+SUMPRODUCT(--($AL138:AL138=AL138))=3,1,IF(SUMPRODUCT(--($AL138:$AP138&gt;AM138))+SUMPRODUCT(--($AL138:AM138=AM138))=3,2,IF(SUMPRODUCT(--($AL138:$AP138&gt;AN138))+SUMPRODUCT(--($AL138:AN138=AN138))=3,3,IF(SUMPRODUCT(--($AL138:$AP138&gt;AO138))+SUMPRODUCT(--($AL138:AO138=AO138))=3,4,5)))),"")</f>
        <v/>
      </c>
      <c r="AT138" s="87" t="str">
        <f aca="false">IF($AJ138=Constants!$B$7,LARGE(AL138:AP138,1)+LARGE(AL138:AP138,2)+LARGE(AL138:AP138,3),"")</f>
        <v/>
      </c>
      <c r="AU138" s="87" t="str">
        <f aca="false">IF(ISBLANK($C138),"",IF($AJ138&lt;&gt;Constants!$B$7,$AJ138,AT138*W138))</f>
        <v/>
      </c>
      <c r="AV138" s="87" t="str">
        <f aca="false">IF(ISBLANK($C138),"",IF($AJ138=Constants!$B$7,IF(ISNUMBER(AU138),RANK(AU138,$AU$8:$AU$507),Constants!$B$14),$AJ138))</f>
        <v/>
      </c>
      <c r="AW138" s="87" t="str">
        <f aca="false">IF(ISBLANK($C138),"",IF($AJ138=Constants!$B$7,IF(ISNUMBER(AV138),COUNTIFS($AK$8:$AK$507,"&lt;"&amp;$AK138)+COUNTIFS($AK$8:$AK$507,$AK138,$AV$8:$AV$507,"&lt;"&amp;$AV138)+1,Constants!$B$14),$AJ138))</f>
        <v/>
      </c>
      <c r="AX138" s="87" t="str">
        <f aca="false">IF(ISBLANK($C138),"",IF($AJ138=Constants!$B$7,LARGE(AL138:AP138,4)*W138,""))</f>
        <v/>
      </c>
      <c r="AY138" s="87" t="str">
        <f aca="false">IF(ISBLANK($C138),"",IF($AJ138=Constants!$B$7,RANK(AX138,$AX$8:$AX$507),$AJ138))</f>
        <v/>
      </c>
      <c r="AZ138" s="87" t="str">
        <f aca="false">IF(ISBLANK($C138),"",IF($AJ138=Constants!$B$7,IF(ISNUMBER(AV138),COUNTIFS($AK$8:$AK$507,"&lt;"&amp;$AK138)+COUNTIFS($AK$8:$AK$507,$AK138,$AV$8:$AV$507,"&lt;"&amp;$AV138)+COUNTIFS($AK$8:$AK$507,$AK138,$AV$8:$AV$507,$AV138,$AY$8:$AY$507,"&lt;"&amp;$AY138)+1,Constants!$B$14),$AJ138))</f>
        <v/>
      </c>
      <c r="BA138" s="87" t="str">
        <f aca="false">IF(ISBLANK($C138),"",IF($AJ138=Constants!$B$7,IF(ISNUMBER(AW138),AW138-AZ138,Constants!$B$14),$AJ138))</f>
        <v/>
      </c>
      <c r="BB138" s="88"/>
      <c r="BC138" s="89" t="str">
        <f aca="false">IF(ISBLANK($C138),"",IF($AJ138&lt;&gt;Constants!$B$7,$AJ138,SMALL(AQ138:AS138,1)&amp;", "&amp;SMALL(AQ138:AS138,2)&amp;", "&amp;SMALL(AQ138:AS138,3)))</f>
        <v/>
      </c>
      <c r="BD138" s="90" t="str">
        <f aca="false">IF(ISBLANK($C138),"",IF($AJ138&lt;&gt;Constants!$B$7,$AJ138,W138))</f>
        <v/>
      </c>
      <c r="BE138" s="91" t="str">
        <f aca="false">IF(ISBLANK($C138),"",IF($AJ138&lt;&gt;Constants!$B$7,$AJ138,AU138))</f>
        <v/>
      </c>
      <c r="BF138" s="92" t="str">
        <f aca="false">IF(ISBLANK($C138),"",IF($AJ138&lt;&gt;Constants!$B$7,$AJ138,AK138))</f>
        <v/>
      </c>
      <c r="BG138" s="90" t="str">
        <f aca="false">IF(ISBLANK($C138),"",BA138)</f>
        <v/>
      </c>
      <c r="BH138" s="90" t="str">
        <f aca="false">IF(ISBLANK($C138),"",AZ138)</f>
        <v/>
      </c>
      <c r="BI138" s="93" t="str">
        <f aca="false">IF(ISBLANK($C138),"",IF(BH138=Constants!$B$4,COUNTA($C$8:$C$507)+2,IF(BH138=Constants!$B$5,COUNTA($C$8:$C$507)+1,IF(BH138=Constants!$B$6,COUNTA($C$8:$C$507),BH138))))</f>
        <v/>
      </c>
      <c r="BJ138" s="5"/>
      <c r="BK138" s="94" t="n">
        <f aca="false">IF(OR(ISNUMBER(BH138),BH138=Constants!$B$4,BH138=Constants!$B$6,BH138=Constants!$B$5),1,0)</f>
        <v>0</v>
      </c>
      <c r="BL138" s="94" t="n">
        <v>131</v>
      </c>
      <c r="BM138" s="94" t="str">
        <f aca="false">IF(ISBLANK($C138),"",IF(ISNUMBER(BI138),BI138+ROW($B138)/1000,""))</f>
        <v/>
      </c>
      <c r="BN138" s="94" t="str">
        <f aca="false">IF(ISNUMBER(BM138),RANK(BM138,$BM$8:$BM$507,1),"")</f>
        <v/>
      </c>
      <c r="BO138" s="94" t="str">
        <f aca="false">IF(ISBLANK($C138),"",$B138)</f>
        <v/>
      </c>
      <c r="BP138" s="94" t="str">
        <f aca="false">IF(ISBLANK($C138),"",$C138)</f>
        <v/>
      </c>
      <c r="BQ138" s="94" t="str">
        <f aca="false">IF(ISBLANK($C138),"",$D138)</f>
        <v/>
      </c>
      <c r="BR138" s="95" t="str">
        <f aca="false">BF138</f>
        <v/>
      </c>
      <c r="BS138" s="96" t="str">
        <f aca="false">BE138</f>
        <v/>
      </c>
      <c r="BT138" s="94" t="str">
        <f aca="false">IF(ISBLANK($C138),"",BH138)</f>
        <v/>
      </c>
      <c r="BU138" s="97" t="str">
        <f aca="false">IF($BL138&gt;$BK$7,"",VLOOKUP($BL138,$BN$8:$BT$507,7,FALSE()))</f>
        <v/>
      </c>
      <c r="BV138" s="98" t="str">
        <f aca="false">IF($BL138&gt;$BK$7,"",VLOOKUP($BL138,$BN$8:$BT$507,2,FALSE()))</f>
        <v/>
      </c>
      <c r="BW138" s="98" t="str">
        <f aca="false">IF($BL138&gt;$BK$7,"",VLOOKUP($BL138,$BN$8:$BT$507,3,FALSE()))</f>
        <v/>
      </c>
      <c r="BX138" s="98" t="str">
        <f aca="false">IF($BL138&gt;$BK$7,"",VLOOKUP($BL138,$BN$8:$BT$507,4,FALSE()))</f>
        <v/>
      </c>
      <c r="BY138" s="98" t="str">
        <f aca="false">IF($BL138&gt;$BK$7,"",VLOOKUP($BL138,$BN$8:$BT$507,5,FALSE()))</f>
        <v/>
      </c>
      <c r="BZ138" s="99" t="str">
        <f aca="false">IF($BL138&gt;$BK$7,"",VLOOKUP($BL138,$BN$8:$BT$507,6,FALSE()))</f>
        <v/>
      </c>
      <c r="CA138" s="48"/>
    </row>
    <row r="139" customFormat="false" ht="15.75" hidden="false" customHeight="false" outlineLevel="0" collapsed="false">
      <c r="A139" s="5"/>
      <c r="B139" s="114"/>
      <c r="C139" s="115"/>
      <c r="D139" s="100"/>
      <c r="E139" s="120"/>
      <c r="F139" s="125"/>
      <c r="G139" s="82"/>
      <c r="H139" s="126"/>
      <c r="I139" s="127"/>
      <c r="J139" s="82"/>
      <c r="K139" s="126"/>
      <c r="L139" s="82"/>
      <c r="M139" s="126"/>
      <c r="N139" s="82"/>
      <c r="O139" s="126"/>
      <c r="P139" s="82"/>
      <c r="Q139" s="126"/>
      <c r="R139" s="82"/>
      <c r="S139" s="120"/>
      <c r="T139" s="86"/>
      <c r="U139" s="87" t="str">
        <f aca="false">IF(ISBLANK($C139),"",IF(E139=Constants!$B$2, TRUE(), IF(E139=Constants!$B$3, FALSE(), TRUE())))</f>
        <v/>
      </c>
      <c r="V139" s="87" t="str">
        <f aca="false">IF(ISBLANK($C139),"",IF(F139=Constants!$B$2, TRUE(), IF(F139=Constants!$B$3, FALSE(), TRUE())))</f>
        <v/>
      </c>
      <c r="W139" s="87" t="str">
        <f aca="false">IF(ISBLANK($C139),"",IF(G139=Constants!$B$15,Constants!$B$8,IF(G139=Constants!$B$16,Constants!$B$9,Constants!$B$10)))</f>
        <v/>
      </c>
      <c r="X139" s="87" t="str">
        <f aca="false">IF(ISBLANK($C139),"",IF(H139=Constants!$B$2, TRUE(), IF(H139=Constants!$B$3, FALSE(), TRUE())))</f>
        <v/>
      </c>
      <c r="Y139" s="87" t="str">
        <f aca="false">IF(ISBLANK($C139),"",IF(I139=Constants!$B$19,Constants!$B$19,Constants!$B$18))</f>
        <v/>
      </c>
      <c r="Z139" s="87" t="str">
        <f aca="false">IF(ISBLANK($C139),"",IF(ISNUMBER(J139),IF(J139&gt;=0,J139,""),""))</f>
        <v/>
      </c>
      <c r="AA139" s="87" t="str">
        <f aca="false">IF(ISBLANK($C139),"",IF(K139=Constants!$B$19,Constants!$B$19,Constants!$B$18))</f>
        <v/>
      </c>
      <c r="AB139" s="87" t="str">
        <f aca="false">IF(ISBLANK($C139),"",IF(ISNUMBER(L139),IF(L139&gt;=0,L139,""),""))</f>
        <v/>
      </c>
      <c r="AC139" s="87" t="str">
        <f aca="false">IF(ISBLANK($C139),"",IF(M139=Constants!$B$19,Constants!$B$19,Constants!$B$18))</f>
        <v/>
      </c>
      <c r="AD139" s="87" t="str">
        <f aca="false">IF(ISBLANK($C139),"",IF(ISNUMBER(N139),IF(N139&gt;=0,N139,""),""))</f>
        <v/>
      </c>
      <c r="AE139" s="87" t="str">
        <f aca="false">IF(ISBLANK($C139),"",IF(O139=Constants!$B$19,Constants!$B$19,Constants!$B$18))</f>
        <v/>
      </c>
      <c r="AF139" s="87" t="str">
        <f aca="false">IF(ISBLANK($C139),"",IF(ISNUMBER(P139),IF(P139&gt;=0,P139,""),""))</f>
        <v/>
      </c>
      <c r="AG139" s="87" t="str">
        <f aca="false">IF(ISBLANK($C139),"",IF(Q139=Constants!$B$19,Constants!$B$19,Constants!$B$18))</f>
        <v/>
      </c>
      <c r="AH139" s="87" t="str">
        <f aca="false">IF(ISBLANK($C139),"",IF(ISNUMBER(R139),IF(R139&gt;=0,R139,""),""))</f>
        <v/>
      </c>
      <c r="AI139" s="87" t="str">
        <f aca="false">IF(ISBLANK($C139),"",IF(S139=Constants!$B$2, TRUE(), IF(S139=Constants!$B$3, FALSE(), FALSE())))</f>
        <v/>
      </c>
      <c r="AJ139" s="87" t="str">
        <f aca="false">IF(ISBLANK($C139),"",IF(AI139,Constants!$B$4,IF(COUNTA(E139:R139)=0,Constants!$B$5,IF(COUNTA(J139,L139,N139,P139,R139)=0,Constants!$B$6,Constants!$B$7))))</f>
        <v/>
      </c>
      <c r="AK139" s="87" t="str">
        <f aca="false">IF(ISBLANK($C139),"",IF($AJ139&lt;&gt;Constants!$B$7,$AJ139,IF(OR(NOT(X139),AND(NOT(U139),COUNTIFS(Y139:AG139,Constants!$B$18,Z139:AH139,"&gt;=0")&gt;0),AND(NOT(V139),COUNTIFS(Y139:AG139,Constants!$B$19,Z139:AH139,"&gt;=0")&gt;0)),Constants!$B$12,Constants!$B$11)))</f>
        <v/>
      </c>
      <c r="AL139" s="87" t="str">
        <f aca="false">IF($AJ139=Constants!$B$7,IF(Z139="",Constants!$B$13,Z139),"")</f>
        <v/>
      </c>
      <c r="AM139" s="87" t="str">
        <f aca="false">IF($AJ139=Constants!$B$7,IF(AB139="",Constants!$B$13,AB139),"")</f>
        <v/>
      </c>
      <c r="AN139" s="87" t="str">
        <f aca="false">IF($AJ139=Constants!$B$7,IF(AD139="",Constants!$B$13,AD139),"")</f>
        <v/>
      </c>
      <c r="AO139" s="87" t="str">
        <f aca="false">IF($AJ139=Constants!$B$7,IF(AF139="",Constants!$B$13,AF139),"")</f>
        <v/>
      </c>
      <c r="AP139" s="87" t="str">
        <f aca="false">IF($AJ139=Constants!$B$7,IF(AH139="",Constants!$B$13,AH139),"")</f>
        <v/>
      </c>
      <c r="AQ139" s="87" t="str">
        <f aca="false">IF($AJ139=Constants!$B$7,IF(SUMPRODUCT(--($AL139:$AP139&gt;AL139))+SUMPRODUCT(--($AL139:AL139=AL139))=1,1,IF(SUMPRODUCT(--($AL139:$AP139&gt;AM139))+SUMPRODUCT(--($AL139:AM139=AM139))=1,2,IF(SUMPRODUCT(--($AL139:$AP139&gt;AN139))+SUMPRODUCT(--($AL139:AN139=AN139))=1,3,IF(SUMPRODUCT(--($AL139:$AP139&gt;AO139))+SUMPRODUCT(--($AL139:AO139=AO139))=1,4,5)))),"")</f>
        <v/>
      </c>
      <c r="AR139" s="87" t="str">
        <f aca="false">IF($AJ139=Constants!$B$7,IF(SUMPRODUCT(--($AL139:$AP139&gt;AL139))+SUMPRODUCT(--($AL139:AL139=AL139))=2,1,IF(SUMPRODUCT(--($AL139:$AP139&gt;AM139))+SUMPRODUCT(--($AL139:AM139=AM139))=2,2,IF(SUMPRODUCT(--($AL139:$AP139&gt;AN139))+SUMPRODUCT(--($AL139:AN139=AN139))=2,3,IF(SUMPRODUCT(--($AL139:$AP139&gt;AO139))+SUMPRODUCT(--($AL139:AO139=AO139))=2,4,5)))),"")</f>
        <v/>
      </c>
      <c r="AS139" s="87" t="str">
        <f aca="false">IF($AJ139=Constants!$B$7,IF(SUMPRODUCT(--($AL139:$AP139&gt;AL139))+SUMPRODUCT(--($AL139:AL139=AL139))=3,1,IF(SUMPRODUCT(--($AL139:$AP139&gt;AM139))+SUMPRODUCT(--($AL139:AM139=AM139))=3,2,IF(SUMPRODUCT(--($AL139:$AP139&gt;AN139))+SUMPRODUCT(--($AL139:AN139=AN139))=3,3,IF(SUMPRODUCT(--($AL139:$AP139&gt;AO139))+SUMPRODUCT(--($AL139:AO139=AO139))=3,4,5)))),"")</f>
        <v/>
      </c>
      <c r="AT139" s="87" t="str">
        <f aca="false">IF($AJ139=Constants!$B$7,LARGE(AL139:AP139,1)+LARGE(AL139:AP139,2)+LARGE(AL139:AP139,3),"")</f>
        <v/>
      </c>
      <c r="AU139" s="87" t="str">
        <f aca="false">IF(ISBLANK($C139),"",IF($AJ139&lt;&gt;Constants!$B$7,$AJ139,AT139*W139))</f>
        <v/>
      </c>
      <c r="AV139" s="87" t="str">
        <f aca="false">IF(ISBLANK($C139),"",IF($AJ139=Constants!$B$7,IF(ISNUMBER(AU139),RANK(AU139,$AU$8:$AU$507),Constants!$B$14),$AJ139))</f>
        <v/>
      </c>
      <c r="AW139" s="87" t="str">
        <f aca="false">IF(ISBLANK($C139),"",IF($AJ139=Constants!$B$7,IF(ISNUMBER(AV139),COUNTIFS($AK$8:$AK$507,"&lt;"&amp;$AK139)+COUNTIFS($AK$8:$AK$507,$AK139,$AV$8:$AV$507,"&lt;"&amp;$AV139)+1,Constants!$B$14),$AJ139))</f>
        <v/>
      </c>
      <c r="AX139" s="87" t="str">
        <f aca="false">IF(ISBLANK($C139),"",IF($AJ139=Constants!$B$7,LARGE(AL139:AP139,4)*W139,""))</f>
        <v/>
      </c>
      <c r="AY139" s="87" t="str">
        <f aca="false">IF(ISBLANK($C139),"",IF($AJ139=Constants!$B$7,RANK(AX139,$AX$8:$AX$507),$AJ139))</f>
        <v/>
      </c>
      <c r="AZ139" s="87" t="str">
        <f aca="false">IF(ISBLANK($C139),"",IF($AJ139=Constants!$B$7,IF(ISNUMBER(AV139),COUNTIFS($AK$8:$AK$507,"&lt;"&amp;$AK139)+COUNTIFS($AK$8:$AK$507,$AK139,$AV$8:$AV$507,"&lt;"&amp;$AV139)+COUNTIFS($AK$8:$AK$507,$AK139,$AV$8:$AV$507,$AV139,$AY$8:$AY$507,"&lt;"&amp;$AY139)+1,Constants!$B$14),$AJ139))</f>
        <v/>
      </c>
      <c r="BA139" s="87" t="str">
        <f aca="false">IF(ISBLANK($C139),"",IF($AJ139=Constants!$B$7,IF(ISNUMBER(AW139),AW139-AZ139,Constants!$B$14),$AJ139))</f>
        <v/>
      </c>
      <c r="BB139" s="88"/>
      <c r="BC139" s="89" t="str">
        <f aca="false">IF(ISBLANK($C139),"",IF($AJ139&lt;&gt;Constants!$B$7,$AJ139,SMALL(AQ139:AS139,1)&amp;", "&amp;SMALL(AQ139:AS139,2)&amp;", "&amp;SMALL(AQ139:AS139,3)))</f>
        <v/>
      </c>
      <c r="BD139" s="90" t="str">
        <f aca="false">IF(ISBLANK($C139),"",IF($AJ139&lt;&gt;Constants!$B$7,$AJ139,W139))</f>
        <v/>
      </c>
      <c r="BE139" s="91" t="str">
        <f aca="false">IF(ISBLANK($C139),"",IF($AJ139&lt;&gt;Constants!$B$7,$AJ139,AU139))</f>
        <v/>
      </c>
      <c r="BF139" s="92" t="str">
        <f aca="false">IF(ISBLANK($C139),"",IF($AJ139&lt;&gt;Constants!$B$7,$AJ139,AK139))</f>
        <v/>
      </c>
      <c r="BG139" s="90" t="str">
        <f aca="false">IF(ISBLANK($C139),"",BA139)</f>
        <v/>
      </c>
      <c r="BH139" s="90" t="str">
        <f aca="false">IF(ISBLANK($C139),"",AZ139)</f>
        <v/>
      </c>
      <c r="BI139" s="93" t="str">
        <f aca="false">IF(ISBLANK($C139),"",IF(BH139=Constants!$B$4,COUNTA($C$8:$C$507)+2,IF(BH139=Constants!$B$5,COUNTA($C$8:$C$507)+1,IF(BH139=Constants!$B$6,COUNTA($C$8:$C$507),BH139))))</f>
        <v/>
      </c>
      <c r="BJ139" s="5"/>
      <c r="BK139" s="94" t="n">
        <f aca="false">IF(OR(ISNUMBER(BH139),BH139=Constants!$B$4,BH139=Constants!$B$6,BH139=Constants!$B$5),1,0)</f>
        <v>0</v>
      </c>
      <c r="BL139" s="94" t="n">
        <v>132</v>
      </c>
      <c r="BM139" s="94" t="str">
        <f aca="false">IF(ISBLANK($C139),"",IF(ISNUMBER(BI139),BI139+ROW($B139)/1000,""))</f>
        <v/>
      </c>
      <c r="BN139" s="94" t="str">
        <f aca="false">IF(ISNUMBER(BM139),RANK(BM139,$BM$8:$BM$507,1),"")</f>
        <v/>
      </c>
      <c r="BO139" s="94" t="str">
        <f aca="false">IF(ISBLANK($C139),"",$B139)</f>
        <v/>
      </c>
      <c r="BP139" s="94" t="str">
        <f aca="false">IF(ISBLANK($C139),"",$C139)</f>
        <v/>
      </c>
      <c r="BQ139" s="94" t="str">
        <f aca="false">IF(ISBLANK($C139),"",$D139)</f>
        <v/>
      </c>
      <c r="BR139" s="95" t="str">
        <f aca="false">BF139</f>
        <v/>
      </c>
      <c r="BS139" s="96" t="str">
        <f aca="false">BE139</f>
        <v/>
      </c>
      <c r="BT139" s="94" t="str">
        <f aca="false">IF(ISBLANK($C139),"",BH139)</f>
        <v/>
      </c>
      <c r="BU139" s="97" t="str">
        <f aca="false">IF($BL139&gt;$BK$7,"",VLOOKUP($BL139,$BN$8:$BT$507,7,FALSE()))</f>
        <v/>
      </c>
      <c r="BV139" s="98" t="str">
        <f aca="false">IF($BL139&gt;$BK$7,"",VLOOKUP($BL139,$BN$8:$BT$507,2,FALSE()))</f>
        <v/>
      </c>
      <c r="BW139" s="98" t="str">
        <f aca="false">IF($BL139&gt;$BK$7,"",VLOOKUP($BL139,$BN$8:$BT$507,3,FALSE()))</f>
        <v/>
      </c>
      <c r="BX139" s="98" t="str">
        <f aca="false">IF($BL139&gt;$BK$7,"",VLOOKUP($BL139,$BN$8:$BT$507,4,FALSE()))</f>
        <v/>
      </c>
      <c r="BY139" s="98" t="str">
        <f aca="false">IF($BL139&gt;$BK$7,"",VLOOKUP($BL139,$BN$8:$BT$507,5,FALSE()))</f>
        <v/>
      </c>
      <c r="BZ139" s="99" t="str">
        <f aca="false">IF($BL139&gt;$BK$7,"",VLOOKUP($BL139,$BN$8:$BT$507,6,FALSE()))</f>
        <v/>
      </c>
      <c r="CA139" s="48"/>
    </row>
    <row r="140" customFormat="false" ht="15.75" hidden="false" customHeight="false" outlineLevel="0" collapsed="false">
      <c r="A140" s="5"/>
      <c r="B140" s="121"/>
      <c r="C140" s="50"/>
      <c r="D140" s="51"/>
      <c r="E140" s="74"/>
      <c r="F140" s="122"/>
      <c r="G140" s="54"/>
      <c r="H140" s="123"/>
      <c r="I140" s="124"/>
      <c r="J140" s="54"/>
      <c r="K140" s="123"/>
      <c r="L140" s="54"/>
      <c r="M140" s="123"/>
      <c r="N140" s="54"/>
      <c r="O140" s="123"/>
      <c r="P140" s="54"/>
      <c r="Q140" s="123"/>
      <c r="R140" s="54"/>
      <c r="S140" s="74"/>
      <c r="T140" s="58"/>
      <c r="U140" s="59" t="str">
        <f aca="false">IF(ISBLANK($C140),"",IF(E140=Constants!$B$2, TRUE(), IF(E140=Constants!$B$3, FALSE(), TRUE())))</f>
        <v/>
      </c>
      <c r="V140" s="59" t="str">
        <f aca="false">IF(ISBLANK($C140),"",IF(F140=Constants!$B$2, TRUE(), IF(F140=Constants!$B$3, FALSE(), TRUE())))</f>
        <v/>
      </c>
      <c r="W140" s="59" t="str">
        <f aca="false">IF(ISBLANK($C140),"",IF(G140=Constants!$B$15,Constants!$B$8,IF(G140=Constants!$B$16,Constants!$B$9,Constants!$B$10)))</f>
        <v/>
      </c>
      <c r="X140" s="59" t="str">
        <f aca="false">IF(ISBLANK($C140),"",IF(H140=Constants!$B$2, TRUE(), IF(H140=Constants!$B$3, FALSE(), TRUE())))</f>
        <v/>
      </c>
      <c r="Y140" s="59" t="str">
        <f aca="false">IF(ISBLANK($C140),"",IF(I140=Constants!$B$19,Constants!$B$19,Constants!$B$18))</f>
        <v/>
      </c>
      <c r="Z140" s="59" t="str">
        <f aca="false">IF(ISBLANK($C140),"",IF(ISNUMBER(J140),IF(J140&gt;=0,J140,""),""))</f>
        <v/>
      </c>
      <c r="AA140" s="59" t="str">
        <f aca="false">IF(ISBLANK($C140),"",IF(K140=Constants!$B$19,Constants!$B$19,Constants!$B$18))</f>
        <v/>
      </c>
      <c r="AB140" s="59" t="str">
        <f aca="false">IF(ISBLANK($C140),"",IF(ISNUMBER(L140),IF(L140&gt;=0,L140,""),""))</f>
        <v/>
      </c>
      <c r="AC140" s="59" t="str">
        <f aca="false">IF(ISBLANK($C140),"",IF(M140=Constants!$B$19,Constants!$B$19,Constants!$B$18))</f>
        <v/>
      </c>
      <c r="AD140" s="59" t="str">
        <f aca="false">IF(ISBLANK($C140),"",IF(ISNUMBER(N140),IF(N140&gt;=0,N140,""),""))</f>
        <v/>
      </c>
      <c r="AE140" s="59" t="str">
        <f aca="false">IF(ISBLANK($C140),"",IF(O140=Constants!$B$19,Constants!$B$19,Constants!$B$18))</f>
        <v/>
      </c>
      <c r="AF140" s="59" t="str">
        <f aca="false">IF(ISBLANK($C140),"",IF(ISNUMBER(P140),IF(P140&gt;=0,P140,""),""))</f>
        <v/>
      </c>
      <c r="AG140" s="59" t="str">
        <f aca="false">IF(ISBLANK($C140),"",IF(Q140=Constants!$B$19,Constants!$B$19,Constants!$B$18))</f>
        <v/>
      </c>
      <c r="AH140" s="59" t="str">
        <f aca="false">IF(ISBLANK($C140),"",IF(ISNUMBER(R140),IF(R140&gt;=0,R140,""),""))</f>
        <v/>
      </c>
      <c r="AI140" s="59" t="str">
        <f aca="false">IF(ISBLANK($C140),"",IF(S140=Constants!$B$2, TRUE(), IF(S140=Constants!$B$3, FALSE(), FALSE())))</f>
        <v/>
      </c>
      <c r="AJ140" s="59" t="str">
        <f aca="false">IF(ISBLANK($C140),"",IF(AI140,Constants!$B$4,IF(COUNTA(E140:R140)=0,Constants!$B$5,IF(COUNTA(J140,L140,N140,P140,R140)=0,Constants!$B$6,Constants!$B$7))))</f>
        <v/>
      </c>
      <c r="AK140" s="59" t="str">
        <f aca="false">IF(ISBLANK($C140),"",IF($AJ140&lt;&gt;Constants!$B$7,$AJ140,IF(OR(NOT(X140),AND(NOT(U140),COUNTIFS(Y140:AG140,Constants!$B$18,Z140:AH140,"&gt;=0")&gt;0),AND(NOT(V140),COUNTIFS(Y140:AG140,Constants!$B$19,Z140:AH140,"&gt;=0")&gt;0)),Constants!$B$12,Constants!$B$11)))</f>
        <v/>
      </c>
      <c r="AL140" s="59" t="str">
        <f aca="false">IF($AJ140=Constants!$B$7,IF(Z140="",Constants!$B$13,Z140),"")</f>
        <v/>
      </c>
      <c r="AM140" s="59" t="str">
        <f aca="false">IF($AJ140=Constants!$B$7,IF(AB140="",Constants!$B$13,AB140),"")</f>
        <v/>
      </c>
      <c r="AN140" s="59" t="str">
        <f aca="false">IF($AJ140=Constants!$B$7,IF(AD140="",Constants!$B$13,AD140),"")</f>
        <v/>
      </c>
      <c r="AO140" s="59" t="str">
        <f aca="false">IF($AJ140=Constants!$B$7,IF(AF140="",Constants!$B$13,AF140),"")</f>
        <v/>
      </c>
      <c r="AP140" s="59" t="str">
        <f aca="false">IF($AJ140=Constants!$B$7,IF(AH140="",Constants!$B$13,AH140),"")</f>
        <v/>
      </c>
      <c r="AQ140" s="59" t="str">
        <f aca="false">IF($AJ140=Constants!$B$7,IF(SUMPRODUCT(--($AL140:$AP140&gt;AL140))+SUMPRODUCT(--($AL140:AL140=AL140))=1,1,IF(SUMPRODUCT(--($AL140:$AP140&gt;AM140))+SUMPRODUCT(--($AL140:AM140=AM140))=1,2,IF(SUMPRODUCT(--($AL140:$AP140&gt;AN140))+SUMPRODUCT(--($AL140:AN140=AN140))=1,3,IF(SUMPRODUCT(--($AL140:$AP140&gt;AO140))+SUMPRODUCT(--($AL140:AO140=AO140))=1,4,5)))),"")</f>
        <v/>
      </c>
      <c r="AR140" s="59" t="str">
        <f aca="false">IF($AJ140=Constants!$B$7,IF(SUMPRODUCT(--($AL140:$AP140&gt;AL140))+SUMPRODUCT(--($AL140:AL140=AL140))=2,1,IF(SUMPRODUCT(--($AL140:$AP140&gt;AM140))+SUMPRODUCT(--($AL140:AM140=AM140))=2,2,IF(SUMPRODUCT(--($AL140:$AP140&gt;AN140))+SUMPRODUCT(--($AL140:AN140=AN140))=2,3,IF(SUMPRODUCT(--($AL140:$AP140&gt;AO140))+SUMPRODUCT(--($AL140:AO140=AO140))=2,4,5)))),"")</f>
        <v/>
      </c>
      <c r="AS140" s="59" t="str">
        <f aca="false">IF($AJ140=Constants!$B$7,IF(SUMPRODUCT(--($AL140:$AP140&gt;AL140))+SUMPRODUCT(--($AL140:AL140=AL140))=3,1,IF(SUMPRODUCT(--($AL140:$AP140&gt;AM140))+SUMPRODUCT(--($AL140:AM140=AM140))=3,2,IF(SUMPRODUCT(--($AL140:$AP140&gt;AN140))+SUMPRODUCT(--($AL140:AN140=AN140))=3,3,IF(SUMPRODUCT(--($AL140:$AP140&gt;AO140))+SUMPRODUCT(--($AL140:AO140=AO140))=3,4,5)))),"")</f>
        <v/>
      </c>
      <c r="AT140" s="59" t="str">
        <f aca="false">IF($AJ140=Constants!$B$7,LARGE(AL140:AP140,1)+LARGE(AL140:AP140,2)+LARGE(AL140:AP140,3),"")</f>
        <v/>
      </c>
      <c r="AU140" s="59" t="str">
        <f aca="false">IF(ISBLANK($C140),"",IF($AJ140&lt;&gt;Constants!$B$7,$AJ140,AT140*W140))</f>
        <v/>
      </c>
      <c r="AV140" s="59" t="str">
        <f aca="false">IF(ISBLANK($C140),"",IF($AJ140=Constants!$B$7,IF(ISNUMBER(AU140),RANK(AU140,$AU$8:$AU$507),Constants!$B$14),$AJ140))</f>
        <v/>
      </c>
      <c r="AW140" s="59" t="str">
        <f aca="false">IF(ISBLANK($C140),"",IF($AJ140=Constants!$B$7,IF(ISNUMBER(AV140),COUNTIFS($AK$8:$AK$507,"&lt;"&amp;$AK140)+COUNTIFS($AK$8:$AK$507,$AK140,$AV$8:$AV$507,"&lt;"&amp;$AV140)+1,Constants!$B$14),$AJ140))</f>
        <v/>
      </c>
      <c r="AX140" s="59" t="str">
        <f aca="false">IF(ISBLANK($C140),"",IF($AJ140=Constants!$B$7,LARGE(AL140:AP140,4)*W140,""))</f>
        <v/>
      </c>
      <c r="AY140" s="59" t="str">
        <f aca="false">IF(ISBLANK($C140),"",IF($AJ140=Constants!$B$7,RANK(AX140,$AX$8:$AX$507),$AJ140))</f>
        <v/>
      </c>
      <c r="AZ140" s="59" t="str">
        <f aca="false">IF(ISBLANK($C140),"",IF($AJ140=Constants!$B$7,IF(ISNUMBER(AV140),COUNTIFS($AK$8:$AK$507,"&lt;"&amp;$AK140)+COUNTIFS($AK$8:$AK$507,$AK140,$AV$8:$AV$507,"&lt;"&amp;$AV140)+COUNTIFS($AK$8:$AK$507,$AK140,$AV$8:$AV$507,$AV140,$AY$8:$AY$507,"&lt;"&amp;$AY140)+1,Constants!$B$14),$AJ140))</f>
        <v/>
      </c>
      <c r="BA140" s="59" t="str">
        <f aca="false">IF(ISBLANK($C140),"",IF($AJ140=Constants!$B$7,IF(ISNUMBER(AW140),AW140-AZ140,Constants!$B$14),$AJ140))</f>
        <v/>
      </c>
      <c r="BB140" s="61"/>
      <c r="BC140" s="62" t="str">
        <f aca="false">IF(ISBLANK($C140),"",IF($AJ140&lt;&gt;Constants!$B$7,$AJ140,SMALL(AQ140:AS140,1)&amp;", "&amp;SMALL(AQ140:AS140,2)&amp;", "&amp;SMALL(AQ140:AS140,3)))</f>
        <v/>
      </c>
      <c r="BD140" s="63" t="str">
        <f aca="false">IF(ISBLANK($C140),"",IF($AJ140&lt;&gt;Constants!$B$7,$AJ140,W140))</f>
        <v/>
      </c>
      <c r="BE140" s="64" t="str">
        <f aca="false">IF(ISBLANK($C140),"",IF($AJ140&lt;&gt;Constants!$B$7,$AJ140,AU140))</f>
        <v/>
      </c>
      <c r="BF140" s="65" t="str">
        <f aca="false">IF(ISBLANK($C140),"",IF($AJ140&lt;&gt;Constants!$B$7,$AJ140,AK140))</f>
        <v/>
      </c>
      <c r="BG140" s="63" t="str">
        <f aca="false">IF(ISBLANK($C140),"",BA140)</f>
        <v/>
      </c>
      <c r="BH140" s="63" t="str">
        <f aca="false">IF(ISBLANK($C140),"",AZ140)</f>
        <v/>
      </c>
      <c r="BI140" s="66" t="str">
        <f aca="false">IF(ISBLANK($C140),"",IF(BH140=Constants!$B$4,COUNTA($C$8:$C$507)+2,IF(BH140=Constants!$B$5,COUNTA($C$8:$C$507)+1,IF(BH140=Constants!$B$6,COUNTA($C$8:$C$507),BH140))))</f>
        <v/>
      </c>
      <c r="BJ140" s="5"/>
      <c r="BK140" s="67" t="n">
        <f aca="false">IF(OR(ISNUMBER(BH140),BH140=Constants!$B$4,BH140=Constants!$B$6,BH140=Constants!$B$5),1,0)</f>
        <v>0</v>
      </c>
      <c r="BL140" s="67" t="n">
        <v>133</v>
      </c>
      <c r="BM140" s="67" t="str">
        <f aca="false">IF(ISBLANK($C140),"",IF(ISNUMBER(BI140),BI140+ROW($B140)/1000,""))</f>
        <v/>
      </c>
      <c r="BN140" s="67" t="str">
        <f aca="false">IF(ISNUMBER(BM140),RANK(BM140,$BM$8:$BM$507,1),"")</f>
        <v/>
      </c>
      <c r="BO140" s="67" t="str">
        <f aca="false">IF(ISBLANK($C140),"",$B140)</f>
        <v/>
      </c>
      <c r="BP140" s="67" t="str">
        <f aca="false">IF(ISBLANK($C140),"",$C140)</f>
        <v/>
      </c>
      <c r="BQ140" s="67" t="str">
        <f aca="false">IF(ISBLANK($C140),"",$D140)</f>
        <v/>
      </c>
      <c r="BR140" s="68" t="str">
        <f aca="false">BF140</f>
        <v/>
      </c>
      <c r="BS140" s="69" t="str">
        <f aca="false">BE140</f>
        <v/>
      </c>
      <c r="BT140" s="67" t="str">
        <f aca="false">IF(ISBLANK($C140),"",BH140)</f>
        <v/>
      </c>
      <c r="BU140" s="70" t="str">
        <f aca="false">IF($BL140&gt;$BK$7,"",VLOOKUP($BL140,$BN$8:$BT$507,7,FALSE()))</f>
        <v/>
      </c>
      <c r="BV140" s="71" t="str">
        <f aca="false">IF($BL140&gt;$BK$7,"",VLOOKUP($BL140,$BN$8:$BT$507,2,FALSE()))</f>
        <v/>
      </c>
      <c r="BW140" s="71" t="str">
        <f aca="false">IF($BL140&gt;$BK$7,"",VLOOKUP($BL140,$BN$8:$BT$507,3,FALSE()))</f>
        <v/>
      </c>
      <c r="BX140" s="71" t="str">
        <f aca="false">IF($BL140&gt;$BK$7,"",VLOOKUP($BL140,$BN$8:$BT$507,4,FALSE()))</f>
        <v/>
      </c>
      <c r="BY140" s="71" t="str">
        <f aca="false">IF($BL140&gt;$BK$7,"",VLOOKUP($BL140,$BN$8:$BT$507,5,FALSE()))</f>
        <v/>
      </c>
      <c r="BZ140" s="72" t="str">
        <f aca="false">IF($BL140&gt;$BK$7,"",VLOOKUP($BL140,$BN$8:$BT$507,6,FALSE()))</f>
        <v/>
      </c>
      <c r="CA140" s="48"/>
    </row>
    <row r="141" customFormat="false" ht="15.75" hidden="false" customHeight="false" outlineLevel="0" collapsed="false">
      <c r="A141" s="5"/>
      <c r="B141" s="121"/>
      <c r="C141" s="50"/>
      <c r="D141" s="51"/>
      <c r="E141" s="74"/>
      <c r="F141" s="122"/>
      <c r="G141" s="54"/>
      <c r="H141" s="123"/>
      <c r="I141" s="124"/>
      <c r="J141" s="54"/>
      <c r="K141" s="123"/>
      <c r="L141" s="54"/>
      <c r="M141" s="123"/>
      <c r="N141" s="54"/>
      <c r="O141" s="123"/>
      <c r="P141" s="54"/>
      <c r="Q141" s="123"/>
      <c r="R141" s="54"/>
      <c r="S141" s="74"/>
      <c r="T141" s="58"/>
      <c r="U141" s="59" t="str">
        <f aca="false">IF(ISBLANK($C141),"",IF(E141=Constants!$B$2, TRUE(), IF(E141=Constants!$B$3, FALSE(), TRUE())))</f>
        <v/>
      </c>
      <c r="V141" s="59" t="str">
        <f aca="false">IF(ISBLANK($C141),"",IF(F141=Constants!$B$2, TRUE(), IF(F141=Constants!$B$3, FALSE(), TRUE())))</f>
        <v/>
      </c>
      <c r="W141" s="59" t="str">
        <f aca="false">IF(ISBLANK($C141),"",IF(G141=Constants!$B$15,Constants!$B$8,IF(G141=Constants!$B$16,Constants!$B$9,Constants!$B$10)))</f>
        <v/>
      </c>
      <c r="X141" s="59" t="str">
        <f aca="false">IF(ISBLANK($C141),"",IF(H141=Constants!$B$2, TRUE(), IF(H141=Constants!$B$3, FALSE(), TRUE())))</f>
        <v/>
      </c>
      <c r="Y141" s="59" t="str">
        <f aca="false">IF(ISBLANK($C141),"",IF(I141=Constants!$B$19,Constants!$B$19,Constants!$B$18))</f>
        <v/>
      </c>
      <c r="Z141" s="59" t="str">
        <f aca="false">IF(ISBLANK($C141),"",IF(ISNUMBER(J141),IF(J141&gt;=0,J141,""),""))</f>
        <v/>
      </c>
      <c r="AA141" s="59" t="str">
        <f aca="false">IF(ISBLANK($C141),"",IF(K141=Constants!$B$19,Constants!$B$19,Constants!$B$18))</f>
        <v/>
      </c>
      <c r="AB141" s="59" t="str">
        <f aca="false">IF(ISBLANK($C141),"",IF(ISNUMBER(L141),IF(L141&gt;=0,L141,""),""))</f>
        <v/>
      </c>
      <c r="AC141" s="59" t="str">
        <f aca="false">IF(ISBLANK($C141),"",IF(M141=Constants!$B$19,Constants!$B$19,Constants!$B$18))</f>
        <v/>
      </c>
      <c r="AD141" s="59" t="str">
        <f aca="false">IF(ISBLANK($C141),"",IF(ISNUMBER(N141),IF(N141&gt;=0,N141,""),""))</f>
        <v/>
      </c>
      <c r="AE141" s="59" t="str">
        <f aca="false">IF(ISBLANK($C141),"",IF(O141=Constants!$B$19,Constants!$B$19,Constants!$B$18))</f>
        <v/>
      </c>
      <c r="AF141" s="59" t="str">
        <f aca="false">IF(ISBLANK($C141),"",IF(ISNUMBER(P141),IF(P141&gt;=0,P141,""),""))</f>
        <v/>
      </c>
      <c r="AG141" s="59" t="str">
        <f aca="false">IF(ISBLANK($C141),"",IF(Q141=Constants!$B$19,Constants!$B$19,Constants!$B$18))</f>
        <v/>
      </c>
      <c r="AH141" s="59" t="str">
        <f aca="false">IF(ISBLANK($C141),"",IF(ISNUMBER(R141),IF(R141&gt;=0,R141,""),""))</f>
        <v/>
      </c>
      <c r="AI141" s="59" t="str">
        <f aca="false">IF(ISBLANK($C141),"",IF(S141=Constants!$B$2, TRUE(), IF(S141=Constants!$B$3, FALSE(), FALSE())))</f>
        <v/>
      </c>
      <c r="AJ141" s="59" t="str">
        <f aca="false">IF(ISBLANK($C141),"",IF(AI141,Constants!$B$4,IF(COUNTA(E141:R141)=0,Constants!$B$5,IF(COUNTA(J141,L141,N141,P141,R141)=0,Constants!$B$6,Constants!$B$7))))</f>
        <v/>
      </c>
      <c r="AK141" s="59" t="str">
        <f aca="false">IF(ISBLANK($C141),"",IF($AJ141&lt;&gt;Constants!$B$7,$AJ141,IF(OR(NOT(X141),AND(NOT(U141),COUNTIFS(Y141:AG141,Constants!$B$18,Z141:AH141,"&gt;=0")&gt;0),AND(NOT(V141),COUNTIFS(Y141:AG141,Constants!$B$19,Z141:AH141,"&gt;=0")&gt;0)),Constants!$B$12,Constants!$B$11)))</f>
        <v/>
      </c>
      <c r="AL141" s="59" t="str">
        <f aca="false">IF($AJ141=Constants!$B$7,IF(Z141="",Constants!$B$13,Z141),"")</f>
        <v/>
      </c>
      <c r="AM141" s="59" t="str">
        <f aca="false">IF($AJ141=Constants!$B$7,IF(AB141="",Constants!$B$13,AB141),"")</f>
        <v/>
      </c>
      <c r="AN141" s="59" t="str">
        <f aca="false">IF($AJ141=Constants!$B$7,IF(AD141="",Constants!$B$13,AD141),"")</f>
        <v/>
      </c>
      <c r="AO141" s="59" t="str">
        <f aca="false">IF($AJ141=Constants!$B$7,IF(AF141="",Constants!$B$13,AF141),"")</f>
        <v/>
      </c>
      <c r="AP141" s="59" t="str">
        <f aca="false">IF($AJ141=Constants!$B$7,IF(AH141="",Constants!$B$13,AH141),"")</f>
        <v/>
      </c>
      <c r="AQ141" s="59" t="str">
        <f aca="false">IF($AJ141=Constants!$B$7,IF(SUMPRODUCT(--($AL141:$AP141&gt;AL141))+SUMPRODUCT(--($AL141:AL141=AL141))=1,1,IF(SUMPRODUCT(--($AL141:$AP141&gt;AM141))+SUMPRODUCT(--($AL141:AM141=AM141))=1,2,IF(SUMPRODUCT(--($AL141:$AP141&gt;AN141))+SUMPRODUCT(--($AL141:AN141=AN141))=1,3,IF(SUMPRODUCT(--($AL141:$AP141&gt;AO141))+SUMPRODUCT(--($AL141:AO141=AO141))=1,4,5)))),"")</f>
        <v/>
      </c>
      <c r="AR141" s="59" t="str">
        <f aca="false">IF($AJ141=Constants!$B$7,IF(SUMPRODUCT(--($AL141:$AP141&gt;AL141))+SUMPRODUCT(--($AL141:AL141=AL141))=2,1,IF(SUMPRODUCT(--($AL141:$AP141&gt;AM141))+SUMPRODUCT(--($AL141:AM141=AM141))=2,2,IF(SUMPRODUCT(--($AL141:$AP141&gt;AN141))+SUMPRODUCT(--($AL141:AN141=AN141))=2,3,IF(SUMPRODUCT(--($AL141:$AP141&gt;AO141))+SUMPRODUCT(--($AL141:AO141=AO141))=2,4,5)))),"")</f>
        <v/>
      </c>
      <c r="AS141" s="59" t="str">
        <f aca="false">IF($AJ141=Constants!$B$7,IF(SUMPRODUCT(--($AL141:$AP141&gt;AL141))+SUMPRODUCT(--($AL141:AL141=AL141))=3,1,IF(SUMPRODUCT(--($AL141:$AP141&gt;AM141))+SUMPRODUCT(--($AL141:AM141=AM141))=3,2,IF(SUMPRODUCT(--($AL141:$AP141&gt;AN141))+SUMPRODUCT(--($AL141:AN141=AN141))=3,3,IF(SUMPRODUCT(--($AL141:$AP141&gt;AO141))+SUMPRODUCT(--($AL141:AO141=AO141))=3,4,5)))),"")</f>
        <v/>
      </c>
      <c r="AT141" s="59" t="str">
        <f aca="false">IF($AJ141=Constants!$B$7,LARGE(AL141:AP141,1)+LARGE(AL141:AP141,2)+LARGE(AL141:AP141,3),"")</f>
        <v/>
      </c>
      <c r="AU141" s="59" t="str">
        <f aca="false">IF(ISBLANK($C141),"",IF($AJ141&lt;&gt;Constants!$B$7,$AJ141,AT141*W141))</f>
        <v/>
      </c>
      <c r="AV141" s="59" t="str">
        <f aca="false">IF(ISBLANK($C141),"",IF($AJ141=Constants!$B$7,IF(ISNUMBER(AU141),RANK(AU141,$AU$8:$AU$507),Constants!$B$14),$AJ141))</f>
        <v/>
      </c>
      <c r="AW141" s="59" t="str">
        <f aca="false">IF(ISBLANK($C141),"",IF($AJ141=Constants!$B$7,IF(ISNUMBER(AV141),COUNTIFS($AK$8:$AK$507,"&lt;"&amp;$AK141)+COUNTIFS($AK$8:$AK$507,$AK141,$AV$8:$AV$507,"&lt;"&amp;$AV141)+1,Constants!$B$14),$AJ141))</f>
        <v/>
      </c>
      <c r="AX141" s="59" t="str">
        <f aca="false">IF(ISBLANK($C141),"",IF($AJ141=Constants!$B$7,LARGE(AL141:AP141,4)*W141,""))</f>
        <v/>
      </c>
      <c r="AY141" s="59" t="str">
        <f aca="false">IF(ISBLANK($C141),"",IF($AJ141=Constants!$B$7,RANK(AX141,$AX$8:$AX$507),$AJ141))</f>
        <v/>
      </c>
      <c r="AZ141" s="59" t="str">
        <f aca="false">IF(ISBLANK($C141),"",IF($AJ141=Constants!$B$7,IF(ISNUMBER(AV141),COUNTIFS($AK$8:$AK$507,"&lt;"&amp;$AK141)+COUNTIFS($AK$8:$AK$507,$AK141,$AV$8:$AV$507,"&lt;"&amp;$AV141)+COUNTIFS($AK$8:$AK$507,$AK141,$AV$8:$AV$507,$AV141,$AY$8:$AY$507,"&lt;"&amp;$AY141)+1,Constants!$B$14),$AJ141))</f>
        <v/>
      </c>
      <c r="BA141" s="59" t="str">
        <f aca="false">IF(ISBLANK($C141),"",IF($AJ141=Constants!$B$7,IF(ISNUMBER(AW141),AW141-AZ141,Constants!$B$14),$AJ141))</f>
        <v/>
      </c>
      <c r="BB141" s="61"/>
      <c r="BC141" s="62" t="str">
        <f aca="false">IF(ISBLANK($C141),"",IF($AJ141&lt;&gt;Constants!$B$7,$AJ141,SMALL(AQ141:AS141,1)&amp;", "&amp;SMALL(AQ141:AS141,2)&amp;", "&amp;SMALL(AQ141:AS141,3)))</f>
        <v/>
      </c>
      <c r="BD141" s="63" t="str">
        <f aca="false">IF(ISBLANK($C141),"",IF($AJ141&lt;&gt;Constants!$B$7,$AJ141,W141))</f>
        <v/>
      </c>
      <c r="BE141" s="64" t="str">
        <f aca="false">IF(ISBLANK($C141),"",IF($AJ141&lt;&gt;Constants!$B$7,$AJ141,AU141))</f>
        <v/>
      </c>
      <c r="BF141" s="65" t="str">
        <f aca="false">IF(ISBLANK($C141),"",IF($AJ141&lt;&gt;Constants!$B$7,$AJ141,AK141))</f>
        <v/>
      </c>
      <c r="BG141" s="63" t="str">
        <f aca="false">IF(ISBLANK($C141),"",BA141)</f>
        <v/>
      </c>
      <c r="BH141" s="63" t="str">
        <f aca="false">IF(ISBLANK($C141),"",AZ141)</f>
        <v/>
      </c>
      <c r="BI141" s="66" t="str">
        <f aca="false">IF(ISBLANK($C141),"",IF(BH141=Constants!$B$4,COUNTA($C$8:$C$507)+2,IF(BH141=Constants!$B$5,COUNTA($C$8:$C$507)+1,IF(BH141=Constants!$B$6,COUNTA($C$8:$C$507),BH141))))</f>
        <v/>
      </c>
      <c r="BJ141" s="5"/>
      <c r="BK141" s="67" t="n">
        <f aca="false">IF(OR(ISNUMBER(BH141),BH141=Constants!$B$4,BH141=Constants!$B$6,BH141=Constants!$B$5),1,0)</f>
        <v>0</v>
      </c>
      <c r="BL141" s="67" t="n">
        <v>134</v>
      </c>
      <c r="BM141" s="67" t="str">
        <f aca="false">IF(ISBLANK($C141),"",IF(ISNUMBER(BI141),BI141+ROW($B141)/1000,""))</f>
        <v/>
      </c>
      <c r="BN141" s="67" t="str">
        <f aca="false">IF(ISNUMBER(BM141),RANK(BM141,$BM$8:$BM$507,1),"")</f>
        <v/>
      </c>
      <c r="BO141" s="67" t="str">
        <f aca="false">IF(ISBLANK($C141),"",$B141)</f>
        <v/>
      </c>
      <c r="BP141" s="67" t="str">
        <f aca="false">IF(ISBLANK($C141),"",$C141)</f>
        <v/>
      </c>
      <c r="BQ141" s="67" t="str">
        <f aca="false">IF(ISBLANK($C141),"",$D141)</f>
        <v/>
      </c>
      <c r="BR141" s="68" t="str">
        <f aca="false">BF141</f>
        <v/>
      </c>
      <c r="BS141" s="69" t="str">
        <f aca="false">BE141</f>
        <v/>
      </c>
      <c r="BT141" s="67" t="str">
        <f aca="false">IF(ISBLANK($C141),"",BH141)</f>
        <v/>
      </c>
      <c r="BU141" s="70" t="str">
        <f aca="false">IF($BL141&gt;$BK$7,"",VLOOKUP($BL141,$BN$8:$BT$507,7,FALSE()))</f>
        <v/>
      </c>
      <c r="BV141" s="71" t="str">
        <f aca="false">IF($BL141&gt;$BK$7,"",VLOOKUP($BL141,$BN$8:$BT$507,2,FALSE()))</f>
        <v/>
      </c>
      <c r="BW141" s="71" t="str">
        <f aca="false">IF($BL141&gt;$BK$7,"",VLOOKUP($BL141,$BN$8:$BT$507,3,FALSE()))</f>
        <v/>
      </c>
      <c r="BX141" s="71" t="str">
        <f aca="false">IF($BL141&gt;$BK$7,"",VLOOKUP($BL141,$BN$8:$BT$507,4,FALSE()))</f>
        <v/>
      </c>
      <c r="BY141" s="71" t="str">
        <f aca="false">IF($BL141&gt;$BK$7,"",VLOOKUP($BL141,$BN$8:$BT$507,5,FALSE()))</f>
        <v/>
      </c>
      <c r="BZ141" s="72" t="str">
        <f aca="false">IF($BL141&gt;$BK$7,"",VLOOKUP($BL141,$BN$8:$BT$507,6,FALSE()))</f>
        <v/>
      </c>
      <c r="CA141" s="48"/>
    </row>
    <row r="142" customFormat="false" ht="15.75" hidden="false" customHeight="false" outlineLevel="0" collapsed="false">
      <c r="A142" s="5"/>
      <c r="B142" s="121"/>
      <c r="C142" s="50"/>
      <c r="D142" s="51"/>
      <c r="E142" s="74"/>
      <c r="F142" s="122"/>
      <c r="G142" s="54"/>
      <c r="H142" s="123"/>
      <c r="I142" s="124"/>
      <c r="J142" s="54"/>
      <c r="K142" s="123"/>
      <c r="L142" s="54"/>
      <c r="M142" s="123"/>
      <c r="N142" s="54"/>
      <c r="O142" s="123"/>
      <c r="P142" s="54"/>
      <c r="Q142" s="123"/>
      <c r="R142" s="54"/>
      <c r="S142" s="74"/>
      <c r="T142" s="58"/>
      <c r="U142" s="59" t="str">
        <f aca="false">IF(ISBLANK($C142),"",IF(E142=Constants!$B$2, TRUE(), IF(E142=Constants!$B$3, FALSE(), TRUE())))</f>
        <v/>
      </c>
      <c r="V142" s="59" t="str">
        <f aca="false">IF(ISBLANK($C142),"",IF(F142=Constants!$B$2, TRUE(), IF(F142=Constants!$B$3, FALSE(), TRUE())))</f>
        <v/>
      </c>
      <c r="W142" s="59" t="str">
        <f aca="false">IF(ISBLANK($C142),"",IF(G142=Constants!$B$15,Constants!$B$8,IF(G142=Constants!$B$16,Constants!$B$9,Constants!$B$10)))</f>
        <v/>
      </c>
      <c r="X142" s="59" t="str">
        <f aca="false">IF(ISBLANK($C142),"",IF(H142=Constants!$B$2, TRUE(), IF(H142=Constants!$B$3, FALSE(), TRUE())))</f>
        <v/>
      </c>
      <c r="Y142" s="59" t="str">
        <f aca="false">IF(ISBLANK($C142),"",IF(I142=Constants!$B$19,Constants!$B$19,Constants!$B$18))</f>
        <v/>
      </c>
      <c r="Z142" s="59" t="str">
        <f aca="false">IF(ISBLANK($C142),"",IF(ISNUMBER(J142),IF(J142&gt;=0,J142,""),""))</f>
        <v/>
      </c>
      <c r="AA142" s="59" t="str">
        <f aca="false">IF(ISBLANK($C142),"",IF(K142=Constants!$B$19,Constants!$B$19,Constants!$B$18))</f>
        <v/>
      </c>
      <c r="AB142" s="59" t="str">
        <f aca="false">IF(ISBLANK($C142),"",IF(ISNUMBER(L142),IF(L142&gt;=0,L142,""),""))</f>
        <v/>
      </c>
      <c r="AC142" s="59" t="str">
        <f aca="false">IF(ISBLANK($C142),"",IF(M142=Constants!$B$19,Constants!$B$19,Constants!$B$18))</f>
        <v/>
      </c>
      <c r="AD142" s="59" t="str">
        <f aca="false">IF(ISBLANK($C142),"",IF(ISNUMBER(N142),IF(N142&gt;=0,N142,""),""))</f>
        <v/>
      </c>
      <c r="AE142" s="59" t="str">
        <f aca="false">IF(ISBLANK($C142),"",IF(O142=Constants!$B$19,Constants!$B$19,Constants!$B$18))</f>
        <v/>
      </c>
      <c r="AF142" s="59" t="str">
        <f aca="false">IF(ISBLANK($C142),"",IF(ISNUMBER(P142),IF(P142&gt;=0,P142,""),""))</f>
        <v/>
      </c>
      <c r="AG142" s="59" t="str">
        <f aca="false">IF(ISBLANK($C142),"",IF(Q142=Constants!$B$19,Constants!$B$19,Constants!$B$18))</f>
        <v/>
      </c>
      <c r="AH142" s="59" t="str">
        <f aca="false">IF(ISBLANK($C142),"",IF(ISNUMBER(R142),IF(R142&gt;=0,R142,""),""))</f>
        <v/>
      </c>
      <c r="AI142" s="59" t="str">
        <f aca="false">IF(ISBLANK($C142),"",IF(S142=Constants!$B$2, TRUE(), IF(S142=Constants!$B$3, FALSE(), FALSE())))</f>
        <v/>
      </c>
      <c r="AJ142" s="59" t="str">
        <f aca="false">IF(ISBLANK($C142),"",IF(AI142,Constants!$B$4,IF(COUNTA(E142:R142)=0,Constants!$B$5,IF(COUNTA(J142,L142,N142,P142,R142)=0,Constants!$B$6,Constants!$B$7))))</f>
        <v/>
      </c>
      <c r="AK142" s="59" t="str">
        <f aca="false">IF(ISBLANK($C142),"",IF($AJ142&lt;&gt;Constants!$B$7,$AJ142,IF(OR(NOT(X142),AND(NOT(U142),COUNTIFS(Y142:AG142,Constants!$B$18,Z142:AH142,"&gt;=0")&gt;0),AND(NOT(V142),COUNTIFS(Y142:AG142,Constants!$B$19,Z142:AH142,"&gt;=0")&gt;0)),Constants!$B$12,Constants!$B$11)))</f>
        <v/>
      </c>
      <c r="AL142" s="59" t="str">
        <f aca="false">IF($AJ142=Constants!$B$7,IF(Z142="",Constants!$B$13,Z142),"")</f>
        <v/>
      </c>
      <c r="AM142" s="59" t="str">
        <f aca="false">IF($AJ142=Constants!$B$7,IF(AB142="",Constants!$B$13,AB142),"")</f>
        <v/>
      </c>
      <c r="AN142" s="59" t="str">
        <f aca="false">IF($AJ142=Constants!$B$7,IF(AD142="",Constants!$B$13,AD142),"")</f>
        <v/>
      </c>
      <c r="AO142" s="59" t="str">
        <f aca="false">IF($AJ142=Constants!$B$7,IF(AF142="",Constants!$B$13,AF142),"")</f>
        <v/>
      </c>
      <c r="AP142" s="59" t="str">
        <f aca="false">IF($AJ142=Constants!$B$7,IF(AH142="",Constants!$B$13,AH142),"")</f>
        <v/>
      </c>
      <c r="AQ142" s="59" t="str">
        <f aca="false">IF($AJ142=Constants!$B$7,IF(SUMPRODUCT(--($AL142:$AP142&gt;AL142))+SUMPRODUCT(--($AL142:AL142=AL142))=1,1,IF(SUMPRODUCT(--($AL142:$AP142&gt;AM142))+SUMPRODUCT(--($AL142:AM142=AM142))=1,2,IF(SUMPRODUCT(--($AL142:$AP142&gt;AN142))+SUMPRODUCT(--($AL142:AN142=AN142))=1,3,IF(SUMPRODUCT(--($AL142:$AP142&gt;AO142))+SUMPRODUCT(--($AL142:AO142=AO142))=1,4,5)))),"")</f>
        <v/>
      </c>
      <c r="AR142" s="59" t="str">
        <f aca="false">IF($AJ142=Constants!$B$7,IF(SUMPRODUCT(--($AL142:$AP142&gt;AL142))+SUMPRODUCT(--($AL142:AL142=AL142))=2,1,IF(SUMPRODUCT(--($AL142:$AP142&gt;AM142))+SUMPRODUCT(--($AL142:AM142=AM142))=2,2,IF(SUMPRODUCT(--($AL142:$AP142&gt;AN142))+SUMPRODUCT(--($AL142:AN142=AN142))=2,3,IF(SUMPRODUCT(--($AL142:$AP142&gt;AO142))+SUMPRODUCT(--($AL142:AO142=AO142))=2,4,5)))),"")</f>
        <v/>
      </c>
      <c r="AS142" s="59" t="str">
        <f aca="false">IF($AJ142=Constants!$B$7,IF(SUMPRODUCT(--($AL142:$AP142&gt;AL142))+SUMPRODUCT(--($AL142:AL142=AL142))=3,1,IF(SUMPRODUCT(--($AL142:$AP142&gt;AM142))+SUMPRODUCT(--($AL142:AM142=AM142))=3,2,IF(SUMPRODUCT(--($AL142:$AP142&gt;AN142))+SUMPRODUCT(--($AL142:AN142=AN142))=3,3,IF(SUMPRODUCT(--($AL142:$AP142&gt;AO142))+SUMPRODUCT(--($AL142:AO142=AO142))=3,4,5)))),"")</f>
        <v/>
      </c>
      <c r="AT142" s="59" t="str">
        <f aca="false">IF($AJ142=Constants!$B$7,LARGE(AL142:AP142,1)+LARGE(AL142:AP142,2)+LARGE(AL142:AP142,3),"")</f>
        <v/>
      </c>
      <c r="AU142" s="59" t="str">
        <f aca="false">IF(ISBLANK($C142),"",IF($AJ142&lt;&gt;Constants!$B$7,$AJ142,AT142*W142))</f>
        <v/>
      </c>
      <c r="AV142" s="59" t="str">
        <f aca="false">IF(ISBLANK($C142),"",IF($AJ142=Constants!$B$7,IF(ISNUMBER(AU142),RANK(AU142,$AU$8:$AU$507),Constants!$B$14),$AJ142))</f>
        <v/>
      </c>
      <c r="AW142" s="59" t="str">
        <f aca="false">IF(ISBLANK($C142),"",IF($AJ142=Constants!$B$7,IF(ISNUMBER(AV142),COUNTIFS($AK$8:$AK$507,"&lt;"&amp;$AK142)+COUNTIFS($AK$8:$AK$507,$AK142,$AV$8:$AV$507,"&lt;"&amp;$AV142)+1,Constants!$B$14),$AJ142))</f>
        <v/>
      </c>
      <c r="AX142" s="59" t="str">
        <f aca="false">IF(ISBLANK($C142),"",IF($AJ142=Constants!$B$7,LARGE(AL142:AP142,4)*W142,""))</f>
        <v/>
      </c>
      <c r="AY142" s="59" t="str">
        <f aca="false">IF(ISBLANK($C142),"",IF($AJ142=Constants!$B$7,RANK(AX142,$AX$8:$AX$507),$AJ142))</f>
        <v/>
      </c>
      <c r="AZ142" s="59" t="str">
        <f aca="false">IF(ISBLANK($C142),"",IF($AJ142=Constants!$B$7,IF(ISNUMBER(AV142),COUNTIFS($AK$8:$AK$507,"&lt;"&amp;$AK142)+COUNTIFS($AK$8:$AK$507,$AK142,$AV$8:$AV$507,"&lt;"&amp;$AV142)+COUNTIFS($AK$8:$AK$507,$AK142,$AV$8:$AV$507,$AV142,$AY$8:$AY$507,"&lt;"&amp;$AY142)+1,Constants!$B$14),$AJ142))</f>
        <v/>
      </c>
      <c r="BA142" s="59" t="str">
        <f aca="false">IF(ISBLANK($C142),"",IF($AJ142=Constants!$B$7,IF(ISNUMBER(AW142),AW142-AZ142,Constants!$B$14),$AJ142))</f>
        <v/>
      </c>
      <c r="BB142" s="61"/>
      <c r="BC142" s="62" t="str">
        <f aca="false">IF(ISBLANK($C142),"",IF($AJ142&lt;&gt;Constants!$B$7,$AJ142,SMALL(AQ142:AS142,1)&amp;", "&amp;SMALL(AQ142:AS142,2)&amp;", "&amp;SMALL(AQ142:AS142,3)))</f>
        <v/>
      </c>
      <c r="BD142" s="63" t="str">
        <f aca="false">IF(ISBLANK($C142),"",IF($AJ142&lt;&gt;Constants!$B$7,$AJ142,W142))</f>
        <v/>
      </c>
      <c r="BE142" s="64" t="str">
        <f aca="false">IF(ISBLANK($C142),"",IF($AJ142&lt;&gt;Constants!$B$7,$AJ142,AU142))</f>
        <v/>
      </c>
      <c r="BF142" s="65" t="str">
        <f aca="false">IF(ISBLANK($C142),"",IF($AJ142&lt;&gt;Constants!$B$7,$AJ142,AK142))</f>
        <v/>
      </c>
      <c r="BG142" s="63" t="str">
        <f aca="false">IF(ISBLANK($C142),"",BA142)</f>
        <v/>
      </c>
      <c r="BH142" s="63" t="str">
        <f aca="false">IF(ISBLANK($C142),"",AZ142)</f>
        <v/>
      </c>
      <c r="BI142" s="66" t="str">
        <f aca="false">IF(ISBLANK($C142),"",IF(BH142=Constants!$B$4,COUNTA($C$8:$C$507)+2,IF(BH142=Constants!$B$5,COUNTA($C$8:$C$507)+1,IF(BH142=Constants!$B$6,COUNTA($C$8:$C$507),BH142))))</f>
        <v/>
      </c>
      <c r="BJ142" s="5"/>
      <c r="BK142" s="67" t="n">
        <f aca="false">IF(OR(ISNUMBER(BH142),BH142=Constants!$B$4,BH142=Constants!$B$6,BH142=Constants!$B$5),1,0)</f>
        <v>0</v>
      </c>
      <c r="BL142" s="67" t="n">
        <v>135</v>
      </c>
      <c r="BM142" s="67" t="str">
        <f aca="false">IF(ISBLANK($C142),"",IF(ISNUMBER(BI142),BI142+ROW($B142)/1000,""))</f>
        <v/>
      </c>
      <c r="BN142" s="67" t="str">
        <f aca="false">IF(ISNUMBER(BM142),RANK(BM142,$BM$8:$BM$507,1),"")</f>
        <v/>
      </c>
      <c r="BO142" s="67" t="str">
        <f aca="false">IF(ISBLANK($C142),"",$B142)</f>
        <v/>
      </c>
      <c r="BP142" s="67" t="str">
        <f aca="false">IF(ISBLANK($C142),"",$C142)</f>
        <v/>
      </c>
      <c r="BQ142" s="67" t="str">
        <f aca="false">IF(ISBLANK($C142),"",$D142)</f>
        <v/>
      </c>
      <c r="BR142" s="68" t="str">
        <f aca="false">BF142</f>
        <v/>
      </c>
      <c r="BS142" s="69" t="str">
        <f aca="false">BE142</f>
        <v/>
      </c>
      <c r="BT142" s="67" t="str">
        <f aca="false">IF(ISBLANK($C142),"",BH142)</f>
        <v/>
      </c>
      <c r="BU142" s="70" t="str">
        <f aca="false">IF($BL142&gt;$BK$7,"",VLOOKUP($BL142,$BN$8:$BT$507,7,FALSE()))</f>
        <v/>
      </c>
      <c r="BV142" s="71" t="str">
        <f aca="false">IF($BL142&gt;$BK$7,"",VLOOKUP($BL142,$BN$8:$BT$507,2,FALSE()))</f>
        <v/>
      </c>
      <c r="BW142" s="71" t="str">
        <f aca="false">IF($BL142&gt;$BK$7,"",VLOOKUP($BL142,$BN$8:$BT$507,3,FALSE()))</f>
        <v/>
      </c>
      <c r="BX142" s="71" t="str">
        <f aca="false">IF($BL142&gt;$BK$7,"",VLOOKUP($BL142,$BN$8:$BT$507,4,FALSE()))</f>
        <v/>
      </c>
      <c r="BY142" s="71" t="str">
        <f aca="false">IF($BL142&gt;$BK$7,"",VLOOKUP($BL142,$BN$8:$BT$507,5,FALSE()))</f>
        <v/>
      </c>
      <c r="BZ142" s="72" t="str">
        <f aca="false">IF($BL142&gt;$BK$7,"",VLOOKUP($BL142,$BN$8:$BT$507,6,FALSE()))</f>
        <v/>
      </c>
      <c r="CA142" s="48"/>
    </row>
    <row r="143" customFormat="false" ht="15.75" hidden="false" customHeight="false" outlineLevel="0" collapsed="false">
      <c r="A143" s="5"/>
      <c r="B143" s="114"/>
      <c r="C143" s="115"/>
      <c r="D143" s="100"/>
      <c r="E143" s="120"/>
      <c r="F143" s="125"/>
      <c r="G143" s="82"/>
      <c r="H143" s="126"/>
      <c r="I143" s="127"/>
      <c r="J143" s="82"/>
      <c r="K143" s="126"/>
      <c r="L143" s="82"/>
      <c r="M143" s="126"/>
      <c r="N143" s="82"/>
      <c r="O143" s="126"/>
      <c r="P143" s="82"/>
      <c r="Q143" s="126"/>
      <c r="R143" s="82"/>
      <c r="S143" s="120"/>
      <c r="T143" s="86"/>
      <c r="U143" s="87" t="str">
        <f aca="false">IF(ISBLANK($C143),"",IF(E143=Constants!$B$2, TRUE(), IF(E143=Constants!$B$3, FALSE(), TRUE())))</f>
        <v/>
      </c>
      <c r="V143" s="87" t="str">
        <f aca="false">IF(ISBLANK($C143),"",IF(F143=Constants!$B$2, TRUE(), IF(F143=Constants!$B$3, FALSE(), TRUE())))</f>
        <v/>
      </c>
      <c r="W143" s="87" t="str">
        <f aca="false">IF(ISBLANK($C143),"",IF(G143=Constants!$B$15,Constants!$B$8,IF(G143=Constants!$B$16,Constants!$B$9,Constants!$B$10)))</f>
        <v/>
      </c>
      <c r="X143" s="87" t="str">
        <f aca="false">IF(ISBLANK($C143),"",IF(H143=Constants!$B$2, TRUE(), IF(H143=Constants!$B$3, FALSE(), TRUE())))</f>
        <v/>
      </c>
      <c r="Y143" s="87" t="str">
        <f aca="false">IF(ISBLANK($C143),"",IF(I143=Constants!$B$19,Constants!$B$19,Constants!$B$18))</f>
        <v/>
      </c>
      <c r="Z143" s="87" t="str">
        <f aca="false">IF(ISBLANK($C143),"",IF(ISNUMBER(J143),IF(J143&gt;=0,J143,""),""))</f>
        <v/>
      </c>
      <c r="AA143" s="87" t="str">
        <f aca="false">IF(ISBLANK($C143),"",IF(K143=Constants!$B$19,Constants!$B$19,Constants!$B$18))</f>
        <v/>
      </c>
      <c r="AB143" s="87" t="str">
        <f aca="false">IF(ISBLANK($C143),"",IF(ISNUMBER(L143),IF(L143&gt;=0,L143,""),""))</f>
        <v/>
      </c>
      <c r="AC143" s="87" t="str">
        <f aca="false">IF(ISBLANK($C143),"",IF(M143=Constants!$B$19,Constants!$B$19,Constants!$B$18))</f>
        <v/>
      </c>
      <c r="AD143" s="87" t="str">
        <f aca="false">IF(ISBLANK($C143),"",IF(ISNUMBER(N143),IF(N143&gt;=0,N143,""),""))</f>
        <v/>
      </c>
      <c r="AE143" s="87" t="str">
        <f aca="false">IF(ISBLANK($C143),"",IF(O143=Constants!$B$19,Constants!$B$19,Constants!$B$18))</f>
        <v/>
      </c>
      <c r="AF143" s="87" t="str">
        <f aca="false">IF(ISBLANK($C143),"",IF(ISNUMBER(P143),IF(P143&gt;=0,P143,""),""))</f>
        <v/>
      </c>
      <c r="AG143" s="87" t="str">
        <f aca="false">IF(ISBLANK($C143),"",IF(Q143=Constants!$B$19,Constants!$B$19,Constants!$B$18))</f>
        <v/>
      </c>
      <c r="AH143" s="87" t="str">
        <f aca="false">IF(ISBLANK($C143),"",IF(ISNUMBER(R143),IF(R143&gt;=0,R143,""),""))</f>
        <v/>
      </c>
      <c r="AI143" s="87" t="str">
        <f aca="false">IF(ISBLANK($C143),"",IF(S143=Constants!$B$2, TRUE(), IF(S143=Constants!$B$3, FALSE(), FALSE())))</f>
        <v/>
      </c>
      <c r="AJ143" s="87" t="str">
        <f aca="false">IF(ISBLANK($C143),"",IF(AI143,Constants!$B$4,IF(COUNTA(E143:R143)=0,Constants!$B$5,IF(COUNTA(J143,L143,N143,P143,R143)=0,Constants!$B$6,Constants!$B$7))))</f>
        <v/>
      </c>
      <c r="AK143" s="87" t="str">
        <f aca="false">IF(ISBLANK($C143),"",IF($AJ143&lt;&gt;Constants!$B$7,$AJ143,IF(OR(NOT(X143),AND(NOT(U143),COUNTIFS(Y143:AG143,Constants!$B$18,Z143:AH143,"&gt;=0")&gt;0),AND(NOT(V143),COUNTIFS(Y143:AG143,Constants!$B$19,Z143:AH143,"&gt;=0")&gt;0)),Constants!$B$12,Constants!$B$11)))</f>
        <v/>
      </c>
      <c r="AL143" s="87" t="str">
        <f aca="false">IF($AJ143=Constants!$B$7,IF(Z143="",Constants!$B$13,Z143),"")</f>
        <v/>
      </c>
      <c r="AM143" s="87" t="str">
        <f aca="false">IF($AJ143=Constants!$B$7,IF(AB143="",Constants!$B$13,AB143),"")</f>
        <v/>
      </c>
      <c r="AN143" s="87" t="str">
        <f aca="false">IF($AJ143=Constants!$B$7,IF(AD143="",Constants!$B$13,AD143),"")</f>
        <v/>
      </c>
      <c r="AO143" s="87" t="str">
        <f aca="false">IF($AJ143=Constants!$B$7,IF(AF143="",Constants!$B$13,AF143),"")</f>
        <v/>
      </c>
      <c r="AP143" s="87" t="str">
        <f aca="false">IF($AJ143=Constants!$B$7,IF(AH143="",Constants!$B$13,AH143),"")</f>
        <v/>
      </c>
      <c r="AQ143" s="87" t="str">
        <f aca="false">IF($AJ143=Constants!$B$7,IF(SUMPRODUCT(--($AL143:$AP143&gt;AL143))+SUMPRODUCT(--($AL143:AL143=AL143))=1,1,IF(SUMPRODUCT(--($AL143:$AP143&gt;AM143))+SUMPRODUCT(--($AL143:AM143=AM143))=1,2,IF(SUMPRODUCT(--($AL143:$AP143&gt;AN143))+SUMPRODUCT(--($AL143:AN143=AN143))=1,3,IF(SUMPRODUCT(--($AL143:$AP143&gt;AO143))+SUMPRODUCT(--($AL143:AO143=AO143))=1,4,5)))),"")</f>
        <v/>
      </c>
      <c r="AR143" s="87" t="str">
        <f aca="false">IF($AJ143=Constants!$B$7,IF(SUMPRODUCT(--($AL143:$AP143&gt;AL143))+SUMPRODUCT(--($AL143:AL143=AL143))=2,1,IF(SUMPRODUCT(--($AL143:$AP143&gt;AM143))+SUMPRODUCT(--($AL143:AM143=AM143))=2,2,IF(SUMPRODUCT(--($AL143:$AP143&gt;AN143))+SUMPRODUCT(--($AL143:AN143=AN143))=2,3,IF(SUMPRODUCT(--($AL143:$AP143&gt;AO143))+SUMPRODUCT(--($AL143:AO143=AO143))=2,4,5)))),"")</f>
        <v/>
      </c>
      <c r="AS143" s="87" t="str">
        <f aca="false">IF($AJ143=Constants!$B$7,IF(SUMPRODUCT(--($AL143:$AP143&gt;AL143))+SUMPRODUCT(--($AL143:AL143=AL143))=3,1,IF(SUMPRODUCT(--($AL143:$AP143&gt;AM143))+SUMPRODUCT(--($AL143:AM143=AM143))=3,2,IF(SUMPRODUCT(--($AL143:$AP143&gt;AN143))+SUMPRODUCT(--($AL143:AN143=AN143))=3,3,IF(SUMPRODUCT(--($AL143:$AP143&gt;AO143))+SUMPRODUCT(--($AL143:AO143=AO143))=3,4,5)))),"")</f>
        <v/>
      </c>
      <c r="AT143" s="87" t="str">
        <f aca="false">IF($AJ143=Constants!$B$7,LARGE(AL143:AP143,1)+LARGE(AL143:AP143,2)+LARGE(AL143:AP143,3),"")</f>
        <v/>
      </c>
      <c r="AU143" s="87" t="str">
        <f aca="false">IF(ISBLANK($C143),"",IF($AJ143&lt;&gt;Constants!$B$7,$AJ143,AT143*W143))</f>
        <v/>
      </c>
      <c r="AV143" s="87" t="str">
        <f aca="false">IF(ISBLANK($C143),"",IF($AJ143=Constants!$B$7,IF(ISNUMBER(AU143),RANK(AU143,$AU$8:$AU$507),Constants!$B$14),$AJ143))</f>
        <v/>
      </c>
      <c r="AW143" s="87" t="str">
        <f aca="false">IF(ISBLANK($C143),"",IF($AJ143=Constants!$B$7,IF(ISNUMBER(AV143),COUNTIFS($AK$8:$AK$507,"&lt;"&amp;$AK143)+COUNTIFS($AK$8:$AK$507,$AK143,$AV$8:$AV$507,"&lt;"&amp;$AV143)+1,Constants!$B$14),$AJ143))</f>
        <v/>
      </c>
      <c r="AX143" s="87" t="str">
        <f aca="false">IF(ISBLANK($C143),"",IF($AJ143=Constants!$B$7,LARGE(AL143:AP143,4)*W143,""))</f>
        <v/>
      </c>
      <c r="AY143" s="87" t="str">
        <f aca="false">IF(ISBLANK($C143),"",IF($AJ143=Constants!$B$7,RANK(AX143,$AX$8:$AX$507),$AJ143))</f>
        <v/>
      </c>
      <c r="AZ143" s="87" t="str">
        <f aca="false">IF(ISBLANK($C143),"",IF($AJ143=Constants!$B$7,IF(ISNUMBER(AV143),COUNTIFS($AK$8:$AK$507,"&lt;"&amp;$AK143)+COUNTIFS($AK$8:$AK$507,$AK143,$AV$8:$AV$507,"&lt;"&amp;$AV143)+COUNTIFS($AK$8:$AK$507,$AK143,$AV$8:$AV$507,$AV143,$AY$8:$AY$507,"&lt;"&amp;$AY143)+1,Constants!$B$14),$AJ143))</f>
        <v/>
      </c>
      <c r="BA143" s="87" t="str">
        <f aca="false">IF(ISBLANK($C143),"",IF($AJ143=Constants!$B$7,IF(ISNUMBER(AW143),AW143-AZ143,Constants!$B$14),$AJ143))</f>
        <v/>
      </c>
      <c r="BB143" s="88"/>
      <c r="BC143" s="89" t="str">
        <f aca="false">IF(ISBLANK($C143),"",IF($AJ143&lt;&gt;Constants!$B$7,$AJ143,SMALL(AQ143:AS143,1)&amp;", "&amp;SMALL(AQ143:AS143,2)&amp;", "&amp;SMALL(AQ143:AS143,3)))</f>
        <v/>
      </c>
      <c r="BD143" s="90" t="str">
        <f aca="false">IF(ISBLANK($C143),"",IF($AJ143&lt;&gt;Constants!$B$7,$AJ143,W143))</f>
        <v/>
      </c>
      <c r="BE143" s="91" t="str">
        <f aca="false">IF(ISBLANK($C143),"",IF($AJ143&lt;&gt;Constants!$B$7,$AJ143,AU143))</f>
        <v/>
      </c>
      <c r="BF143" s="92" t="str">
        <f aca="false">IF(ISBLANK($C143),"",IF($AJ143&lt;&gt;Constants!$B$7,$AJ143,AK143))</f>
        <v/>
      </c>
      <c r="BG143" s="90" t="str">
        <f aca="false">IF(ISBLANK($C143),"",BA143)</f>
        <v/>
      </c>
      <c r="BH143" s="90" t="str">
        <f aca="false">IF(ISBLANK($C143),"",AZ143)</f>
        <v/>
      </c>
      <c r="BI143" s="93" t="str">
        <f aca="false">IF(ISBLANK($C143),"",IF(BH143=Constants!$B$4,COUNTA($C$8:$C$507)+2,IF(BH143=Constants!$B$5,COUNTA($C$8:$C$507)+1,IF(BH143=Constants!$B$6,COUNTA($C$8:$C$507),BH143))))</f>
        <v/>
      </c>
      <c r="BJ143" s="5"/>
      <c r="BK143" s="94" t="n">
        <f aca="false">IF(OR(ISNUMBER(BH143),BH143=Constants!$B$4,BH143=Constants!$B$6,BH143=Constants!$B$5),1,0)</f>
        <v>0</v>
      </c>
      <c r="BL143" s="94" t="n">
        <v>136</v>
      </c>
      <c r="BM143" s="94" t="str">
        <f aca="false">IF(ISBLANK($C143),"",IF(ISNUMBER(BI143),BI143+ROW($B143)/1000,""))</f>
        <v/>
      </c>
      <c r="BN143" s="94" t="str">
        <f aca="false">IF(ISNUMBER(BM143),RANK(BM143,$BM$8:$BM$507,1),"")</f>
        <v/>
      </c>
      <c r="BO143" s="94" t="str">
        <f aca="false">IF(ISBLANK($C143),"",$B143)</f>
        <v/>
      </c>
      <c r="BP143" s="94" t="str">
        <f aca="false">IF(ISBLANK($C143),"",$C143)</f>
        <v/>
      </c>
      <c r="BQ143" s="94" t="str">
        <f aca="false">IF(ISBLANK($C143),"",$D143)</f>
        <v/>
      </c>
      <c r="BR143" s="95" t="str">
        <f aca="false">BF143</f>
        <v/>
      </c>
      <c r="BS143" s="96" t="str">
        <f aca="false">BE143</f>
        <v/>
      </c>
      <c r="BT143" s="94" t="str">
        <f aca="false">IF(ISBLANK($C143),"",BH143)</f>
        <v/>
      </c>
      <c r="BU143" s="97" t="str">
        <f aca="false">IF($BL143&gt;$BK$7,"",VLOOKUP($BL143,$BN$8:$BT$507,7,FALSE()))</f>
        <v/>
      </c>
      <c r="BV143" s="98" t="str">
        <f aca="false">IF($BL143&gt;$BK$7,"",VLOOKUP($BL143,$BN$8:$BT$507,2,FALSE()))</f>
        <v/>
      </c>
      <c r="BW143" s="98" t="str">
        <f aca="false">IF($BL143&gt;$BK$7,"",VLOOKUP($BL143,$BN$8:$BT$507,3,FALSE()))</f>
        <v/>
      </c>
      <c r="BX143" s="98" t="str">
        <f aca="false">IF($BL143&gt;$BK$7,"",VLOOKUP($BL143,$BN$8:$BT$507,4,FALSE()))</f>
        <v/>
      </c>
      <c r="BY143" s="98" t="str">
        <f aca="false">IF($BL143&gt;$BK$7,"",VLOOKUP($BL143,$BN$8:$BT$507,5,FALSE()))</f>
        <v/>
      </c>
      <c r="BZ143" s="99" t="str">
        <f aca="false">IF($BL143&gt;$BK$7,"",VLOOKUP($BL143,$BN$8:$BT$507,6,FALSE()))</f>
        <v/>
      </c>
      <c r="CA143" s="48"/>
    </row>
    <row r="144" customFormat="false" ht="15.75" hidden="false" customHeight="false" outlineLevel="0" collapsed="false">
      <c r="A144" s="5"/>
      <c r="B144" s="114"/>
      <c r="C144" s="115"/>
      <c r="D144" s="100"/>
      <c r="E144" s="120"/>
      <c r="F144" s="125"/>
      <c r="G144" s="82"/>
      <c r="H144" s="126"/>
      <c r="I144" s="127"/>
      <c r="J144" s="82"/>
      <c r="K144" s="126"/>
      <c r="L144" s="82"/>
      <c r="M144" s="126"/>
      <c r="N144" s="82"/>
      <c r="O144" s="126"/>
      <c r="P144" s="82"/>
      <c r="Q144" s="126"/>
      <c r="R144" s="82"/>
      <c r="S144" s="120"/>
      <c r="T144" s="86"/>
      <c r="U144" s="87" t="str">
        <f aca="false">IF(ISBLANK($C144),"",IF(E144=Constants!$B$2, TRUE(), IF(E144=Constants!$B$3, FALSE(), TRUE())))</f>
        <v/>
      </c>
      <c r="V144" s="87" t="str">
        <f aca="false">IF(ISBLANK($C144),"",IF(F144=Constants!$B$2, TRUE(), IF(F144=Constants!$B$3, FALSE(), TRUE())))</f>
        <v/>
      </c>
      <c r="W144" s="87" t="str">
        <f aca="false">IF(ISBLANK($C144),"",IF(G144=Constants!$B$15,Constants!$B$8,IF(G144=Constants!$B$16,Constants!$B$9,Constants!$B$10)))</f>
        <v/>
      </c>
      <c r="X144" s="87" t="str">
        <f aca="false">IF(ISBLANK($C144),"",IF(H144=Constants!$B$2, TRUE(), IF(H144=Constants!$B$3, FALSE(), TRUE())))</f>
        <v/>
      </c>
      <c r="Y144" s="87" t="str">
        <f aca="false">IF(ISBLANK($C144),"",IF(I144=Constants!$B$19,Constants!$B$19,Constants!$B$18))</f>
        <v/>
      </c>
      <c r="Z144" s="87" t="str">
        <f aca="false">IF(ISBLANK($C144),"",IF(ISNUMBER(J144),IF(J144&gt;=0,J144,""),""))</f>
        <v/>
      </c>
      <c r="AA144" s="87" t="str">
        <f aca="false">IF(ISBLANK($C144),"",IF(K144=Constants!$B$19,Constants!$B$19,Constants!$B$18))</f>
        <v/>
      </c>
      <c r="AB144" s="87" t="str">
        <f aca="false">IF(ISBLANK($C144),"",IF(ISNUMBER(L144),IF(L144&gt;=0,L144,""),""))</f>
        <v/>
      </c>
      <c r="AC144" s="87" t="str">
        <f aca="false">IF(ISBLANK($C144),"",IF(M144=Constants!$B$19,Constants!$B$19,Constants!$B$18))</f>
        <v/>
      </c>
      <c r="AD144" s="87" t="str">
        <f aca="false">IF(ISBLANK($C144),"",IF(ISNUMBER(N144),IF(N144&gt;=0,N144,""),""))</f>
        <v/>
      </c>
      <c r="AE144" s="87" t="str">
        <f aca="false">IF(ISBLANK($C144),"",IF(O144=Constants!$B$19,Constants!$B$19,Constants!$B$18))</f>
        <v/>
      </c>
      <c r="AF144" s="87" t="str">
        <f aca="false">IF(ISBLANK($C144),"",IF(ISNUMBER(P144),IF(P144&gt;=0,P144,""),""))</f>
        <v/>
      </c>
      <c r="AG144" s="87" t="str">
        <f aca="false">IF(ISBLANK($C144),"",IF(Q144=Constants!$B$19,Constants!$B$19,Constants!$B$18))</f>
        <v/>
      </c>
      <c r="AH144" s="87" t="str">
        <f aca="false">IF(ISBLANK($C144),"",IF(ISNUMBER(R144),IF(R144&gt;=0,R144,""),""))</f>
        <v/>
      </c>
      <c r="AI144" s="87" t="str">
        <f aca="false">IF(ISBLANK($C144),"",IF(S144=Constants!$B$2, TRUE(), IF(S144=Constants!$B$3, FALSE(), FALSE())))</f>
        <v/>
      </c>
      <c r="AJ144" s="87" t="str">
        <f aca="false">IF(ISBLANK($C144),"",IF(AI144,Constants!$B$4,IF(COUNTA(E144:R144)=0,Constants!$B$5,IF(COUNTA(J144,L144,N144,P144,R144)=0,Constants!$B$6,Constants!$B$7))))</f>
        <v/>
      </c>
      <c r="AK144" s="87" t="str">
        <f aca="false">IF(ISBLANK($C144),"",IF($AJ144&lt;&gt;Constants!$B$7,$AJ144,IF(OR(NOT(X144),AND(NOT(U144),COUNTIFS(Y144:AG144,Constants!$B$18,Z144:AH144,"&gt;=0")&gt;0),AND(NOT(V144),COUNTIFS(Y144:AG144,Constants!$B$19,Z144:AH144,"&gt;=0")&gt;0)),Constants!$B$12,Constants!$B$11)))</f>
        <v/>
      </c>
      <c r="AL144" s="87" t="str">
        <f aca="false">IF($AJ144=Constants!$B$7,IF(Z144="",Constants!$B$13,Z144),"")</f>
        <v/>
      </c>
      <c r="AM144" s="87" t="str">
        <f aca="false">IF($AJ144=Constants!$B$7,IF(AB144="",Constants!$B$13,AB144),"")</f>
        <v/>
      </c>
      <c r="AN144" s="87" t="str">
        <f aca="false">IF($AJ144=Constants!$B$7,IF(AD144="",Constants!$B$13,AD144),"")</f>
        <v/>
      </c>
      <c r="AO144" s="87" t="str">
        <f aca="false">IF($AJ144=Constants!$B$7,IF(AF144="",Constants!$B$13,AF144),"")</f>
        <v/>
      </c>
      <c r="AP144" s="87" t="str">
        <f aca="false">IF($AJ144=Constants!$B$7,IF(AH144="",Constants!$B$13,AH144),"")</f>
        <v/>
      </c>
      <c r="AQ144" s="87" t="str">
        <f aca="false">IF($AJ144=Constants!$B$7,IF(SUMPRODUCT(--($AL144:$AP144&gt;AL144))+SUMPRODUCT(--($AL144:AL144=AL144))=1,1,IF(SUMPRODUCT(--($AL144:$AP144&gt;AM144))+SUMPRODUCT(--($AL144:AM144=AM144))=1,2,IF(SUMPRODUCT(--($AL144:$AP144&gt;AN144))+SUMPRODUCT(--($AL144:AN144=AN144))=1,3,IF(SUMPRODUCT(--($AL144:$AP144&gt;AO144))+SUMPRODUCT(--($AL144:AO144=AO144))=1,4,5)))),"")</f>
        <v/>
      </c>
      <c r="AR144" s="87" t="str">
        <f aca="false">IF($AJ144=Constants!$B$7,IF(SUMPRODUCT(--($AL144:$AP144&gt;AL144))+SUMPRODUCT(--($AL144:AL144=AL144))=2,1,IF(SUMPRODUCT(--($AL144:$AP144&gt;AM144))+SUMPRODUCT(--($AL144:AM144=AM144))=2,2,IF(SUMPRODUCT(--($AL144:$AP144&gt;AN144))+SUMPRODUCT(--($AL144:AN144=AN144))=2,3,IF(SUMPRODUCT(--($AL144:$AP144&gt;AO144))+SUMPRODUCT(--($AL144:AO144=AO144))=2,4,5)))),"")</f>
        <v/>
      </c>
      <c r="AS144" s="87" t="str">
        <f aca="false">IF($AJ144=Constants!$B$7,IF(SUMPRODUCT(--($AL144:$AP144&gt;AL144))+SUMPRODUCT(--($AL144:AL144=AL144))=3,1,IF(SUMPRODUCT(--($AL144:$AP144&gt;AM144))+SUMPRODUCT(--($AL144:AM144=AM144))=3,2,IF(SUMPRODUCT(--($AL144:$AP144&gt;AN144))+SUMPRODUCT(--($AL144:AN144=AN144))=3,3,IF(SUMPRODUCT(--($AL144:$AP144&gt;AO144))+SUMPRODUCT(--($AL144:AO144=AO144))=3,4,5)))),"")</f>
        <v/>
      </c>
      <c r="AT144" s="87" t="str">
        <f aca="false">IF($AJ144=Constants!$B$7,LARGE(AL144:AP144,1)+LARGE(AL144:AP144,2)+LARGE(AL144:AP144,3),"")</f>
        <v/>
      </c>
      <c r="AU144" s="87" t="str">
        <f aca="false">IF(ISBLANK($C144),"",IF($AJ144&lt;&gt;Constants!$B$7,$AJ144,AT144*W144))</f>
        <v/>
      </c>
      <c r="AV144" s="87" t="str">
        <f aca="false">IF(ISBLANK($C144),"",IF($AJ144=Constants!$B$7,IF(ISNUMBER(AU144),RANK(AU144,$AU$8:$AU$507),Constants!$B$14),$AJ144))</f>
        <v/>
      </c>
      <c r="AW144" s="87" t="str">
        <f aca="false">IF(ISBLANK($C144),"",IF($AJ144=Constants!$B$7,IF(ISNUMBER(AV144),COUNTIFS($AK$8:$AK$507,"&lt;"&amp;$AK144)+COUNTIFS($AK$8:$AK$507,$AK144,$AV$8:$AV$507,"&lt;"&amp;$AV144)+1,Constants!$B$14),$AJ144))</f>
        <v/>
      </c>
      <c r="AX144" s="87" t="str">
        <f aca="false">IF(ISBLANK($C144),"",IF($AJ144=Constants!$B$7,LARGE(AL144:AP144,4)*W144,""))</f>
        <v/>
      </c>
      <c r="AY144" s="87" t="str">
        <f aca="false">IF(ISBLANK($C144),"",IF($AJ144=Constants!$B$7,RANK(AX144,$AX$8:$AX$507),$AJ144))</f>
        <v/>
      </c>
      <c r="AZ144" s="87" t="str">
        <f aca="false">IF(ISBLANK($C144),"",IF($AJ144=Constants!$B$7,IF(ISNUMBER(AV144),COUNTIFS($AK$8:$AK$507,"&lt;"&amp;$AK144)+COUNTIFS($AK$8:$AK$507,$AK144,$AV$8:$AV$507,"&lt;"&amp;$AV144)+COUNTIFS($AK$8:$AK$507,$AK144,$AV$8:$AV$507,$AV144,$AY$8:$AY$507,"&lt;"&amp;$AY144)+1,Constants!$B$14),$AJ144))</f>
        <v/>
      </c>
      <c r="BA144" s="87" t="str">
        <f aca="false">IF(ISBLANK($C144),"",IF($AJ144=Constants!$B$7,IF(ISNUMBER(AW144),AW144-AZ144,Constants!$B$14),$AJ144))</f>
        <v/>
      </c>
      <c r="BB144" s="88"/>
      <c r="BC144" s="89" t="str">
        <f aca="false">IF(ISBLANK($C144),"",IF($AJ144&lt;&gt;Constants!$B$7,$AJ144,SMALL(AQ144:AS144,1)&amp;", "&amp;SMALL(AQ144:AS144,2)&amp;", "&amp;SMALL(AQ144:AS144,3)))</f>
        <v/>
      </c>
      <c r="BD144" s="90" t="str">
        <f aca="false">IF(ISBLANK($C144),"",IF($AJ144&lt;&gt;Constants!$B$7,$AJ144,W144))</f>
        <v/>
      </c>
      <c r="BE144" s="91" t="str">
        <f aca="false">IF(ISBLANK($C144),"",IF($AJ144&lt;&gt;Constants!$B$7,$AJ144,AU144))</f>
        <v/>
      </c>
      <c r="BF144" s="92" t="str">
        <f aca="false">IF(ISBLANK($C144),"",IF($AJ144&lt;&gt;Constants!$B$7,$AJ144,AK144))</f>
        <v/>
      </c>
      <c r="BG144" s="90" t="str">
        <f aca="false">IF(ISBLANK($C144),"",BA144)</f>
        <v/>
      </c>
      <c r="BH144" s="90" t="str">
        <f aca="false">IF(ISBLANK($C144),"",AZ144)</f>
        <v/>
      </c>
      <c r="BI144" s="93" t="str">
        <f aca="false">IF(ISBLANK($C144),"",IF(BH144=Constants!$B$4,COUNTA($C$8:$C$507)+2,IF(BH144=Constants!$B$5,COUNTA($C$8:$C$507)+1,IF(BH144=Constants!$B$6,COUNTA($C$8:$C$507),BH144))))</f>
        <v/>
      </c>
      <c r="BJ144" s="5"/>
      <c r="BK144" s="94" t="n">
        <f aca="false">IF(OR(ISNUMBER(BH144),BH144=Constants!$B$4,BH144=Constants!$B$6,BH144=Constants!$B$5),1,0)</f>
        <v>0</v>
      </c>
      <c r="BL144" s="94" t="n">
        <v>137</v>
      </c>
      <c r="BM144" s="94" t="str">
        <f aca="false">IF(ISBLANK($C144),"",IF(ISNUMBER(BI144),BI144+ROW($B144)/1000,""))</f>
        <v/>
      </c>
      <c r="BN144" s="94" t="str">
        <f aca="false">IF(ISNUMBER(BM144),RANK(BM144,$BM$8:$BM$507,1),"")</f>
        <v/>
      </c>
      <c r="BO144" s="94" t="str">
        <f aca="false">IF(ISBLANK($C144),"",$B144)</f>
        <v/>
      </c>
      <c r="BP144" s="94" t="str">
        <f aca="false">IF(ISBLANK($C144),"",$C144)</f>
        <v/>
      </c>
      <c r="BQ144" s="94" t="str">
        <f aca="false">IF(ISBLANK($C144),"",$D144)</f>
        <v/>
      </c>
      <c r="BR144" s="95" t="str">
        <f aca="false">BF144</f>
        <v/>
      </c>
      <c r="BS144" s="96" t="str">
        <f aca="false">BE144</f>
        <v/>
      </c>
      <c r="BT144" s="94" t="str">
        <f aca="false">IF(ISBLANK($C144),"",BH144)</f>
        <v/>
      </c>
      <c r="BU144" s="97" t="str">
        <f aca="false">IF($BL144&gt;$BK$7,"",VLOOKUP($BL144,$BN$8:$BT$507,7,FALSE()))</f>
        <v/>
      </c>
      <c r="BV144" s="98" t="str">
        <f aca="false">IF($BL144&gt;$BK$7,"",VLOOKUP($BL144,$BN$8:$BT$507,2,FALSE()))</f>
        <v/>
      </c>
      <c r="BW144" s="98" t="str">
        <f aca="false">IF($BL144&gt;$BK$7,"",VLOOKUP($BL144,$BN$8:$BT$507,3,FALSE()))</f>
        <v/>
      </c>
      <c r="BX144" s="98" t="str">
        <f aca="false">IF($BL144&gt;$BK$7,"",VLOOKUP($BL144,$BN$8:$BT$507,4,FALSE()))</f>
        <v/>
      </c>
      <c r="BY144" s="98" t="str">
        <f aca="false">IF($BL144&gt;$BK$7,"",VLOOKUP($BL144,$BN$8:$BT$507,5,FALSE()))</f>
        <v/>
      </c>
      <c r="BZ144" s="99" t="str">
        <f aca="false">IF($BL144&gt;$BK$7,"",VLOOKUP($BL144,$BN$8:$BT$507,6,FALSE()))</f>
        <v/>
      </c>
      <c r="CA144" s="48"/>
    </row>
    <row r="145" customFormat="false" ht="15.75" hidden="false" customHeight="false" outlineLevel="0" collapsed="false">
      <c r="A145" s="5"/>
      <c r="B145" s="114"/>
      <c r="C145" s="115"/>
      <c r="D145" s="100"/>
      <c r="E145" s="120"/>
      <c r="F145" s="125"/>
      <c r="G145" s="82"/>
      <c r="H145" s="126"/>
      <c r="I145" s="127"/>
      <c r="J145" s="82"/>
      <c r="K145" s="126"/>
      <c r="L145" s="82"/>
      <c r="M145" s="126"/>
      <c r="N145" s="82"/>
      <c r="O145" s="126"/>
      <c r="P145" s="82"/>
      <c r="Q145" s="126"/>
      <c r="R145" s="82"/>
      <c r="S145" s="120"/>
      <c r="T145" s="86"/>
      <c r="U145" s="87" t="str">
        <f aca="false">IF(ISBLANK($C145),"",IF(E145=Constants!$B$2, TRUE(), IF(E145=Constants!$B$3, FALSE(), TRUE())))</f>
        <v/>
      </c>
      <c r="V145" s="87" t="str">
        <f aca="false">IF(ISBLANK($C145),"",IF(F145=Constants!$B$2, TRUE(), IF(F145=Constants!$B$3, FALSE(), TRUE())))</f>
        <v/>
      </c>
      <c r="W145" s="87" t="str">
        <f aca="false">IF(ISBLANK($C145),"",IF(G145=Constants!$B$15,Constants!$B$8,IF(G145=Constants!$B$16,Constants!$B$9,Constants!$B$10)))</f>
        <v/>
      </c>
      <c r="X145" s="87" t="str">
        <f aca="false">IF(ISBLANK($C145),"",IF(H145=Constants!$B$2, TRUE(), IF(H145=Constants!$B$3, FALSE(), TRUE())))</f>
        <v/>
      </c>
      <c r="Y145" s="87" t="str">
        <f aca="false">IF(ISBLANK($C145),"",IF(I145=Constants!$B$19,Constants!$B$19,Constants!$B$18))</f>
        <v/>
      </c>
      <c r="Z145" s="87" t="str">
        <f aca="false">IF(ISBLANK($C145),"",IF(ISNUMBER(J145),IF(J145&gt;=0,J145,""),""))</f>
        <v/>
      </c>
      <c r="AA145" s="87" t="str">
        <f aca="false">IF(ISBLANK($C145),"",IF(K145=Constants!$B$19,Constants!$B$19,Constants!$B$18))</f>
        <v/>
      </c>
      <c r="AB145" s="87" t="str">
        <f aca="false">IF(ISBLANK($C145),"",IF(ISNUMBER(L145),IF(L145&gt;=0,L145,""),""))</f>
        <v/>
      </c>
      <c r="AC145" s="87" t="str">
        <f aca="false">IF(ISBLANK($C145),"",IF(M145=Constants!$B$19,Constants!$B$19,Constants!$B$18))</f>
        <v/>
      </c>
      <c r="AD145" s="87" t="str">
        <f aca="false">IF(ISBLANK($C145),"",IF(ISNUMBER(N145),IF(N145&gt;=0,N145,""),""))</f>
        <v/>
      </c>
      <c r="AE145" s="87" t="str">
        <f aca="false">IF(ISBLANK($C145),"",IF(O145=Constants!$B$19,Constants!$B$19,Constants!$B$18))</f>
        <v/>
      </c>
      <c r="AF145" s="87" t="str">
        <f aca="false">IF(ISBLANK($C145),"",IF(ISNUMBER(P145),IF(P145&gt;=0,P145,""),""))</f>
        <v/>
      </c>
      <c r="AG145" s="87" t="str">
        <f aca="false">IF(ISBLANK($C145),"",IF(Q145=Constants!$B$19,Constants!$B$19,Constants!$B$18))</f>
        <v/>
      </c>
      <c r="AH145" s="87" t="str">
        <f aca="false">IF(ISBLANK($C145),"",IF(ISNUMBER(R145),IF(R145&gt;=0,R145,""),""))</f>
        <v/>
      </c>
      <c r="AI145" s="87" t="str">
        <f aca="false">IF(ISBLANK($C145),"",IF(S145=Constants!$B$2, TRUE(), IF(S145=Constants!$B$3, FALSE(), FALSE())))</f>
        <v/>
      </c>
      <c r="AJ145" s="87" t="str">
        <f aca="false">IF(ISBLANK($C145),"",IF(AI145,Constants!$B$4,IF(COUNTA(E145:R145)=0,Constants!$B$5,IF(COUNTA(J145,L145,N145,P145,R145)=0,Constants!$B$6,Constants!$B$7))))</f>
        <v/>
      </c>
      <c r="AK145" s="87" t="str">
        <f aca="false">IF(ISBLANK($C145),"",IF($AJ145&lt;&gt;Constants!$B$7,$AJ145,IF(OR(NOT(X145),AND(NOT(U145),COUNTIFS(Y145:AG145,Constants!$B$18,Z145:AH145,"&gt;=0")&gt;0),AND(NOT(V145),COUNTIFS(Y145:AG145,Constants!$B$19,Z145:AH145,"&gt;=0")&gt;0)),Constants!$B$12,Constants!$B$11)))</f>
        <v/>
      </c>
      <c r="AL145" s="87" t="str">
        <f aca="false">IF($AJ145=Constants!$B$7,IF(Z145="",Constants!$B$13,Z145),"")</f>
        <v/>
      </c>
      <c r="AM145" s="87" t="str">
        <f aca="false">IF($AJ145=Constants!$B$7,IF(AB145="",Constants!$B$13,AB145),"")</f>
        <v/>
      </c>
      <c r="AN145" s="87" t="str">
        <f aca="false">IF($AJ145=Constants!$B$7,IF(AD145="",Constants!$B$13,AD145),"")</f>
        <v/>
      </c>
      <c r="AO145" s="87" t="str">
        <f aca="false">IF($AJ145=Constants!$B$7,IF(AF145="",Constants!$B$13,AF145),"")</f>
        <v/>
      </c>
      <c r="AP145" s="87" t="str">
        <f aca="false">IF($AJ145=Constants!$B$7,IF(AH145="",Constants!$B$13,AH145),"")</f>
        <v/>
      </c>
      <c r="AQ145" s="87" t="str">
        <f aca="false">IF($AJ145=Constants!$B$7,IF(SUMPRODUCT(--($AL145:$AP145&gt;AL145))+SUMPRODUCT(--($AL145:AL145=AL145))=1,1,IF(SUMPRODUCT(--($AL145:$AP145&gt;AM145))+SUMPRODUCT(--($AL145:AM145=AM145))=1,2,IF(SUMPRODUCT(--($AL145:$AP145&gt;AN145))+SUMPRODUCT(--($AL145:AN145=AN145))=1,3,IF(SUMPRODUCT(--($AL145:$AP145&gt;AO145))+SUMPRODUCT(--($AL145:AO145=AO145))=1,4,5)))),"")</f>
        <v/>
      </c>
      <c r="AR145" s="87" t="str">
        <f aca="false">IF($AJ145=Constants!$B$7,IF(SUMPRODUCT(--($AL145:$AP145&gt;AL145))+SUMPRODUCT(--($AL145:AL145=AL145))=2,1,IF(SUMPRODUCT(--($AL145:$AP145&gt;AM145))+SUMPRODUCT(--($AL145:AM145=AM145))=2,2,IF(SUMPRODUCT(--($AL145:$AP145&gt;AN145))+SUMPRODUCT(--($AL145:AN145=AN145))=2,3,IF(SUMPRODUCT(--($AL145:$AP145&gt;AO145))+SUMPRODUCT(--($AL145:AO145=AO145))=2,4,5)))),"")</f>
        <v/>
      </c>
      <c r="AS145" s="87" t="str">
        <f aca="false">IF($AJ145=Constants!$B$7,IF(SUMPRODUCT(--($AL145:$AP145&gt;AL145))+SUMPRODUCT(--($AL145:AL145=AL145))=3,1,IF(SUMPRODUCT(--($AL145:$AP145&gt;AM145))+SUMPRODUCT(--($AL145:AM145=AM145))=3,2,IF(SUMPRODUCT(--($AL145:$AP145&gt;AN145))+SUMPRODUCT(--($AL145:AN145=AN145))=3,3,IF(SUMPRODUCT(--($AL145:$AP145&gt;AO145))+SUMPRODUCT(--($AL145:AO145=AO145))=3,4,5)))),"")</f>
        <v/>
      </c>
      <c r="AT145" s="87" t="str">
        <f aca="false">IF($AJ145=Constants!$B$7,LARGE(AL145:AP145,1)+LARGE(AL145:AP145,2)+LARGE(AL145:AP145,3),"")</f>
        <v/>
      </c>
      <c r="AU145" s="87" t="str">
        <f aca="false">IF(ISBLANK($C145),"",IF($AJ145&lt;&gt;Constants!$B$7,$AJ145,AT145*W145))</f>
        <v/>
      </c>
      <c r="AV145" s="87" t="str">
        <f aca="false">IF(ISBLANK($C145),"",IF($AJ145=Constants!$B$7,IF(ISNUMBER(AU145),RANK(AU145,$AU$8:$AU$507),Constants!$B$14),$AJ145))</f>
        <v/>
      </c>
      <c r="AW145" s="87" t="str">
        <f aca="false">IF(ISBLANK($C145),"",IF($AJ145=Constants!$B$7,IF(ISNUMBER(AV145),COUNTIFS($AK$8:$AK$507,"&lt;"&amp;$AK145)+COUNTIFS($AK$8:$AK$507,$AK145,$AV$8:$AV$507,"&lt;"&amp;$AV145)+1,Constants!$B$14),$AJ145))</f>
        <v/>
      </c>
      <c r="AX145" s="87" t="str">
        <f aca="false">IF(ISBLANK($C145),"",IF($AJ145=Constants!$B$7,LARGE(AL145:AP145,4)*W145,""))</f>
        <v/>
      </c>
      <c r="AY145" s="87" t="str">
        <f aca="false">IF(ISBLANK($C145),"",IF($AJ145=Constants!$B$7,RANK(AX145,$AX$8:$AX$507),$AJ145))</f>
        <v/>
      </c>
      <c r="AZ145" s="87" t="str">
        <f aca="false">IF(ISBLANK($C145),"",IF($AJ145=Constants!$B$7,IF(ISNUMBER(AV145),COUNTIFS($AK$8:$AK$507,"&lt;"&amp;$AK145)+COUNTIFS($AK$8:$AK$507,$AK145,$AV$8:$AV$507,"&lt;"&amp;$AV145)+COUNTIFS($AK$8:$AK$507,$AK145,$AV$8:$AV$507,$AV145,$AY$8:$AY$507,"&lt;"&amp;$AY145)+1,Constants!$B$14),$AJ145))</f>
        <v/>
      </c>
      <c r="BA145" s="87" t="str">
        <f aca="false">IF(ISBLANK($C145),"",IF($AJ145=Constants!$B$7,IF(ISNUMBER(AW145),AW145-AZ145,Constants!$B$14),$AJ145))</f>
        <v/>
      </c>
      <c r="BB145" s="88"/>
      <c r="BC145" s="89" t="str">
        <f aca="false">IF(ISBLANK($C145),"",IF($AJ145&lt;&gt;Constants!$B$7,$AJ145,SMALL(AQ145:AS145,1)&amp;", "&amp;SMALL(AQ145:AS145,2)&amp;", "&amp;SMALL(AQ145:AS145,3)))</f>
        <v/>
      </c>
      <c r="BD145" s="90" t="str">
        <f aca="false">IF(ISBLANK($C145),"",IF($AJ145&lt;&gt;Constants!$B$7,$AJ145,W145))</f>
        <v/>
      </c>
      <c r="BE145" s="91" t="str">
        <f aca="false">IF(ISBLANK($C145),"",IF($AJ145&lt;&gt;Constants!$B$7,$AJ145,AU145))</f>
        <v/>
      </c>
      <c r="BF145" s="92" t="str">
        <f aca="false">IF(ISBLANK($C145),"",IF($AJ145&lt;&gt;Constants!$B$7,$AJ145,AK145))</f>
        <v/>
      </c>
      <c r="BG145" s="90" t="str">
        <f aca="false">IF(ISBLANK($C145),"",BA145)</f>
        <v/>
      </c>
      <c r="BH145" s="90" t="str">
        <f aca="false">IF(ISBLANK($C145),"",AZ145)</f>
        <v/>
      </c>
      <c r="BI145" s="93" t="str">
        <f aca="false">IF(ISBLANK($C145),"",IF(BH145=Constants!$B$4,COUNTA($C$8:$C$507)+2,IF(BH145=Constants!$B$5,COUNTA($C$8:$C$507)+1,IF(BH145=Constants!$B$6,COUNTA($C$8:$C$507),BH145))))</f>
        <v/>
      </c>
      <c r="BJ145" s="5"/>
      <c r="BK145" s="94" t="n">
        <f aca="false">IF(OR(ISNUMBER(BH145),BH145=Constants!$B$4,BH145=Constants!$B$6,BH145=Constants!$B$5),1,0)</f>
        <v>0</v>
      </c>
      <c r="BL145" s="94" t="n">
        <v>138</v>
      </c>
      <c r="BM145" s="94" t="str">
        <f aca="false">IF(ISBLANK($C145),"",IF(ISNUMBER(BI145),BI145+ROW($B145)/1000,""))</f>
        <v/>
      </c>
      <c r="BN145" s="94" t="str">
        <f aca="false">IF(ISNUMBER(BM145),RANK(BM145,$BM$8:$BM$507,1),"")</f>
        <v/>
      </c>
      <c r="BO145" s="94" t="str">
        <f aca="false">IF(ISBLANK($C145),"",$B145)</f>
        <v/>
      </c>
      <c r="BP145" s="94" t="str">
        <f aca="false">IF(ISBLANK($C145),"",$C145)</f>
        <v/>
      </c>
      <c r="BQ145" s="94" t="str">
        <f aca="false">IF(ISBLANK($C145),"",$D145)</f>
        <v/>
      </c>
      <c r="BR145" s="95" t="str">
        <f aca="false">BF145</f>
        <v/>
      </c>
      <c r="BS145" s="96" t="str">
        <f aca="false">BE145</f>
        <v/>
      </c>
      <c r="BT145" s="94" t="str">
        <f aca="false">IF(ISBLANK($C145),"",BH145)</f>
        <v/>
      </c>
      <c r="BU145" s="97" t="str">
        <f aca="false">IF($BL145&gt;$BK$7,"",VLOOKUP($BL145,$BN$8:$BT$507,7,FALSE()))</f>
        <v/>
      </c>
      <c r="BV145" s="98" t="str">
        <f aca="false">IF($BL145&gt;$BK$7,"",VLOOKUP($BL145,$BN$8:$BT$507,2,FALSE()))</f>
        <v/>
      </c>
      <c r="BW145" s="98" t="str">
        <f aca="false">IF($BL145&gt;$BK$7,"",VLOOKUP($BL145,$BN$8:$BT$507,3,FALSE()))</f>
        <v/>
      </c>
      <c r="BX145" s="98" t="str">
        <f aca="false">IF($BL145&gt;$BK$7,"",VLOOKUP($BL145,$BN$8:$BT$507,4,FALSE()))</f>
        <v/>
      </c>
      <c r="BY145" s="98" t="str">
        <f aca="false">IF($BL145&gt;$BK$7,"",VLOOKUP($BL145,$BN$8:$BT$507,5,FALSE()))</f>
        <v/>
      </c>
      <c r="BZ145" s="99" t="str">
        <f aca="false">IF($BL145&gt;$BK$7,"",VLOOKUP($BL145,$BN$8:$BT$507,6,FALSE()))</f>
        <v/>
      </c>
      <c r="CA145" s="48"/>
    </row>
    <row r="146" customFormat="false" ht="15.75" hidden="false" customHeight="false" outlineLevel="0" collapsed="false">
      <c r="A146" s="5"/>
      <c r="B146" s="121"/>
      <c r="C146" s="50"/>
      <c r="D146" s="51"/>
      <c r="E146" s="74"/>
      <c r="F146" s="122"/>
      <c r="G146" s="54"/>
      <c r="H146" s="123"/>
      <c r="I146" s="124"/>
      <c r="J146" s="54"/>
      <c r="K146" s="123"/>
      <c r="L146" s="54"/>
      <c r="M146" s="123"/>
      <c r="N146" s="54"/>
      <c r="O146" s="123"/>
      <c r="P146" s="54"/>
      <c r="Q146" s="123"/>
      <c r="R146" s="54"/>
      <c r="S146" s="74"/>
      <c r="T146" s="58"/>
      <c r="U146" s="59" t="str">
        <f aca="false">IF(ISBLANK($C146),"",IF(E146=Constants!$B$2, TRUE(), IF(E146=Constants!$B$3, FALSE(), TRUE())))</f>
        <v/>
      </c>
      <c r="V146" s="59" t="str">
        <f aca="false">IF(ISBLANK($C146),"",IF(F146=Constants!$B$2, TRUE(), IF(F146=Constants!$B$3, FALSE(), TRUE())))</f>
        <v/>
      </c>
      <c r="W146" s="59" t="str">
        <f aca="false">IF(ISBLANK($C146),"",IF(G146=Constants!$B$15,Constants!$B$8,IF(G146=Constants!$B$16,Constants!$B$9,Constants!$B$10)))</f>
        <v/>
      </c>
      <c r="X146" s="59" t="str">
        <f aca="false">IF(ISBLANK($C146),"",IF(H146=Constants!$B$2, TRUE(), IF(H146=Constants!$B$3, FALSE(), TRUE())))</f>
        <v/>
      </c>
      <c r="Y146" s="59" t="str">
        <f aca="false">IF(ISBLANK($C146),"",IF(I146=Constants!$B$19,Constants!$B$19,Constants!$B$18))</f>
        <v/>
      </c>
      <c r="Z146" s="59" t="str">
        <f aca="false">IF(ISBLANK($C146),"",IF(ISNUMBER(J146),IF(J146&gt;=0,J146,""),""))</f>
        <v/>
      </c>
      <c r="AA146" s="59" t="str">
        <f aca="false">IF(ISBLANK($C146),"",IF(K146=Constants!$B$19,Constants!$B$19,Constants!$B$18))</f>
        <v/>
      </c>
      <c r="AB146" s="59" t="str">
        <f aca="false">IF(ISBLANK($C146),"",IF(ISNUMBER(L146),IF(L146&gt;=0,L146,""),""))</f>
        <v/>
      </c>
      <c r="AC146" s="59" t="str">
        <f aca="false">IF(ISBLANK($C146),"",IF(M146=Constants!$B$19,Constants!$B$19,Constants!$B$18))</f>
        <v/>
      </c>
      <c r="AD146" s="59" t="str">
        <f aca="false">IF(ISBLANK($C146),"",IF(ISNUMBER(N146),IF(N146&gt;=0,N146,""),""))</f>
        <v/>
      </c>
      <c r="AE146" s="59" t="str">
        <f aca="false">IF(ISBLANK($C146),"",IF(O146=Constants!$B$19,Constants!$B$19,Constants!$B$18))</f>
        <v/>
      </c>
      <c r="AF146" s="59" t="str">
        <f aca="false">IF(ISBLANK($C146),"",IF(ISNUMBER(P146),IF(P146&gt;=0,P146,""),""))</f>
        <v/>
      </c>
      <c r="AG146" s="59" t="str">
        <f aca="false">IF(ISBLANK($C146),"",IF(Q146=Constants!$B$19,Constants!$B$19,Constants!$B$18))</f>
        <v/>
      </c>
      <c r="AH146" s="59" t="str">
        <f aca="false">IF(ISBLANK($C146),"",IF(ISNUMBER(R146),IF(R146&gt;=0,R146,""),""))</f>
        <v/>
      </c>
      <c r="AI146" s="59" t="str">
        <f aca="false">IF(ISBLANK($C146),"",IF(S146=Constants!$B$2, TRUE(), IF(S146=Constants!$B$3, FALSE(), FALSE())))</f>
        <v/>
      </c>
      <c r="AJ146" s="59" t="str">
        <f aca="false">IF(ISBLANK($C146),"",IF(AI146,Constants!$B$4,IF(COUNTA(E146:R146)=0,Constants!$B$5,IF(COUNTA(J146,L146,N146,P146,R146)=0,Constants!$B$6,Constants!$B$7))))</f>
        <v/>
      </c>
      <c r="AK146" s="59" t="str">
        <f aca="false">IF(ISBLANK($C146),"",IF($AJ146&lt;&gt;Constants!$B$7,$AJ146,IF(OR(NOT(X146),AND(NOT(U146),COUNTIFS(Y146:AG146,Constants!$B$18,Z146:AH146,"&gt;=0")&gt;0),AND(NOT(V146),COUNTIFS(Y146:AG146,Constants!$B$19,Z146:AH146,"&gt;=0")&gt;0)),Constants!$B$12,Constants!$B$11)))</f>
        <v/>
      </c>
      <c r="AL146" s="59" t="str">
        <f aca="false">IF($AJ146=Constants!$B$7,IF(Z146="",Constants!$B$13,Z146),"")</f>
        <v/>
      </c>
      <c r="AM146" s="59" t="str">
        <f aca="false">IF($AJ146=Constants!$B$7,IF(AB146="",Constants!$B$13,AB146),"")</f>
        <v/>
      </c>
      <c r="AN146" s="59" t="str">
        <f aca="false">IF($AJ146=Constants!$B$7,IF(AD146="",Constants!$B$13,AD146),"")</f>
        <v/>
      </c>
      <c r="AO146" s="59" t="str">
        <f aca="false">IF($AJ146=Constants!$B$7,IF(AF146="",Constants!$B$13,AF146),"")</f>
        <v/>
      </c>
      <c r="AP146" s="59" t="str">
        <f aca="false">IF($AJ146=Constants!$B$7,IF(AH146="",Constants!$B$13,AH146),"")</f>
        <v/>
      </c>
      <c r="AQ146" s="59" t="str">
        <f aca="false">IF($AJ146=Constants!$B$7,IF(SUMPRODUCT(--($AL146:$AP146&gt;AL146))+SUMPRODUCT(--($AL146:AL146=AL146))=1,1,IF(SUMPRODUCT(--($AL146:$AP146&gt;AM146))+SUMPRODUCT(--($AL146:AM146=AM146))=1,2,IF(SUMPRODUCT(--($AL146:$AP146&gt;AN146))+SUMPRODUCT(--($AL146:AN146=AN146))=1,3,IF(SUMPRODUCT(--($AL146:$AP146&gt;AO146))+SUMPRODUCT(--($AL146:AO146=AO146))=1,4,5)))),"")</f>
        <v/>
      </c>
      <c r="AR146" s="59" t="str">
        <f aca="false">IF($AJ146=Constants!$B$7,IF(SUMPRODUCT(--($AL146:$AP146&gt;AL146))+SUMPRODUCT(--($AL146:AL146=AL146))=2,1,IF(SUMPRODUCT(--($AL146:$AP146&gt;AM146))+SUMPRODUCT(--($AL146:AM146=AM146))=2,2,IF(SUMPRODUCT(--($AL146:$AP146&gt;AN146))+SUMPRODUCT(--($AL146:AN146=AN146))=2,3,IF(SUMPRODUCT(--($AL146:$AP146&gt;AO146))+SUMPRODUCT(--($AL146:AO146=AO146))=2,4,5)))),"")</f>
        <v/>
      </c>
      <c r="AS146" s="59" t="str">
        <f aca="false">IF($AJ146=Constants!$B$7,IF(SUMPRODUCT(--($AL146:$AP146&gt;AL146))+SUMPRODUCT(--($AL146:AL146=AL146))=3,1,IF(SUMPRODUCT(--($AL146:$AP146&gt;AM146))+SUMPRODUCT(--($AL146:AM146=AM146))=3,2,IF(SUMPRODUCT(--($AL146:$AP146&gt;AN146))+SUMPRODUCT(--($AL146:AN146=AN146))=3,3,IF(SUMPRODUCT(--($AL146:$AP146&gt;AO146))+SUMPRODUCT(--($AL146:AO146=AO146))=3,4,5)))),"")</f>
        <v/>
      </c>
      <c r="AT146" s="59" t="str">
        <f aca="false">IF($AJ146=Constants!$B$7,LARGE(AL146:AP146,1)+LARGE(AL146:AP146,2)+LARGE(AL146:AP146,3),"")</f>
        <v/>
      </c>
      <c r="AU146" s="59" t="str">
        <f aca="false">IF(ISBLANK($C146),"",IF($AJ146&lt;&gt;Constants!$B$7,$AJ146,AT146*W146))</f>
        <v/>
      </c>
      <c r="AV146" s="59" t="str">
        <f aca="false">IF(ISBLANK($C146),"",IF($AJ146=Constants!$B$7,IF(ISNUMBER(AU146),RANK(AU146,$AU$8:$AU$507),Constants!$B$14),$AJ146))</f>
        <v/>
      </c>
      <c r="AW146" s="59" t="str">
        <f aca="false">IF(ISBLANK($C146),"",IF($AJ146=Constants!$B$7,IF(ISNUMBER(AV146),COUNTIFS($AK$8:$AK$507,"&lt;"&amp;$AK146)+COUNTIFS($AK$8:$AK$507,$AK146,$AV$8:$AV$507,"&lt;"&amp;$AV146)+1,Constants!$B$14),$AJ146))</f>
        <v/>
      </c>
      <c r="AX146" s="59" t="str">
        <f aca="false">IF(ISBLANK($C146),"",IF($AJ146=Constants!$B$7,LARGE(AL146:AP146,4)*W146,""))</f>
        <v/>
      </c>
      <c r="AY146" s="59" t="str">
        <f aca="false">IF(ISBLANK($C146),"",IF($AJ146=Constants!$B$7,RANK(AX146,$AX$8:$AX$507),$AJ146))</f>
        <v/>
      </c>
      <c r="AZ146" s="59" t="str">
        <f aca="false">IF(ISBLANK($C146),"",IF($AJ146=Constants!$B$7,IF(ISNUMBER(AV146),COUNTIFS($AK$8:$AK$507,"&lt;"&amp;$AK146)+COUNTIFS($AK$8:$AK$507,$AK146,$AV$8:$AV$507,"&lt;"&amp;$AV146)+COUNTIFS($AK$8:$AK$507,$AK146,$AV$8:$AV$507,$AV146,$AY$8:$AY$507,"&lt;"&amp;$AY146)+1,Constants!$B$14),$AJ146))</f>
        <v/>
      </c>
      <c r="BA146" s="59" t="str">
        <f aca="false">IF(ISBLANK($C146),"",IF($AJ146=Constants!$B$7,IF(ISNUMBER(AW146),AW146-AZ146,Constants!$B$14),$AJ146))</f>
        <v/>
      </c>
      <c r="BB146" s="61"/>
      <c r="BC146" s="62" t="str">
        <f aca="false">IF(ISBLANK($C146),"",IF($AJ146&lt;&gt;Constants!$B$7,$AJ146,SMALL(AQ146:AS146,1)&amp;", "&amp;SMALL(AQ146:AS146,2)&amp;", "&amp;SMALL(AQ146:AS146,3)))</f>
        <v/>
      </c>
      <c r="BD146" s="63" t="str">
        <f aca="false">IF(ISBLANK($C146),"",IF($AJ146&lt;&gt;Constants!$B$7,$AJ146,W146))</f>
        <v/>
      </c>
      <c r="BE146" s="64" t="str">
        <f aca="false">IF(ISBLANK($C146),"",IF($AJ146&lt;&gt;Constants!$B$7,$AJ146,AU146))</f>
        <v/>
      </c>
      <c r="BF146" s="65" t="str">
        <f aca="false">IF(ISBLANK($C146),"",IF($AJ146&lt;&gt;Constants!$B$7,$AJ146,AK146))</f>
        <v/>
      </c>
      <c r="BG146" s="63" t="str">
        <f aca="false">IF(ISBLANK($C146),"",BA146)</f>
        <v/>
      </c>
      <c r="BH146" s="63" t="str">
        <f aca="false">IF(ISBLANK($C146),"",AZ146)</f>
        <v/>
      </c>
      <c r="BI146" s="66" t="str">
        <f aca="false">IF(ISBLANK($C146),"",IF(BH146=Constants!$B$4,COUNTA($C$8:$C$507)+2,IF(BH146=Constants!$B$5,COUNTA($C$8:$C$507)+1,IF(BH146=Constants!$B$6,COUNTA($C$8:$C$507),BH146))))</f>
        <v/>
      </c>
      <c r="BJ146" s="5"/>
      <c r="BK146" s="67" t="n">
        <f aca="false">IF(OR(ISNUMBER(BH146),BH146=Constants!$B$4,BH146=Constants!$B$6,BH146=Constants!$B$5),1,0)</f>
        <v>0</v>
      </c>
      <c r="BL146" s="67" t="n">
        <v>139</v>
      </c>
      <c r="BM146" s="67" t="str">
        <f aca="false">IF(ISBLANK($C146),"",IF(ISNUMBER(BI146),BI146+ROW($B146)/1000,""))</f>
        <v/>
      </c>
      <c r="BN146" s="67" t="str">
        <f aca="false">IF(ISNUMBER(BM146),RANK(BM146,$BM$8:$BM$507,1),"")</f>
        <v/>
      </c>
      <c r="BO146" s="67" t="str">
        <f aca="false">IF(ISBLANK($C146),"",$B146)</f>
        <v/>
      </c>
      <c r="BP146" s="67" t="str">
        <f aca="false">IF(ISBLANK($C146),"",$C146)</f>
        <v/>
      </c>
      <c r="BQ146" s="67" t="str">
        <f aca="false">IF(ISBLANK($C146),"",$D146)</f>
        <v/>
      </c>
      <c r="BR146" s="68" t="str">
        <f aca="false">BF146</f>
        <v/>
      </c>
      <c r="BS146" s="69" t="str">
        <f aca="false">BE146</f>
        <v/>
      </c>
      <c r="BT146" s="67" t="str">
        <f aca="false">IF(ISBLANK($C146),"",BH146)</f>
        <v/>
      </c>
      <c r="BU146" s="70" t="str">
        <f aca="false">IF($BL146&gt;$BK$7,"",VLOOKUP($BL146,$BN$8:$BT$507,7,FALSE()))</f>
        <v/>
      </c>
      <c r="BV146" s="71" t="str">
        <f aca="false">IF($BL146&gt;$BK$7,"",VLOOKUP($BL146,$BN$8:$BT$507,2,FALSE()))</f>
        <v/>
      </c>
      <c r="BW146" s="71" t="str">
        <f aca="false">IF($BL146&gt;$BK$7,"",VLOOKUP($BL146,$BN$8:$BT$507,3,FALSE()))</f>
        <v/>
      </c>
      <c r="BX146" s="71" t="str">
        <f aca="false">IF($BL146&gt;$BK$7,"",VLOOKUP($BL146,$BN$8:$BT$507,4,FALSE()))</f>
        <v/>
      </c>
      <c r="BY146" s="71" t="str">
        <f aca="false">IF($BL146&gt;$BK$7,"",VLOOKUP($BL146,$BN$8:$BT$507,5,FALSE()))</f>
        <v/>
      </c>
      <c r="BZ146" s="72" t="str">
        <f aca="false">IF($BL146&gt;$BK$7,"",VLOOKUP($BL146,$BN$8:$BT$507,6,FALSE()))</f>
        <v/>
      </c>
      <c r="CA146" s="48"/>
    </row>
    <row r="147" customFormat="false" ht="15.75" hidden="false" customHeight="false" outlineLevel="0" collapsed="false">
      <c r="A147" s="5"/>
      <c r="B147" s="121"/>
      <c r="C147" s="50"/>
      <c r="D147" s="51"/>
      <c r="E147" s="74"/>
      <c r="F147" s="122"/>
      <c r="G147" s="54"/>
      <c r="H147" s="123"/>
      <c r="I147" s="124"/>
      <c r="J147" s="54"/>
      <c r="K147" s="123"/>
      <c r="L147" s="54"/>
      <c r="M147" s="123"/>
      <c r="N147" s="54"/>
      <c r="O147" s="123"/>
      <c r="P147" s="54"/>
      <c r="Q147" s="123"/>
      <c r="R147" s="54"/>
      <c r="S147" s="74"/>
      <c r="T147" s="58"/>
      <c r="U147" s="59" t="str">
        <f aca="false">IF(ISBLANK($C147),"",IF(E147=Constants!$B$2, TRUE(), IF(E147=Constants!$B$3, FALSE(), TRUE())))</f>
        <v/>
      </c>
      <c r="V147" s="59" t="str">
        <f aca="false">IF(ISBLANK($C147),"",IF(F147=Constants!$B$2, TRUE(), IF(F147=Constants!$B$3, FALSE(), TRUE())))</f>
        <v/>
      </c>
      <c r="W147" s="59" t="str">
        <f aca="false">IF(ISBLANK($C147),"",IF(G147=Constants!$B$15,Constants!$B$8,IF(G147=Constants!$B$16,Constants!$B$9,Constants!$B$10)))</f>
        <v/>
      </c>
      <c r="X147" s="59" t="str">
        <f aca="false">IF(ISBLANK($C147),"",IF(H147=Constants!$B$2, TRUE(), IF(H147=Constants!$B$3, FALSE(), TRUE())))</f>
        <v/>
      </c>
      <c r="Y147" s="59" t="str">
        <f aca="false">IF(ISBLANK($C147),"",IF(I147=Constants!$B$19,Constants!$B$19,Constants!$B$18))</f>
        <v/>
      </c>
      <c r="Z147" s="59" t="str">
        <f aca="false">IF(ISBLANK($C147),"",IF(ISNUMBER(J147),IF(J147&gt;=0,J147,""),""))</f>
        <v/>
      </c>
      <c r="AA147" s="59" t="str">
        <f aca="false">IF(ISBLANK($C147),"",IF(K147=Constants!$B$19,Constants!$B$19,Constants!$B$18))</f>
        <v/>
      </c>
      <c r="AB147" s="59" t="str">
        <f aca="false">IF(ISBLANK($C147),"",IF(ISNUMBER(L147),IF(L147&gt;=0,L147,""),""))</f>
        <v/>
      </c>
      <c r="AC147" s="59" t="str">
        <f aca="false">IF(ISBLANK($C147),"",IF(M147=Constants!$B$19,Constants!$B$19,Constants!$B$18))</f>
        <v/>
      </c>
      <c r="AD147" s="59" t="str">
        <f aca="false">IF(ISBLANK($C147),"",IF(ISNUMBER(N147),IF(N147&gt;=0,N147,""),""))</f>
        <v/>
      </c>
      <c r="AE147" s="59" t="str">
        <f aca="false">IF(ISBLANK($C147),"",IF(O147=Constants!$B$19,Constants!$B$19,Constants!$B$18))</f>
        <v/>
      </c>
      <c r="AF147" s="59" t="str">
        <f aca="false">IF(ISBLANK($C147),"",IF(ISNUMBER(P147),IF(P147&gt;=0,P147,""),""))</f>
        <v/>
      </c>
      <c r="AG147" s="59" t="str">
        <f aca="false">IF(ISBLANK($C147),"",IF(Q147=Constants!$B$19,Constants!$B$19,Constants!$B$18))</f>
        <v/>
      </c>
      <c r="AH147" s="59" t="str">
        <f aca="false">IF(ISBLANK($C147),"",IF(ISNUMBER(R147),IF(R147&gt;=0,R147,""),""))</f>
        <v/>
      </c>
      <c r="AI147" s="59" t="str">
        <f aca="false">IF(ISBLANK($C147),"",IF(S147=Constants!$B$2, TRUE(), IF(S147=Constants!$B$3, FALSE(), FALSE())))</f>
        <v/>
      </c>
      <c r="AJ147" s="59" t="str">
        <f aca="false">IF(ISBLANK($C147),"",IF(AI147,Constants!$B$4,IF(COUNTA(E147:R147)=0,Constants!$B$5,IF(COUNTA(J147,L147,N147,P147,R147)=0,Constants!$B$6,Constants!$B$7))))</f>
        <v/>
      </c>
      <c r="AK147" s="59" t="str">
        <f aca="false">IF(ISBLANK($C147),"",IF($AJ147&lt;&gt;Constants!$B$7,$AJ147,IF(OR(NOT(X147),AND(NOT(U147),COUNTIFS(Y147:AG147,Constants!$B$18,Z147:AH147,"&gt;=0")&gt;0),AND(NOT(V147),COUNTIFS(Y147:AG147,Constants!$B$19,Z147:AH147,"&gt;=0")&gt;0)),Constants!$B$12,Constants!$B$11)))</f>
        <v/>
      </c>
      <c r="AL147" s="59" t="str">
        <f aca="false">IF($AJ147=Constants!$B$7,IF(Z147="",Constants!$B$13,Z147),"")</f>
        <v/>
      </c>
      <c r="AM147" s="59" t="str">
        <f aca="false">IF($AJ147=Constants!$B$7,IF(AB147="",Constants!$B$13,AB147),"")</f>
        <v/>
      </c>
      <c r="AN147" s="59" t="str">
        <f aca="false">IF($AJ147=Constants!$B$7,IF(AD147="",Constants!$B$13,AD147),"")</f>
        <v/>
      </c>
      <c r="AO147" s="59" t="str">
        <f aca="false">IF($AJ147=Constants!$B$7,IF(AF147="",Constants!$B$13,AF147),"")</f>
        <v/>
      </c>
      <c r="AP147" s="59" t="str">
        <f aca="false">IF($AJ147=Constants!$B$7,IF(AH147="",Constants!$B$13,AH147),"")</f>
        <v/>
      </c>
      <c r="AQ147" s="59" t="str">
        <f aca="false">IF($AJ147=Constants!$B$7,IF(SUMPRODUCT(--($AL147:$AP147&gt;AL147))+SUMPRODUCT(--($AL147:AL147=AL147))=1,1,IF(SUMPRODUCT(--($AL147:$AP147&gt;AM147))+SUMPRODUCT(--($AL147:AM147=AM147))=1,2,IF(SUMPRODUCT(--($AL147:$AP147&gt;AN147))+SUMPRODUCT(--($AL147:AN147=AN147))=1,3,IF(SUMPRODUCT(--($AL147:$AP147&gt;AO147))+SUMPRODUCT(--($AL147:AO147=AO147))=1,4,5)))),"")</f>
        <v/>
      </c>
      <c r="AR147" s="59" t="str">
        <f aca="false">IF($AJ147=Constants!$B$7,IF(SUMPRODUCT(--($AL147:$AP147&gt;AL147))+SUMPRODUCT(--($AL147:AL147=AL147))=2,1,IF(SUMPRODUCT(--($AL147:$AP147&gt;AM147))+SUMPRODUCT(--($AL147:AM147=AM147))=2,2,IF(SUMPRODUCT(--($AL147:$AP147&gt;AN147))+SUMPRODUCT(--($AL147:AN147=AN147))=2,3,IF(SUMPRODUCT(--($AL147:$AP147&gt;AO147))+SUMPRODUCT(--($AL147:AO147=AO147))=2,4,5)))),"")</f>
        <v/>
      </c>
      <c r="AS147" s="59" t="str">
        <f aca="false">IF($AJ147=Constants!$B$7,IF(SUMPRODUCT(--($AL147:$AP147&gt;AL147))+SUMPRODUCT(--($AL147:AL147=AL147))=3,1,IF(SUMPRODUCT(--($AL147:$AP147&gt;AM147))+SUMPRODUCT(--($AL147:AM147=AM147))=3,2,IF(SUMPRODUCT(--($AL147:$AP147&gt;AN147))+SUMPRODUCT(--($AL147:AN147=AN147))=3,3,IF(SUMPRODUCT(--($AL147:$AP147&gt;AO147))+SUMPRODUCT(--($AL147:AO147=AO147))=3,4,5)))),"")</f>
        <v/>
      </c>
      <c r="AT147" s="59" t="str">
        <f aca="false">IF($AJ147=Constants!$B$7,LARGE(AL147:AP147,1)+LARGE(AL147:AP147,2)+LARGE(AL147:AP147,3),"")</f>
        <v/>
      </c>
      <c r="AU147" s="59" t="str">
        <f aca="false">IF(ISBLANK($C147),"",IF($AJ147&lt;&gt;Constants!$B$7,$AJ147,AT147*W147))</f>
        <v/>
      </c>
      <c r="AV147" s="59" t="str">
        <f aca="false">IF(ISBLANK($C147),"",IF($AJ147=Constants!$B$7,IF(ISNUMBER(AU147),RANK(AU147,$AU$8:$AU$507),Constants!$B$14),$AJ147))</f>
        <v/>
      </c>
      <c r="AW147" s="59" t="str">
        <f aca="false">IF(ISBLANK($C147),"",IF($AJ147=Constants!$B$7,IF(ISNUMBER(AV147),COUNTIFS($AK$8:$AK$507,"&lt;"&amp;$AK147)+COUNTIFS($AK$8:$AK$507,$AK147,$AV$8:$AV$507,"&lt;"&amp;$AV147)+1,Constants!$B$14),$AJ147))</f>
        <v/>
      </c>
      <c r="AX147" s="59" t="str">
        <f aca="false">IF(ISBLANK($C147),"",IF($AJ147=Constants!$B$7,LARGE(AL147:AP147,4)*W147,""))</f>
        <v/>
      </c>
      <c r="AY147" s="59" t="str">
        <f aca="false">IF(ISBLANK($C147),"",IF($AJ147=Constants!$B$7,RANK(AX147,$AX$8:$AX$507),$AJ147))</f>
        <v/>
      </c>
      <c r="AZ147" s="59" t="str">
        <f aca="false">IF(ISBLANK($C147),"",IF($AJ147=Constants!$B$7,IF(ISNUMBER(AV147),COUNTIFS($AK$8:$AK$507,"&lt;"&amp;$AK147)+COUNTIFS($AK$8:$AK$507,$AK147,$AV$8:$AV$507,"&lt;"&amp;$AV147)+COUNTIFS($AK$8:$AK$507,$AK147,$AV$8:$AV$507,$AV147,$AY$8:$AY$507,"&lt;"&amp;$AY147)+1,Constants!$B$14),$AJ147))</f>
        <v/>
      </c>
      <c r="BA147" s="59" t="str">
        <f aca="false">IF(ISBLANK($C147),"",IF($AJ147=Constants!$B$7,IF(ISNUMBER(AW147),AW147-AZ147,Constants!$B$14),$AJ147))</f>
        <v/>
      </c>
      <c r="BB147" s="61"/>
      <c r="BC147" s="62" t="str">
        <f aca="false">IF(ISBLANK($C147),"",IF($AJ147&lt;&gt;Constants!$B$7,$AJ147,SMALL(AQ147:AS147,1)&amp;", "&amp;SMALL(AQ147:AS147,2)&amp;", "&amp;SMALL(AQ147:AS147,3)))</f>
        <v/>
      </c>
      <c r="BD147" s="63" t="str">
        <f aca="false">IF(ISBLANK($C147),"",IF($AJ147&lt;&gt;Constants!$B$7,$AJ147,W147))</f>
        <v/>
      </c>
      <c r="BE147" s="64" t="str">
        <f aca="false">IF(ISBLANK($C147),"",IF($AJ147&lt;&gt;Constants!$B$7,$AJ147,AU147))</f>
        <v/>
      </c>
      <c r="BF147" s="65" t="str">
        <f aca="false">IF(ISBLANK($C147),"",IF($AJ147&lt;&gt;Constants!$B$7,$AJ147,AK147))</f>
        <v/>
      </c>
      <c r="BG147" s="63" t="str">
        <f aca="false">IF(ISBLANK($C147),"",BA147)</f>
        <v/>
      </c>
      <c r="BH147" s="63" t="str">
        <f aca="false">IF(ISBLANK($C147),"",AZ147)</f>
        <v/>
      </c>
      <c r="BI147" s="66" t="str">
        <f aca="false">IF(ISBLANK($C147),"",IF(BH147=Constants!$B$4,COUNTA($C$8:$C$507)+2,IF(BH147=Constants!$B$5,COUNTA($C$8:$C$507)+1,IF(BH147=Constants!$B$6,COUNTA($C$8:$C$507),BH147))))</f>
        <v/>
      </c>
      <c r="BJ147" s="5"/>
      <c r="BK147" s="67" t="n">
        <f aca="false">IF(OR(ISNUMBER(BH147),BH147=Constants!$B$4,BH147=Constants!$B$6,BH147=Constants!$B$5),1,0)</f>
        <v>0</v>
      </c>
      <c r="BL147" s="67" t="n">
        <v>140</v>
      </c>
      <c r="BM147" s="67" t="str">
        <f aca="false">IF(ISBLANK($C147),"",IF(ISNUMBER(BI147),BI147+ROW($B147)/1000,""))</f>
        <v/>
      </c>
      <c r="BN147" s="67" t="str">
        <f aca="false">IF(ISNUMBER(BM147),RANK(BM147,$BM$8:$BM$507,1),"")</f>
        <v/>
      </c>
      <c r="BO147" s="67" t="str">
        <f aca="false">IF(ISBLANK($C147),"",$B147)</f>
        <v/>
      </c>
      <c r="BP147" s="67" t="str">
        <f aca="false">IF(ISBLANK($C147),"",$C147)</f>
        <v/>
      </c>
      <c r="BQ147" s="67" t="str">
        <f aca="false">IF(ISBLANK($C147),"",$D147)</f>
        <v/>
      </c>
      <c r="BR147" s="68" t="str">
        <f aca="false">BF147</f>
        <v/>
      </c>
      <c r="BS147" s="69" t="str">
        <f aca="false">BE147</f>
        <v/>
      </c>
      <c r="BT147" s="67" t="str">
        <f aca="false">IF(ISBLANK($C147),"",BH147)</f>
        <v/>
      </c>
      <c r="BU147" s="70" t="str">
        <f aca="false">IF($BL147&gt;$BK$7,"",VLOOKUP($BL147,$BN$8:$BT$507,7,FALSE()))</f>
        <v/>
      </c>
      <c r="BV147" s="71" t="str">
        <f aca="false">IF($BL147&gt;$BK$7,"",VLOOKUP($BL147,$BN$8:$BT$507,2,FALSE()))</f>
        <v/>
      </c>
      <c r="BW147" s="71" t="str">
        <f aca="false">IF($BL147&gt;$BK$7,"",VLOOKUP($BL147,$BN$8:$BT$507,3,FALSE()))</f>
        <v/>
      </c>
      <c r="BX147" s="71" t="str">
        <f aca="false">IF($BL147&gt;$BK$7,"",VLOOKUP($BL147,$BN$8:$BT$507,4,FALSE()))</f>
        <v/>
      </c>
      <c r="BY147" s="71" t="str">
        <f aca="false">IF($BL147&gt;$BK$7,"",VLOOKUP($BL147,$BN$8:$BT$507,5,FALSE()))</f>
        <v/>
      </c>
      <c r="BZ147" s="72" t="str">
        <f aca="false">IF($BL147&gt;$BK$7,"",VLOOKUP($BL147,$BN$8:$BT$507,6,FALSE()))</f>
        <v/>
      </c>
      <c r="CA147" s="48"/>
    </row>
    <row r="148" customFormat="false" ht="15.75" hidden="false" customHeight="false" outlineLevel="0" collapsed="false">
      <c r="A148" s="5"/>
      <c r="B148" s="121"/>
      <c r="C148" s="50"/>
      <c r="D148" s="51"/>
      <c r="E148" s="74"/>
      <c r="F148" s="122"/>
      <c r="G148" s="54"/>
      <c r="H148" s="123"/>
      <c r="I148" s="124"/>
      <c r="J148" s="54"/>
      <c r="K148" s="123"/>
      <c r="L148" s="54"/>
      <c r="M148" s="123"/>
      <c r="N148" s="54"/>
      <c r="O148" s="123"/>
      <c r="P148" s="54"/>
      <c r="Q148" s="123"/>
      <c r="R148" s="54"/>
      <c r="S148" s="74"/>
      <c r="T148" s="58"/>
      <c r="U148" s="59" t="str">
        <f aca="false">IF(ISBLANK($C148),"",IF(E148=Constants!$B$2, TRUE(), IF(E148=Constants!$B$3, FALSE(), TRUE())))</f>
        <v/>
      </c>
      <c r="V148" s="59" t="str">
        <f aca="false">IF(ISBLANK($C148),"",IF(F148=Constants!$B$2, TRUE(), IF(F148=Constants!$B$3, FALSE(), TRUE())))</f>
        <v/>
      </c>
      <c r="W148" s="59" t="str">
        <f aca="false">IF(ISBLANK($C148),"",IF(G148=Constants!$B$15,Constants!$B$8,IF(G148=Constants!$B$16,Constants!$B$9,Constants!$B$10)))</f>
        <v/>
      </c>
      <c r="X148" s="59" t="str">
        <f aca="false">IF(ISBLANK($C148),"",IF(H148=Constants!$B$2, TRUE(), IF(H148=Constants!$B$3, FALSE(), TRUE())))</f>
        <v/>
      </c>
      <c r="Y148" s="59" t="str">
        <f aca="false">IF(ISBLANK($C148),"",IF(I148=Constants!$B$19,Constants!$B$19,Constants!$B$18))</f>
        <v/>
      </c>
      <c r="Z148" s="59" t="str">
        <f aca="false">IF(ISBLANK($C148),"",IF(ISNUMBER(J148),IF(J148&gt;=0,J148,""),""))</f>
        <v/>
      </c>
      <c r="AA148" s="59" t="str">
        <f aca="false">IF(ISBLANK($C148),"",IF(K148=Constants!$B$19,Constants!$B$19,Constants!$B$18))</f>
        <v/>
      </c>
      <c r="AB148" s="59" t="str">
        <f aca="false">IF(ISBLANK($C148),"",IF(ISNUMBER(L148),IF(L148&gt;=0,L148,""),""))</f>
        <v/>
      </c>
      <c r="AC148" s="59" t="str">
        <f aca="false">IF(ISBLANK($C148),"",IF(M148=Constants!$B$19,Constants!$B$19,Constants!$B$18))</f>
        <v/>
      </c>
      <c r="AD148" s="59" t="str">
        <f aca="false">IF(ISBLANK($C148),"",IF(ISNUMBER(N148),IF(N148&gt;=0,N148,""),""))</f>
        <v/>
      </c>
      <c r="AE148" s="59" t="str">
        <f aca="false">IF(ISBLANK($C148),"",IF(O148=Constants!$B$19,Constants!$B$19,Constants!$B$18))</f>
        <v/>
      </c>
      <c r="AF148" s="59" t="str">
        <f aca="false">IF(ISBLANK($C148),"",IF(ISNUMBER(P148),IF(P148&gt;=0,P148,""),""))</f>
        <v/>
      </c>
      <c r="AG148" s="59" t="str">
        <f aca="false">IF(ISBLANK($C148),"",IF(Q148=Constants!$B$19,Constants!$B$19,Constants!$B$18))</f>
        <v/>
      </c>
      <c r="AH148" s="59" t="str">
        <f aca="false">IF(ISBLANK($C148),"",IF(ISNUMBER(R148),IF(R148&gt;=0,R148,""),""))</f>
        <v/>
      </c>
      <c r="AI148" s="59" t="str">
        <f aca="false">IF(ISBLANK($C148),"",IF(S148=Constants!$B$2, TRUE(), IF(S148=Constants!$B$3, FALSE(), FALSE())))</f>
        <v/>
      </c>
      <c r="AJ148" s="59" t="str">
        <f aca="false">IF(ISBLANK($C148),"",IF(AI148,Constants!$B$4,IF(COUNTA(E148:R148)=0,Constants!$B$5,IF(COUNTA(J148,L148,N148,P148,R148)=0,Constants!$B$6,Constants!$B$7))))</f>
        <v/>
      </c>
      <c r="AK148" s="59" t="str">
        <f aca="false">IF(ISBLANK($C148),"",IF($AJ148&lt;&gt;Constants!$B$7,$AJ148,IF(OR(NOT(X148),AND(NOT(U148),COUNTIFS(Y148:AG148,Constants!$B$18,Z148:AH148,"&gt;=0")&gt;0),AND(NOT(V148),COUNTIFS(Y148:AG148,Constants!$B$19,Z148:AH148,"&gt;=0")&gt;0)),Constants!$B$12,Constants!$B$11)))</f>
        <v/>
      </c>
      <c r="AL148" s="59" t="str">
        <f aca="false">IF($AJ148=Constants!$B$7,IF(Z148="",Constants!$B$13,Z148),"")</f>
        <v/>
      </c>
      <c r="AM148" s="59" t="str">
        <f aca="false">IF($AJ148=Constants!$B$7,IF(AB148="",Constants!$B$13,AB148),"")</f>
        <v/>
      </c>
      <c r="AN148" s="59" t="str">
        <f aca="false">IF($AJ148=Constants!$B$7,IF(AD148="",Constants!$B$13,AD148),"")</f>
        <v/>
      </c>
      <c r="AO148" s="59" t="str">
        <f aca="false">IF($AJ148=Constants!$B$7,IF(AF148="",Constants!$B$13,AF148),"")</f>
        <v/>
      </c>
      <c r="AP148" s="59" t="str">
        <f aca="false">IF($AJ148=Constants!$B$7,IF(AH148="",Constants!$B$13,AH148),"")</f>
        <v/>
      </c>
      <c r="AQ148" s="59" t="str">
        <f aca="false">IF($AJ148=Constants!$B$7,IF(SUMPRODUCT(--($AL148:$AP148&gt;AL148))+SUMPRODUCT(--($AL148:AL148=AL148))=1,1,IF(SUMPRODUCT(--($AL148:$AP148&gt;AM148))+SUMPRODUCT(--($AL148:AM148=AM148))=1,2,IF(SUMPRODUCT(--($AL148:$AP148&gt;AN148))+SUMPRODUCT(--($AL148:AN148=AN148))=1,3,IF(SUMPRODUCT(--($AL148:$AP148&gt;AO148))+SUMPRODUCT(--($AL148:AO148=AO148))=1,4,5)))),"")</f>
        <v/>
      </c>
      <c r="AR148" s="59" t="str">
        <f aca="false">IF($AJ148=Constants!$B$7,IF(SUMPRODUCT(--($AL148:$AP148&gt;AL148))+SUMPRODUCT(--($AL148:AL148=AL148))=2,1,IF(SUMPRODUCT(--($AL148:$AP148&gt;AM148))+SUMPRODUCT(--($AL148:AM148=AM148))=2,2,IF(SUMPRODUCT(--($AL148:$AP148&gt;AN148))+SUMPRODUCT(--($AL148:AN148=AN148))=2,3,IF(SUMPRODUCT(--($AL148:$AP148&gt;AO148))+SUMPRODUCT(--($AL148:AO148=AO148))=2,4,5)))),"")</f>
        <v/>
      </c>
      <c r="AS148" s="59" t="str">
        <f aca="false">IF($AJ148=Constants!$B$7,IF(SUMPRODUCT(--($AL148:$AP148&gt;AL148))+SUMPRODUCT(--($AL148:AL148=AL148))=3,1,IF(SUMPRODUCT(--($AL148:$AP148&gt;AM148))+SUMPRODUCT(--($AL148:AM148=AM148))=3,2,IF(SUMPRODUCT(--($AL148:$AP148&gt;AN148))+SUMPRODUCT(--($AL148:AN148=AN148))=3,3,IF(SUMPRODUCT(--($AL148:$AP148&gt;AO148))+SUMPRODUCT(--($AL148:AO148=AO148))=3,4,5)))),"")</f>
        <v/>
      </c>
      <c r="AT148" s="59" t="str">
        <f aca="false">IF($AJ148=Constants!$B$7,LARGE(AL148:AP148,1)+LARGE(AL148:AP148,2)+LARGE(AL148:AP148,3),"")</f>
        <v/>
      </c>
      <c r="AU148" s="59" t="str">
        <f aca="false">IF(ISBLANK($C148),"",IF($AJ148&lt;&gt;Constants!$B$7,$AJ148,AT148*W148))</f>
        <v/>
      </c>
      <c r="AV148" s="59" t="str">
        <f aca="false">IF(ISBLANK($C148),"",IF($AJ148=Constants!$B$7,IF(ISNUMBER(AU148),RANK(AU148,$AU$8:$AU$507),Constants!$B$14),$AJ148))</f>
        <v/>
      </c>
      <c r="AW148" s="59" t="str">
        <f aca="false">IF(ISBLANK($C148),"",IF($AJ148=Constants!$B$7,IF(ISNUMBER(AV148),COUNTIFS($AK$8:$AK$507,"&lt;"&amp;$AK148)+COUNTIFS($AK$8:$AK$507,$AK148,$AV$8:$AV$507,"&lt;"&amp;$AV148)+1,Constants!$B$14),$AJ148))</f>
        <v/>
      </c>
      <c r="AX148" s="59" t="str">
        <f aca="false">IF(ISBLANK($C148),"",IF($AJ148=Constants!$B$7,LARGE(AL148:AP148,4)*W148,""))</f>
        <v/>
      </c>
      <c r="AY148" s="59" t="str">
        <f aca="false">IF(ISBLANK($C148),"",IF($AJ148=Constants!$B$7,RANK(AX148,$AX$8:$AX$507),$AJ148))</f>
        <v/>
      </c>
      <c r="AZ148" s="59" t="str">
        <f aca="false">IF(ISBLANK($C148),"",IF($AJ148=Constants!$B$7,IF(ISNUMBER(AV148),COUNTIFS($AK$8:$AK$507,"&lt;"&amp;$AK148)+COUNTIFS($AK$8:$AK$507,$AK148,$AV$8:$AV$507,"&lt;"&amp;$AV148)+COUNTIFS($AK$8:$AK$507,$AK148,$AV$8:$AV$507,$AV148,$AY$8:$AY$507,"&lt;"&amp;$AY148)+1,Constants!$B$14),$AJ148))</f>
        <v/>
      </c>
      <c r="BA148" s="59" t="str">
        <f aca="false">IF(ISBLANK($C148),"",IF($AJ148=Constants!$B$7,IF(ISNUMBER(AW148),AW148-AZ148,Constants!$B$14),$AJ148))</f>
        <v/>
      </c>
      <c r="BB148" s="61"/>
      <c r="BC148" s="62" t="str">
        <f aca="false">IF(ISBLANK($C148),"",IF($AJ148&lt;&gt;Constants!$B$7,$AJ148,SMALL(AQ148:AS148,1)&amp;", "&amp;SMALL(AQ148:AS148,2)&amp;", "&amp;SMALL(AQ148:AS148,3)))</f>
        <v/>
      </c>
      <c r="BD148" s="63" t="str">
        <f aca="false">IF(ISBLANK($C148),"",IF($AJ148&lt;&gt;Constants!$B$7,$AJ148,W148))</f>
        <v/>
      </c>
      <c r="BE148" s="64" t="str">
        <f aca="false">IF(ISBLANK($C148),"",IF($AJ148&lt;&gt;Constants!$B$7,$AJ148,AU148))</f>
        <v/>
      </c>
      <c r="BF148" s="65" t="str">
        <f aca="false">IF(ISBLANK($C148),"",IF($AJ148&lt;&gt;Constants!$B$7,$AJ148,AK148))</f>
        <v/>
      </c>
      <c r="BG148" s="63" t="str">
        <f aca="false">IF(ISBLANK($C148),"",BA148)</f>
        <v/>
      </c>
      <c r="BH148" s="63" t="str">
        <f aca="false">IF(ISBLANK($C148),"",AZ148)</f>
        <v/>
      </c>
      <c r="BI148" s="66" t="str">
        <f aca="false">IF(ISBLANK($C148),"",IF(BH148=Constants!$B$4,COUNTA($C$8:$C$507)+2,IF(BH148=Constants!$B$5,COUNTA($C$8:$C$507)+1,IF(BH148=Constants!$B$6,COUNTA($C$8:$C$507),BH148))))</f>
        <v/>
      </c>
      <c r="BJ148" s="5"/>
      <c r="BK148" s="67" t="n">
        <f aca="false">IF(OR(ISNUMBER(BH148),BH148=Constants!$B$4,BH148=Constants!$B$6,BH148=Constants!$B$5),1,0)</f>
        <v>0</v>
      </c>
      <c r="BL148" s="67" t="n">
        <v>141</v>
      </c>
      <c r="BM148" s="67" t="str">
        <f aca="false">IF(ISBLANK($C148),"",IF(ISNUMBER(BI148),BI148+ROW($B148)/1000,""))</f>
        <v/>
      </c>
      <c r="BN148" s="67" t="str">
        <f aca="false">IF(ISNUMBER(BM148),RANK(BM148,$BM$8:$BM$507,1),"")</f>
        <v/>
      </c>
      <c r="BO148" s="67" t="str">
        <f aca="false">IF(ISBLANK($C148),"",$B148)</f>
        <v/>
      </c>
      <c r="BP148" s="67" t="str">
        <f aca="false">IF(ISBLANK($C148),"",$C148)</f>
        <v/>
      </c>
      <c r="BQ148" s="67" t="str">
        <f aca="false">IF(ISBLANK($C148),"",$D148)</f>
        <v/>
      </c>
      <c r="BR148" s="68" t="str">
        <f aca="false">BF148</f>
        <v/>
      </c>
      <c r="BS148" s="69" t="str">
        <f aca="false">BE148</f>
        <v/>
      </c>
      <c r="BT148" s="67" t="str">
        <f aca="false">IF(ISBLANK($C148),"",BH148)</f>
        <v/>
      </c>
      <c r="BU148" s="70" t="str">
        <f aca="false">IF($BL148&gt;$BK$7,"",VLOOKUP($BL148,$BN$8:$BT$507,7,FALSE()))</f>
        <v/>
      </c>
      <c r="BV148" s="71" t="str">
        <f aca="false">IF($BL148&gt;$BK$7,"",VLOOKUP($BL148,$BN$8:$BT$507,2,FALSE()))</f>
        <v/>
      </c>
      <c r="BW148" s="71" t="str">
        <f aca="false">IF($BL148&gt;$BK$7,"",VLOOKUP($BL148,$BN$8:$BT$507,3,FALSE()))</f>
        <v/>
      </c>
      <c r="BX148" s="71" t="str">
        <f aca="false">IF($BL148&gt;$BK$7,"",VLOOKUP($BL148,$BN$8:$BT$507,4,FALSE()))</f>
        <v/>
      </c>
      <c r="BY148" s="71" t="str">
        <f aca="false">IF($BL148&gt;$BK$7,"",VLOOKUP($BL148,$BN$8:$BT$507,5,FALSE()))</f>
        <v/>
      </c>
      <c r="BZ148" s="72" t="str">
        <f aca="false">IF($BL148&gt;$BK$7,"",VLOOKUP($BL148,$BN$8:$BT$507,6,FALSE()))</f>
        <v/>
      </c>
      <c r="CA148" s="48"/>
    </row>
    <row r="149" customFormat="false" ht="15.75" hidden="false" customHeight="false" outlineLevel="0" collapsed="false">
      <c r="A149" s="5"/>
      <c r="B149" s="114"/>
      <c r="C149" s="115"/>
      <c r="D149" s="100"/>
      <c r="E149" s="120"/>
      <c r="F149" s="125"/>
      <c r="G149" s="82"/>
      <c r="H149" s="126"/>
      <c r="I149" s="127"/>
      <c r="J149" s="82"/>
      <c r="K149" s="126"/>
      <c r="L149" s="82"/>
      <c r="M149" s="126"/>
      <c r="N149" s="82"/>
      <c r="O149" s="126"/>
      <c r="P149" s="82"/>
      <c r="Q149" s="126"/>
      <c r="R149" s="82"/>
      <c r="S149" s="120"/>
      <c r="T149" s="86"/>
      <c r="U149" s="87" t="str">
        <f aca="false">IF(ISBLANK($C149),"",IF(E149=Constants!$B$2, TRUE(), IF(E149=Constants!$B$3, FALSE(), TRUE())))</f>
        <v/>
      </c>
      <c r="V149" s="87" t="str">
        <f aca="false">IF(ISBLANK($C149),"",IF(F149=Constants!$B$2, TRUE(), IF(F149=Constants!$B$3, FALSE(), TRUE())))</f>
        <v/>
      </c>
      <c r="W149" s="87" t="str">
        <f aca="false">IF(ISBLANK($C149),"",IF(G149=Constants!$B$15,Constants!$B$8,IF(G149=Constants!$B$16,Constants!$B$9,Constants!$B$10)))</f>
        <v/>
      </c>
      <c r="X149" s="87" t="str">
        <f aca="false">IF(ISBLANK($C149),"",IF(H149=Constants!$B$2, TRUE(), IF(H149=Constants!$B$3, FALSE(), TRUE())))</f>
        <v/>
      </c>
      <c r="Y149" s="87" t="str">
        <f aca="false">IF(ISBLANK($C149),"",IF(I149=Constants!$B$19,Constants!$B$19,Constants!$B$18))</f>
        <v/>
      </c>
      <c r="Z149" s="87" t="str">
        <f aca="false">IF(ISBLANK($C149),"",IF(ISNUMBER(J149),IF(J149&gt;=0,J149,""),""))</f>
        <v/>
      </c>
      <c r="AA149" s="87" t="str">
        <f aca="false">IF(ISBLANK($C149),"",IF(K149=Constants!$B$19,Constants!$B$19,Constants!$B$18))</f>
        <v/>
      </c>
      <c r="AB149" s="87" t="str">
        <f aca="false">IF(ISBLANK($C149),"",IF(ISNUMBER(L149),IF(L149&gt;=0,L149,""),""))</f>
        <v/>
      </c>
      <c r="AC149" s="87" t="str">
        <f aca="false">IF(ISBLANK($C149),"",IF(M149=Constants!$B$19,Constants!$B$19,Constants!$B$18))</f>
        <v/>
      </c>
      <c r="AD149" s="87" t="str">
        <f aca="false">IF(ISBLANK($C149),"",IF(ISNUMBER(N149),IF(N149&gt;=0,N149,""),""))</f>
        <v/>
      </c>
      <c r="AE149" s="87" t="str">
        <f aca="false">IF(ISBLANK($C149),"",IF(O149=Constants!$B$19,Constants!$B$19,Constants!$B$18))</f>
        <v/>
      </c>
      <c r="AF149" s="87" t="str">
        <f aca="false">IF(ISBLANK($C149),"",IF(ISNUMBER(P149),IF(P149&gt;=0,P149,""),""))</f>
        <v/>
      </c>
      <c r="AG149" s="87" t="str">
        <f aca="false">IF(ISBLANK($C149),"",IF(Q149=Constants!$B$19,Constants!$B$19,Constants!$B$18))</f>
        <v/>
      </c>
      <c r="AH149" s="87" t="str">
        <f aca="false">IF(ISBLANK($C149),"",IF(ISNUMBER(R149),IF(R149&gt;=0,R149,""),""))</f>
        <v/>
      </c>
      <c r="AI149" s="87" t="str">
        <f aca="false">IF(ISBLANK($C149),"",IF(S149=Constants!$B$2, TRUE(), IF(S149=Constants!$B$3, FALSE(), FALSE())))</f>
        <v/>
      </c>
      <c r="AJ149" s="87" t="str">
        <f aca="false">IF(ISBLANK($C149),"",IF(AI149,Constants!$B$4,IF(COUNTA(E149:R149)=0,Constants!$B$5,IF(COUNTA(J149,L149,N149,P149,R149)=0,Constants!$B$6,Constants!$B$7))))</f>
        <v/>
      </c>
      <c r="AK149" s="87" t="str">
        <f aca="false">IF(ISBLANK($C149),"",IF($AJ149&lt;&gt;Constants!$B$7,$AJ149,IF(OR(NOT(X149),AND(NOT(U149),COUNTIFS(Y149:AG149,Constants!$B$18,Z149:AH149,"&gt;=0")&gt;0),AND(NOT(V149),COUNTIFS(Y149:AG149,Constants!$B$19,Z149:AH149,"&gt;=0")&gt;0)),Constants!$B$12,Constants!$B$11)))</f>
        <v/>
      </c>
      <c r="AL149" s="87" t="str">
        <f aca="false">IF($AJ149=Constants!$B$7,IF(Z149="",Constants!$B$13,Z149),"")</f>
        <v/>
      </c>
      <c r="AM149" s="87" t="str">
        <f aca="false">IF($AJ149=Constants!$B$7,IF(AB149="",Constants!$B$13,AB149),"")</f>
        <v/>
      </c>
      <c r="AN149" s="87" t="str">
        <f aca="false">IF($AJ149=Constants!$B$7,IF(AD149="",Constants!$B$13,AD149),"")</f>
        <v/>
      </c>
      <c r="AO149" s="87" t="str">
        <f aca="false">IF($AJ149=Constants!$B$7,IF(AF149="",Constants!$B$13,AF149),"")</f>
        <v/>
      </c>
      <c r="AP149" s="87" t="str">
        <f aca="false">IF($AJ149=Constants!$B$7,IF(AH149="",Constants!$B$13,AH149),"")</f>
        <v/>
      </c>
      <c r="AQ149" s="87" t="str">
        <f aca="false">IF($AJ149=Constants!$B$7,IF(SUMPRODUCT(--($AL149:$AP149&gt;AL149))+SUMPRODUCT(--($AL149:AL149=AL149))=1,1,IF(SUMPRODUCT(--($AL149:$AP149&gt;AM149))+SUMPRODUCT(--($AL149:AM149=AM149))=1,2,IF(SUMPRODUCT(--($AL149:$AP149&gt;AN149))+SUMPRODUCT(--($AL149:AN149=AN149))=1,3,IF(SUMPRODUCT(--($AL149:$AP149&gt;AO149))+SUMPRODUCT(--($AL149:AO149=AO149))=1,4,5)))),"")</f>
        <v/>
      </c>
      <c r="AR149" s="87" t="str">
        <f aca="false">IF($AJ149=Constants!$B$7,IF(SUMPRODUCT(--($AL149:$AP149&gt;AL149))+SUMPRODUCT(--($AL149:AL149=AL149))=2,1,IF(SUMPRODUCT(--($AL149:$AP149&gt;AM149))+SUMPRODUCT(--($AL149:AM149=AM149))=2,2,IF(SUMPRODUCT(--($AL149:$AP149&gt;AN149))+SUMPRODUCT(--($AL149:AN149=AN149))=2,3,IF(SUMPRODUCT(--($AL149:$AP149&gt;AO149))+SUMPRODUCT(--($AL149:AO149=AO149))=2,4,5)))),"")</f>
        <v/>
      </c>
      <c r="AS149" s="87" t="str">
        <f aca="false">IF($AJ149=Constants!$B$7,IF(SUMPRODUCT(--($AL149:$AP149&gt;AL149))+SUMPRODUCT(--($AL149:AL149=AL149))=3,1,IF(SUMPRODUCT(--($AL149:$AP149&gt;AM149))+SUMPRODUCT(--($AL149:AM149=AM149))=3,2,IF(SUMPRODUCT(--($AL149:$AP149&gt;AN149))+SUMPRODUCT(--($AL149:AN149=AN149))=3,3,IF(SUMPRODUCT(--($AL149:$AP149&gt;AO149))+SUMPRODUCT(--($AL149:AO149=AO149))=3,4,5)))),"")</f>
        <v/>
      </c>
      <c r="AT149" s="87" t="str">
        <f aca="false">IF($AJ149=Constants!$B$7,LARGE(AL149:AP149,1)+LARGE(AL149:AP149,2)+LARGE(AL149:AP149,3),"")</f>
        <v/>
      </c>
      <c r="AU149" s="87" t="str">
        <f aca="false">IF(ISBLANK($C149),"",IF($AJ149&lt;&gt;Constants!$B$7,$AJ149,AT149*W149))</f>
        <v/>
      </c>
      <c r="AV149" s="87" t="str">
        <f aca="false">IF(ISBLANK($C149),"",IF($AJ149=Constants!$B$7,IF(ISNUMBER(AU149),RANK(AU149,$AU$8:$AU$507),Constants!$B$14),$AJ149))</f>
        <v/>
      </c>
      <c r="AW149" s="87" t="str">
        <f aca="false">IF(ISBLANK($C149),"",IF($AJ149=Constants!$B$7,IF(ISNUMBER(AV149),COUNTIFS($AK$8:$AK$507,"&lt;"&amp;$AK149)+COUNTIFS($AK$8:$AK$507,$AK149,$AV$8:$AV$507,"&lt;"&amp;$AV149)+1,Constants!$B$14),$AJ149))</f>
        <v/>
      </c>
      <c r="AX149" s="87" t="str">
        <f aca="false">IF(ISBLANK($C149),"",IF($AJ149=Constants!$B$7,LARGE(AL149:AP149,4)*W149,""))</f>
        <v/>
      </c>
      <c r="AY149" s="87" t="str">
        <f aca="false">IF(ISBLANK($C149),"",IF($AJ149=Constants!$B$7,RANK(AX149,$AX$8:$AX$507),$AJ149))</f>
        <v/>
      </c>
      <c r="AZ149" s="87" t="str">
        <f aca="false">IF(ISBLANK($C149),"",IF($AJ149=Constants!$B$7,IF(ISNUMBER(AV149),COUNTIFS($AK$8:$AK$507,"&lt;"&amp;$AK149)+COUNTIFS($AK$8:$AK$507,$AK149,$AV$8:$AV$507,"&lt;"&amp;$AV149)+COUNTIFS($AK$8:$AK$507,$AK149,$AV$8:$AV$507,$AV149,$AY$8:$AY$507,"&lt;"&amp;$AY149)+1,Constants!$B$14),$AJ149))</f>
        <v/>
      </c>
      <c r="BA149" s="87" t="str">
        <f aca="false">IF(ISBLANK($C149),"",IF($AJ149=Constants!$B$7,IF(ISNUMBER(AW149),AW149-AZ149,Constants!$B$14),$AJ149))</f>
        <v/>
      </c>
      <c r="BB149" s="88"/>
      <c r="BC149" s="89" t="str">
        <f aca="false">IF(ISBLANK($C149),"",IF($AJ149&lt;&gt;Constants!$B$7,$AJ149,SMALL(AQ149:AS149,1)&amp;", "&amp;SMALL(AQ149:AS149,2)&amp;", "&amp;SMALL(AQ149:AS149,3)))</f>
        <v/>
      </c>
      <c r="BD149" s="90" t="str">
        <f aca="false">IF(ISBLANK($C149),"",IF($AJ149&lt;&gt;Constants!$B$7,$AJ149,W149))</f>
        <v/>
      </c>
      <c r="BE149" s="91" t="str">
        <f aca="false">IF(ISBLANK($C149),"",IF($AJ149&lt;&gt;Constants!$B$7,$AJ149,AU149))</f>
        <v/>
      </c>
      <c r="BF149" s="92" t="str">
        <f aca="false">IF(ISBLANK($C149),"",IF($AJ149&lt;&gt;Constants!$B$7,$AJ149,AK149))</f>
        <v/>
      </c>
      <c r="BG149" s="90" t="str">
        <f aca="false">IF(ISBLANK($C149),"",BA149)</f>
        <v/>
      </c>
      <c r="BH149" s="90" t="str">
        <f aca="false">IF(ISBLANK($C149),"",AZ149)</f>
        <v/>
      </c>
      <c r="BI149" s="93" t="str">
        <f aca="false">IF(ISBLANK($C149),"",IF(BH149=Constants!$B$4,COUNTA($C$8:$C$507)+2,IF(BH149=Constants!$B$5,COUNTA($C$8:$C$507)+1,IF(BH149=Constants!$B$6,COUNTA($C$8:$C$507),BH149))))</f>
        <v/>
      </c>
      <c r="BJ149" s="5"/>
      <c r="BK149" s="94" t="n">
        <f aca="false">IF(OR(ISNUMBER(BH149),BH149=Constants!$B$4,BH149=Constants!$B$6,BH149=Constants!$B$5),1,0)</f>
        <v>0</v>
      </c>
      <c r="BL149" s="94" t="n">
        <v>142</v>
      </c>
      <c r="BM149" s="94" t="str">
        <f aca="false">IF(ISBLANK($C149),"",IF(ISNUMBER(BI149),BI149+ROW($B149)/1000,""))</f>
        <v/>
      </c>
      <c r="BN149" s="94" t="str">
        <f aca="false">IF(ISNUMBER(BM149),RANK(BM149,$BM$8:$BM$507,1),"")</f>
        <v/>
      </c>
      <c r="BO149" s="94" t="str">
        <f aca="false">IF(ISBLANK($C149),"",$B149)</f>
        <v/>
      </c>
      <c r="BP149" s="94" t="str">
        <f aca="false">IF(ISBLANK($C149),"",$C149)</f>
        <v/>
      </c>
      <c r="BQ149" s="94" t="str">
        <f aca="false">IF(ISBLANK($C149),"",$D149)</f>
        <v/>
      </c>
      <c r="BR149" s="95" t="str">
        <f aca="false">BF149</f>
        <v/>
      </c>
      <c r="BS149" s="96" t="str">
        <f aca="false">BE149</f>
        <v/>
      </c>
      <c r="BT149" s="94" t="str">
        <f aca="false">IF(ISBLANK($C149),"",BH149)</f>
        <v/>
      </c>
      <c r="BU149" s="97" t="str">
        <f aca="false">IF($BL149&gt;$BK$7,"",VLOOKUP($BL149,$BN$8:$BT$507,7,FALSE()))</f>
        <v/>
      </c>
      <c r="BV149" s="98" t="str">
        <f aca="false">IF($BL149&gt;$BK$7,"",VLOOKUP($BL149,$BN$8:$BT$507,2,FALSE()))</f>
        <v/>
      </c>
      <c r="BW149" s="98" t="str">
        <f aca="false">IF($BL149&gt;$BK$7,"",VLOOKUP($BL149,$BN$8:$BT$507,3,FALSE()))</f>
        <v/>
      </c>
      <c r="BX149" s="98" t="str">
        <f aca="false">IF($BL149&gt;$BK$7,"",VLOOKUP($BL149,$BN$8:$BT$507,4,FALSE()))</f>
        <v/>
      </c>
      <c r="BY149" s="98" t="str">
        <f aca="false">IF($BL149&gt;$BK$7,"",VLOOKUP($BL149,$BN$8:$BT$507,5,FALSE()))</f>
        <v/>
      </c>
      <c r="BZ149" s="99" t="str">
        <f aca="false">IF($BL149&gt;$BK$7,"",VLOOKUP($BL149,$BN$8:$BT$507,6,FALSE()))</f>
        <v/>
      </c>
      <c r="CA149" s="48"/>
    </row>
    <row r="150" customFormat="false" ht="15.75" hidden="false" customHeight="false" outlineLevel="0" collapsed="false">
      <c r="A150" s="5"/>
      <c r="B150" s="114"/>
      <c r="C150" s="115"/>
      <c r="D150" s="100"/>
      <c r="E150" s="120"/>
      <c r="F150" s="125"/>
      <c r="G150" s="82"/>
      <c r="H150" s="126"/>
      <c r="I150" s="127"/>
      <c r="J150" s="82"/>
      <c r="K150" s="126"/>
      <c r="L150" s="82"/>
      <c r="M150" s="126"/>
      <c r="N150" s="82"/>
      <c r="O150" s="126"/>
      <c r="P150" s="82"/>
      <c r="Q150" s="126"/>
      <c r="R150" s="82"/>
      <c r="S150" s="120"/>
      <c r="T150" s="86"/>
      <c r="U150" s="87" t="str">
        <f aca="false">IF(ISBLANK($C150),"",IF(E150=Constants!$B$2, TRUE(), IF(E150=Constants!$B$3, FALSE(), TRUE())))</f>
        <v/>
      </c>
      <c r="V150" s="87" t="str">
        <f aca="false">IF(ISBLANK($C150),"",IF(F150=Constants!$B$2, TRUE(), IF(F150=Constants!$B$3, FALSE(), TRUE())))</f>
        <v/>
      </c>
      <c r="W150" s="87" t="str">
        <f aca="false">IF(ISBLANK($C150),"",IF(G150=Constants!$B$15,Constants!$B$8,IF(G150=Constants!$B$16,Constants!$B$9,Constants!$B$10)))</f>
        <v/>
      </c>
      <c r="X150" s="87" t="str">
        <f aca="false">IF(ISBLANK($C150),"",IF(H150=Constants!$B$2, TRUE(), IF(H150=Constants!$B$3, FALSE(), TRUE())))</f>
        <v/>
      </c>
      <c r="Y150" s="87" t="str">
        <f aca="false">IF(ISBLANK($C150),"",IF(I150=Constants!$B$19,Constants!$B$19,Constants!$B$18))</f>
        <v/>
      </c>
      <c r="Z150" s="87" t="str">
        <f aca="false">IF(ISBLANK($C150),"",IF(ISNUMBER(J150),IF(J150&gt;=0,J150,""),""))</f>
        <v/>
      </c>
      <c r="AA150" s="87" t="str">
        <f aca="false">IF(ISBLANK($C150),"",IF(K150=Constants!$B$19,Constants!$B$19,Constants!$B$18))</f>
        <v/>
      </c>
      <c r="AB150" s="87" t="str">
        <f aca="false">IF(ISBLANK($C150),"",IF(ISNUMBER(L150),IF(L150&gt;=0,L150,""),""))</f>
        <v/>
      </c>
      <c r="AC150" s="87" t="str">
        <f aca="false">IF(ISBLANK($C150),"",IF(M150=Constants!$B$19,Constants!$B$19,Constants!$B$18))</f>
        <v/>
      </c>
      <c r="AD150" s="87" t="str">
        <f aca="false">IF(ISBLANK($C150),"",IF(ISNUMBER(N150),IF(N150&gt;=0,N150,""),""))</f>
        <v/>
      </c>
      <c r="AE150" s="87" t="str">
        <f aca="false">IF(ISBLANK($C150),"",IF(O150=Constants!$B$19,Constants!$B$19,Constants!$B$18))</f>
        <v/>
      </c>
      <c r="AF150" s="87" t="str">
        <f aca="false">IF(ISBLANK($C150),"",IF(ISNUMBER(P150),IF(P150&gt;=0,P150,""),""))</f>
        <v/>
      </c>
      <c r="AG150" s="87" t="str">
        <f aca="false">IF(ISBLANK($C150),"",IF(Q150=Constants!$B$19,Constants!$B$19,Constants!$B$18))</f>
        <v/>
      </c>
      <c r="AH150" s="87" t="str">
        <f aca="false">IF(ISBLANK($C150),"",IF(ISNUMBER(R150),IF(R150&gt;=0,R150,""),""))</f>
        <v/>
      </c>
      <c r="AI150" s="87" t="str">
        <f aca="false">IF(ISBLANK($C150),"",IF(S150=Constants!$B$2, TRUE(), IF(S150=Constants!$B$3, FALSE(), FALSE())))</f>
        <v/>
      </c>
      <c r="AJ150" s="87" t="str">
        <f aca="false">IF(ISBLANK($C150),"",IF(AI150,Constants!$B$4,IF(COUNTA(E150:R150)=0,Constants!$B$5,IF(COUNTA(J150,L150,N150,P150,R150)=0,Constants!$B$6,Constants!$B$7))))</f>
        <v/>
      </c>
      <c r="AK150" s="87" t="str">
        <f aca="false">IF(ISBLANK($C150),"",IF($AJ150&lt;&gt;Constants!$B$7,$AJ150,IF(OR(NOT(X150),AND(NOT(U150),COUNTIFS(Y150:AG150,Constants!$B$18,Z150:AH150,"&gt;=0")&gt;0),AND(NOT(V150),COUNTIFS(Y150:AG150,Constants!$B$19,Z150:AH150,"&gt;=0")&gt;0)),Constants!$B$12,Constants!$B$11)))</f>
        <v/>
      </c>
      <c r="AL150" s="87" t="str">
        <f aca="false">IF($AJ150=Constants!$B$7,IF(Z150="",Constants!$B$13,Z150),"")</f>
        <v/>
      </c>
      <c r="AM150" s="87" t="str">
        <f aca="false">IF($AJ150=Constants!$B$7,IF(AB150="",Constants!$B$13,AB150),"")</f>
        <v/>
      </c>
      <c r="AN150" s="87" t="str">
        <f aca="false">IF($AJ150=Constants!$B$7,IF(AD150="",Constants!$B$13,AD150),"")</f>
        <v/>
      </c>
      <c r="AO150" s="87" t="str">
        <f aca="false">IF($AJ150=Constants!$B$7,IF(AF150="",Constants!$B$13,AF150),"")</f>
        <v/>
      </c>
      <c r="AP150" s="87" t="str">
        <f aca="false">IF($AJ150=Constants!$B$7,IF(AH150="",Constants!$B$13,AH150),"")</f>
        <v/>
      </c>
      <c r="AQ150" s="87" t="str">
        <f aca="false">IF($AJ150=Constants!$B$7,IF(SUMPRODUCT(--($AL150:$AP150&gt;AL150))+SUMPRODUCT(--($AL150:AL150=AL150))=1,1,IF(SUMPRODUCT(--($AL150:$AP150&gt;AM150))+SUMPRODUCT(--($AL150:AM150=AM150))=1,2,IF(SUMPRODUCT(--($AL150:$AP150&gt;AN150))+SUMPRODUCT(--($AL150:AN150=AN150))=1,3,IF(SUMPRODUCT(--($AL150:$AP150&gt;AO150))+SUMPRODUCT(--($AL150:AO150=AO150))=1,4,5)))),"")</f>
        <v/>
      </c>
      <c r="AR150" s="87" t="str">
        <f aca="false">IF($AJ150=Constants!$B$7,IF(SUMPRODUCT(--($AL150:$AP150&gt;AL150))+SUMPRODUCT(--($AL150:AL150=AL150))=2,1,IF(SUMPRODUCT(--($AL150:$AP150&gt;AM150))+SUMPRODUCT(--($AL150:AM150=AM150))=2,2,IF(SUMPRODUCT(--($AL150:$AP150&gt;AN150))+SUMPRODUCT(--($AL150:AN150=AN150))=2,3,IF(SUMPRODUCT(--($AL150:$AP150&gt;AO150))+SUMPRODUCT(--($AL150:AO150=AO150))=2,4,5)))),"")</f>
        <v/>
      </c>
      <c r="AS150" s="87" t="str">
        <f aca="false">IF($AJ150=Constants!$B$7,IF(SUMPRODUCT(--($AL150:$AP150&gt;AL150))+SUMPRODUCT(--($AL150:AL150=AL150))=3,1,IF(SUMPRODUCT(--($AL150:$AP150&gt;AM150))+SUMPRODUCT(--($AL150:AM150=AM150))=3,2,IF(SUMPRODUCT(--($AL150:$AP150&gt;AN150))+SUMPRODUCT(--($AL150:AN150=AN150))=3,3,IF(SUMPRODUCT(--($AL150:$AP150&gt;AO150))+SUMPRODUCT(--($AL150:AO150=AO150))=3,4,5)))),"")</f>
        <v/>
      </c>
      <c r="AT150" s="87" t="str">
        <f aca="false">IF($AJ150=Constants!$B$7,LARGE(AL150:AP150,1)+LARGE(AL150:AP150,2)+LARGE(AL150:AP150,3),"")</f>
        <v/>
      </c>
      <c r="AU150" s="87" t="str">
        <f aca="false">IF(ISBLANK($C150),"",IF($AJ150&lt;&gt;Constants!$B$7,$AJ150,AT150*W150))</f>
        <v/>
      </c>
      <c r="AV150" s="87" t="str">
        <f aca="false">IF(ISBLANK($C150),"",IF($AJ150=Constants!$B$7,IF(ISNUMBER(AU150),RANK(AU150,$AU$8:$AU$507),Constants!$B$14),$AJ150))</f>
        <v/>
      </c>
      <c r="AW150" s="87" t="str">
        <f aca="false">IF(ISBLANK($C150),"",IF($AJ150=Constants!$B$7,IF(ISNUMBER(AV150),COUNTIFS($AK$8:$AK$507,"&lt;"&amp;$AK150)+COUNTIFS($AK$8:$AK$507,$AK150,$AV$8:$AV$507,"&lt;"&amp;$AV150)+1,Constants!$B$14),$AJ150))</f>
        <v/>
      </c>
      <c r="AX150" s="87" t="str">
        <f aca="false">IF(ISBLANK($C150),"",IF($AJ150=Constants!$B$7,LARGE(AL150:AP150,4)*W150,""))</f>
        <v/>
      </c>
      <c r="AY150" s="87" t="str">
        <f aca="false">IF(ISBLANK($C150),"",IF($AJ150=Constants!$B$7,RANK(AX150,$AX$8:$AX$507),$AJ150))</f>
        <v/>
      </c>
      <c r="AZ150" s="87" t="str">
        <f aca="false">IF(ISBLANK($C150),"",IF($AJ150=Constants!$B$7,IF(ISNUMBER(AV150),COUNTIFS($AK$8:$AK$507,"&lt;"&amp;$AK150)+COUNTIFS($AK$8:$AK$507,$AK150,$AV$8:$AV$507,"&lt;"&amp;$AV150)+COUNTIFS($AK$8:$AK$507,$AK150,$AV$8:$AV$507,$AV150,$AY$8:$AY$507,"&lt;"&amp;$AY150)+1,Constants!$B$14),$AJ150))</f>
        <v/>
      </c>
      <c r="BA150" s="87" t="str">
        <f aca="false">IF(ISBLANK($C150),"",IF($AJ150=Constants!$B$7,IF(ISNUMBER(AW150),AW150-AZ150,Constants!$B$14),$AJ150))</f>
        <v/>
      </c>
      <c r="BB150" s="88"/>
      <c r="BC150" s="89" t="str">
        <f aca="false">IF(ISBLANK($C150),"",IF($AJ150&lt;&gt;Constants!$B$7,$AJ150,SMALL(AQ150:AS150,1)&amp;", "&amp;SMALL(AQ150:AS150,2)&amp;", "&amp;SMALL(AQ150:AS150,3)))</f>
        <v/>
      </c>
      <c r="BD150" s="90" t="str">
        <f aca="false">IF(ISBLANK($C150),"",IF($AJ150&lt;&gt;Constants!$B$7,$AJ150,W150))</f>
        <v/>
      </c>
      <c r="BE150" s="91" t="str">
        <f aca="false">IF(ISBLANK($C150),"",IF($AJ150&lt;&gt;Constants!$B$7,$AJ150,AU150))</f>
        <v/>
      </c>
      <c r="BF150" s="92" t="str">
        <f aca="false">IF(ISBLANK($C150),"",IF($AJ150&lt;&gt;Constants!$B$7,$AJ150,AK150))</f>
        <v/>
      </c>
      <c r="BG150" s="90" t="str">
        <f aca="false">IF(ISBLANK($C150),"",BA150)</f>
        <v/>
      </c>
      <c r="BH150" s="90" t="str">
        <f aca="false">IF(ISBLANK($C150),"",AZ150)</f>
        <v/>
      </c>
      <c r="BI150" s="93" t="str">
        <f aca="false">IF(ISBLANK($C150),"",IF(BH150=Constants!$B$4,COUNTA($C$8:$C$507)+2,IF(BH150=Constants!$B$5,COUNTA($C$8:$C$507)+1,IF(BH150=Constants!$B$6,COUNTA($C$8:$C$507),BH150))))</f>
        <v/>
      </c>
      <c r="BJ150" s="5"/>
      <c r="BK150" s="94" t="n">
        <f aca="false">IF(OR(ISNUMBER(BH150),BH150=Constants!$B$4,BH150=Constants!$B$6,BH150=Constants!$B$5),1,0)</f>
        <v>0</v>
      </c>
      <c r="BL150" s="94" t="n">
        <v>143</v>
      </c>
      <c r="BM150" s="94" t="str">
        <f aca="false">IF(ISBLANK($C150),"",IF(ISNUMBER(BI150),BI150+ROW($B150)/1000,""))</f>
        <v/>
      </c>
      <c r="BN150" s="94" t="str">
        <f aca="false">IF(ISNUMBER(BM150),RANK(BM150,$BM$8:$BM$507,1),"")</f>
        <v/>
      </c>
      <c r="BO150" s="94" t="str">
        <f aca="false">IF(ISBLANK($C150),"",$B150)</f>
        <v/>
      </c>
      <c r="BP150" s="94" t="str">
        <f aca="false">IF(ISBLANK($C150),"",$C150)</f>
        <v/>
      </c>
      <c r="BQ150" s="94" t="str">
        <f aca="false">IF(ISBLANK($C150),"",$D150)</f>
        <v/>
      </c>
      <c r="BR150" s="95" t="str">
        <f aca="false">BF150</f>
        <v/>
      </c>
      <c r="BS150" s="96" t="str">
        <f aca="false">BE150</f>
        <v/>
      </c>
      <c r="BT150" s="94" t="str">
        <f aca="false">IF(ISBLANK($C150),"",BH150)</f>
        <v/>
      </c>
      <c r="BU150" s="97" t="str">
        <f aca="false">IF($BL150&gt;$BK$7,"",VLOOKUP($BL150,$BN$8:$BT$507,7,FALSE()))</f>
        <v/>
      </c>
      <c r="BV150" s="98" t="str">
        <f aca="false">IF($BL150&gt;$BK$7,"",VLOOKUP($BL150,$BN$8:$BT$507,2,FALSE()))</f>
        <v/>
      </c>
      <c r="BW150" s="98" t="str">
        <f aca="false">IF($BL150&gt;$BK$7,"",VLOOKUP($BL150,$BN$8:$BT$507,3,FALSE()))</f>
        <v/>
      </c>
      <c r="BX150" s="98" t="str">
        <f aca="false">IF($BL150&gt;$BK$7,"",VLOOKUP($BL150,$BN$8:$BT$507,4,FALSE()))</f>
        <v/>
      </c>
      <c r="BY150" s="98" t="str">
        <f aca="false">IF($BL150&gt;$BK$7,"",VLOOKUP($BL150,$BN$8:$BT$507,5,FALSE()))</f>
        <v/>
      </c>
      <c r="BZ150" s="99" t="str">
        <f aca="false">IF($BL150&gt;$BK$7,"",VLOOKUP($BL150,$BN$8:$BT$507,6,FALSE()))</f>
        <v/>
      </c>
      <c r="CA150" s="48"/>
    </row>
    <row r="151" customFormat="false" ht="15.75" hidden="false" customHeight="false" outlineLevel="0" collapsed="false">
      <c r="A151" s="5"/>
      <c r="B151" s="114"/>
      <c r="C151" s="115"/>
      <c r="D151" s="100"/>
      <c r="E151" s="120"/>
      <c r="F151" s="125"/>
      <c r="G151" s="82"/>
      <c r="H151" s="126"/>
      <c r="I151" s="127"/>
      <c r="J151" s="82"/>
      <c r="K151" s="126"/>
      <c r="L151" s="82"/>
      <c r="M151" s="126"/>
      <c r="N151" s="82"/>
      <c r="O151" s="126"/>
      <c r="P151" s="82"/>
      <c r="Q151" s="126"/>
      <c r="R151" s="82"/>
      <c r="S151" s="120"/>
      <c r="T151" s="86"/>
      <c r="U151" s="87" t="str">
        <f aca="false">IF(ISBLANK($C151),"",IF(E151=Constants!$B$2, TRUE(), IF(E151=Constants!$B$3, FALSE(), TRUE())))</f>
        <v/>
      </c>
      <c r="V151" s="87" t="str">
        <f aca="false">IF(ISBLANK($C151),"",IF(F151=Constants!$B$2, TRUE(), IF(F151=Constants!$B$3, FALSE(), TRUE())))</f>
        <v/>
      </c>
      <c r="W151" s="87" t="str">
        <f aca="false">IF(ISBLANK($C151),"",IF(G151=Constants!$B$15,Constants!$B$8,IF(G151=Constants!$B$16,Constants!$B$9,Constants!$B$10)))</f>
        <v/>
      </c>
      <c r="X151" s="87" t="str">
        <f aca="false">IF(ISBLANK($C151),"",IF(H151=Constants!$B$2, TRUE(), IF(H151=Constants!$B$3, FALSE(), TRUE())))</f>
        <v/>
      </c>
      <c r="Y151" s="87" t="str">
        <f aca="false">IF(ISBLANK($C151),"",IF(I151=Constants!$B$19,Constants!$B$19,Constants!$B$18))</f>
        <v/>
      </c>
      <c r="Z151" s="87" t="str">
        <f aca="false">IF(ISBLANK($C151),"",IF(ISNUMBER(J151),IF(J151&gt;=0,J151,""),""))</f>
        <v/>
      </c>
      <c r="AA151" s="87" t="str">
        <f aca="false">IF(ISBLANK($C151),"",IF(K151=Constants!$B$19,Constants!$B$19,Constants!$B$18))</f>
        <v/>
      </c>
      <c r="AB151" s="87" t="str">
        <f aca="false">IF(ISBLANK($C151),"",IF(ISNUMBER(L151),IF(L151&gt;=0,L151,""),""))</f>
        <v/>
      </c>
      <c r="AC151" s="87" t="str">
        <f aca="false">IF(ISBLANK($C151),"",IF(M151=Constants!$B$19,Constants!$B$19,Constants!$B$18))</f>
        <v/>
      </c>
      <c r="AD151" s="87" t="str">
        <f aca="false">IF(ISBLANK($C151),"",IF(ISNUMBER(N151),IF(N151&gt;=0,N151,""),""))</f>
        <v/>
      </c>
      <c r="AE151" s="87" t="str">
        <f aca="false">IF(ISBLANK($C151),"",IF(O151=Constants!$B$19,Constants!$B$19,Constants!$B$18))</f>
        <v/>
      </c>
      <c r="AF151" s="87" t="str">
        <f aca="false">IF(ISBLANK($C151),"",IF(ISNUMBER(P151),IF(P151&gt;=0,P151,""),""))</f>
        <v/>
      </c>
      <c r="AG151" s="87" t="str">
        <f aca="false">IF(ISBLANK($C151),"",IF(Q151=Constants!$B$19,Constants!$B$19,Constants!$B$18))</f>
        <v/>
      </c>
      <c r="AH151" s="87" t="str">
        <f aca="false">IF(ISBLANK($C151),"",IF(ISNUMBER(R151),IF(R151&gt;=0,R151,""),""))</f>
        <v/>
      </c>
      <c r="AI151" s="87" t="str">
        <f aca="false">IF(ISBLANK($C151),"",IF(S151=Constants!$B$2, TRUE(), IF(S151=Constants!$B$3, FALSE(), FALSE())))</f>
        <v/>
      </c>
      <c r="AJ151" s="87" t="str">
        <f aca="false">IF(ISBLANK($C151),"",IF(AI151,Constants!$B$4,IF(COUNTA(E151:R151)=0,Constants!$B$5,IF(COUNTA(J151,L151,N151,P151,R151)=0,Constants!$B$6,Constants!$B$7))))</f>
        <v/>
      </c>
      <c r="AK151" s="87" t="str">
        <f aca="false">IF(ISBLANK($C151),"",IF($AJ151&lt;&gt;Constants!$B$7,$AJ151,IF(OR(NOT(X151),AND(NOT(U151),COUNTIFS(Y151:AG151,Constants!$B$18,Z151:AH151,"&gt;=0")&gt;0),AND(NOT(V151),COUNTIFS(Y151:AG151,Constants!$B$19,Z151:AH151,"&gt;=0")&gt;0)),Constants!$B$12,Constants!$B$11)))</f>
        <v/>
      </c>
      <c r="AL151" s="87" t="str">
        <f aca="false">IF($AJ151=Constants!$B$7,IF(Z151="",Constants!$B$13,Z151),"")</f>
        <v/>
      </c>
      <c r="AM151" s="87" t="str">
        <f aca="false">IF($AJ151=Constants!$B$7,IF(AB151="",Constants!$B$13,AB151),"")</f>
        <v/>
      </c>
      <c r="AN151" s="87" t="str">
        <f aca="false">IF($AJ151=Constants!$B$7,IF(AD151="",Constants!$B$13,AD151),"")</f>
        <v/>
      </c>
      <c r="AO151" s="87" t="str">
        <f aca="false">IF($AJ151=Constants!$B$7,IF(AF151="",Constants!$B$13,AF151),"")</f>
        <v/>
      </c>
      <c r="AP151" s="87" t="str">
        <f aca="false">IF($AJ151=Constants!$B$7,IF(AH151="",Constants!$B$13,AH151),"")</f>
        <v/>
      </c>
      <c r="AQ151" s="87" t="str">
        <f aca="false">IF($AJ151=Constants!$B$7,IF(SUMPRODUCT(--($AL151:$AP151&gt;AL151))+SUMPRODUCT(--($AL151:AL151=AL151))=1,1,IF(SUMPRODUCT(--($AL151:$AP151&gt;AM151))+SUMPRODUCT(--($AL151:AM151=AM151))=1,2,IF(SUMPRODUCT(--($AL151:$AP151&gt;AN151))+SUMPRODUCT(--($AL151:AN151=AN151))=1,3,IF(SUMPRODUCT(--($AL151:$AP151&gt;AO151))+SUMPRODUCT(--($AL151:AO151=AO151))=1,4,5)))),"")</f>
        <v/>
      </c>
      <c r="AR151" s="87" t="str">
        <f aca="false">IF($AJ151=Constants!$B$7,IF(SUMPRODUCT(--($AL151:$AP151&gt;AL151))+SUMPRODUCT(--($AL151:AL151=AL151))=2,1,IF(SUMPRODUCT(--($AL151:$AP151&gt;AM151))+SUMPRODUCT(--($AL151:AM151=AM151))=2,2,IF(SUMPRODUCT(--($AL151:$AP151&gt;AN151))+SUMPRODUCT(--($AL151:AN151=AN151))=2,3,IF(SUMPRODUCT(--($AL151:$AP151&gt;AO151))+SUMPRODUCT(--($AL151:AO151=AO151))=2,4,5)))),"")</f>
        <v/>
      </c>
      <c r="AS151" s="87" t="str">
        <f aca="false">IF($AJ151=Constants!$B$7,IF(SUMPRODUCT(--($AL151:$AP151&gt;AL151))+SUMPRODUCT(--($AL151:AL151=AL151))=3,1,IF(SUMPRODUCT(--($AL151:$AP151&gt;AM151))+SUMPRODUCT(--($AL151:AM151=AM151))=3,2,IF(SUMPRODUCT(--($AL151:$AP151&gt;AN151))+SUMPRODUCT(--($AL151:AN151=AN151))=3,3,IF(SUMPRODUCT(--($AL151:$AP151&gt;AO151))+SUMPRODUCT(--($AL151:AO151=AO151))=3,4,5)))),"")</f>
        <v/>
      </c>
      <c r="AT151" s="87" t="str">
        <f aca="false">IF($AJ151=Constants!$B$7,LARGE(AL151:AP151,1)+LARGE(AL151:AP151,2)+LARGE(AL151:AP151,3),"")</f>
        <v/>
      </c>
      <c r="AU151" s="87" t="str">
        <f aca="false">IF(ISBLANK($C151),"",IF($AJ151&lt;&gt;Constants!$B$7,$AJ151,AT151*W151))</f>
        <v/>
      </c>
      <c r="AV151" s="87" t="str">
        <f aca="false">IF(ISBLANK($C151),"",IF($AJ151=Constants!$B$7,IF(ISNUMBER(AU151),RANK(AU151,$AU$8:$AU$507),Constants!$B$14),$AJ151))</f>
        <v/>
      </c>
      <c r="AW151" s="87" t="str">
        <f aca="false">IF(ISBLANK($C151),"",IF($AJ151=Constants!$B$7,IF(ISNUMBER(AV151),COUNTIFS($AK$8:$AK$507,"&lt;"&amp;$AK151)+COUNTIFS($AK$8:$AK$507,$AK151,$AV$8:$AV$507,"&lt;"&amp;$AV151)+1,Constants!$B$14),$AJ151))</f>
        <v/>
      </c>
      <c r="AX151" s="87" t="str">
        <f aca="false">IF(ISBLANK($C151),"",IF($AJ151=Constants!$B$7,LARGE(AL151:AP151,4)*W151,""))</f>
        <v/>
      </c>
      <c r="AY151" s="87" t="str">
        <f aca="false">IF(ISBLANK($C151),"",IF($AJ151=Constants!$B$7,RANK(AX151,$AX$8:$AX$507),$AJ151))</f>
        <v/>
      </c>
      <c r="AZ151" s="87" t="str">
        <f aca="false">IF(ISBLANK($C151),"",IF($AJ151=Constants!$B$7,IF(ISNUMBER(AV151),COUNTIFS($AK$8:$AK$507,"&lt;"&amp;$AK151)+COUNTIFS($AK$8:$AK$507,$AK151,$AV$8:$AV$507,"&lt;"&amp;$AV151)+COUNTIFS($AK$8:$AK$507,$AK151,$AV$8:$AV$507,$AV151,$AY$8:$AY$507,"&lt;"&amp;$AY151)+1,Constants!$B$14),$AJ151))</f>
        <v/>
      </c>
      <c r="BA151" s="87" t="str">
        <f aca="false">IF(ISBLANK($C151),"",IF($AJ151=Constants!$B$7,IF(ISNUMBER(AW151),AW151-AZ151,Constants!$B$14),$AJ151))</f>
        <v/>
      </c>
      <c r="BB151" s="88"/>
      <c r="BC151" s="89" t="str">
        <f aca="false">IF(ISBLANK($C151),"",IF($AJ151&lt;&gt;Constants!$B$7,$AJ151,SMALL(AQ151:AS151,1)&amp;", "&amp;SMALL(AQ151:AS151,2)&amp;", "&amp;SMALL(AQ151:AS151,3)))</f>
        <v/>
      </c>
      <c r="BD151" s="90" t="str">
        <f aca="false">IF(ISBLANK($C151),"",IF($AJ151&lt;&gt;Constants!$B$7,$AJ151,W151))</f>
        <v/>
      </c>
      <c r="BE151" s="91" t="str">
        <f aca="false">IF(ISBLANK($C151),"",IF($AJ151&lt;&gt;Constants!$B$7,$AJ151,AU151))</f>
        <v/>
      </c>
      <c r="BF151" s="92" t="str">
        <f aca="false">IF(ISBLANK($C151),"",IF($AJ151&lt;&gt;Constants!$B$7,$AJ151,AK151))</f>
        <v/>
      </c>
      <c r="BG151" s="90" t="str">
        <f aca="false">IF(ISBLANK($C151),"",BA151)</f>
        <v/>
      </c>
      <c r="BH151" s="90" t="str">
        <f aca="false">IF(ISBLANK($C151),"",AZ151)</f>
        <v/>
      </c>
      <c r="BI151" s="93" t="str">
        <f aca="false">IF(ISBLANK($C151),"",IF(BH151=Constants!$B$4,COUNTA($C$8:$C$507)+2,IF(BH151=Constants!$B$5,COUNTA($C$8:$C$507)+1,IF(BH151=Constants!$B$6,COUNTA($C$8:$C$507),BH151))))</f>
        <v/>
      </c>
      <c r="BJ151" s="5"/>
      <c r="BK151" s="94" t="n">
        <f aca="false">IF(OR(ISNUMBER(BH151),BH151=Constants!$B$4,BH151=Constants!$B$6,BH151=Constants!$B$5),1,0)</f>
        <v>0</v>
      </c>
      <c r="BL151" s="94" t="n">
        <v>144</v>
      </c>
      <c r="BM151" s="94" t="str">
        <f aca="false">IF(ISBLANK($C151),"",IF(ISNUMBER(BI151),BI151+ROW($B151)/1000,""))</f>
        <v/>
      </c>
      <c r="BN151" s="94" t="str">
        <f aca="false">IF(ISNUMBER(BM151),RANK(BM151,$BM$8:$BM$507,1),"")</f>
        <v/>
      </c>
      <c r="BO151" s="94" t="str">
        <f aca="false">IF(ISBLANK($C151),"",$B151)</f>
        <v/>
      </c>
      <c r="BP151" s="94" t="str">
        <f aca="false">IF(ISBLANK($C151),"",$C151)</f>
        <v/>
      </c>
      <c r="BQ151" s="94" t="str">
        <f aca="false">IF(ISBLANK($C151),"",$D151)</f>
        <v/>
      </c>
      <c r="BR151" s="95" t="str">
        <f aca="false">BF151</f>
        <v/>
      </c>
      <c r="BS151" s="96" t="str">
        <f aca="false">BE151</f>
        <v/>
      </c>
      <c r="BT151" s="94" t="str">
        <f aca="false">IF(ISBLANK($C151),"",BH151)</f>
        <v/>
      </c>
      <c r="BU151" s="97" t="str">
        <f aca="false">IF($BL151&gt;$BK$7,"",VLOOKUP($BL151,$BN$8:$BT$507,7,FALSE()))</f>
        <v/>
      </c>
      <c r="BV151" s="98" t="str">
        <f aca="false">IF($BL151&gt;$BK$7,"",VLOOKUP($BL151,$BN$8:$BT$507,2,FALSE()))</f>
        <v/>
      </c>
      <c r="BW151" s="98" t="str">
        <f aca="false">IF($BL151&gt;$BK$7,"",VLOOKUP($BL151,$BN$8:$BT$507,3,FALSE()))</f>
        <v/>
      </c>
      <c r="BX151" s="98" t="str">
        <f aca="false">IF($BL151&gt;$BK$7,"",VLOOKUP($BL151,$BN$8:$BT$507,4,FALSE()))</f>
        <v/>
      </c>
      <c r="BY151" s="98" t="str">
        <f aca="false">IF($BL151&gt;$BK$7,"",VLOOKUP($BL151,$BN$8:$BT$507,5,FALSE()))</f>
        <v/>
      </c>
      <c r="BZ151" s="99" t="str">
        <f aca="false">IF($BL151&gt;$BK$7,"",VLOOKUP($BL151,$BN$8:$BT$507,6,FALSE()))</f>
        <v/>
      </c>
      <c r="CA151" s="48"/>
    </row>
    <row r="152" customFormat="false" ht="15.75" hidden="false" customHeight="false" outlineLevel="0" collapsed="false">
      <c r="A152" s="5"/>
      <c r="B152" s="121"/>
      <c r="C152" s="50"/>
      <c r="D152" s="51"/>
      <c r="E152" s="74"/>
      <c r="F152" s="122"/>
      <c r="G152" s="54"/>
      <c r="H152" s="123"/>
      <c r="I152" s="124"/>
      <c r="J152" s="54"/>
      <c r="K152" s="123"/>
      <c r="L152" s="54"/>
      <c r="M152" s="123"/>
      <c r="N152" s="54"/>
      <c r="O152" s="123"/>
      <c r="P152" s="54"/>
      <c r="Q152" s="123"/>
      <c r="R152" s="54"/>
      <c r="S152" s="74"/>
      <c r="T152" s="58"/>
      <c r="U152" s="59" t="str">
        <f aca="false">IF(ISBLANK($C152),"",IF(E152=Constants!$B$2, TRUE(), IF(E152=Constants!$B$3, FALSE(), TRUE())))</f>
        <v/>
      </c>
      <c r="V152" s="59" t="str">
        <f aca="false">IF(ISBLANK($C152),"",IF(F152=Constants!$B$2, TRUE(), IF(F152=Constants!$B$3, FALSE(), TRUE())))</f>
        <v/>
      </c>
      <c r="W152" s="59" t="str">
        <f aca="false">IF(ISBLANK($C152),"",IF(G152=Constants!$B$15,Constants!$B$8,IF(G152=Constants!$B$16,Constants!$B$9,Constants!$B$10)))</f>
        <v/>
      </c>
      <c r="X152" s="59" t="str">
        <f aca="false">IF(ISBLANK($C152),"",IF(H152=Constants!$B$2, TRUE(), IF(H152=Constants!$B$3, FALSE(), TRUE())))</f>
        <v/>
      </c>
      <c r="Y152" s="59" t="str">
        <f aca="false">IF(ISBLANK($C152),"",IF(I152=Constants!$B$19,Constants!$B$19,Constants!$B$18))</f>
        <v/>
      </c>
      <c r="Z152" s="59" t="str">
        <f aca="false">IF(ISBLANK($C152),"",IF(ISNUMBER(J152),IF(J152&gt;=0,J152,""),""))</f>
        <v/>
      </c>
      <c r="AA152" s="59" t="str">
        <f aca="false">IF(ISBLANK($C152),"",IF(K152=Constants!$B$19,Constants!$B$19,Constants!$B$18))</f>
        <v/>
      </c>
      <c r="AB152" s="59" t="str">
        <f aca="false">IF(ISBLANK($C152),"",IF(ISNUMBER(L152),IF(L152&gt;=0,L152,""),""))</f>
        <v/>
      </c>
      <c r="AC152" s="59" t="str">
        <f aca="false">IF(ISBLANK($C152),"",IF(M152=Constants!$B$19,Constants!$B$19,Constants!$B$18))</f>
        <v/>
      </c>
      <c r="AD152" s="59" t="str">
        <f aca="false">IF(ISBLANK($C152),"",IF(ISNUMBER(N152),IF(N152&gt;=0,N152,""),""))</f>
        <v/>
      </c>
      <c r="AE152" s="59" t="str">
        <f aca="false">IF(ISBLANK($C152),"",IF(O152=Constants!$B$19,Constants!$B$19,Constants!$B$18))</f>
        <v/>
      </c>
      <c r="AF152" s="59" t="str">
        <f aca="false">IF(ISBLANK($C152),"",IF(ISNUMBER(P152),IF(P152&gt;=0,P152,""),""))</f>
        <v/>
      </c>
      <c r="AG152" s="59" t="str">
        <f aca="false">IF(ISBLANK($C152),"",IF(Q152=Constants!$B$19,Constants!$B$19,Constants!$B$18))</f>
        <v/>
      </c>
      <c r="AH152" s="59" t="str">
        <f aca="false">IF(ISBLANK($C152),"",IF(ISNUMBER(R152),IF(R152&gt;=0,R152,""),""))</f>
        <v/>
      </c>
      <c r="AI152" s="59" t="str">
        <f aca="false">IF(ISBLANK($C152),"",IF(S152=Constants!$B$2, TRUE(), IF(S152=Constants!$B$3, FALSE(), FALSE())))</f>
        <v/>
      </c>
      <c r="AJ152" s="59" t="str">
        <f aca="false">IF(ISBLANK($C152),"",IF(AI152,Constants!$B$4,IF(COUNTA(E152:R152)=0,Constants!$B$5,IF(COUNTA(J152,L152,N152,P152,R152)=0,Constants!$B$6,Constants!$B$7))))</f>
        <v/>
      </c>
      <c r="AK152" s="59" t="str">
        <f aca="false">IF(ISBLANK($C152),"",IF($AJ152&lt;&gt;Constants!$B$7,$AJ152,IF(OR(NOT(X152),AND(NOT(U152),COUNTIFS(Y152:AG152,Constants!$B$18,Z152:AH152,"&gt;=0")&gt;0),AND(NOT(V152),COUNTIFS(Y152:AG152,Constants!$B$19,Z152:AH152,"&gt;=0")&gt;0)),Constants!$B$12,Constants!$B$11)))</f>
        <v/>
      </c>
      <c r="AL152" s="59" t="str">
        <f aca="false">IF($AJ152=Constants!$B$7,IF(Z152="",Constants!$B$13,Z152),"")</f>
        <v/>
      </c>
      <c r="AM152" s="59" t="str">
        <f aca="false">IF($AJ152=Constants!$B$7,IF(AB152="",Constants!$B$13,AB152),"")</f>
        <v/>
      </c>
      <c r="AN152" s="59" t="str">
        <f aca="false">IF($AJ152=Constants!$B$7,IF(AD152="",Constants!$B$13,AD152),"")</f>
        <v/>
      </c>
      <c r="AO152" s="59" t="str">
        <f aca="false">IF($AJ152=Constants!$B$7,IF(AF152="",Constants!$B$13,AF152),"")</f>
        <v/>
      </c>
      <c r="AP152" s="59" t="str">
        <f aca="false">IF($AJ152=Constants!$B$7,IF(AH152="",Constants!$B$13,AH152),"")</f>
        <v/>
      </c>
      <c r="AQ152" s="59" t="str">
        <f aca="false">IF($AJ152=Constants!$B$7,IF(SUMPRODUCT(--($AL152:$AP152&gt;AL152))+SUMPRODUCT(--($AL152:AL152=AL152))=1,1,IF(SUMPRODUCT(--($AL152:$AP152&gt;AM152))+SUMPRODUCT(--($AL152:AM152=AM152))=1,2,IF(SUMPRODUCT(--($AL152:$AP152&gt;AN152))+SUMPRODUCT(--($AL152:AN152=AN152))=1,3,IF(SUMPRODUCT(--($AL152:$AP152&gt;AO152))+SUMPRODUCT(--($AL152:AO152=AO152))=1,4,5)))),"")</f>
        <v/>
      </c>
      <c r="AR152" s="59" t="str">
        <f aca="false">IF($AJ152=Constants!$B$7,IF(SUMPRODUCT(--($AL152:$AP152&gt;AL152))+SUMPRODUCT(--($AL152:AL152=AL152))=2,1,IF(SUMPRODUCT(--($AL152:$AP152&gt;AM152))+SUMPRODUCT(--($AL152:AM152=AM152))=2,2,IF(SUMPRODUCT(--($AL152:$AP152&gt;AN152))+SUMPRODUCT(--($AL152:AN152=AN152))=2,3,IF(SUMPRODUCT(--($AL152:$AP152&gt;AO152))+SUMPRODUCT(--($AL152:AO152=AO152))=2,4,5)))),"")</f>
        <v/>
      </c>
      <c r="AS152" s="59" t="str">
        <f aca="false">IF($AJ152=Constants!$B$7,IF(SUMPRODUCT(--($AL152:$AP152&gt;AL152))+SUMPRODUCT(--($AL152:AL152=AL152))=3,1,IF(SUMPRODUCT(--($AL152:$AP152&gt;AM152))+SUMPRODUCT(--($AL152:AM152=AM152))=3,2,IF(SUMPRODUCT(--($AL152:$AP152&gt;AN152))+SUMPRODUCT(--($AL152:AN152=AN152))=3,3,IF(SUMPRODUCT(--($AL152:$AP152&gt;AO152))+SUMPRODUCT(--($AL152:AO152=AO152))=3,4,5)))),"")</f>
        <v/>
      </c>
      <c r="AT152" s="59" t="str">
        <f aca="false">IF($AJ152=Constants!$B$7,LARGE(AL152:AP152,1)+LARGE(AL152:AP152,2)+LARGE(AL152:AP152,3),"")</f>
        <v/>
      </c>
      <c r="AU152" s="59" t="str">
        <f aca="false">IF(ISBLANK($C152),"",IF($AJ152&lt;&gt;Constants!$B$7,$AJ152,AT152*W152))</f>
        <v/>
      </c>
      <c r="AV152" s="59" t="str">
        <f aca="false">IF(ISBLANK($C152),"",IF($AJ152=Constants!$B$7,IF(ISNUMBER(AU152),RANK(AU152,$AU$8:$AU$507),Constants!$B$14),$AJ152))</f>
        <v/>
      </c>
      <c r="AW152" s="59" t="str">
        <f aca="false">IF(ISBLANK($C152),"",IF($AJ152=Constants!$B$7,IF(ISNUMBER(AV152),COUNTIFS($AK$8:$AK$507,"&lt;"&amp;$AK152)+COUNTIFS($AK$8:$AK$507,$AK152,$AV$8:$AV$507,"&lt;"&amp;$AV152)+1,Constants!$B$14),$AJ152))</f>
        <v/>
      </c>
      <c r="AX152" s="59" t="str">
        <f aca="false">IF(ISBLANK($C152),"",IF($AJ152=Constants!$B$7,LARGE(AL152:AP152,4)*W152,""))</f>
        <v/>
      </c>
      <c r="AY152" s="59" t="str">
        <f aca="false">IF(ISBLANK($C152),"",IF($AJ152=Constants!$B$7,RANK(AX152,$AX$8:$AX$507),$AJ152))</f>
        <v/>
      </c>
      <c r="AZ152" s="59" t="str">
        <f aca="false">IF(ISBLANK($C152),"",IF($AJ152=Constants!$B$7,IF(ISNUMBER(AV152),COUNTIFS($AK$8:$AK$507,"&lt;"&amp;$AK152)+COUNTIFS($AK$8:$AK$507,$AK152,$AV$8:$AV$507,"&lt;"&amp;$AV152)+COUNTIFS($AK$8:$AK$507,$AK152,$AV$8:$AV$507,$AV152,$AY$8:$AY$507,"&lt;"&amp;$AY152)+1,Constants!$B$14),$AJ152))</f>
        <v/>
      </c>
      <c r="BA152" s="59" t="str">
        <f aca="false">IF(ISBLANK($C152),"",IF($AJ152=Constants!$B$7,IF(ISNUMBER(AW152),AW152-AZ152,Constants!$B$14),$AJ152))</f>
        <v/>
      </c>
      <c r="BB152" s="61"/>
      <c r="BC152" s="62" t="str">
        <f aca="false">IF(ISBLANK($C152),"",IF($AJ152&lt;&gt;Constants!$B$7,$AJ152,SMALL(AQ152:AS152,1)&amp;", "&amp;SMALL(AQ152:AS152,2)&amp;", "&amp;SMALL(AQ152:AS152,3)))</f>
        <v/>
      </c>
      <c r="BD152" s="63" t="str">
        <f aca="false">IF(ISBLANK($C152),"",IF($AJ152&lt;&gt;Constants!$B$7,$AJ152,W152))</f>
        <v/>
      </c>
      <c r="BE152" s="64" t="str">
        <f aca="false">IF(ISBLANK($C152),"",IF($AJ152&lt;&gt;Constants!$B$7,$AJ152,AU152))</f>
        <v/>
      </c>
      <c r="BF152" s="65" t="str">
        <f aca="false">IF(ISBLANK($C152),"",IF($AJ152&lt;&gt;Constants!$B$7,$AJ152,AK152))</f>
        <v/>
      </c>
      <c r="BG152" s="63" t="str">
        <f aca="false">IF(ISBLANK($C152),"",BA152)</f>
        <v/>
      </c>
      <c r="BH152" s="63" t="str">
        <f aca="false">IF(ISBLANK($C152),"",AZ152)</f>
        <v/>
      </c>
      <c r="BI152" s="66" t="str">
        <f aca="false">IF(ISBLANK($C152),"",IF(BH152=Constants!$B$4,COUNTA($C$8:$C$507)+2,IF(BH152=Constants!$B$5,COUNTA($C$8:$C$507)+1,IF(BH152=Constants!$B$6,COUNTA($C$8:$C$507),BH152))))</f>
        <v/>
      </c>
      <c r="BJ152" s="5"/>
      <c r="BK152" s="67" t="n">
        <f aca="false">IF(OR(ISNUMBER(BH152),BH152=Constants!$B$4,BH152=Constants!$B$6,BH152=Constants!$B$5),1,0)</f>
        <v>0</v>
      </c>
      <c r="BL152" s="67" t="n">
        <v>145</v>
      </c>
      <c r="BM152" s="67" t="str">
        <f aca="false">IF(ISBLANK($C152),"",IF(ISNUMBER(BI152),BI152+ROW($B152)/1000,""))</f>
        <v/>
      </c>
      <c r="BN152" s="67" t="str">
        <f aca="false">IF(ISNUMBER(BM152),RANK(BM152,$BM$8:$BM$507,1),"")</f>
        <v/>
      </c>
      <c r="BO152" s="67" t="str">
        <f aca="false">IF(ISBLANK($C152),"",$B152)</f>
        <v/>
      </c>
      <c r="BP152" s="67" t="str">
        <f aca="false">IF(ISBLANK($C152),"",$C152)</f>
        <v/>
      </c>
      <c r="BQ152" s="67" t="str">
        <f aca="false">IF(ISBLANK($C152),"",$D152)</f>
        <v/>
      </c>
      <c r="BR152" s="68" t="str">
        <f aca="false">BF152</f>
        <v/>
      </c>
      <c r="BS152" s="69" t="str">
        <f aca="false">BE152</f>
        <v/>
      </c>
      <c r="BT152" s="67" t="str">
        <f aca="false">IF(ISBLANK($C152),"",BH152)</f>
        <v/>
      </c>
      <c r="BU152" s="70" t="str">
        <f aca="false">IF($BL152&gt;$BK$7,"",VLOOKUP($BL152,$BN$8:$BT$507,7,FALSE()))</f>
        <v/>
      </c>
      <c r="BV152" s="71" t="str">
        <f aca="false">IF($BL152&gt;$BK$7,"",VLOOKUP($BL152,$BN$8:$BT$507,2,FALSE()))</f>
        <v/>
      </c>
      <c r="BW152" s="71" t="str">
        <f aca="false">IF($BL152&gt;$BK$7,"",VLOOKUP($BL152,$BN$8:$BT$507,3,FALSE()))</f>
        <v/>
      </c>
      <c r="BX152" s="71" t="str">
        <f aca="false">IF($BL152&gt;$BK$7,"",VLOOKUP($BL152,$BN$8:$BT$507,4,FALSE()))</f>
        <v/>
      </c>
      <c r="BY152" s="71" t="str">
        <f aca="false">IF($BL152&gt;$BK$7,"",VLOOKUP($BL152,$BN$8:$BT$507,5,FALSE()))</f>
        <v/>
      </c>
      <c r="BZ152" s="72" t="str">
        <f aca="false">IF($BL152&gt;$BK$7,"",VLOOKUP($BL152,$BN$8:$BT$507,6,FALSE()))</f>
        <v/>
      </c>
      <c r="CA152" s="48"/>
    </row>
    <row r="153" customFormat="false" ht="15.75" hidden="false" customHeight="false" outlineLevel="0" collapsed="false">
      <c r="A153" s="5"/>
      <c r="B153" s="121"/>
      <c r="C153" s="50"/>
      <c r="D153" s="51"/>
      <c r="E153" s="74"/>
      <c r="F153" s="122"/>
      <c r="G153" s="54"/>
      <c r="H153" s="123"/>
      <c r="I153" s="124"/>
      <c r="J153" s="54"/>
      <c r="K153" s="123"/>
      <c r="L153" s="54"/>
      <c r="M153" s="123"/>
      <c r="N153" s="54"/>
      <c r="O153" s="123"/>
      <c r="P153" s="54"/>
      <c r="Q153" s="123"/>
      <c r="R153" s="54"/>
      <c r="S153" s="74"/>
      <c r="T153" s="58"/>
      <c r="U153" s="59" t="str">
        <f aca="false">IF(ISBLANK($C153),"",IF(E153=Constants!$B$2, TRUE(), IF(E153=Constants!$B$3, FALSE(), TRUE())))</f>
        <v/>
      </c>
      <c r="V153" s="59" t="str">
        <f aca="false">IF(ISBLANK($C153),"",IF(F153=Constants!$B$2, TRUE(), IF(F153=Constants!$B$3, FALSE(), TRUE())))</f>
        <v/>
      </c>
      <c r="W153" s="59" t="str">
        <f aca="false">IF(ISBLANK($C153),"",IF(G153=Constants!$B$15,Constants!$B$8,IF(G153=Constants!$B$16,Constants!$B$9,Constants!$B$10)))</f>
        <v/>
      </c>
      <c r="X153" s="59" t="str">
        <f aca="false">IF(ISBLANK($C153),"",IF(H153=Constants!$B$2, TRUE(), IF(H153=Constants!$B$3, FALSE(), TRUE())))</f>
        <v/>
      </c>
      <c r="Y153" s="59" t="str">
        <f aca="false">IF(ISBLANK($C153),"",IF(I153=Constants!$B$19,Constants!$B$19,Constants!$B$18))</f>
        <v/>
      </c>
      <c r="Z153" s="59" t="str">
        <f aca="false">IF(ISBLANK($C153),"",IF(ISNUMBER(J153),IF(J153&gt;=0,J153,""),""))</f>
        <v/>
      </c>
      <c r="AA153" s="59" t="str">
        <f aca="false">IF(ISBLANK($C153),"",IF(K153=Constants!$B$19,Constants!$B$19,Constants!$B$18))</f>
        <v/>
      </c>
      <c r="AB153" s="59" t="str">
        <f aca="false">IF(ISBLANK($C153),"",IF(ISNUMBER(L153),IF(L153&gt;=0,L153,""),""))</f>
        <v/>
      </c>
      <c r="AC153" s="59" t="str">
        <f aca="false">IF(ISBLANK($C153),"",IF(M153=Constants!$B$19,Constants!$B$19,Constants!$B$18))</f>
        <v/>
      </c>
      <c r="AD153" s="59" t="str">
        <f aca="false">IF(ISBLANK($C153),"",IF(ISNUMBER(N153),IF(N153&gt;=0,N153,""),""))</f>
        <v/>
      </c>
      <c r="AE153" s="59" t="str">
        <f aca="false">IF(ISBLANK($C153),"",IF(O153=Constants!$B$19,Constants!$B$19,Constants!$B$18))</f>
        <v/>
      </c>
      <c r="AF153" s="59" t="str">
        <f aca="false">IF(ISBLANK($C153),"",IF(ISNUMBER(P153),IF(P153&gt;=0,P153,""),""))</f>
        <v/>
      </c>
      <c r="AG153" s="59" t="str">
        <f aca="false">IF(ISBLANK($C153),"",IF(Q153=Constants!$B$19,Constants!$B$19,Constants!$B$18))</f>
        <v/>
      </c>
      <c r="AH153" s="59" t="str">
        <f aca="false">IF(ISBLANK($C153),"",IF(ISNUMBER(R153),IF(R153&gt;=0,R153,""),""))</f>
        <v/>
      </c>
      <c r="AI153" s="59" t="str">
        <f aca="false">IF(ISBLANK($C153),"",IF(S153=Constants!$B$2, TRUE(), IF(S153=Constants!$B$3, FALSE(), FALSE())))</f>
        <v/>
      </c>
      <c r="AJ153" s="59" t="str">
        <f aca="false">IF(ISBLANK($C153),"",IF(AI153,Constants!$B$4,IF(COUNTA(E153:R153)=0,Constants!$B$5,IF(COUNTA(J153,L153,N153,P153,R153)=0,Constants!$B$6,Constants!$B$7))))</f>
        <v/>
      </c>
      <c r="AK153" s="59" t="str">
        <f aca="false">IF(ISBLANK($C153),"",IF($AJ153&lt;&gt;Constants!$B$7,$AJ153,IF(OR(NOT(X153),AND(NOT(U153),COUNTIFS(Y153:AG153,Constants!$B$18,Z153:AH153,"&gt;=0")&gt;0),AND(NOT(V153),COUNTIFS(Y153:AG153,Constants!$B$19,Z153:AH153,"&gt;=0")&gt;0)),Constants!$B$12,Constants!$B$11)))</f>
        <v/>
      </c>
      <c r="AL153" s="59" t="str">
        <f aca="false">IF($AJ153=Constants!$B$7,IF(Z153="",Constants!$B$13,Z153),"")</f>
        <v/>
      </c>
      <c r="AM153" s="59" t="str">
        <f aca="false">IF($AJ153=Constants!$B$7,IF(AB153="",Constants!$B$13,AB153),"")</f>
        <v/>
      </c>
      <c r="AN153" s="59" t="str">
        <f aca="false">IF($AJ153=Constants!$B$7,IF(AD153="",Constants!$B$13,AD153),"")</f>
        <v/>
      </c>
      <c r="AO153" s="59" t="str">
        <f aca="false">IF($AJ153=Constants!$B$7,IF(AF153="",Constants!$B$13,AF153),"")</f>
        <v/>
      </c>
      <c r="AP153" s="59" t="str">
        <f aca="false">IF($AJ153=Constants!$B$7,IF(AH153="",Constants!$B$13,AH153),"")</f>
        <v/>
      </c>
      <c r="AQ153" s="59" t="str">
        <f aca="false">IF($AJ153=Constants!$B$7,IF(SUMPRODUCT(--($AL153:$AP153&gt;AL153))+SUMPRODUCT(--($AL153:AL153=AL153))=1,1,IF(SUMPRODUCT(--($AL153:$AP153&gt;AM153))+SUMPRODUCT(--($AL153:AM153=AM153))=1,2,IF(SUMPRODUCT(--($AL153:$AP153&gt;AN153))+SUMPRODUCT(--($AL153:AN153=AN153))=1,3,IF(SUMPRODUCT(--($AL153:$AP153&gt;AO153))+SUMPRODUCT(--($AL153:AO153=AO153))=1,4,5)))),"")</f>
        <v/>
      </c>
      <c r="AR153" s="59" t="str">
        <f aca="false">IF($AJ153=Constants!$B$7,IF(SUMPRODUCT(--($AL153:$AP153&gt;AL153))+SUMPRODUCT(--($AL153:AL153=AL153))=2,1,IF(SUMPRODUCT(--($AL153:$AP153&gt;AM153))+SUMPRODUCT(--($AL153:AM153=AM153))=2,2,IF(SUMPRODUCT(--($AL153:$AP153&gt;AN153))+SUMPRODUCT(--($AL153:AN153=AN153))=2,3,IF(SUMPRODUCT(--($AL153:$AP153&gt;AO153))+SUMPRODUCT(--($AL153:AO153=AO153))=2,4,5)))),"")</f>
        <v/>
      </c>
      <c r="AS153" s="59" t="str">
        <f aca="false">IF($AJ153=Constants!$B$7,IF(SUMPRODUCT(--($AL153:$AP153&gt;AL153))+SUMPRODUCT(--($AL153:AL153=AL153))=3,1,IF(SUMPRODUCT(--($AL153:$AP153&gt;AM153))+SUMPRODUCT(--($AL153:AM153=AM153))=3,2,IF(SUMPRODUCT(--($AL153:$AP153&gt;AN153))+SUMPRODUCT(--($AL153:AN153=AN153))=3,3,IF(SUMPRODUCT(--($AL153:$AP153&gt;AO153))+SUMPRODUCT(--($AL153:AO153=AO153))=3,4,5)))),"")</f>
        <v/>
      </c>
      <c r="AT153" s="59" t="str">
        <f aca="false">IF($AJ153=Constants!$B$7,LARGE(AL153:AP153,1)+LARGE(AL153:AP153,2)+LARGE(AL153:AP153,3),"")</f>
        <v/>
      </c>
      <c r="AU153" s="59" t="str">
        <f aca="false">IF(ISBLANK($C153),"",IF($AJ153&lt;&gt;Constants!$B$7,$AJ153,AT153*W153))</f>
        <v/>
      </c>
      <c r="AV153" s="59" t="str">
        <f aca="false">IF(ISBLANK($C153),"",IF($AJ153=Constants!$B$7,IF(ISNUMBER(AU153),RANK(AU153,$AU$8:$AU$507),Constants!$B$14),$AJ153))</f>
        <v/>
      </c>
      <c r="AW153" s="59" t="str">
        <f aca="false">IF(ISBLANK($C153),"",IF($AJ153=Constants!$B$7,IF(ISNUMBER(AV153),COUNTIFS($AK$8:$AK$507,"&lt;"&amp;$AK153)+COUNTIFS($AK$8:$AK$507,$AK153,$AV$8:$AV$507,"&lt;"&amp;$AV153)+1,Constants!$B$14),$AJ153))</f>
        <v/>
      </c>
      <c r="AX153" s="59" t="str">
        <f aca="false">IF(ISBLANK($C153),"",IF($AJ153=Constants!$B$7,LARGE(AL153:AP153,4)*W153,""))</f>
        <v/>
      </c>
      <c r="AY153" s="59" t="str">
        <f aca="false">IF(ISBLANK($C153),"",IF($AJ153=Constants!$B$7,RANK(AX153,$AX$8:$AX$507),$AJ153))</f>
        <v/>
      </c>
      <c r="AZ153" s="59" t="str">
        <f aca="false">IF(ISBLANK($C153),"",IF($AJ153=Constants!$B$7,IF(ISNUMBER(AV153),COUNTIFS($AK$8:$AK$507,"&lt;"&amp;$AK153)+COUNTIFS($AK$8:$AK$507,$AK153,$AV$8:$AV$507,"&lt;"&amp;$AV153)+COUNTIFS($AK$8:$AK$507,$AK153,$AV$8:$AV$507,$AV153,$AY$8:$AY$507,"&lt;"&amp;$AY153)+1,Constants!$B$14),$AJ153))</f>
        <v/>
      </c>
      <c r="BA153" s="59" t="str">
        <f aca="false">IF(ISBLANK($C153),"",IF($AJ153=Constants!$B$7,IF(ISNUMBER(AW153),AW153-AZ153,Constants!$B$14),$AJ153))</f>
        <v/>
      </c>
      <c r="BB153" s="61"/>
      <c r="BC153" s="62" t="str">
        <f aca="false">IF(ISBLANK($C153),"",IF($AJ153&lt;&gt;Constants!$B$7,$AJ153,SMALL(AQ153:AS153,1)&amp;", "&amp;SMALL(AQ153:AS153,2)&amp;", "&amp;SMALL(AQ153:AS153,3)))</f>
        <v/>
      </c>
      <c r="BD153" s="63" t="str">
        <f aca="false">IF(ISBLANK($C153),"",IF($AJ153&lt;&gt;Constants!$B$7,$AJ153,W153))</f>
        <v/>
      </c>
      <c r="BE153" s="64" t="str">
        <f aca="false">IF(ISBLANK($C153),"",IF($AJ153&lt;&gt;Constants!$B$7,$AJ153,AU153))</f>
        <v/>
      </c>
      <c r="BF153" s="65" t="str">
        <f aca="false">IF(ISBLANK($C153),"",IF($AJ153&lt;&gt;Constants!$B$7,$AJ153,AK153))</f>
        <v/>
      </c>
      <c r="BG153" s="63" t="str">
        <f aca="false">IF(ISBLANK($C153),"",BA153)</f>
        <v/>
      </c>
      <c r="BH153" s="63" t="str">
        <f aca="false">IF(ISBLANK($C153),"",AZ153)</f>
        <v/>
      </c>
      <c r="BI153" s="66" t="str">
        <f aca="false">IF(ISBLANK($C153),"",IF(BH153=Constants!$B$4,COUNTA($C$8:$C$507)+2,IF(BH153=Constants!$B$5,COUNTA($C$8:$C$507)+1,IF(BH153=Constants!$B$6,COUNTA($C$8:$C$507),BH153))))</f>
        <v/>
      </c>
      <c r="BJ153" s="5"/>
      <c r="BK153" s="67" t="n">
        <f aca="false">IF(OR(ISNUMBER(BH153),BH153=Constants!$B$4,BH153=Constants!$B$6,BH153=Constants!$B$5),1,0)</f>
        <v>0</v>
      </c>
      <c r="BL153" s="67" t="n">
        <v>146</v>
      </c>
      <c r="BM153" s="67" t="str">
        <f aca="false">IF(ISBLANK($C153),"",IF(ISNUMBER(BI153),BI153+ROW($B153)/1000,""))</f>
        <v/>
      </c>
      <c r="BN153" s="67" t="str">
        <f aca="false">IF(ISNUMBER(BM153),RANK(BM153,$BM$8:$BM$507,1),"")</f>
        <v/>
      </c>
      <c r="BO153" s="67" t="str">
        <f aca="false">IF(ISBLANK($C153),"",$B153)</f>
        <v/>
      </c>
      <c r="BP153" s="67" t="str">
        <f aca="false">IF(ISBLANK($C153),"",$C153)</f>
        <v/>
      </c>
      <c r="BQ153" s="67" t="str">
        <f aca="false">IF(ISBLANK($C153),"",$D153)</f>
        <v/>
      </c>
      <c r="BR153" s="68" t="str">
        <f aca="false">BF153</f>
        <v/>
      </c>
      <c r="BS153" s="69" t="str">
        <f aca="false">BE153</f>
        <v/>
      </c>
      <c r="BT153" s="67" t="str">
        <f aca="false">IF(ISBLANK($C153),"",BH153)</f>
        <v/>
      </c>
      <c r="BU153" s="70" t="str">
        <f aca="false">IF($BL153&gt;$BK$7,"",VLOOKUP($BL153,$BN$8:$BT$507,7,FALSE()))</f>
        <v/>
      </c>
      <c r="BV153" s="71" t="str">
        <f aca="false">IF($BL153&gt;$BK$7,"",VLOOKUP($BL153,$BN$8:$BT$507,2,FALSE()))</f>
        <v/>
      </c>
      <c r="BW153" s="71" t="str">
        <f aca="false">IF($BL153&gt;$BK$7,"",VLOOKUP($BL153,$BN$8:$BT$507,3,FALSE()))</f>
        <v/>
      </c>
      <c r="BX153" s="71" t="str">
        <f aca="false">IF($BL153&gt;$BK$7,"",VLOOKUP($BL153,$BN$8:$BT$507,4,FALSE()))</f>
        <v/>
      </c>
      <c r="BY153" s="71" t="str">
        <f aca="false">IF($BL153&gt;$BK$7,"",VLOOKUP($BL153,$BN$8:$BT$507,5,FALSE()))</f>
        <v/>
      </c>
      <c r="BZ153" s="72" t="str">
        <f aca="false">IF($BL153&gt;$BK$7,"",VLOOKUP($BL153,$BN$8:$BT$507,6,FALSE()))</f>
        <v/>
      </c>
      <c r="CA153" s="48"/>
    </row>
    <row r="154" customFormat="false" ht="15.75" hidden="false" customHeight="false" outlineLevel="0" collapsed="false">
      <c r="A154" s="5"/>
      <c r="B154" s="121"/>
      <c r="C154" s="50"/>
      <c r="D154" s="51"/>
      <c r="E154" s="74"/>
      <c r="F154" s="122"/>
      <c r="G154" s="54"/>
      <c r="H154" s="123"/>
      <c r="I154" s="124"/>
      <c r="J154" s="54"/>
      <c r="K154" s="123"/>
      <c r="L154" s="54"/>
      <c r="M154" s="123"/>
      <c r="N154" s="54"/>
      <c r="O154" s="123"/>
      <c r="P154" s="54"/>
      <c r="Q154" s="123"/>
      <c r="R154" s="54"/>
      <c r="S154" s="74"/>
      <c r="T154" s="58"/>
      <c r="U154" s="59" t="str">
        <f aca="false">IF(ISBLANK($C154),"",IF(E154=Constants!$B$2, TRUE(), IF(E154=Constants!$B$3, FALSE(), TRUE())))</f>
        <v/>
      </c>
      <c r="V154" s="59" t="str">
        <f aca="false">IF(ISBLANK($C154),"",IF(F154=Constants!$B$2, TRUE(), IF(F154=Constants!$B$3, FALSE(), TRUE())))</f>
        <v/>
      </c>
      <c r="W154" s="59" t="str">
        <f aca="false">IF(ISBLANK($C154),"",IF(G154=Constants!$B$15,Constants!$B$8,IF(G154=Constants!$B$16,Constants!$B$9,Constants!$B$10)))</f>
        <v/>
      </c>
      <c r="X154" s="59" t="str">
        <f aca="false">IF(ISBLANK($C154),"",IF(H154=Constants!$B$2, TRUE(), IF(H154=Constants!$B$3, FALSE(), TRUE())))</f>
        <v/>
      </c>
      <c r="Y154" s="59" t="str">
        <f aca="false">IF(ISBLANK($C154),"",IF(I154=Constants!$B$19,Constants!$B$19,Constants!$B$18))</f>
        <v/>
      </c>
      <c r="Z154" s="59" t="str">
        <f aca="false">IF(ISBLANK($C154),"",IF(ISNUMBER(J154),IF(J154&gt;=0,J154,""),""))</f>
        <v/>
      </c>
      <c r="AA154" s="59" t="str">
        <f aca="false">IF(ISBLANK($C154),"",IF(K154=Constants!$B$19,Constants!$B$19,Constants!$B$18))</f>
        <v/>
      </c>
      <c r="AB154" s="59" t="str">
        <f aca="false">IF(ISBLANK($C154),"",IF(ISNUMBER(L154),IF(L154&gt;=0,L154,""),""))</f>
        <v/>
      </c>
      <c r="AC154" s="59" t="str">
        <f aca="false">IF(ISBLANK($C154),"",IF(M154=Constants!$B$19,Constants!$B$19,Constants!$B$18))</f>
        <v/>
      </c>
      <c r="AD154" s="59" t="str">
        <f aca="false">IF(ISBLANK($C154),"",IF(ISNUMBER(N154),IF(N154&gt;=0,N154,""),""))</f>
        <v/>
      </c>
      <c r="AE154" s="59" t="str">
        <f aca="false">IF(ISBLANK($C154),"",IF(O154=Constants!$B$19,Constants!$B$19,Constants!$B$18))</f>
        <v/>
      </c>
      <c r="AF154" s="59" t="str">
        <f aca="false">IF(ISBLANK($C154),"",IF(ISNUMBER(P154),IF(P154&gt;=0,P154,""),""))</f>
        <v/>
      </c>
      <c r="AG154" s="59" t="str">
        <f aca="false">IF(ISBLANK($C154),"",IF(Q154=Constants!$B$19,Constants!$B$19,Constants!$B$18))</f>
        <v/>
      </c>
      <c r="AH154" s="59" t="str">
        <f aca="false">IF(ISBLANK($C154),"",IF(ISNUMBER(R154),IF(R154&gt;=0,R154,""),""))</f>
        <v/>
      </c>
      <c r="AI154" s="59" t="str">
        <f aca="false">IF(ISBLANK($C154),"",IF(S154=Constants!$B$2, TRUE(), IF(S154=Constants!$B$3, FALSE(), FALSE())))</f>
        <v/>
      </c>
      <c r="AJ154" s="59" t="str">
        <f aca="false">IF(ISBLANK($C154),"",IF(AI154,Constants!$B$4,IF(COUNTA(E154:R154)=0,Constants!$B$5,IF(COUNTA(J154,L154,N154,P154,R154)=0,Constants!$B$6,Constants!$B$7))))</f>
        <v/>
      </c>
      <c r="AK154" s="59" t="str">
        <f aca="false">IF(ISBLANK($C154),"",IF($AJ154&lt;&gt;Constants!$B$7,$AJ154,IF(OR(NOT(X154),AND(NOT(U154),COUNTIFS(Y154:AG154,Constants!$B$18,Z154:AH154,"&gt;=0")&gt;0),AND(NOT(V154),COUNTIFS(Y154:AG154,Constants!$B$19,Z154:AH154,"&gt;=0")&gt;0)),Constants!$B$12,Constants!$B$11)))</f>
        <v/>
      </c>
      <c r="AL154" s="59" t="str">
        <f aca="false">IF($AJ154=Constants!$B$7,IF(Z154="",Constants!$B$13,Z154),"")</f>
        <v/>
      </c>
      <c r="AM154" s="59" t="str">
        <f aca="false">IF($AJ154=Constants!$B$7,IF(AB154="",Constants!$B$13,AB154),"")</f>
        <v/>
      </c>
      <c r="AN154" s="59" t="str">
        <f aca="false">IF($AJ154=Constants!$B$7,IF(AD154="",Constants!$B$13,AD154),"")</f>
        <v/>
      </c>
      <c r="AO154" s="59" t="str">
        <f aca="false">IF($AJ154=Constants!$B$7,IF(AF154="",Constants!$B$13,AF154),"")</f>
        <v/>
      </c>
      <c r="AP154" s="59" t="str">
        <f aca="false">IF($AJ154=Constants!$B$7,IF(AH154="",Constants!$B$13,AH154),"")</f>
        <v/>
      </c>
      <c r="AQ154" s="59" t="str">
        <f aca="false">IF($AJ154=Constants!$B$7,IF(SUMPRODUCT(--($AL154:$AP154&gt;AL154))+SUMPRODUCT(--($AL154:AL154=AL154))=1,1,IF(SUMPRODUCT(--($AL154:$AP154&gt;AM154))+SUMPRODUCT(--($AL154:AM154=AM154))=1,2,IF(SUMPRODUCT(--($AL154:$AP154&gt;AN154))+SUMPRODUCT(--($AL154:AN154=AN154))=1,3,IF(SUMPRODUCT(--($AL154:$AP154&gt;AO154))+SUMPRODUCT(--($AL154:AO154=AO154))=1,4,5)))),"")</f>
        <v/>
      </c>
      <c r="AR154" s="59" t="str">
        <f aca="false">IF($AJ154=Constants!$B$7,IF(SUMPRODUCT(--($AL154:$AP154&gt;AL154))+SUMPRODUCT(--($AL154:AL154=AL154))=2,1,IF(SUMPRODUCT(--($AL154:$AP154&gt;AM154))+SUMPRODUCT(--($AL154:AM154=AM154))=2,2,IF(SUMPRODUCT(--($AL154:$AP154&gt;AN154))+SUMPRODUCT(--($AL154:AN154=AN154))=2,3,IF(SUMPRODUCT(--($AL154:$AP154&gt;AO154))+SUMPRODUCT(--($AL154:AO154=AO154))=2,4,5)))),"")</f>
        <v/>
      </c>
      <c r="AS154" s="59" t="str">
        <f aca="false">IF($AJ154=Constants!$B$7,IF(SUMPRODUCT(--($AL154:$AP154&gt;AL154))+SUMPRODUCT(--($AL154:AL154=AL154))=3,1,IF(SUMPRODUCT(--($AL154:$AP154&gt;AM154))+SUMPRODUCT(--($AL154:AM154=AM154))=3,2,IF(SUMPRODUCT(--($AL154:$AP154&gt;AN154))+SUMPRODUCT(--($AL154:AN154=AN154))=3,3,IF(SUMPRODUCT(--($AL154:$AP154&gt;AO154))+SUMPRODUCT(--($AL154:AO154=AO154))=3,4,5)))),"")</f>
        <v/>
      </c>
      <c r="AT154" s="59" t="str">
        <f aca="false">IF($AJ154=Constants!$B$7,LARGE(AL154:AP154,1)+LARGE(AL154:AP154,2)+LARGE(AL154:AP154,3),"")</f>
        <v/>
      </c>
      <c r="AU154" s="59" t="str">
        <f aca="false">IF(ISBLANK($C154),"",IF($AJ154&lt;&gt;Constants!$B$7,$AJ154,AT154*W154))</f>
        <v/>
      </c>
      <c r="AV154" s="59" t="str">
        <f aca="false">IF(ISBLANK($C154),"",IF($AJ154=Constants!$B$7,IF(ISNUMBER(AU154),RANK(AU154,$AU$8:$AU$507),Constants!$B$14),$AJ154))</f>
        <v/>
      </c>
      <c r="AW154" s="59" t="str">
        <f aca="false">IF(ISBLANK($C154),"",IF($AJ154=Constants!$B$7,IF(ISNUMBER(AV154),COUNTIFS($AK$8:$AK$507,"&lt;"&amp;$AK154)+COUNTIFS($AK$8:$AK$507,$AK154,$AV$8:$AV$507,"&lt;"&amp;$AV154)+1,Constants!$B$14),$AJ154))</f>
        <v/>
      </c>
      <c r="AX154" s="59" t="str">
        <f aca="false">IF(ISBLANK($C154),"",IF($AJ154=Constants!$B$7,LARGE(AL154:AP154,4)*W154,""))</f>
        <v/>
      </c>
      <c r="AY154" s="59" t="str">
        <f aca="false">IF(ISBLANK($C154),"",IF($AJ154=Constants!$B$7,RANK(AX154,$AX$8:$AX$507),$AJ154))</f>
        <v/>
      </c>
      <c r="AZ154" s="59" t="str">
        <f aca="false">IF(ISBLANK($C154),"",IF($AJ154=Constants!$B$7,IF(ISNUMBER(AV154),COUNTIFS($AK$8:$AK$507,"&lt;"&amp;$AK154)+COUNTIFS($AK$8:$AK$507,$AK154,$AV$8:$AV$507,"&lt;"&amp;$AV154)+COUNTIFS($AK$8:$AK$507,$AK154,$AV$8:$AV$507,$AV154,$AY$8:$AY$507,"&lt;"&amp;$AY154)+1,Constants!$B$14),$AJ154))</f>
        <v/>
      </c>
      <c r="BA154" s="59" t="str">
        <f aca="false">IF(ISBLANK($C154),"",IF($AJ154=Constants!$B$7,IF(ISNUMBER(AW154),AW154-AZ154,Constants!$B$14),$AJ154))</f>
        <v/>
      </c>
      <c r="BB154" s="61"/>
      <c r="BC154" s="62" t="str">
        <f aca="false">IF(ISBLANK($C154),"",IF($AJ154&lt;&gt;Constants!$B$7,$AJ154,SMALL(AQ154:AS154,1)&amp;", "&amp;SMALL(AQ154:AS154,2)&amp;", "&amp;SMALL(AQ154:AS154,3)))</f>
        <v/>
      </c>
      <c r="BD154" s="63" t="str">
        <f aca="false">IF(ISBLANK($C154),"",IF($AJ154&lt;&gt;Constants!$B$7,$AJ154,W154))</f>
        <v/>
      </c>
      <c r="BE154" s="64" t="str">
        <f aca="false">IF(ISBLANK($C154),"",IF($AJ154&lt;&gt;Constants!$B$7,$AJ154,AU154))</f>
        <v/>
      </c>
      <c r="BF154" s="65" t="str">
        <f aca="false">IF(ISBLANK($C154),"",IF($AJ154&lt;&gt;Constants!$B$7,$AJ154,AK154))</f>
        <v/>
      </c>
      <c r="BG154" s="63" t="str">
        <f aca="false">IF(ISBLANK($C154),"",BA154)</f>
        <v/>
      </c>
      <c r="BH154" s="63" t="str">
        <f aca="false">IF(ISBLANK($C154),"",AZ154)</f>
        <v/>
      </c>
      <c r="BI154" s="66" t="str">
        <f aca="false">IF(ISBLANK($C154),"",IF(BH154=Constants!$B$4,COUNTA($C$8:$C$507)+2,IF(BH154=Constants!$B$5,COUNTA($C$8:$C$507)+1,IF(BH154=Constants!$B$6,COUNTA($C$8:$C$507),BH154))))</f>
        <v/>
      </c>
      <c r="BJ154" s="5"/>
      <c r="BK154" s="67" t="n">
        <f aca="false">IF(OR(ISNUMBER(BH154),BH154=Constants!$B$4,BH154=Constants!$B$6,BH154=Constants!$B$5),1,0)</f>
        <v>0</v>
      </c>
      <c r="BL154" s="67" t="n">
        <v>147</v>
      </c>
      <c r="BM154" s="67" t="str">
        <f aca="false">IF(ISBLANK($C154),"",IF(ISNUMBER(BI154),BI154+ROW($B154)/1000,""))</f>
        <v/>
      </c>
      <c r="BN154" s="67" t="str">
        <f aca="false">IF(ISNUMBER(BM154),RANK(BM154,$BM$8:$BM$507,1),"")</f>
        <v/>
      </c>
      <c r="BO154" s="67" t="str">
        <f aca="false">IF(ISBLANK($C154),"",$B154)</f>
        <v/>
      </c>
      <c r="BP154" s="67" t="str">
        <f aca="false">IF(ISBLANK($C154),"",$C154)</f>
        <v/>
      </c>
      <c r="BQ154" s="67" t="str">
        <f aca="false">IF(ISBLANK($C154),"",$D154)</f>
        <v/>
      </c>
      <c r="BR154" s="68" t="str">
        <f aca="false">BF154</f>
        <v/>
      </c>
      <c r="BS154" s="69" t="str">
        <f aca="false">BE154</f>
        <v/>
      </c>
      <c r="BT154" s="67" t="str">
        <f aca="false">IF(ISBLANK($C154),"",BH154)</f>
        <v/>
      </c>
      <c r="BU154" s="70" t="str">
        <f aca="false">IF($BL154&gt;$BK$7,"",VLOOKUP($BL154,$BN$8:$BT$507,7,FALSE()))</f>
        <v/>
      </c>
      <c r="BV154" s="71" t="str">
        <f aca="false">IF($BL154&gt;$BK$7,"",VLOOKUP($BL154,$BN$8:$BT$507,2,FALSE()))</f>
        <v/>
      </c>
      <c r="BW154" s="71" t="str">
        <f aca="false">IF($BL154&gt;$BK$7,"",VLOOKUP($BL154,$BN$8:$BT$507,3,FALSE()))</f>
        <v/>
      </c>
      <c r="BX154" s="71" t="str">
        <f aca="false">IF($BL154&gt;$BK$7,"",VLOOKUP($BL154,$BN$8:$BT$507,4,FALSE()))</f>
        <v/>
      </c>
      <c r="BY154" s="71" t="str">
        <f aca="false">IF($BL154&gt;$BK$7,"",VLOOKUP($BL154,$BN$8:$BT$507,5,FALSE()))</f>
        <v/>
      </c>
      <c r="BZ154" s="72" t="str">
        <f aca="false">IF($BL154&gt;$BK$7,"",VLOOKUP($BL154,$BN$8:$BT$507,6,FALSE()))</f>
        <v/>
      </c>
      <c r="CA154" s="48"/>
    </row>
    <row r="155" customFormat="false" ht="15.75" hidden="false" customHeight="false" outlineLevel="0" collapsed="false">
      <c r="A155" s="5"/>
      <c r="B155" s="114"/>
      <c r="C155" s="115"/>
      <c r="D155" s="100"/>
      <c r="E155" s="120"/>
      <c r="F155" s="125"/>
      <c r="G155" s="82"/>
      <c r="H155" s="126"/>
      <c r="I155" s="127"/>
      <c r="J155" s="82"/>
      <c r="K155" s="126"/>
      <c r="L155" s="82"/>
      <c r="M155" s="126"/>
      <c r="N155" s="82"/>
      <c r="O155" s="126"/>
      <c r="P155" s="82"/>
      <c r="Q155" s="126"/>
      <c r="R155" s="82"/>
      <c r="S155" s="120"/>
      <c r="T155" s="86"/>
      <c r="U155" s="87" t="str">
        <f aca="false">IF(ISBLANK($C155),"",IF(E155=Constants!$B$2, TRUE(), IF(E155=Constants!$B$3, FALSE(), TRUE())))</f>
        <v/>
      </c>
      <c r="V155" s="87" t="str">
        <f aca="false">IF(ISBLANK($C155),"",IF(F155=Constants!$B$2, TRUE(), IF(F155=Constants!$B$3, FALSE(), TRUE())))</f>
        <v/>
      </c>
      <c r="W155" s="87" t="str">
        <f aca="false">IF(ISBLANK($C155),"",IF(G155=Constants!$B$15,Constants!$B$8,IF(G155=Constants!$B$16,Constants!$B$9,Constants!$B$10)))</f>
        <v/>
      </c>
      <c r="X155" s="87" t="str">
        <f aca="false">IF(ISBLANK($C155),"",IF(H155=Constants!$B$2, TRUE(), IF(H155=Constants!$B$3, FALSE(), TRUE())))</f>
        <v/>
      </c>
      <c r="Y155" s="87" t="str">
        <f aca="false">IF(ISBLANK($C155),"",IF(I155=Constants!$B$19,Constants!$B$19,Constants!$B$18))</f>
        <v/>
      </c>
      <c r="Z155" s="87" t="str">
        <f aca="false">IF(ISBLANK($C155),"",IF(ISNUMBER(J155),IF(J155&gt;=0,J155,""),""))</f>
        <v/>
      </c>
      <c r="AA155" s="87" t="str">
        <f aca="false">IF(ISBLANK($C155),"",IF(K155=Constants!$B$19,Constants!$B$19,Constants!$B$18))</f>
        <v/>
      </c>
      <c r="AB155" s="87" t="str">
        <f aca="false">IF(ISBLANK($C155),"",IF(ISNUMBER(L155),IF(L155&gt;=0,L155,""),""))</f>
        <v/>
      </c>
      <c r="AC155" s="87" t="str">
        <f aca="false">IF(ISBLANK($C155),"",IF(M155=Constants!$B$19,Constants!$B$19,Constants!$B$18))</f>
        <v/>
      </c>
      <c r="AD155" s="87" t="str">
        <f aca="false">IF(ISBLANK($C155),"",IF(ISNUMBER(N155),IF(N155&gt;=0,N155,""),""))</f>
        <v/>
      </c>
      <c r="AE155" s="87" t="str">
        <f aca="false">IF(ISBLANK($C155),"",IF(O155=Constants!$B$19,Constants!$B$19,Constants!$B$18))</f>
        <v/>
      </c>
      <c r="AF155" s="87" t="str">
        <f aca="false">IF(ISBLANK($C155),"",IF(ISNUMBER(P155),IF(P155&gt;=0,P155,""),""))</f>
        <v/>
      </c>
      <c r="AG155" s="87" t="str">
        <f aca="false">IF(ISBLANK($C155),"",IF(Q155=Constants!$B$19,Constants!$B$19,Constants!$B$18))</f>
        <v/>
      </c>
      <c r="AH155" s="87" t="str">
        <f aca="false">IF(ISBLANK($C155),"",IF(ISNUMBER(R155),IF(R155&gt;=0,R155,""),""))</f>
        <v/>
      </c>
      <c r="AI155" s="87" t="str">
        <f aca="false">IF(ISBLANK($C155),"",IF(S155=Constants!$B$2, TRUE(), IF(S155=Constants!$B$3, FALSE(), FALSE())))</f>
        <v/>
      </c>
      <c r="AJ155" s="87" t="str">
        <f aca="false">IF(ISBLANK($C155),"",IF(AI155,Constants!$B$4,IF(COUNTA(E155:R155)=0,Constants!$B$5,IF(COUNTA(J155,L155,N155,P155,R155)=0,Constants!$B$6,Constants!$B$7))))</f>
        <v/>
      </c>
      <c r="AK155" s="87" t="str">
        <f aca="false">IF(ISBLANK($C155),"",IF($AJ155&lt;&gt;Constants!$B$7,$AJ155,IF(OR(NOT(X155),AND(NOT(U155),COUNTIFS(Y155:AG155,Constants!$B$18,Z155:AH155,"&gt;=0")&gt;0),AND(NOT(V155),COUNTIFS(Y155:AG155,Constants!$B$19,Z155:AH155,"&gt;=0")&gt;0)),Constants!$B$12,Constants!$B$11)))</f>
        <v/>
      </c>
      <c r="AL155" s="87" t="str">
        <f aca="false">IF($AJ155=Constants!$B$7,IF(Z155="",Constants!$B$13,Z155),"")</f>
        <v/>
      </c>
      <c r="AM155" s="87" t="str">
        <f aca="false">IF($AJ155=Constants!$B$7,IF(AB155="",Constants!$B$13,AB155),"")</f>
        <v/>
      </c>
      <c r="AN155" s="87" t="str">
        <f aca="false">IF($AJ155=Constants!$B$7,IF(AD155="",Constants!$B$13,AD155),"")</f>
        <v/>
      </c>
      <c r="AO155" s="87" t="str">
        <f aca="false">IF($AJ155=Constants!$B$7,IF(AF155="",Constants!$B$13,AF155),"")</f>
        <v/>
      </c>
      <c r="AP155" s="87" t="str">
        <f aca="false">IF($AJ155=Constants!$B$7,IF(AH155="",Constants!$B$13,AH155),"")</f>
        <v/>
      </c>
      <c r="AQ155" s="87" t="str">
        <f aca="false">IF($AJ155=Constants!$B$7,IF(SUMPRODUCT(--($AL155:$AP155&gt;AL155))+SUMPRODUCT(--($AL155:AL155=AL155))=1,1,IF(SUMPRODUCT(--($AL155:$AP155&gt;AM155))+SUMPRODUCT(--($AL155:AM155=AM155))=1,2,IF(SUMPRODUCT(--($AL155:$AP155&gt;AN155))+SUMPRODUCT(--($AL155:AN155=AN155))=1,3,IF(SUMPRODUCT(--($AL155:$AP155&gt;AO155))+SUMPRODUCT(--($AL155:AO155=AO155))=1,4,5)))),"")</f>
        <v/>
      </c>
      <c r="AR155" s="87" t="str">
        <f aca="false">IF($AJ155=Constants!$B$7,IF(SUMPRODUCT(--($AL155:$AP155&gt;AL155))+SUMPRODUCT(--($AL155:AL155=AL155))=2,1,IF(SUMPRODUCT(--($AL155:$AP155&gt;AM155))+SUMPRODUCT(--($AL155:AM155=AM155))=2,2,IF(SUMPRODUCT(--($AL155:$AP155&gt;AN155))+SUMPRODUCT(--($AL155:AN155=AN155))=2,3,IF(SUMPRODUCT(--($AL155:$AP155&gt;AO155))+SUMPRODUCT(--($AL155:AO155=AO155))=2,4,5)))),"")</f>
        <v/>
      </c>
      <c r="AS155" s="87" t="str">
        <f aca="false">IF($AJ155=Constants!$B$7,IF(SUMPRODUCT(--($AL155:$AP155&gt;AL155))+SUMPRODUCT(--($AL155:AL155=AL155))=3,1,IF(SUMPRODUCT(--($AL155:$AP155&gt;AM155))+SUMPRODUCT(--($AL155:AM155=AM155))=3,2,IF(SUMPRODUCT(--($AL155:$AP155&gt;AN155))+SUMPRODUCT(--($AL155:AN155=AN155))=3,3,IF(SUMPRODUCT(--($AL155:$AP155&gt;AO155))+SUMPRODUCT(--($AL155:AO155=AO155))=3,4,5)))),"")</f>
        <v/>
      </c>
      <c r="AT155" s="87" t="str">
        <f aca="false">IF($AJ155=Constants!$B$7,LARGE(AL155:AP155,1)+LARGE(AL155:AP155,2)+LARGE(AL155:AP155,3),"")</f>
        <v/>
      </c>
      <c r="AU155" s="87" t="str">
        <f aca="false">IF(ISBLANK($C155),"",IF($AJ155&lt;&gt;Constants!$B$7,$AJ155,AT155*W155))</f>
        <v/>
      </c>
      <c r="AV155" s="87" t="str">
        <f aca="false">IF(ISBLANK($C155),"",IF($AJ155=Constants!$B$7,IF(ISNUMBER(AU155),RANK(AU155,$AU$8:$AU$507),Constants!$B$14),$AJ155))</f>
        <v/>
      </c>
      <c r="AW155" s="87" t="str">
        <f aca="false">IF(ISBLANK($C155),"",IF($AJ155=Constants!$B$7,IF(ISNUMBER(AV155),COUNTIFS($AK$8:$AK$507,"&lt;"&amp;$AK155)+COUNTIFS($AK$8:$AK$507,$AK155,$AV$8:$AV$507,"&lt;"&amp;$AV155)+1,Constants!$B$14),$AJ155))</f>
        <v/>
      </c>
      <c r="AX155" s="87" t="str">
        <f aca="false">IF(ISBLANK($C155),"",IF($AJ155=Constants!$B$7,LARGE(AL155:AP155,4)*W155,""))</f>
        <v/>
      </c>
      <c r="AY155" s="87" t="str">
        <f aca="false">IF(ISBLANK($C155),"",IF($AJ155=Constants!$B$7,RANK(AX155,$AX$8:$AX$507),$AJ155))</f>
        <v/>
      </c>
      <c r="AZ155" s="87" t="str">
        <f aca="false">IF(ISBLANK($C155),"",IF($AJ155=Constants!$B$7,IF(ISNUMBER(AV155),COUNTIFS($AK$8:$AK$507,"&lt;"&amp;$AK155)+COUNTIFS($AK$8:$AK$507,$AK155,$AV$8:$AV$507,"&lt;"&amp;$AV155)+COUNTIFS($AK$8:$AK$507,$AK155,$AV$8:$AV$507,$AV155,$AY$8:$AY$507,"&lt;"&amp;$AY155)+1,Constants!$B$14),$AJ155))</f>
        <v/>
      </c>
      <c r="BA155" s="87" t="str">
        <f aca="false">IF(ISBLANK($C155),"",IF($AJ155=Constants!$B$7,IF(ISNUMBER(AW155),AW155-AZ155,Constants!$B$14),$AJ155))</f>
        <v/>
      </c>
      <c r="BB155" s="88"/>
      <c r="BC155" s="89" t="str">
        <f aca="false">IF(ISBLANK($C155),"",IF($AJ155&lt;&gt;Constants!$B$7,$AJ155,SMALL(AQ155:AS155,1)&amp;", "&amp;SMALL(AQ155:AS155,2)&amp;", "&amp;SMALL(AQ155:AS155,3)))</f>
        <v/>
      </c>
      <c r="BD155" s="90" t="str">
        <f aca="false">IF(ISBLANK($C155),"",IF($AJ155&lt;&gt;Constants!$B$7,$AJ155,W155))</f>
        <v/>
      </c>
      <c r="BE155" s="91" t="str">
        <f aca="false">IF(ISBLANK($C155),"",IF($AJ155&lt;&gt;Constants!$B$7,$AJ155,AU155))</f>
        <v/>
      </c>
      <c r="BF155" s="92" t="str">
        <f aca="false">IF(ISBLANK($C155),"",IF($AJ155&lt;&gt;Constants!$B$7,$AJ155,AK155))</f>
        <v/>
      </c>
      <c r="BG155" s="90" t="str">
        <f aca="false">IF(ISBLANK($C155),"",BA155)</f>
        <v/>
      </c>
      <c r="BH155" s="90" t="str">
        <f aca="false">IF(ISBLANK($C155),"",AZ155)</f>
        <v/>
      </c>
      <c r="BI155" s="93" t="str">
        <f aca="false">IF(ISBLANK($C155),"",IF(BH155=Constants!$B$4,COUNTA($C$8:$C$507)+2,IF(BH155=Constants!$B$5,COUNTA($C$8:$C$507)+1,IF(BH155=Constants!$B$6,COUNTA($C$8:$C$507),BH155))))</f>
        <v/>
      </c>
      <c r="BJ155" s="5"/>
      <c r="BK155" s="94" t="n">
        <f aca="false">IF(OR(ISNUMBER(BH155),BH155=Constants!$B$4,BH155=Constants!$B$6,BH155=Constants!$B$5),1,0)</f>
        <v>0</v>
      </c>
      <c r="BL155" s="94" t="n">
        <v>148</v>
      </c>
      <c r="BM155" s="94" t="str">
        <f aca="false">IF(ISBLANK($C155),"",IF(ISNUMBER(BI155),BI155+ROW($B155)/1000,""))</f>
        <v/>
      </c>
      <c r="BN155" s="94" t="str">
        <f aca="false">IF(ISNUMBER(BM155),RANK(BM155,$BM$8:$BM$507,1),"")</f>
        <v/>
      </c>
      <c r="BO155" s="94" t="str">
        <f aca="false">IF(ISBLANK($C155),"",$B155)</f>
        <v/>
      </c>
      <c r="BP155" s="94" t="str">
        <f aca="false">IF(ISBLANK($C155),"",$C155)</f>
        <v/>
      </c>
      <c r="BQ155" s="94" t="str">
        <f aca="false">IF(ISBLANK($C155),"",$D155)</f>
        <v/>
      </c>
      <c r="BR155" s="95" t="str">
        <f aca="false">BF155</f>
        <v/>
      </c>
      <c r="BS155" s="96" t="str">
        <f aca="false">BE155</f>
        <v/>
      </c>
      <c r="BT155" s="94" t="str">
        <f aca="false">IF(ISBLANK($C155),"",BH155)</f>
        <v/>
      </c>
      <c r="BU155" s="97" t="str">
        <f aca="false">IF($BL155&gt;$BK$7,"",VLOOKUP($BL155,$BN$8:$BT$507,7,FALSE()))</f>
        <v/>
      </c>
      <c r="BV155" s="98" t="str">
        <f aca="false">IF($BL155&gt;$BK$7,"",VLOOKUP($BL155,$BN$8:$BT$507,2,FALSE()))</f>
        <v/>
      </c>
      <c r="BW155" s="98" t="str">
        <f aca="false">IF($BL155&gt;$BK$7,"",VLOOKUP($BL155,$BN$8:$BT$507,3,FALSE()))</f>
        <v/>
      </c>
      <c r="BX155" s="98" t="str">
        <f aca="false">IF($BL155&gt;$BK$7,"",VLOOKUP($BL155,$BN$8:$BT$507,4,FALSE()))</f>
        <v/>
      </c>
      <c r="BY155" s="98" t="str">
        <f aca="false">IF($BL155&gt;$BK$7,"",VLOOKUP($BL155,$BN$8:$BT$507,5,FALSE()))</f>
        <v/>
      </c>
      <c r="BZ155" s="99" t="str">
        <f aca="false">IF($BL155&gt;$BK$7,"",VLOOKUP($BL155,$BN$8:$BT$507,6,FALSE()))</f>
        <v/>
      </c>
      <c r="CA155" s="48"/>
    </row>
    <row r="156" customFormat="false" ht="15.75" hidden="false" customHeight="false" outlineLevel="0" collapsed="false">
      <c r="A156" s="5"/>
      <c r="B156" s="114"/>
      <c r="C156" s="115"/>
      <c r="D156" s="100"/>
      <c r="E156" s="120"/>
      <c r="F156" s="125"/>
      <c r="G156" s="82"/>
      <c r="H156" s="126"/>
      <c r="I156" s="127"/>
      <c r="J156" s="82"/>
      <c r="K156" s="126"/>
      <c r="L156" s="82"/>
      <c r="M156" s="126"/>
      <c r="N156" s="82"/>
      <c r="O156" s="126"/>
      <c r="P156" s="82"/>
      <c r="Q156" s="126"/>
      <c r="R156" s="82"/>
      <c r="S156" s="120"/>
      <c r="T156" s="86"/>
      <c r="U156" s="87" t="str">
        <f aca="false">IF(ISBLANK($C156),"",IF(E156=Constants!$B$2, TRUE(), IF(E156=Constants!$B$3, FALSE(), TRUE())))</f>
        <v/>
      </c>
      <c r="V156" s="87" t="str">
        <f aca="false">IF(ISBLANK($C156),"",IF(F156=Constants!$B$2, TRUE(), IF(F156=Constants!$B$3, FALSE(), TRUE())))</f>
        <v/>
      </c>
      <c r="W156" s="87" t="str">
        <f aca="false">IF(ISBLANK($C156),"",IF(G156=Constants!$B$15,Constants!$B$8,IF(G156=Constants!$B$16,Constants!$B$9,Constants!$B$10)))</f>
        <v/>
      </c>
      <c r="X156" s="87" t="str">
        <f aca="false">IF(ISBLANK($C156),"",IF(H156=Constants!$B$2, TRUE(), IF(H156=Constants!$B$3, FALSE(), TRUE())))</f>
        <v/>
      </c>
      <c r="Y156" s="87" t="str">
        <f aca="false">IF(ISBLANK($C156),"",IF(I156=Constants!$B$19,Constants!$B$19,Constants!$B$18))</f>
        <v/>
      </c>
      <c r="Z156" s="87" t="str">
        <f aca="false">IF(ISBLANK($C156),"",IF(ISNUMBER(J156),IF(J156&gt;=0,J156,""),""))</f>
        <v/>
      </c>
      <c r="AA156" s="87" t="str">
        <f aca="false">IF(ISBLANK($C156),"",IF(K156=Constants!$B$19,Constants!$B$19,Constants!$B$18))</f>
        <v/>
      </c>
      <c r="AB156" s="87" t="str">
        <f aca="false">IF(ISBLANK($C156),"",IF(ISNUMBER(L156),IF(L156&gt;=0,L156,""),""))</f>
        <v/>
      </c>
      <c r="AC156" s="87" t="str">
        <f aca="false">IF(ISBLANK($C156),"",IF(M156=Constants!$B$19,Constants!$B$19,Constants!$B$18))</f>
        <v/>
      </c>
      <c r="AD156" s="87" t="str">
        <f aca="false">IF(ISBLANK($C156),"",IF(ISNUMBER(N156),IF(N156&gt;=0,N156,""),""))</f>
        <v/>
      </c>
      <c r="AE156" s="87" t="str">
        <f aca="false">IF(ISBLANK($C156),"",IF(O156=Constants!$B$19,Constants!$B$19,Constants!$B$18))</f>
        <v/>
      </c>
      <c r="AF156" s="87" t="str">
        <f aca="false">IF(ISBLANK($C156),"",IF(ISNUMBER(P156),IF(P156&gt;=0,P156,""),""))</f>
        <v/>
      </c>
      <c r="AG156" s="87" t="str">
        <f aca="false">IF(ISBLANK($C156),"",IF(Q156=Constants!$B$19,Constants!$B$19,Constants!$B$18))</f>
        <v/>
      </c>
      <c r="AH156" s="87" t="str">
        <f aca="false">IF(ISBLANK($C156),"",IF(ISNUMBER(R156),IF(R156&gt;=0,R156,""),""))</f>
        <v/>
      </c>
      <c r="AI156" s="87" t="str">
        <f aca="false">IF(ISBLANK($C156),"",IF(S156=Constants!$B$2, TRUE(), IF(S156=Constants!$B$3, FALSE(), FALSE())))</f>
        <v/>
      </c>
      <c r="AJ156" s="87" t="str">
        <f aca="false">IF(ISBLANK($C156),"",IF(AI156,Constants!$B$4,IF(COUNTA(E156:R156)=0,Constants!$B$5,IF(COUNTA(J156,L156,N156,P156,R156)=0,Constants!$B$6,Constants!$B$7))))</f>
        <v/>
      </c>
      <c r="AK156" s="87" t="str">
        <f aca="false">IF(ISBLANK($C156),"",IF($AJ156&lt;&gt;Constants!$B$7,$AJ156,IF(OR(NOT(X156),AND(NOT(U156),COUNTIFS(Y156:AG156,Constants!$B$18,Z156:AH156,"&gt;=0")&gt;0),AND(NOT(V156),COUNTIFS(Y156:AG156,Constants!$B$19,Z156:AH156,"&gt;=0")&gt;0)),Constants!$B$12,Constants!$B$11)))</f>
        <v/>
      </c>
      <c r="AL156" s="87" t="str">
        <f aca="false">IF($AJ156=Constants!$B$7,IF(Z156="",Constants!$B$13,Z156),"")</f>
        <v/>
      </c>
      <c r="AM156" s="87" t="str">
        <f aca="false">IF($AJ156=Constants!$B$7,IF(AB156="",Constants!$B$13,AB156),"")</f>
        <v/>
      </c>
      <c r="AN156" s="87" t="str">
        <f aca="false">IF($AJ156=Constants!$B$7,IF(AD156="",Constants!$B$13,AD156),"")</f>
        <v/>
      </c>
      <c r="AO156" s="87" t="str">
        <f aca="false">IF($AJ156=Constants!$B$7,IF(AF156="",Constants!$B$13,AF156),"")</f>
        <v/>
      </c>
      <c r="AP156" s="87" t="str">
        <f aca="false">IF($AJ156=Constants!$B$7,IF(AH156="",Constants!$B$13,AH156),"")</f>
        <v/>
      </c>
      <c r="AQ156" s="87" t="str">
        <f aca="false">IF($AJ156=Constants!$B$7,IF(SUMPRODUCT(--($AL156:$AP156&gt;AL156))+SUMPRODUCT(--($AL156:AL156=AL156))=1,1,IF(SUMPRODUCT(--($AL156:$AP156&gt;AM156))+SUMPRODUCT(--($AL156:AM156=AM156))=1,2,IF(SUMPRODUCT(--($AL156:$AP156&gt;AN156))+SUMPRODUCT(--($AL156:AN156=AN156))=1,3,IF(SUMPRODUCT(--($AL156:$AP156&gt;AO156))+SUMPRODUCT(--($AL156:AO156=AO156))=1,4,5)))),"")</f>
        <v/>
      </c>
      <c r="AR156" s="87" t="str">
        <f aca="false">IF($AJ156=Constants!$B$7,IF(SUMPRODUCT(--($AL156:$AP156&gt;AL156))+SUMPRODUCT(--($AL156:AL156=AL156))=2,1,IF(SUMPRODUCT(--($AL156:$AP156&gt;AM156))+SUMPRODUCT(--($AL156:AM156=AM156))=2,2,IF(SUMPRODUCT(--($AL156:$AP156&gt;AN156))+SUMPRODUCT(--($AL156:AN156=AN156))=2,3,IF(SUMPRODUCT(--($AL156:$AP156&gt;AO156))+SUMPRODUCT(--($AL156:AO156=AO156))=2,4,5)))),"")</f>
        <v/>
      </c>
      <c r="AS156" s="87" t="str">
        <f aca="false">IF($AJ156=Constants!$B$7,IF(SUMPRODUCT(--($AL156:$AP156&gt;AL156))+SUMPRODUCT(--($AL156:AL156=AL156))=3,1,IF(SUMPRODUCT(--($AL156:$AP156&gt;AM156))+SUMPRODUCT(--($AL156:AM156=AM156))=3,2,IF(SUMPRODUCT(--($AL156:$AP156&gt;AN156))+SUMPRODUCT(--($AL156:AN156=AN156))=3,3,IF(SUMPRODUCT(--($AL156:$AP156&gt;AO156))+SUMPRODUCT(--($AL156:AO156=AO156))=3,4,5)))),"")</f>
        <v/>
      </c>
      <c r="AT156" s="87" t="str">
        <f aca="false">IF($AJ156=Constants!$B$7,LARGE(AL156:AP156,1)+LARGE(AL156:AP156,2)+LARGE(AL156:AP156,3),"")</f>
        <v/>
      </c>
      <c r="AU156" s="87" t="str">
        <f aca="false">IF(ISBLANK($C156),"",IF($AJ156&lt;&gt;Constants!$B$7,$AJ156,AT156*W156))</f>
        <v/>
      </c>
      <c r="AV156" s="87" t="str">
        <f aca="false">IF(ISBLANK($C156),"",IF($AJ156=Constants!$B$7,IF(ISNUMBER(AU156),RANK(AU156,$AU$8:$AU$507),Constants!$B$14),$AJ156))</f>
        <v/>
      </c>
      <c r="AW156" s="87" t="str">
        <f aca="false">IF(ISBLANK($C156),"",IF($AJ156=Constants!$B$7,IF(ISNUMBER(AV156),COUNTIFS($AK$8:$AK$507,"&lt;"&amp;$AK156)+COUNTIFS($AK$8:$AK$507,$AK156,$AV$8:$AV$507,"&lt;"&amp;$AV156)+1,Constants!$B$14),$AJ156))</f>
        <v/>
      </c>
      <c r="AX156" s="87" t="str">
        <f aca="false">IF(ISBLANK($C156),"",IF($AJ156=Constants!$B$7,LARGE(AL156:AP156,4)*W156,""))</f>
        <v/>
      </c>
      <c r="AY156" s="87" t="str">
        <f aca="false">IF(ISBLANK($C156),"",IF($AJ156=Constants!$B$7,RANK(AX156,$AX$8:$AX$507),$AJ156))</f>
        <v/>
      </c>
      <c r="AZ156" s="87" t="str">
        <f aca="false">IF(ISBLANK($C156),"",IF($AJ156=Constants!$B$7,IF(ISNUMBER(AV156),COUNTIFS($AK$8:$AK$507,"&lt;"&amp;$AK156)+COUNTIFS($AK$8:$AK$507,$AK156,$AV$8:$AV$507,"&lt;"&amp;$AV156)+COUNTIFS($AK$8:$AK$507,$AK156,$AV$8:$AV$507,$AV156,$AY$8:$AY$507,"&lt;"&amp;$AY156)+1,Constants!$B$14),$AJ156))</f>
        <v/>
      </c>
      <c r="BA156" s="87" t="str">
        <f aca="false">IF(ISBLANK($C156),"",IF($AJ156=Constants!$B$7,IF(ISNUMBER(AW156),AW156-AZ156,Constants!$B$14),$AJ156))</f>
        <v/>
      </c>
      <c r="BB156" s="88"/>
      <c r="BC156" s="89" t="str">
        <f aca="false">IF(ISBLANK($C156),"",IF($AJ156&lt;&gt;Constants!$B$7,$AJ156,SMALL(AQ156:AS156,1)&amp;", "&amp;SMALL(AQ156:AS156,2)&amp;", "&amp;SMALL(AQ156:AS156,3)))</f>
        <v/>
      </c>
      <c r="BD156" s="90" t="str">
        <f aca="false">IF(ISBLANK($C156),"",IF($AJ156&lt;&gt;Constants!$B$7,$AJ156,W156))</f>
        <v/>
      </c>
      <c r="BE156" s="91" t="str">
        <f aca="false">IF(ISBLANK($C156),"",IF($AJ156&lt;&gt;Constants!$B$7,$AJ156,AU156))</f>
        <v/>
      </c>
      <c r="BF156" s="92" t="str">
        <f aca="false">IF(ISBLANK($C156),"",IF($AJ156&lt;&gt;Constants!$B$7,$AJ156,AK156))</f>
        <v/>
      </c>
      <c r="BG156" s="90" t="str">
        <f aca="false">IF(ISBLANK($C156),"",BA156)</f>
        <v/>
      </c>
      <c r="BH156" s="90" t="str">
        <f aca="false">IF(ISBLANK($C156),"",AZ156)</f>
        <v/>
      </c>
      <c r="BI156" s="93" t="str">
        <f aca="false">IF(ISBLANK($C156),"",IF(BH156=Constants!$B$4,COUNTA($C$8:$C$507)+2,IF(BH156=Constants!$B$5,COUNTA($C$8:$C$507)+1,IF(BH156=Constants!$B$6,COUNTA($C$8:$C$507),BH156))))</f>
        <v/>
      </c>
      <c r="BJ156" s="5"/>
      <c r="BK156" s="94" t="n">
        <f aca="false">IF(OR(ISNUMBER(BH156),BH156=Constants!$B$4,BH156=Constants!$B$6,BH156=Constants!$B$5),1,0)</f>
        <v>0</v>
      </c>
      <c r="BL156" s="94" t="n">
        <v>149</v>
      </c>
      <c r="BM156" s="94" t="str">
        <f aca="false">IF(ISBLANK($C156),"",IF(ISNUMBER(BI156),BI156+ROW($B156)/1000,""))</f>
        <v/>
      </c>
      <c r="BN156" s="94" t="str">
        <f aca="false">IF(ISNUMBER(BM156),RANK(BM156,$BM$8:$BM$507,1),"")</f>
        <v/>
      </c>
      <c r="BO156" s="94" t="str">
        <f aca="false">IF(ISBLANK($C156),"",$B156)</f>
        <v/>
      </c>
      <c r="BP156" s="94" t="str">
        <f aca="false">IF(ISBLANK($C156),"",$C156)</f>
        <v/>
      </c>
      <c r="BQ156" s="94" t="str">
        <f aca="false">IF(ISBLANK($C156),"",$D156)</f>
        <v/>
      </c>
      <c r="BR156" s="95" t="str">
        <f aca="false">BF156</f>
        <v/>
      </c>
      <c r="BS156" s="96" t="str">
        <f aca="false">BE156</f>
        <v/>
      </c>
      <c r="BT156" s="94" t="str">
        <f aca="false">IF(ISBLANK($C156),"",BH156)</f>
        <v/>
      </c>
      <c r="BU156" s="97" t="str">
        <f aca="false">IF($BL156&gt;$BK$7,"",VLOOKUP($BL156,$BN$8:$BT$507,7,FALSE()))</f>
        <v/>
      </c>
      <c r="BV156" s="98" t="str">
        <f aca="false">IF($BL156&gt;$BK$7,"",VLOOKUP($BL156,$BN$8:$BT$507,2,FALSE()))</f>
        <v/>
      </c>
      <c r="BW156" s="98" t="str">
        <f aca="false">IF($BL156&gt;$BK$7,"",VLOOKUP($BL156,$BN$8:$BT$507,3,FALSE()))</f>
        <v/>
      </c>
      <c r="BX156" s="98" t="str">
        <f aca="false">IF($BL156&gt;$BK$7,"",VLOOKUP($BL156,$BN$8:$BT$507,4,FALSE()))</f>
        <v/>
      </c>
      <c r="BY156" s="98" t="str">
        <f aca="false">IF($BL156&gt;$BK$7,"",VLOOKUP($BL156,$BN$8:$BT$507,5,FALSE()))</f>
        <v/>
      </c>
      <c r="BZ156" s="99" t="str">
        <f aca="false">IF($BL156&gt;$BK$7,"",VLOOKUP($BL156,$BN$8:$BT$507,6,FALSE()))</f>
        <v/>
      </c>
      <c r="CA156" s="48"/>
    </row>
    <row r="157" customFormat="false" ht="15.75" hidden="false" customHeight="false" outlineLevel="0" collapsed="false">
      <c r="A157" s="5"/>
      <c r="B157" s="114"/>
      <c r="C157" s="115"/>
      <c r="D157" s="100"/>
      <c r="E157" s="120"/>
      <c r="F157" s="125"/>
      <c r="G157" s="82"/>
      <c r="H157" s="126"/>
      <c r="I157" s="127"/>
      <c r="J157" s="82"/>
      <c r="K157" s="126"/>
      <c r="L157" s="82"/>
      <c r="M157" s="126"/>
      <c r="N157" s="82"/>
      <c r="O157" s="126"/>
      <c r="P157" s="82"/>
      <c r="Q157" s="126"/>
      <c r="R157" s="82"/>
      <c r="S157" s="120"/>
      <c r="T157" s="86"/>
      <c r="U157" s="87" t="str">
        <f aca="false">IF(ISBLANK($C157),"",IF(E157=Constants!$B$2, TRUE(), IF(E157=Constants!$B$3, FALSE(), TRUE())))</f>
        <v/>
      </c>
      <c r="V157" s="87" t="str">
        <f aca="false">IF(ISBLANK($C157),"",IF(F157=Constants!$B$2, TRUE(), IF(F157=Constants!$B$3, FALSE(), TRUE())))</f>
        <v/>
      </c>
      <c r="W157" s="87" t="str">
        <f aca="false">IF(ISBLANK($C157),"",IF(G157=Constants!$B$15,Constants!$B$8,IF(G157=Constants!$B$16,Constants!$B$9,Constants!$B$10)))</f>
        <v/>
      </c>
      <c r="X157" s="87" t="str">
        <f aca="false">IF(ISBLANK($C157),"",IF(H157=Constants!$B$2, TRUE(), IF(H157=Constants!$B$3, FALSE(), TRUE())))</f>
        <v/>
      </c>
      <c r="Y157" s="87" t="str">
        <f aca="false">IF(ISBLANK($C157),"",IF(I157=Constants!$B$19,Constants!$B$19,Constants!$B$18))</f>
        <v/>
      </c>
      <c r="Z157" s="87" t="str">
        <f aca="false">IF(ISBLANK($C157),"",IF(ISNUMBER(J157),IF(J157&gt;=0,J157,""),""))</f>
        <v/>
      </c>
      <c r="AA157" s="87" t="str">
        <f aca="false">IF(ISBLANK($C157),"",IF(K157=Constants!$B$19,Constants!$B$19,Constants!$B$18))</f>
        <v/>
      </c>
      <c r="AB157" s="87" t="str">
        <f aca="false">IF(ISBLANK($C157),"",IF(ISNUMBER(L157),IF(L157&gt;=0,L157,""),""))</f>
        <v/>
      </c>
      <c r="AC157" s="87" t="str">
        <f aca="false">IF(ISBLANK($C157),"",IF(M157=Constants!$B$19,Constants!$B$19,Constants!$B$18))</f>
        <v/>
      </c>
      <c r="AD157" s="87" t="str">
        <f aca="false">IF(ISBLANK($C157),"",IF(ISNUMBER(N157),IF(N157&gt;=0,N157,""),""))</f>
        <v/>
      </c>
      <c r="AE157" s="87" t="str">
        <f aca="false">IF(ISBLANK($C157),"",IF(O157=Constants!$B$19,Constants!$B$19,Constants!$B$18))</f>
        <v/>
      </c>
      <c r="AF157" s="87" t="str">
        <f aca="false">IF(ISBLANK($C157),"",IF(ISNUMBER(P157),IF(P157&gt;=0,P157,""),""))</f>
        <v/>
      </c>
      <c r="AG157" s="87" t="str">
        <f aca="false">IF(ISBLANK($C157),"",IF(Q157=Constants!$B$19,Constants!$B$19,Constants!$B$18))</f>
        <v/>
      </c>
      <c r="AH157" s="87" t="str">
        <f aca="false">IF(ISBLANK($C157),"",IF(ISNUMBER(R157),IF(R157&gt;=0,R157,""),""))</f>
        <v/>
      </c>
      <c r="AI157" s="87" t="str">
        <f aca="false">IF(ISBLANK($C157),"",IF(S157=Constants!$B$2, TRUE(), IF(S157=Constants!$B$3, FALSE(), FALSE())))</f>
        <v/>
      </c>
      <c r="AJ157" s="87" t="str">
        <f aca="false">IF(ISBLANK($C157),"",IF(AI157,Constants!$B$4,IF(COUNTA(E157:R157)=0,Constants!$B$5,IF(COUNTA(J157,L157,N157,P157,R157)=0,Constants!$B$6,Constants!$B$7))))</f>
        <v/>
      </c>
      <c r="AK157" s="87" t="str">
        <f aca="false">IF(ISBLANK($C157),"",IF($AJ157&lt;&gt;Constants!$B$7,$AJ157,IF(OR(NOT(X157),AND(NOT(U157),COUNTIFS(Y157:AG157,Constants!$B$18,Z157:AH157,"&gt;=0")&gt;0),AND(NOT(V157),COUNTIFS(Y157:AG157,Constants!$B$19,Z157:AH157,"&gt;=0")&gt;0)),Constants!$B$12,Constants!$B$11)))</f>
        <v/>
      </c>
      <c r="AL157" s="87" t="str">
        <f aca="false">IF($AJ157=Constants!$B$7,IF(Z157="",Constants!$B$13,Z157),"")</f>
        <v/>
      </c>
      <c r="AM157" s="87" t="str">
        <f aca="false">IF($AJ157=Constants!$B$7,IF(AB157="",Constants!$B$13,AB157),"")</f>
        <v/>
      </c>
      <c r="AN157" s="87" t="str">
        <f aca="false">IF($AJ157=Constants!$B$7,IF(AD157="",Constants!$B$13,AD157),"")</f>
        <v/>
      </c>
      <c r="AO157" s="87" t="str">
        <f aca="false">IF($AJ157=Constants!$B$7,IF(AF157="",Constants!$B$13,AF157),"")</f>
        <v/>
      </c>
      <c r="AP157" s="87" t="str">
        <f aca="false">IF($AJ157=Constants!$B$7,IF(AH157="",Constants!$B$13,AH157),"")</f>
        <v/>
      </c>
      <c r="AQ157" s="87" t="str">
        <f aca="false">IF($AJ157=Constants!$B$7,IF(SUMPRODUCT(--($AL157:$AP157&gt;AL157))+SUMPRODUCT(--($AL157:AL157=AL157))=1,1,IF(SUMPRODUCT(--($AL157:$AP157&gt;AM157))+SUMPRODUCT(--($AL157:AM157=AM157))=1,2,IF(SUMPRODUCT(--($AL157:$AP157&gt;AN157))+SUMPRODUCT(--($AL157:AN157=AN157))=1,3,IF(SUMPRODUCT(--($AL157:$AP157&gt;AO157))+SUMPRODUCT(--($AL157:AO157=AO157))=1,4,5)))),"")</f>
        <v/>
      </c>
      <c r="AR157" s="87" t="str">
        <f aca="false">IF($AJ157=Constants!$B$7,IF(SUMPRODUCT(--($AL157:$AP157&gt;AL157))+SUMPRODUCT(--($AL157:AL157=AL157))=2,1,IF(SUMPRODUCT(--($AL157:$AP157&gt;AM157))+SUMPRODUCT(--($AL157:AM157=AM157))=2,2,IF(SUMPRODUCT(--($AL157:$AP157&gt;AN157))+SUMPRODUCT(--($AL157:AN157=AN157))=2,3,IF(SUMPRODUCT(--($AL157:$AP157&gt;AO157))+SUMPRODUCT(--($AL157:AO157=AO157))=2,4,5)))),"")</f>
        <v/>
      </c>
      <c r="AS157" s="87" t="str">
        <f aca="false">IF($AJ157=Constants!$B$7,IF(SUMPRODUCT(--($AL157:$AP157&gt;AL157))+SUMPRODUCT(--($AL157:AL157=AL157))=3,1,IF(SUMPRODUCT(--($AL157:$AP157&gt;AM157))+SUMPRODUCT(--($AL157:AM157=AM157))=3,2,IF(SUMPRODUCT(--($AL157:$AP157&gt;AN157))+SUMPRODUCT(--($AL157:AN157=AN157))=3,3,IF(SUMPRODUCT(--($AL157:$AP157&gt;AO157))+SUMPRODUCT(--($AL157:AO157=AO157))=3,4,5)))),"")</f>
        <v/>
      </c>
      <c r="AT157" s="87" t="str">
        <f aca="false">IF($AJ157=Constants!$B$7,LARGE(AL157:AP157,1)+LARGE(AL157:AP157,2)+LARGE(AL157:AP157,3),"")</f>
        <v/>
      </c>
      <c r="AU157" s="87" t="str">
        <f aca="false">IF(ISBLANK($C157),"",IF($AJ157&lt;&gt;Constants!$B$7,$AJ157,AT157*W157))</f>
        <v/>
      </c>
      <c r="AV157" s="87" t="str">
        <f aca="false">IF(ISBLANK($C157),"",IF($AJ157=Constants!$B$7,IF(ISNUMBER(AU157),RANK(AU157,$AU$8:$AU$507),Constants!$B$14),$AJ157))</f>
        <v/>
      </c>
      <c r="AW157" s="87" t="str">
        <f aca="false">IF(ISBLANK($C157),"",IF($AJ157=Constants!$B$7,IF(ISNUMBER(AV157),COUNTIFS($AK$8:$AK$507,"&lt;"&amp;$AK157)+COUNTIFS($AK$8:$AK$507,$AK157,$AV$8:$AV$507,"&lt;"&amp;$AV157)+1,Constants!$B$14),$AJ157))</f>
        <v/>
      </c>
      <c r="AX157" s="87" t="str">
        <f aca="false">IF(ISBLANK($C157),"",IF($AJ157=Constants!$B$7,LARGE(AL157:AP157,4)*W157,""))</f>
        <v/>
      </c>
      <c r="AY157" s="87" t="str">
        <f aca="false">IF(ISBLANK($C157),"",IF($AJ157=Constants!$B$7,RANK(AX157,$AX$8:$AX$507),$AJ157))</f>
        <v/>
      </c>
      <c r="AZ157" s="87" t="str">
        <f aca="false">IF(ISBLANK($C157),"",IF($AJ157=Constants!$B$7,IF(ISNUMBER(AV157),COUNTIFS($AK$8:$AK$507,"&lt;"&amp;$AK157)+COUNTIFS($AK$8:$AK$507,$AK157,$AV$8:$AV$507,"&lt;"&amp;$AV157)+COUNTIFS($AK$8:$AK$507,$AK157,$AV$8:$AV$507,$AV157,$AY$8:$AY$507,"&lt;"&amp;$AY157)+1,Constants!$B$14),$AJ157))</f>
        <v/>
      </c>
      <c r="BA157" s="87" t="str">
        <f aca="false">IF(ISBLANK($C157),"",IF($AJ157=Constants!$B$7,IF(ISNUMBER(AW157),AW157-AZ157,Constants!$B$14),$AJ157))</f>
        <v/>
      </c>
      <c r="BB157" s="88"/>
      <c r="BC157" s="89" t="str">
        <f aca="false">IF(ISBLANK($C157),"",IF($AJ157&lt;&gt;Constants!$B$7,$AJ157,SMALL(AQ157:AS157,1)&amp;", "&amp;SMALL(AQ157:AS157,2)&amp;", "&amp;SMALL(AQ157:AS157,3)))</f>
        <v/>
      </c>
      <c r="BD157" s="90" t="str">
        <f aca="false">IF(ISBLANK($C157),"",IF($AJ157&lt;&gt;Constants!$B$7,$AJ157,W157))</f>
        <v/>
      </c>
      <c r="BE157" s="91" t="str">
        <f aca="false">IF(ISBLANK($C157),"",IF($AJ157&lt;&gt;Constants!$B$7,$AJ157,AU157))</f>
        <v/>
      </c>
      <c r="BF157" s="92" t="str">
        <f aca="false">IF(ISBLANK($C157),"",IF($AJ157&lt;&gt;Constants!$B$7,$AJ157,AK157))</f>
        <v/>
      </c>
      <c r="BG157" s="90" t="str">
        <f aca="false">IF(ISBLANK($C157),"",BA157)</f>
        <v/>
      </c>
      <c r="BH157" s="90" t="str">
        <f aca="false">IF(ISBLANK($C157),"",AZ157)</f>
        <v/>
      </c>
      <c r="BI157" s="93" t="str">
        <f aca="false">IF(ISBLANK($C157),"",IF(BH157=Constants!$B$4,COUNTA($C$8:$C$507)+2,IF(BH157=Constants!$B$5,COUNTA($C$8:$C$507)+1,IF(BH157=Constants!$B$6,COUNTA($C$8:$C$507),BH157))))</f>
        <v/>
      </c>
      <c r="BJ157" s="5"/>
      <c r="BK157" s="94" t="n">
        <f aca="false">IF(OR(ISNUMBER(BH157),BH157=Constants!$B$4,BH157=Constants!$B$6,BH157=Constants!$B$5),1,0)</f>
        <v>0</v>
      </c>
      <c r="BL157" s="94" t="n">
        <v>150</v>
      </c>
      <c r="BM157" s="94" t="str">
        <f aca="false">IF(ISBLANK($C157),"",IF(ISNUMBER(BI157),BI157+ROW($B157)/1000,""))</f>
        <v/>
      </c>
      <c r="BN157" s="94" t="str">
        <f aca="false">IF(ISNUMBER(BM157),RANK(BM157,$BM$8:$BM$507,1),"")</f>
        <v/>
      </c>
      <c r="BO157" s="94" t="str">
        <f aca="false">IF(ISBLANK($C157),"",$B157)</f>
        <v/>
      </c>
      <c r="BP157" s="94" t="str">
        <f aca="false">IF(ISBLANK($C157),"",$C157)</f>
        <v/>
      </c>
      <c r="BQ157" s="94" t="str">
        <f aca="false">IF(ISBLANK($C157),"",$D157)</f>
        <v/>
      </c>
      <c r="BR157" s="95" t="str">
        <f aca="false">BF157</f>
        <v/>
      </c>
      <c r="BS157" s="96" t="str">
        <f aca="false">BE157</f>
        <v/>
      </c>
      <c r="BT157" s="94" t="str">
        <f aca="false">IF(ISBLANK($C157),"",BH157)</f>
        <v/>
      </c>
      <c r="BU157" s="97" t="str">
        <f aca="false">IF($BL157&gt;$BK$7,"",VLOOKUP($BL157,$BN$8:$BT$507,7,FALSE()))</f>
        <v/>
      </c>
      <c r="BV157" s="98" t="str">
        <f aca="false">IF($BL157&gt;$BK$7,"",VLOOKUP($BL157,$BN$8:$BT$507,2,FALSE()))</f>
        <v/>
      </c>
      <c r="BW157" s="98" t="str">
        <f aca="false">IF($BL157&gt;$BK$7,"",VLOOKUP($BL157,$BN$8:$BT$507,3,FALSE()))</f>
        <v/>
      </c>
      <c r="BX157" s="98" t="str">
        <f aca="false">IF($BL157&gt;$BK$7,"",VLOOKUP($BL157,$BN$8:$BT$507,4,FALSE()))</f>
        <v/>
      </c>
      <c r="BY157" s="98" t="str">
        <f aca="false">IF($BL157&gt;$BK$7,"",VLOOKUP($BL157,$BN$8:$BT$507,5,FALSE()))</f>
        <v/>
      </c>
      <c r="BZ157" s="99" t="str">
        <f aca="false">IF($BL157&gt;$BK$7,"",VLOOKUP($BL157,$BN$8:$BT$507,6,FALSE()))</f>
        <v/>
      </c>
      <c r="CA157" s="48"/>
    </row>
    <row r="158" customFormat="false" ht="15.75" hidden="false" customHeight="false" outlineLevel="0" collapsed="false">
      <c r="A158" s="5"/>
      <c r="B158" s="121"/>
      <c r="C158" s="50"/>
      <c r="D158" s="51"/>
      <c r="E158" s="74"/>
      <c r="F158" s="122"/>
      <c r="G158" s="54"/>
      <c r="H158" s="123"/>
      <c r="I158" s="124"/>
      <c r="J158" s="54"/>
      <c r="K158" s="123"/>
      <c r="L158" s="54"/>
      <c r="M158" s="123"/>
      <c r="N158" s="54"/>
      <c r="O158" s="123"/>
      <c r="P158" s="54"/>
      <c r="Q158" s="123"/>
      <c r="R158" s="54"/>
      <c r="S158" s="74"/>
      <c r="T158" s="58"/>
      <c r="U158" s="59" t="str">
        <f aca="false">IF(ISBLANK($C158),"",IF(E158=Constants!$B$2, TRUE(), IF(E158=Constants!$B$3, FALSE(), TRUE())))</f>
        <v/>
      </c>
      <c r="V158" s="59" t="str">
        <f aca="false">IF(ISBLANK($C158),"",IF(F158=Constants!$B$2, TRUE(), IF(F158=Constants!$B$3, FALSE(), TRUE())))</f>
        <v/>
      </c>
      <c r="W158" s="59" t="str">
        <f aca="false">IF(ISBLANK($C158),"",IF(G158=Constants!$B$15,Constants!$B$8,IF(G158=Constants!$B$16,Constants!$B$9,Constants!$B$10)))</f>
        <v/>
      </c>
      <c r="X158" s="59" t="str">
        <f aca="false">IF(ISBLANK($C158),"",IF(H158=Constants!$B$2, TRUE(), IF(H158=Constants!$B$3, FALSE(), TRUE())))</f>
        <v/>
      </c>
      <c r="Y158" s="59" t="str">
        <f aca="false">IF(ISBLANK($C158),"",IF(I158=Constants!$B$19,Constants!$B$19,Constants!$B$18))</f>
        <v/>
      </c>
      <c r="Z158" s="59" t="str">
        <f aca="false">IF(ISBLANK($C158),"",IF(ISNUMBER(J158),IF(J158&gt;=0,J158,""),""))</f>
        <v/>
      </c>
      <c r="AA158" s="59" t="str">
        <f aca="false">IF(ISBLANK($C158),"",IF(K158=Constants!$B$19,Constants!$B$19,Constants!$B$18))</f>
        <v/>
      </c>
      <c r="AB158" s="59" t="str">
        <f aca="false">IF(ISBLANK($C158),"",IF(ISNUMBER(L158),IF(L158&gt;=0,L158,""),""))</f>
        <v/>
      </c>
      <c r="AC158" s="59" t="str">
        <f aca="false">IF(ISBLANK($C158),"",IF(M158=Constants!$B$19,Constants!$B$19,Constants!$B$18))</f>
        <v/>
      </c>
      <c r="AD158" s="59" t="str">
        <f aca="false">IF(ISBLANK($C158),"",IF(ISNUMBER(N158),IF(N158&gt;=0,N158,""),""))</f>
        <v/>
      </c>
      <c r="AE158" s="59" t="str">
        <f aca="false">IF(ISBLANK($C158),"",IF(O158=Constants!$B$19,Constants!$B$19,Constants!$B$18))</f>
        <v/>
      </c>
      <c r="AF158" s="59" t="str">
        <f aca="false">IF(ISBLANK($C158),"",IF(ISNUMBER(P158),IF(P158&gt;=0,P158,""),""))</f>
        <v/>
      </c>
      <c r="AG158" s="59" t="str">
        <f aca="false">IF(ISBLANK($C158),"",IF(Q158=Constants!$B$19,Constants!$B$19,Constants!$B$18))</f>
        <v/>
      </c>
      <c r="AH158" s="59" t="str">
        <f aca="false">IF(ISBLANK($C158),"",IF(ISNUMBER(R158),IF(R158&gt;=0,R158,""),""))</f>
        <v/>
      </c>
      <c r="AI158" s="59" t="str">
        <f aca="false">IF(ISBLANK($C158),"",IF(S158=Constants!$B$2, TRUE(), IF(S158=Constants!$B$3, FALSE(), FALSE())))</f>
        <v/>
      </c>
      <c r="AJ158" s="59" t="str">
        <f aca="false">IF(ISBLANK($C158),"",IF(AI158,Constants!$B$4,IF(COUNTA(E158:R158)=0,Constants!$B$5,IF(COUNTA(J158,L158,N158,P158,R158)=0,Constants!$B$6,Constants!$B$7))))</f>
        <v/>
      </c>
      <c r="AK158" s="59" t="str">
        <f aca="false">IF(ISBLANK($C158),"",IF($AJ158&lt;&gt;Constants!$B$7,$AJ158,IF(OR(NOT(X158),AND(NOT(U158),COUNTIFS(Y158:AG158,Constants!$B$18,Z158:AH158,"&gt;=0")&gt;0),AND(NOT(V158),COUNTIFS(Y158:AG158,Constants!$B$19,Z158:AH158,"&gt;=0")&gt;0)),Constants!$B$12,Constants!$B$11)))</f>
        <v/>
      </c>
      <c r="AL158" s="59" t="str">
        <f aca="false">IF($AJ158=Constants!$B$7,IF(Z158="",Constants!$B$13,Z158),"")</f>
        <v/>
      </c>
      <c r="AM158" s="59" t="str">
        <f aca="false">IF($AJ158=Constants!$B$7,IF(AB158="",Constants!$B$13,AB158),"")</f>
        <v/>
      </c>
      <c r="AN158" s="59" t="str">
        <f aca="false">IF($AJ158=Constants!$B$7,IF(AD158="",Constants!$B$13,AD158),"")</f>
        <v/>
      </c>
      <c r="AO158" s="59" t="str">
        <f aca="false">IF($AJ158=Constants!$B$7,IF(AF158="",Constants!$B$13,AF158),"")</f>
        <v/>
      </c>
      <c r="AP158" s="59" t="str">
        <f aca="false">IF($AJ158=Constants!$B$7,IF(AH158="",Constants!$B$13,AH158),"")</f>
        <v/>
      </c>
      <c r="AQ158" s="59" t="str">
        <f aca="false">IF($AJ158=Constants!$B$7,IF(SUMPRODUCT(--($AL158:$AP158&gt;AL158))+SUMPRODUCT(--($AL158:AL158=AL158))=1,1,IF(SUMPRODUCT(--($AL158:$AP158&gt;AM158))+SUMPRODUCT(--($AL158:AM158=AM158))=1,2,IF(SUMPRODUCT(--($AL158:$AP158&gt;AN158))+SUMPRODUCT(--($AL158:AN158=AN158))=1,3,IF(SUMPRODUCT(--($AL158:$AP158&gt;AO158))+SUMPRODUCT(--($AL158:AO158=AO158))=1,4,5)))),"")</f>
        <v/>
      </c>
      <c r="AR158" s="59" t="str">
        <f aca="false">IF($AJ158=Constants!$B$7,IF(SUMPRODUCT(--($AL158:$AP158&gt;AL158))+SUMPRODUCT(--($AL158:AL158=AL158))=2,1,IF(SUMPRODUCT(--($AL158:$AP158&gt;AM158))+SUMPRODUCT(--($AL158:AM158=AM158))=2,2,IF(SUMPRODUCT(--($AL158:$AP158&gt;AN158))+SUMPRODUCT(--($AL158:AN158=AN158))=2,3,IF(SUMPRODUCT(--($AL158:$AP158&gt;AO158))+SUMPRODUCT(--($AL158:AO158=AO158))=2,4,5)))),"")</f>
        <v/>
      </c>
      <c r="AS158" s="59" t="str">
        <f aca="false">IF($AJ158=Constants!$B$7,IF(SUMPRODUCT(--($AL158:$AP158&gt;AL158))+SUMPRODUCT(--($AL158:AL158=AL158))=3,1,IF(SUMPRODUCT(--($AL158:$AP158&gt;AM158))+SUMPRODUCT(--($AL158:AM158=AM158))=3,2,IF(SUMPRODUCT(--($AL158:$AP158&gt;AN158))+SUMPRODUCT(--($AL158:AN158=AN158))=3,3,IF(SUMPRODUCT(--($AL158:$AP158&gt;AO158))+SUMPRODUCT(--($AL158:AO158=AO158))=3,4,5)))),"")</f>
        <v/>
      </c>
      <c r="AT158" s="59" t="str">
        <f aca="false">IF($AJ158=Constants!$B$7,LARGE(AL158:AP158,1)+LARGE(AL158:AP158,2)+LARGE(AL158:AP158,3),"")</f>
        <v/>
      </c>
      <c r="AU158" s="59" t="str">
        <f aca="false">IF(ISBLANK($C158),"",IF($AJ158&lt;&gt;Constants!$B$7,$AJ158,AT158*W158))</f>
        <v/>
      </c>
      <c r="AV158" s="59" t="str">
        <f aca="false">IF(ISBLANK($C158),"",IF($AJ158=Constants!$B$7,IF(ISNUMBER(AU158),RANK(AU158,$AU$8:$AU$507),Constants!$B$14),$AJ158))</f>
        <v/>
      </c>
      <c r="AW158" s="59" t="str">
        <f aca="false">IF(ISBLANK($C158),"",IF($AJ158=Constants!$B$7,IF(ISNUMBER(AV158),COUNTIFS($AK$8:$AK$507,"&lt;"&amp;$AK158)+COUNTIFS($AK$8:$AK$507,$AK158,$AV$8:$AV$507,"&lt;"&amp;$AV158)+1,Constants!$B$14),$AJ158))</f>
        <v/>
      </c>
      <c r="AX158" s="59" t="str">
        <f aca="false">IF(ISBLANK($C158),"",IF($AJ158=Constants!$B$7,LARGE(AL158:AP158,4)*W158,""))</f>
        <v/>
      </c>
      <c r="AY158" s="59" t="str">
        <f aca="false">IF(ISBLANK($C158),"",IF($AJ158=Constants!$B$7,RANK(AX158,$AX$8:$AX$507),$AJ158))</f>
        <v/>
      </c>
      <c r="AZ158" s="59" t="str">
        <f aca="false">IF(ISBLANK($C158),"",IF($AJ158=Constants!$B$7,IF(ISNUMBER(AV158),COUNTIFS($AK$8:$AK$507,"&lt;"&amp;$AK158)+COUNTIFS($AK$8:$AK$507,$AK158,$AV$8:$AV$507,"&lt;"&amp;$AV158)+COUNTIFS($AK$8:$AK$507,$AK158,$AV$8:$AV$507,$AV158,$AY$8:$AY$507,"&lt;"&amp;$AY158)+1,Constants!$B$14),$AJ158))</f>
        <v/>
      </c>
      <c r="BA158" s="59" t="str">
        <f aca="false">IF(ISBLANK($C158),"",IF($AJ158=Constants!$B$7,IF(ISNUMBER(AW158),AW158-AZ158,Constants!$B$14),$AJ158))</f>
        <v/>
      </c>
      <c r="BB158" s="61"/>
      <c r="BC158" s="62" t="str">
        <f aca="false">IF(ISBLANK($C158),"",IF($AJ158&lt;&gt;Constants!$B$7,$AJ158,SMALL(AQ158:AS158,1)&amp;", "&amp;SMALL(AQ158:AS158,2)&amp;", "&amp;SMALL(AQ158:AS158,3)))</f>
        <v/>
      </c>
      <c r="BD158" s="63" t="str">
        <f aca="false">IF(ISBLANK($C158),"",IF($AJ158&lt;&gt;Constants!$B$7,$AJ158,W158))</f>
        <v/>
      </c>
      <c r="BE158" s="64" t="str">
        <f aca="false">IF(ISBLANK($C158),"",IF($AJ158&lt;&gt;Constants!$B$7,$AJ158,AU158))</f>
        <v/>
      </c>
      <c r="BF158" s="65" t="str">
        <f aca="false">IF(ISBLANK($C158),"",IF($AJ158&lt;&gt;Constants!$B$7,$AJ158,AK158))</f>
        <v/>
      </c>
      <c r="BG158" s="63" t="str">
        <f aca="false">IF(ISBLANK($C158),"",BA158)</f>
        <v/>
      </c>
      <c r="BH158" s="63" t="str">
        <f aca="false">IF(ISBLANK($C158),"",AZ158)</f>
        <v/>
      </c>
      <c r="BI158" s="66" t="str">
        <f aca="false">IF(ISBLANK($C158),"",IF(BH158=Constants!$B$4,COUNTA($C$8:$C$507)+2,IF(BH158=Constants!$B$5,COUNTA($C$8:$C$507)+1,IF(BH158=Constants!$B$6,COUNTA($C$8:$C$507),BH158))))</f>
        <v/>
      </c>
      <c r="BJ158" s="5"/>
      <c r="BK158" s="67" t="n">
        <f aca="false">IF(OR(ISNUMBER(BH158),BH158=Constants!$B$4,BH158=Constants!$B$6,BH158=Constants!$B$5),1,0)</f>
        <v>0</v>
      </c>
      <c r="BL158" s="67" t="n">
        <v>151</v>
      </c>
      <c r="BM158" s="67" t="str">
        <f aca="false">IF(ISBLANK($C158),"",IF(ISNUMBER(BI158),BI158+ROW($B158)/1000,""))</f>
        <v/>
      </c>
      <c r="BN158" s="67" t="str">
        <f aca="false">IF(ISNUMBER(BM158),RANK(BM158,$BM$8:$BM$507,1),"")</f>
        <v/>
      </c>
      <c r="BO158" s="67" t="str">
        <f aca="false">IF(ISBLANK($C158),"",$B158)</f>
        <v/>
      </c>
      <c r="BP158" s="67" t="str">
        <f aca="false">IF(ISBLANK($C158),"",$C158)</f>
        <v/>
      </c>
      <c r="BQ158" s="67" t="str">
        <f aca="false">IF(ISBLANK($C158),"",$D158)</f>
        <v/>
      </c>
      <c r="BR158" s="68" t="str">
        <f aca="false">BF158</f>
        <v/>
      </c>
      <c r="BS158" s="69" t="str">
        <f aca="false">BE158</f>
        <v/>
      </c>
      <c r="BT158" s="67" t="str">
        <f aca="false">IF(ISBLANK($C158),"",BH158)</f>
        <v/>
      </c>
      <c r="BU158" s="70" t="str">
        <f aca="false">IF($BL158&gt;$BK$7,"",VLOOKUP($BL158,$BN$8:$BT$507,7,FALSE()))</f>
        <v/>
      </c>
      <c r="BV158" s="71" t="str">
        <f aca="false">IF($BL158&gt;$BK$7,"",VLOOKUP($BL158,$BN$8:$BT$507,2,FALSE()))</f>
        <v/>
      </c>
      <c r="BW158" s="71" t="str">
        <f aca="false">IF($BL158&gt;$BK$7,"",VLOOKUP($BL158,$BN$8:$BT$507,3,FALSE()))</f>
        <v/>
      </c>
      <c r="BX158" s="71" t="str">
        <f aca="false">IF($BL158&gt;$BK$7,"",VLOOKUP($BL158,$BN$8:$BT$507,4,FALSE()))</f>
        <v/>
      </c>
      <c r="BY158" s="71" t="str">
        <f aca="false">IF($BL158&gt;$BK$7,"",VLOOKUP($BL158,$BN$8:$BT$507,5,FALSE()))</f>
        <v/>
      </c>
      <c r="BZ158" s="72" t="str">
        <f aca="false">IF($BL158&gt;$BK$7,"",VLOOKUP($BL158,$BN$8:$BT$507,6,FALSE()))</f>
        <v/>
      </c>
      <c r="CA158" s="48"/>
    </row>
    <row r="159" customFormat="false" ht="15.75" hidden="false" customHeight="false" outlineLevel="0" collapsed="false">
      <c r="A159" s="5"/>
      <c r="B159" s="121"/>
      <c r="C159" s="50"/>
      <c r="D159" s="51"/>
      <c r="E159" s="74"/>
      <c r="F159" s="122"/>
      <c r="G159" s="54"/>
      <c r="H159" s="123"/>
      <c r="I159" s="124"/>
      <c r="J159" s="54"/>
      <c r="K159" s="123"/>
      <c r="L159" s="54"/>
      <c r="M159" s="123"/>
      <c r="N159" s="54"/>
      <c r="O159" s="123"/>
      <c r="P159" s="54"/>
      <c r="Q159" s="123"/>
      <c r="R159" s="54"/>
      <c r="S159" s="74"/>
      <c r="T159" s="58"/>
      <c r="U159" s="59" t="str">
        <f aca="false">IF(ISBLANK($C159),"",IF(E159=Constants!$B$2, TRUE(), IF(E159=Constants!$B$3, FALSE(), TRUE())))</f>
        <v/>
      </c>
      <c r="V159" s="59" t="str">
        <f aca="false">IF(ISBLANK($C159),"",IF(F159=Constants!$B$2, TRUE(), IF(F159=Constants!$B$3, FALSE(), TRUE())))</f>
        <v/>
      </c>
      <c r="W159" s="59" t="str">
        <f aca="false">IF(ISBLANK($C159),"",IF(G159=Constants!$B$15,Constants!$B$8,IF(G159=Constants!$B$16,Constants!$B$9,Constants!$B$10)))</f>
        <v/>
      </c>
      <c r="X159" s="59" t="str">
        <f aca="false">IF(ISBLANK($C159),"",IF(H159=Constants!$B$2, TRUE(), IF(H159=Constants!$B$3, FALSE(), TRUE())))</f>
        <v/>
      </c>
      <c r="Y159" s="59" t="str">
        <f aca="false">IF(ISBLANK($C159),"",IF(I159=Constants!$B$19,Constants!$B$19,Constants!$B$18))</f>
        <v/>
      </c>
      <c r="Z159" s="59" t="str">
        <f aca="false">IF(ISBLANK($C159),"",IF(ISNUMBER(J159),IF(J159&gt;=0,J159,""),""))</f>
        <v/>
      </c>
      <c r="AA159" s="59" t="str">
        <f aca="false">IF(ISBLANK($C159),"",IF(K159=Constants!$B$19,Constants!$B$19,Constants!$B$18))</f>
        <v/>
      </c>
      <c r="AB159" s="59" t="str">
        <f aca="false">IF(ISBLANK($C159),"",IF(ISNUMBER(L159),IF(L159&gt;=0,L159,""),""))</f>
        <v/>
      </c>
      <c r="AC159" s="59" t="str">
        <f aca="false">IF(ISBLANK($C159),"",IF(M159=Constants!$B$19,Constants!$B$19,Constants!$B$18))</f>
        <v/>
      </c>
      <c r="AD159" s="59" t="str">
        <f aca="false">IF(ISBLANK($C159),"",IF(ISNUMBER(N159),IF(N159&gt;=0,N159,""),""))</f>
        <v/>
      </c>
      <c r="AE159" s="59" t="str">
        <f aca="false">IF(ISBLANK($C159),"",IF(O159=Constants!$B$19,Constants!$B$19,Constants!$B$18))</f>
        <v/>
      </c>
      <c r="AF159" s="59" t="str">
        <f aca="false">IF(ISBLANK($C159),"",IF(ISNUMBER(P159),IF(P159&gt;=0,P159,""),""))</f>
        <v/>
      </c>
      <c r="AG159" s="59" t="str">
        <f aca="false">IF(ISBLANK($C159),"",IF(Q159=Constants!$B$19,Constants!$B$19,Constants!$B$18))</f>
        <v/>
      </c>
      <c r="AH159" s="59" t="str">
        <f aca="false">IF(ISBLANK($C159),"",IF(ISNUMBER(R159),IF(R159&gt;=0,R159,""),""))</f>
        <v/>
      </c>
      <c r="AI159" s="59" t="str">
        <f aca="false">IF(ISBLANK($C159),"",IF(S159=Constants!$B$2, TRUE(), IF(S159=Constants!$B$3, FALSE(), FALSE())))</f>
        <v/>
      </c>
      <c r="AJ159" s="59" t="str">
        <f aca="false">IF(ISBLANK($C159),"",IF(AI159,Constants!$B$4,IF(COUNTA(E159:R159)=0,Constants!$B$5,IF(COUNTA(J159,L159,N159,P159,R159)=0,Constants!$B$6,Constants!$B$7))))</f>
        <v/>
      </c>
      <c r="AK159" s="59" t="str">
        <f aca="false">IF(ISBLANK($C159),"",IF($AJ159&lt;&gt;Constants!$B$7,$AJ159,IF(OR(NOT(X159),AND(NOT(U159),COUNTIFS(Y159:AG159,Constants!$B$18,Z159:AH159,"&gt;=0")&gt;0),AND(NOT(V159),COUNTIFS(Y159:AG159,Constants!$B$19,Z159:AH159,"&gt;=0")&gt;0)),Constants!$B$12,Constants!$B$11)))</f>
        <v/>
      </c>
      <c r="AL159" s="59" t="str">
        <f aca="false">IF($AJ159=Constants!$B$7,IF(Z159="",Constants!$B$13,Z159),"")</f>
        <v/>
      </c>
      <c r="AM159" s="59" t="str">
        <f aca="false">IF($AJ159=Constants!$B$7,IF(AB159="",Constants!$B$13,AB159),"")</f>
        <v/>
      </c>
      <c r="AN159" s="59" t="str">
        <f aca="false">IF($AJ159=Constants!$B$7,IF(AD159="",Constants!$B$13,AD159),"")</f>
        <v/>
      </c>
      <c r="AO159" s="59" t="str">
        <f aca="false">IF($AJ159=Constants!$B$7,IF(AF159="",Constants!$B$13,AF159),"")</f>
        <v/>
      </c>
      <c r="AP159" s="59" t="str">
        <f aca="false">IF($AJ159=Constants!$B$7,IF(AH159="",Constants!$B$13,AH159),"")</f>
        <v/>
      </c>
      <c r="AQ159" s="59" t="str">
        <f aca="false">IF($AJ159=Constants!$B$7,IF(SUMPRODUCT(--($AL159:$AP159&gt;AL159))+SUMPRODUCT(--($AL159:AL159=AL159))=1,1,IF(SUMPRODUCT(--($AL159:$AP159&gt;AM159))+SUMPRODUCT(--($AL159:AM159=AM159))=1,2,IF(SUMPRODUCT(--($AL159:$AP159&gt;AN159))+SUMPRODUCT(--($AL159:AN159=AN159))=1,3,IF(SUMPRODUCT(--($AL159:$AP159&gt;AO159))+SUMPRODUCT(--($AL159:AO159=AO159))=1,4,5)))),"")</f>
        <v/>
      </c>
      <c r="AR159" s="59" t="str">
        <f aca="false">IF($AJ159=Constants!$B$7,IF(SUMPRODUCT(--($AL159:$AP159&gt;AL159))+SUMPRODUCT(--($AL159:AL159=AL159))=2,1,IF(SUMPRODUCT(--($AL159:$AP159&gt;AM159))+SUMPRODUCT(--($AL159:AM159=AM159))=2,2,IF(SUMPRODUCT(--($AL159:$AP159&gt;AN159))+SUMPRODUCT(--($AL159:AN159=AN159))=2,3,IF(SUMPRODUCT(--($AL159:$AP159&gt;AO159))+SUMPRODUCT(--($AL159:AO159=AO159))=2,4,5)))),"")</f>
        <v/>
      </c>
      <c r="AS159" s="59" t="str">
        <f aca="false">IF($AJ159=Constants!$B$7,IF(SUMPRODUCT(--($AL159:$AP159&gt;AL159))+SUMPRODUCT(--($AL159:AL159=AL159))=3,1,IF(SUMPRODUCT(--($AL159:$AP159&gt;AM159))+SUMPRODUCT(--($AL159:AM159=AM159))=3,2,IF(SUMPRODUCT(--($AL159:$AP159&gt;AN159))+SUMPRODUCT(--($AL159:AN159=AN159))=3,3,IF(SUMPRODUCT(--($AL159:$AP159&gt;AO159))+SUMPRODUCT(--($AL159:AO159=AO159))=3,4,5)))),"")</f>
        <v/>
      </c>
      <c r="AT159" s="59" t="str">
        <f aca="false">IF($AJ159=Constants!$B$7,LARGE(AL159:AP159,1)+LARGE(AL159:AP159,2)+LARGE(AL159:AP159,3),"")</f>
        <v/>
      </c>
      <c r="AU159" s="59" t="str">
        <f aca="false">IF(ISBLANK($C159),"",IF($AJ159&lt;&gt;Constants!$B$7,$AJ159,AT159*W159))</f>
        <v/>
      </c>
      <c r="AV159" s="59" t="str">
        <f aca="false">IF(ISBLANK($C159),"",IF($AJ159=Constants!$B$7,IF(ISNUMBER(AU159),RANK(AU159,$AU$8:$AU$507),Constants!$B$14),$AJ159))</f>
        <v/>
      </c>
      <c r="AW159" s="59" t="str">
        <f aca="false">IF(ISBLANK($C159),"",IF($AJ159=Constants!$B$7,IF(ISNUMBER(AV159),COUNTIFS($AK$8:$AK$507,"&lt;"&amp;$AK159)+COUNTIFS($AK$8:$AK$507,$AK159,$AV$8:$AV$507,"&lt;"&amp;$AV159)+1,Constants!$B$14),$AJ159))</f>
        <v/>
      </c>
      <c r="AX159" s="59" t="str">
        <f aca="false">IF(ISBLANK($C159),"",IF($AJ159=Constants!$B$7,LARGE(AL159:AP159,4)*W159,""))</f>
        <v/>
      </c>
      <c r="AY159" s="59" t="str">
        <f aca="false">IF(ISBLANK($C159),"",IF($AJ159=Constants!$B$7,RANK(AX159,$AX$8:$AX$507),$AJ159))</f>
        <v/>
      </c>
      <c r="AZ159" s="59" t="str">
        <f aca="false">IF(ISBLANK($C159),"",IF($AJ159=Constants!$B$7,IF(ISNUMBER(AV159),COUNTIFS($AK$8:$AK$507,"&lt;"&amp;$AK159)+COUNTIFS($AK$8:$AK$507,$AK159,$AV$8:$AV$507,"&lt;"&amp;$AV159)+COUNTIFS($AK$8:$AK$507,$AK159,$AV$8:$AV$507,$AV159,$AY$8:$AY$507,"&lt;"&amp;$AY159)+1,Constants!$B$14),$AJ159))</f>
        <v/>
      </c>
      <c r="BA159" s="59" t="str">
        <f aca="false">IF(ISBLANK($C159),"",IF($AJ159=Constants!$B$7,IF(ISNUMBER(AW159),AW159-AZ159,Constants!$B$14),$AJ159))</f>
        <v/>
      </c>
      <c r="BB159" s="61"/>
      <c r="BC159" s="62" t="str">
        <f aca="false">IF(ISBLANK($C159),"",IF($AJ159&lt;&gt;Constants!$B$7,$AJ159,SMALL(AQ159:AS159,1)&amp;", "&amp;SMALL(AQ159:AS159,2)&amp;", "&amp;SMALL(AQ159:AS159,3)))</f>
        <v/>
      </c>
      <c r="BD159" s="63" t="str">
        <f aca="false">IF(ISBLANK($C159),"",IF($AJ159&lt;&gt;Constants!$B$7,$AJ159,W159))</f>
        <v/>
      </c>
      <c r="BE159" s="64" t="str">
        <f aca="false">IF(ISBLANK($C159),"",IF($AJ159&lt;&gt;Constants!$B$7,$AJ159,AU159))</f>
        <v/>
      </c>
      <c r="BF159" s="65" t="str">
        <f aca="false">IF(ISBLANK($C159),"",IF($AJ159&lt;&gt;Constants!$B$7,$AJ159,AK159))</f>
        <v/>
      </c>
      <c r="BG159" s="63" t="str">
        <f aca="false">IF(ISBLANK($C159),"",BA159)</f>
        <v/>
      </c>
      <c r="BH159" s="63" t="str">
        <f aca="false">IF(ISBLANK($C159),"",AZ159)</f>
        <v/>
      </c>
      <c r="BI159" s="66" t="str">
        <f aca="false">IF(ISBLANK($C159),"",IF(BH159=Constants!$B$4,COUNTA($C$8:$C$507)+2,IF(BH159=Constants!$B$5,COUNTA($C$8:$C$507)+1,IF(BH159=Constants!$B$6,COUNTA($C$8:$C$507),BH159))))</f>
        <v/>
      </c>
      <c r="BJ159" s="5"/>
      <c r="BK159" s="67" t="n">
        <f aca="false">IF(OR(ISNUMBER(BH159),BH159=Constants!$B$4,BH159=Constants!$B$6,BH159=Constants!$B$5),1,0)</f>
        <v>0</v>
      </c>
      <c r="BL159" s="67" t="n">
        <v>152</v>
      </c>
      <c r="BM159" s="67" t="str">
        <f aca="false">IF(ISBLANK($C159),"",IF(ISNUMBER(BI159),BI159+ROW($B159)/1000,""))</f>
        <v/>
      </c>
      <c r="BN159" s="67" t="str">
        <f aca="false">IF(ISNUMBER(BM159),RANK(BM159,$BM$8:$BM$507,1),"")</f>
        <v/>
      </c>
      <c r="BO159" s="67" t="str">
        <f aca="false">IF(ISBLANK($C159),"",$B159)</f>
        <v/>
      </c>
      <c r="BP159" s="67" t="str">
        <f aca="false">IF(ISBLANK($C159),"",$C159)</f>
        <v/>
      </c>
      <c r="BQ159" s="67" t="str">
        <f aca="false">IF(ISBLANK($C159),"",$D159)</f>
        <v/>
      </c>
      <c r="BR159" s="68" t="str">
        <f aca="false">BF159</f>
        <v/>
      </c>
      <c r="BS159" s="69" t="str">
        <f aca="false">BE159</f>
        <v/>
      </c>
      <c r="BT159" s="67" t="str">
        <f aca="false">IF(ISBLANK($C159),"",BH159)</f>
        <v/>
      </c>
      <c r="BU159" s="70" t="str">
        <f aca="false">IF($BL159&gt;$BK$7,"",VLOOKUP($BL159,$BN$8:$BT$507,7,FALSE()))</f>
        <v/>
      </c>
      <c r="BV159" s="71" t="str">
        <f aca="false">IF($BL159&gt;$BK$7,"",VLOOKUP($BL159,$BN$8:$BT$507,2,FALSE()))</f>
        <v/>
      </c>
      <c r="BW159" s="71" t="str">
        <f aca="false">IF($BL159&gt;$BK$7,"",VLOOKUP($BL159,$BN$8:$BT$507,3,FALSE()))</f>
        <v/>
      </c>
      <c r="BX159" s="71" t="str">
        <f aca="false">IF($BL159&gt;$BK$7,"",VLOOKUP($BL159,$BN$8:$BT$507,4,FALSE()))</f>
        <v/>
      </c>
      <c r="BY159" s="71" t="str">
        <f aca="false">IF($BL159&gt;$BK$7,"",VLOOKUP($BL159,$BN$8:$BT$507,5,FALSE()))</f>
        <v/>
      </c>
      <c r="BZ159" s="72" t="str">
        <f aca="false">IF($BL159&gt;$BK$7,"",VLOOKUP($BL159,$BN$8:$BT$507,6,FALSE()))</f>
        <v/>
      </c>
      <c r="CA159" s="48"/>
    </row>
    <row r="160" customFormat="false" ht="15.75" hidden="false" customHeight="false" outlineLevel="0" collapsed="false">
      <c r="A160" s="5"/>
      <c r="B160" s="121"/>
      <c r="C160" s="50"/>
      <c r="D160" s="51"/>
      <c r="E160" s="74"/>
      <c r="F160" s="122"/>
      <c r="G160" s="54"/>
      <c r="H160" s="123"/>
      <c r="I160" s="124"/>
      <c r="J160" s="54"/>
      <c r="K160" s="123"/>
      <c r="L160" s="54"/>
      <c r="M160" s="123"/>
      <c r="N160" s="54"/>
      <c r="O160" s="123"/>
      <c r="P160" s="54"/>
      <c r="Q160" s="123"/>
      <c r="R160" s="54"/>
      <c r="S160" s="74"/>
      <c r="T160" s="58"/>
      <c r="U160" s="59" t="str">
        <f aca="false">IF(ISBLANK($C160),"",IF(E160=Constants!$B$2, TRUE(), IF(E160=Constants!$B$3, FALSE(), TRUE())))</f>
        <v/>
      </c>
      <c r="V160" s="59" t="str">
        <f aca="false">IF(ISBLANK($C160),"",IF(F160=Constants!$B$2, TRUE(), IF(F160=Constants!$B$3, FALSE(), TRUE())))</f>
        <v/>
      </c>
      <c r="W160" s="59" t="str">
        <f aca="false">IF(ISBLANK($C160),"",IF(G160=Constants!$B$15,Constants!$B$8,IF(G160=Constants!$B$16,Constants!$B$9,Constants!$B$10)))</f>
        <v/>
      </c>
      <c r="X160" s="59" t="str">
        <f aca="false">IF(ISBLANK($C160),"",IF(H160=Constants!$B$2, TRUE(), IF(H160=Constants!$B$3, FALSE(), TRUE())))</f>
        <v/>
      </c>
      <c r="Y160" s="59" t="str">
        <f aca="false">IF(ISBLANK($C160),"",IF(I160=Constants!$B$19,Constants!$B$19,Constants!$B$18))</f>
        <v/>
      </c>
      <c r="Z160" s="59" t="str">
        <f aca="false">IF(ISBLANK($C160),"",IF(ISNUMBER(J160),IF(J160&gt;=0,J160,""),""))</f>
        <v/>
      </c>
      <c r="AA160" s="59" t="str">
        <f aca="false">IF(ISBLANK($C160),"",IF(K160=Constants!$B$19,Constants!$B$19,Constants!$B$18))</f>
        <v/>
      </c>
      <c r="AB160" s="59" t="str">
        <f aca="false">IF(ISBLANK($C160),"",IF(ISNUMBER(L160),IF(L160&gt;=0,L160,""),""))</f>
        <v/>
      </c>
      <c r="AC160" s="59" t="str">
        <f aca="false">IF(ISBLANK($C160),"",IF(M160=Constants!$B$19,Constants!$B$19,Constants!$B$18))</f>
        <v/>
      </c>
      <c r="AD160" s="59" t="str">
        <f aca="false">IF(ISBLANK($C160),"",IF(ISNUMBER(N160),IF(N160&gt;=0,N160,""),""))</f>
        <v/>
      </c>
      <c r="AE160" s="59" t="str">
        <f aca="false">IF(ISBLANK($C160),"",IF(O160=Constants!$B$19,Constants!$B$19,Constants!$B$18))</f>
        <v/>
      </c>
      <c r="AF160" s="59" t="str">
        <f aca="false">IF(ISBLANK($C160),"",IF(ISNUMBER(P160),IF(P160&gt;=0,P160,""),""))</f>
        <v/>
      </c>
      <c r="AG160" s="59" t="str">
        <f aca="false">IF(ISBLANK($C160),"",IF(Q160=Constants!$B$19,Constants!$B$19,Constants!$B$18))</f>
        <v/>
      </c>
      <c r="AH160" s="59" t="str">
        <f aca="false">IF(ISBLANK($C160),"",IF(ISNUMBER(R160),IF(R160&gt;=0,R160,""),""))</f>
        <v/>
      </c>
      <c r="AI160" s="59" t="str">
        <f aca="false">IF(ISBLANK($C160),"",IF(S160=Constants!$B$2, TRUE(), IF(S160=Constants!$B$3, FALSE(), FALSE())))</f>
        <v/>
      </c>
      <c r="AJ160" s="59" t="str">
        <f aca="false">IF(ISBLANK($C160),"",IF(AI160,Constants!$B$4,IF(COUNTA(E160:R160)=0,Constants!$B$5,IF(COUNTA(J160,L160,N160,P160,R160)=0,Constants!$B$6,Constants!$B$7))))</f>
        <v/>
      </c>
      <c r="AK160" s="59" t="str">
        <f aca="false">IF(ISBLANK($C160),"",IF($AJ160&lt;&gt;Constants!$B$7,$AJ160,IF(OR(NOT(X160),AND(NOT(U160),COUNTIFS(Y160:AG160,Constants!$B$18,Z160:AH160,"&gt;=0")&gt;0),AND(NOT(V160),COUNTIFS(Y160:AG160,Constants!$B$19,Z160:AH160,"&gt;=0")&gt;0)),Constants!$B$12,Constants!$B$11)))</f>
        <v/>
      </c>
      <c r="AL160" s="59" t="str">
        <f aca="false">IF($AJ160=Constants!$B$7,IF(Z160="",Constants!$B$13,Z160),"")</f>
        <v/>
      </c>
      <c r="AM160" s="59" t="str">
        <f aca="false">IF($AJ160=Constants!$B$7,IF(AB160="",Constants!$B$13,AB160),"")</f>
        <v/>
      </c>
      <c r="AN160" s="59" t="str">
        <f aca="false">IF($AJ160=Constants!$B$7,IF(AD160="",Constants!$B$13,AD160),"")</f>
        <v/>
      </c>
      <c r="AO160" s="59" t="str">
        <f aca="false">IF($AJ160=Constants!$B$7,IF(AF160="",Constants!$B$13,AF160),"")</f>
        <v/>
      </c>
      <c r="AP160" s="59" t="str">
        <f aca="false">IF($AJ160=Constants!$B$7,IF(AH160="",Constants!$B$13,AH160),"")</f>
        <v/>
      </c>
      <c r="AQ160" s="59" t="str">
        <f aca="false">IF($AJ160=Constants!$B$7,IF(SUMPRODUCT(--($AL160:$AP160&gt;AL160))+SUMPRODUCT(--($AL160:AL160=AL160))=1,1,IF(SUMPRODUCT(--($AL160:$AP160&gt;AM160))+SUMPRODUCT(--($AL160:AM160=AM160))=1,2,IF(SUMPRODUCT(--($AL160:$AP160&gt;AN160))+SUMPRODUCT(--($AL160:AN160=AN160))=1,3,IF(SUMPRODUCT(--($AL160:$AP160&gt;AO160))+SUMPRODUCT(--($AL160:AO160=AO160))=1,4,5)))),"")</f>
        <v/>
      </c>
      <c r="AR160" s="59" t="str">
        <f aca="false">IF($AJ160=Constants!$B$7,IF(SUMPRODUCT(--($AL160:$AP160&gt;AL160))+SUMPRODUCT(--($AL160:AL160=AL160))=2,1,IF(SUMPRODUCT(--($AL160:$AP160&gt;AM160))+SUMPRODUCT(--($AL160:AM160=AM160))=2,2,IF(SUMPRODUCT(--($AL160:$AP160&gt;AN160))+SUMPRODUCT(--($AL160:AN160=AN160))=2,3,IF(SUMPRODUCT(--($AL160:$AP160&gt;AO160))+SUMPRODUCT(--($AL160:AO160=AO160))=2,4,5)))),"")</f>
        <v/>
      </c>
      <c r="AS160" s="59" t="str">
        <f aca="false">IF($AJ160=Constants!$B$7,IF(SUMPRODUCT(--($AL160:$AP160&gt;AL160))+SUMPRODUCT(--($AL160:AL160=AL160))=3,1,IF(SUMPRODUCT(--($AL160:$AP160&gt;AM160))+SUMPRODUCT(--($AL160:AM160=AM160))=3,2,IF(SUMPRODUCT(--($AL160:$AP160&gt;AN160))+SUMPRODUCT(--($AL160:AN160=AN160))=3,3,IF(SUMPRODUCT(--($AL160:$AP160&gt;AO160))+SUMPRODUCT(--($AL160:AO160=AO160))=3,4,5)))),"")</f>
        <v/>
      </c>
      <c r="AT160" s="59" t="str">
        <f aca="false">IF($AJ160=Constants!$B$7,LARGE(AL160:AP160,1)+LARGE(AL160:AP160,2)+LARGE(AL160:AP160,3),"")</f>
        <v/>
      </c>
      <c r="AU160" s="59" t="str">
        <f aca="false">IF(ISBLANK($C160),"",IF($AJ160&lt;&gt;Constants!$B$7,$AJ160,AT160*W160))</f>
        <v/>
      </c>
      <c r="AV160" s="59" t="str">
        <f aca="false">IF(ISBLANK($C160),"",IF($AJ160=Constants!$B$7,IF(ISNUMBER(AU160),RANK(AU160,$AU$8:$AU$507),Constants!$B$14),$AJ160))</f>
        <v/>
      </c>
      <c r="AW160" s="59" t="str">
        <f aca="false">IF(ISBLANK($C160),"",IF($AJ160=Constants!$B$7,IF(ISNUMBER(AV160),COUNTIFS($AK$8:$AK$507,"&lt;"&amp;$AK160)+COUNTIFS($AK$8:$AK$507,$AK160,$AV$8:$AV$507,"&lt;"&amp;$AV160)+1,Constants!$B$14),$AJ160))</f>
        <v/>
      </c>
      <c r="AX160" s="59" t="str">
        <f aca="false">IF(ISBLANK($C160),"",IF($AJ160=Constants!$B$7,LARGE(AL160:AP160,4)*W160,""))</f>
        <v/>
      </c>
      <c r="AY160" s="59" t="str">
        <f aca="false">IF(ISBLANK($C160),"",IF($AJ160=Constants!$B$7,RANK(AX160,$AX$8:$AX$507),$AJ160))</f>
        <v/>
      </c>
      <c r="AZ160" s="59" t="str">
        <f aca="false">IF(ISBLANK($C160),"",IF($AJ160=Constants!$B$7,IF(ISNUMBER(AV160),COUNTIFS($AK$8:$AK$507,"&lt;"&amp;$AK160)+COUNTIFS($AK$8:$AK$507,$AK160,$AV$8:$AV$507,"&lt;"&amp;$AV160)+COUNTIFS($AK$8:$AK$507,$AK160,$AV$8:$AV$507,$AV160,$AY$8:$AY$507,"&lt;"&amp;$AY160)+1,Constants!$B$14),$AJ160))</f>
        <v/>
      </c>
      <c r="BA160" s="59" t="str">
        <f aca="false">IF(ISBLANK($C160),"",IF($AJ160=Constants!$B$7,IF(ISNUMBER(AW160),AW160-AZ160,Constants!$B$14),$AJ160))</f>
        <v/>
      </c>
      <c r="BB160" s="61"/>
      <c r="BC160" s="62" t="str">
        <f aca="false">IF(ISBLANK($C160),"",IF($AJ160&lt;&gt;Constants!$B$7,$AJ160,SMALL(AQ160:AS160,1)&amp;", "&amp;SMALL(AQ160:AS160,2)&amp;", "&amp;SMALL(AQ160:AS160,3)))</f>
        <v/>
      </c>
      <c r="BD160" s="63" t="str">
        <f aca="false">IF(ISBLANK($C160),"",IF($AJ160&lt;&gt;Constants!$B$7,$AJ160,W160))</f>
        <v/>
      </c>
      <c r="BE160" s="64" t="str">
        <f aca="false">IF(ISBLANK($C160),"",IF($AJ160&lt;&gt;Constants!$B$7,$AJ160,AU160))</f>
        <v/>
      </c>
      <c r="BF160" s="65" t="str">
        <f aca="false">IF(ISBLANK($C160),"",IF($AJ160&lt;&gt;Constants!$B$7,$AJ160,AK160))</f>
        <v/>
      </c>
      <c r="BG160" s="63" t="str">
        <f aca="false">IF(ISBLANK($C160),"",BA160)</f>
        <v/>
      </c>
      <c r="BH160" s="63" t="str">
        <f aca="false">IF(ISBLANK($C160),"",AZ160)</f>
        <v/>
      </c>
      <c r="BI160" s="66" t="str">
        <f aca="false">IF(ISBLANK($C160),"",IF(BH160=Constants!$B$4,COUNTA($C$8:$C$507)+2,IF(BH160=Constants!$B$5,COUNTA($C$8:$C$507)+1,IF(BH160=Constants!$B$6,COUNTA($C$8:$C$507),BH160))))</f>
        <v/>
      </c>
      <c r="BJ160" s="5"/>
      <c r="BK160" s="67" t="n">
        <f aca="false">IF(OR(ISNUMBER(BH160),BH160=Constants!$B$4,BH160=Constants!$B$6,BH160=Constants!$B$5),1,0)</f>
        <v>0</v>
      </c>
      <c r="BL160" s="67" t="n">
        <v>153</v>
      </c>
      <c r="BM160" s="67" t="str">
        <f aca="false">IF(ISBLANK($C160),"",IF(ISNUMBER(BI160),BI160+ROW($B160)/1000,""))</f>
        <v/>
      </c>
      <c r="BN160" s="67" t="str">
        <f aca="false">IF(ISNUMBER(BM160),RANK(BM160,$BM$8:$BM$507,1),"")</f>
        <v/>
      </c>
      <c r="BO160" s="67" t="str">
        <f aca="false">IF(ISBLANK($C160),"",$B160)</f>
        <v/>
      </c>
      <c r="BP160" s="67" t="str">
        <f aca="false">IF(ISBLANK($C160),"",$C160)</f>
        <v/>
      </c>
      <c r="BQ160" s="67" t="str">
        <f aca="false">IF(ISBLANK($C160),"",$D160)</f>
        <v/>
      </c>
      <c r="BR160" s="68" t="str">
        <f aca="false">BF160</f>
        <v/>
      </c>
      <c r="BS160" s="69" t="str">
        <f aca="false">BE160</f>
        <v/>
      </c>
      <c r="BT160" s="67" t="str">
        <f aca="false">IF(ISBLANK($C160),"",BH160)</f>
        <v/>
      </c>
      <c r="BU160" s="70" t="str">
        <f aca="false">IF($BL160&gt;$BK$7,"",VLOOKUP($BL160,$BN$8:$BT$507,7,FALSE()))</f>
        <v/>
      </c>
      <c r="BV160" s="71" t="str">
        <f aca="false">IF($BL160&gt;$BK$7,"",VLOOKUP($BL160,$BN$8:$BT$507,2,FALSE()))</f>
        <v/>
      </c>
      <c r="BW160" s="71" t="str">
        <f aca="false">IF($BL160&gt;$BK$7,"",VLOOKUP($BL160,$BN$8:$BT$507,3,FALSE()))</f>
        <v/>
      </c>
      <c r="BX160" s="71" t="str">
        <f aca="false">IF($BL160&gt;$BK$7,"",VLOOKUP($BL160,$BN$8:$BT$507,4,FALSE()))</f>
        <v/>
      </c>
      <c r="BY160" s="71" t="str">
        <f aca="false">IF($BL160&gt;$BK$7,"",VLOOKUP($BL160,$BN$8:$BT$507,5,FALSE()))</f>
        <v/>
      </c>
      <c r="BZ160" s="72" t="str">
        <f aca="false">IF($BL160&gt;$BK$7,"",VLOOKUP($BL160,$BN$8:$BT$507,6,FALSE()))</f>
        <v/>
      </c>
      <c r="CA160" s="48"/>
    </row>
    <row r="161" customFormat="false" ht="15.75" hidden="false" customHeight="false" outlineLevel="0" collapsed="false">
      <c r="A161" s="5"/>
      <c r="B161" s="114"/>
      <c r="C161" s="115"/>
      <c r="D161" s="100"/>
      <c r="E161" s="120"/>
      <c r="F161" s="125"/>
      <c r="G161" s="82"/>
      <c r="H161" s="126"/>
      <c r="I161" s="127"/>
      <c r="J161" s="82"/>
      <c r="K161" s="126"/>
      <c r="L161" s="82"/>
      <c r="M161" s="126"/>
      <c r="N161" s="82"/>
      <c r="O161" s="126"/>
      <c r="P161" s="82"/>
      <c r="Q161" s="126"/>
      <c r="R161" s="82"/>
      <c r="S161" s="120"/>
      <c r="T161" s="86"/>
      <c r="U161" s="87" t="str">
        <f aca="false">IF(ISBLANK($C161),"",IF(E161=Constants!$B$2, TRUE(), IF(E161=Constants!$B$3, FALSE(), TRUE())))</f>
        <v/>
      </c>
      <c r="V161" s="87" t="str">
        <f aca="false">IF(ISBLANK($C161),"",IF(F161=Constants!$B$2, TRUE(), IF(F161=Constants!$B$3, FALSE(), TRUE())))</f>
        <v/>
      </c>
      <c r="W161" s="87" t="str">
        <f aca="false">IF(ISBLANK($C161),"",IF(G161=Constants!$B$15,Constants!$B$8,IF(G161=Constants!$B$16,Constants!$B$9,Constants!$B$10)))</f>
        <v/>
      </c>
      <c r="X161" s="87" t="str">
        <f aca="false">IF(ISBLANK($C161),"",IF(H161=Constants!$B$2, TRUE(), IF(H161=Constants!$B$3, FALSE(), TRUE())))</f>
        <v/>
      </c>
      <c r="Y161" s="87" t="str">
        <f aca="false">IF(ISBLANK($C161),"",IF(I161=Constants!$B$19,Constants!$B$19,Constants!$B$18))</f>
        <v/>
      </c>
      <c r="Z161" s="87" t="str">
        <f aca="false">IF(ISBLANK($C161),"",IF(ISNUMBER(J161),IF(J161&gt;=0,J161,""),""))</f>
        <v/>
      </c>
      <c r="AA161" s="87" t="str">
        <f aca="false">IF(ISBLANK($C161),"",IF(K161=Constants!$B$19,Constants!$B$19,Constants!$B$18))</f>
        <v/>
      </c>
      <c r="AB161" s="87" t="str">
        <f aca="false">IF(ISBLANK($C161),"",IF(ISNUMBER(L161),IF(L161&gt;=0,L161,""),""))</f>
        <v/>
      </c>
      <c r="AC161" s="87" t="str">
        <f aca="false">IF(ISBLANK($C161),"",IF(M161=Constants!$B$19,Constants!$B$19,Constants!$B$18))</f>
        <v/>
      </c>
      <c r="AD161" s="87" t="str">
        <f aca="false">IF(ISBLANK($C161),"",IF(ISNUMBER(N161),IF(N161&gt;=0,N161,""),""))</f>
        <v/>
      </c>
      <c r="AE161" s="87" t="str">
        <f aca="false">IF(ISBLANK($C161),"",IF(O161=Constants!$B$19,Constants!$B$19,Constants!$B$18))</f>
        <v/>
      </c>
      <c r="AF161" s="87" t="str">
        <f aca="false">IF(ISBLANK($C161),"",IF(ISNUMBER(P161),IF(P161&gt;=0,P161,""),""))</f>
        <v/>
      </c>
      <c r="AG161" s="87" t="str">
        <f aca="false">IF(ISBLANK($C161),"",IF(Q161=Constants!$B$19,Constants!$B$19,Constants!$B$18))</f>
        <v/>
      </c>
      <c r="AH161" s="87" t="str">
        <f aca="false">IF(ISBLANK($C161),"",IF(ISNUMBER(R161),IF(R161&gt;=0,R161,""),""))</f>
        <v/>
      </c>
      <c r="AI161" s="87" t="str">
        <f aca="false">IF(ISBLANK($C161),"",IF(S161=Constants!$B$2, TRUE(), IF(S161=Constants!$B$3, FALSE(), FALSE())))</f>
        <v/>
      </c>
      <c r="AJ161" s="87" t="str">
        <f aca="false">IF(ISBLANK($C161),"",IF(AI161,Constants!$B$4,IF(COUNTA(E161:R161)=0,Constants!$B$5,IF(COUNTA(J161,L161,N161,P161,R161)=0,Constants!$B$6,Constants!$B$7))))</f>
        <v/>
      </c>
      <c r="AK161" s="87" t="str">
        <f aca="false">IF(ISBLANK($C161),"",IF($AJ161&lt;&gt;Constants!$B$7,$AJ161,IF(OR(NOT(X161),AND(NOT(U161),COUNTIFS(Y161:AG161,Constants!$B$18,Z161:AH161,"&gt;=0")&gt;0),AND(NOT(V161),COUNTIFS(Y161:AG161,Constants!$B$19,Z161:AH161,"&gt;=0")&gt;0)),Constants!$B$12,Constants!$B$11)))</f>
        <v/>
      </c>
      <c r="AL161" s="87" t="str">
        <f aca="false">IF($AJ161=Constants!$B$7,IF(Z161="",Constants!$B$13,Z161),"")</f>
        <v/>
      </c>
      <c r="AM161" s="87" t="str">
        <f aca="false">IF($AJ161=Constants!$B$7,IF(AB161="",Constants!$B$13,AB161),"")</f>
        <v/>
      </c>
      <c r="AN161" s="87" t="str">
        <f aca="false">IF($AJ161=Constants!$B$7,IF(AD161="",Constants!$B$13,AD161),"")</f>
        <v/>
      </c>
      <c r="AO161" s="87" t="str">
        <f aca="false">IF($AJ161=Constants!$B$7,IF(AF161="",Constants!$B$13,AF161),"")</f>
        <v/>
      </c>
      <c r="AP161" s="87" t="str">
        <f aca="false">IF($AJ161=Constants!$B$7,IF(AH161="",Constants!$B$13,AH161),"")</f>
        <v/>
      </c>
      <c r="AQ161" s="87" t="str">
        <f aca="false">IF($AJ161=Constants!$B$7,IF(SUMPRODUCT(--($AL161:$AP161&gt;AL161))+SUMPRODUCT(--($AL161:AL161=AL161))=1,1,IF(SUMPRODUCT(--($AL161:$AP161&gt;AM161))+SUMPRODUCT(--($AL161:AM161=AM161))=1,2,IF(SUMPRODUCT(--($AL161:$AP161&gt;AN161))+SUMPRODUCT(--($AL161:AN161=AN161))=1,3,IF(SUMPRODUCT(--($AL161:$AP161&gt;AO161))+SUMPRODUCT(--($AL161:AO161=AO161))=1,4,5)))),"")</f>
        <v/>
      </c>
      <c r="AR161" s="87" t="str">
        <f aca="false">IF($AJ161=Constants!$B$7,IF(SUMPRODUCT(--($AL161:$AP161&gt;AL161))+SUMPRODUCT(--($AL161:AL161=AL161))=2,1,IF(SUMPRODUCT(--($AL161:$AP161&gt;AM161))+SUMPRODUCT(--($AL161:AM161=AM161))=2,2,IF(SUMPRODUCT(--($AL161:$AP161&gt;AN161))+SUMPRODUCT(--($AL161:AN161=AN161))=2,3,IF(SUMPRODUCT(--($AL161:$AP161&gt;AO161))+SUMPRODUCT(--($AL161:AO161=AO161))=2,4,5)))),"")</f>
        <v/>
      </c>
      <c r="AS161" s="87" t="str">
        <f aca="false">IF($AJ161=Constants!$B$7,IF(SUMPRODUCT(--($AL161:$AP161&gt;AL161))+SUMPRODUCT(--($AL161:AL161=AL161))=3,1,IF(SUMPRODUCT(--($AL161:$AP161&gt;AM161))+SUMPRODUCT(--($AL161:AM161=AM161))=3,2,IF(SUMPRODUCT(--($AL161:$AP161&gt;AN161))+SUMPRODUCT(--($AL161:AN161=AN161))=3,3,IF(SUMPRODUCT(--($AL161:$AP161&gt;AO161))+SUMPRODUCT(--($AL161:AO161=AO161))=3,4,5)))),"")</f>
        <v/>
      </c>
      <c r="AT161" s="87" t="str">
        <f aca="false">IF($AJ161=Constants!$B$7,LARGE(AL161:AP161,1)+LARGE(AL161:AP161,2)+LARGE(AL161:AP161,3),"")</f>
        <v/>
      </c>
      <c r="AU161" s="87" t="str">
        <f aca="false">IF(ISBLANK($C161),"",IF($AJ161&lt;&gt;Constants!$B$7,$AJ161,AT161*W161))</f>
        <v/>
      </c>
      <c r="AV161" s="87" t="str">
        <f aca="false">IF(ISBLANK($C161),"",IF($AJ161=Constants!$B$7,IF(ISNUMBER(AU161),RANK(AU161,$AU$8:$AU$507),Constants!$B$14),$AJ161))</f>
        <v/>
      </c>
      <c r="AW161" s="87" t="str">
        <f aca="false">IF(ISBLANK($C161),"",IF($AJ161=Constants!$B$7,IF(ISNUMBER(AV161),COUNTIFS($AK$8:$AK$507,"&lt;"&amp;$AK161)+COUNTIFS($AK$8:$AK$507,$AK161,$AV$8:$AV$507,"&lt;"&amp;$AV161)+1,Constants!$B$14),$AJ161))</f>
        <v/>
      </c>
      <c r="AX161" s="87" t="str">
        <f aca="false">IF(ISBLANK($C161),"",IF($AJ161=Constants!$B$7,LARGE(AL161:AP161,4)*W161,""))</f>
        <v/>
      </c>
      <c r="AY161" s="87" t="str">
        <f aca="false">IF(ISBLANK($C161),"",IF($AJ161=Constants!$B$7,RANK(AX161,$AX$8:$AX$507),$AJ161))</f>
        <v/>
      </c>
      <c r="AZ161" s="87" t="str">
        <f aca="false">IF(ISBLANK($C161),"",IF($AJ161=Constants!$B$7,IF(ISNUMBER(AV161),COUNTIFS($AK$8:$AK$507,"&lt;"&amp;$AK161)+COUNTIFS($AK$8:$AK$507,$AK161,$AV$8:$AV$507,"&lt;"&amp;$AV161)+COUNTIFS($AK$8:$AK$507,$AK161,$AV$8:$AV$507,$AV161,$AY$8:$AY$507,"&lt;"&amp;$AY161)+1,Constants!$B$14),$AJ161))</f>
        <v/>
      </c>
      <c r="BA161" s="87" t="str">
        <f aca="false">IF(ISBLANK($C161),"",IF($AJ161=Constants!$B$7,IF(ISNUMBER(AW161),AW161-AZ161,Constants!$B$14),$AJ161))</f>
        <v/>
      </c>
      <c r="BB161" s="88"/>
      <c r="BC161" s="89" t="str">
        <f aca="false">IF(ISBLANK($C161),"",IF($AJ161&lt;&gt;Constants!$B$7,$AJ161,SMALL(AQ161:AS161,1)&amp;", "&amp;SMALL(AQ161:AS161,2)&amp;", "&amp;SMALL(AQ161:AS161,3)))</f>
        <v/>
      </c>
      <c r="BD161" s="90" t="str">
        <f aca="false">IF(ISBLANK($C161),"",IF($AJ161&lt;&gt;Constants!$B$7,$AJ161,W161))</f>
        <v/>
      </c>
      <c r="BE161" s="91" t="str">
        <f aca="false">IF(ISBLANK($C161),"",IF($AJ161&lt;&gt;Constants!$B$7,$AJ161,AU161))</f>
        <v/>
      </c>
      <c r="BF161" s="92" t="str">
        <f aca="false">IF(ISBLANK($C161),"",IF($AJ161&lt;&gt;Constants!$B$7,$AJ161,AK161))</f>
        <v/>
      </c>
      <c r="BG161" s="90" t="str">
        <f aca="false">IF(ISBLANK($C161),"",BA161)</f>
        <v/>
      </c>
      <c r="BH161" s="90" t="str">
        <f aca="false">IF(ISBLANK($C161),"",AZ161)</f>
        <v/>
      </c>
      <c r="BI161" s="93" t="str">
        <f aca="false">IF(ISBLANK($C161),"",IF(BH161=Constants!$B$4,COUNTA($C$8:$C$507)+2,IF(BH161=Constants!$B$5,COUNTA($C$8:$C$507)+1,IF(BH161=Constants!$B$6,COUNTA($C$8:$C$507),BH161))))</f>
        <v/>
      </c>
      <c r="BJ161" s="5"/>
      <c r="BK161" s="94" t="n">
        <f aca="false">IF(OR(ISNUMBER(BH161),BH161=Constants!$B$4,BH161=Constants!$B$6,BH161=Constants!$B$5),1,0)</f>
        <v>0</v>
      </c>
      <c r="BL161" s="94" t="n">
        <v>154</v>
      </c>
      <c r="BM161" s="94" t="str">
        <f aca="false">IF(ISBLANK($C161),"",IF(ISNUMBER(BI161),BI161+ROW($B161)/1000,""))</f>
        <v/>
      </c>
      <c r="BN161" s="94" t="str">
        <f aca="false">IF(ISNUMBER(BM161),RANK(BM161,$BM$8:$BM$507,1),"")</f>
        <v/>
      </c>
      <c r="BO161" s="94" t="str">
        <f aca="false">IF(ISBLANK($C161),"",$B161)</f>
        <v/>
      </c>
      <c r="BP161" s="94" t="str">
        <f aca="false">IF(ISBLANK($C161),"",$C161)</f>
        <v/>
      </c>
      <c r="BQ161" s="94" t="str">
        <f aca="false">IF(ISBLANK($C161),"",$D161)</f>
        <v/>
      </c>
      <c r="BR161" s="95" t="str">
        <f aca="false">BF161</f>
        <v/>
      </c>
      <c r="BS161" s="96" t="str">
        <f aca="false">BE161</f>
        <v/>
      </c>
      <c r="BT161" s="94" t="str">
        <f aca="false">IF(ISBLANK($C161),"",BH161)</f>
        <v/>
      </c>
      <c r="BU161" s="97" t="str">
        <f aca="false">IF($BL161&gt;$BK$7,"",VLOOKUP($BL161,$BN$8:$BT$507,7,FALSE()))</f>
        <v/>
      </c>
      <c r="BV161" s="98" t="str">
        <f aca="false">IF($BL161&gt;$BK$7,"",VLOOKUP($BL161,$BN$8:$BT$507,2,FALSE()))</f>
        <v/>
      </c>
      <c r="BW161" s="98" t="str">
        <f aca="false">IF($BL161&gt;$BK$7,"",VLOOKUP($BL161,$BN$8:$BT$507,3,FALSE()))</f>
        <v/>
      </c>
      <c r="BX161" s="98" t="str">
        <f aca="false">IF($BL161&gt;$BK$7,"",VLOOKUP($BL161,$BN$8:$BT$507,4,FALSE()))</f>
        <v/>
      </c>
      <c r="BY161" s="98" t="str">
        <f aca="false">IF($BL161&gt;$BK$7,"",VLOOKUP($BL161,$BN$8:$BT$507,5,FALSE()))</f>
        <v/>
      </c>
      <c r="BZ161" s="99" t="str">
        <f aca="false">IF($BL161&gt;$BK$7,"",VLOOKUP($BL161,$BN$8:$BT$507,6,FALSE()))</f>
        <v/>
      </c>
      <c r="CA161" s="48"/>
    </row>
    <row r="162" customFormat="false" ht="15.75" hidden="false" customHeight="false" outlineLevel="0" collapsed="false">
      <c r="A162" s="5"/>
      <c r="B162" s="114"/>
      <c r="C162" s="115"/>
      <c r="D162" s="100"/>
      <c r="E162" s="120"/>
      <c r="F162" s="125"/>
      <c r="G162" s="82"/>
      <c r="H162" s="126"/>
      <c r="I162" s="127"/>
      <c r="J162" s="82"/>
      <c r="K162" s="126"/>
      <c r="L162" s="82"/>
      <c r="M162" s="126"/>
      <c r="N162" s="82"/>
      <c r="O162" s="126"/>
      <c r="P162" s="82"/>
      <c r="Q162" s="126"/>
      <c r="R162" s="82"/>
      <c r="S162" s="120"/>
      <c r="T162" s="86"/>
      <c r="U162" s="87" t="str">
        <f aca="false">IF(ISBLANK($C162),"",IF(E162=Constants!$B$2, TRUE(), IF(E162=Constants!$B$3, FALSE(), TRUE())))</f>
        <v/>
      </c>
      <c r="V162" s="87" t="str">
        <f aca="false">IF(ISBLANK($C162),"",IF(F162=Constants!$B$2, TRUE(), IF(F162=Constants!$B$3, FALSE(), TRUE())))</f>
        <v/>
      </c>
      <c r="W162" s="87" t="str">
        <f aca="false">IF(ISBLANK($C162),"",IF(G162=Constants!$B$15,Constants!$B$8,IF(G162=Constants!$B$16,Constants!$B$9,Constants!$B$10)))</f>
        <v/>
      </c>
      <c r="X162" s="87" t="str">
        <f aca="false">IF(ISBLANK($C162),"",IF(H162=Constants!$B$2, TRUE(), IF(H162=Constants!$B$3, FALSE(), TRUE())))</f>
        <v/>
      </c>
      <c r="Y162" s="87" t="str">
        <f aca="false">IF(ISBLANK($C162),"",IF(I162=Constants!$B$19,Constants!$B$19,Constants!$B$18))</f>
        <v/>
      </c>
      <c r="Z162" s="87" t="str">
        <f aca="false">IF(ISBLANK($C162),"",IF(ISNUMBER(J162),IF(J162&gt;=0,J162,""),""))</f>
        <v/>
      </c>
      <c r="AA162" s="87" t="str">
        <f aca="false">IF(ISBLANK($C162),"",IF(K162=Constants!$B$19,Constants!$B$19,Constants!$B$18))</f>
        <v/>
      </c>
      <c r="AB162" s="87" t="str">
        <f aca="false">IF(ISBLANK($C162),"",IF(ISNUMBER(L162),IF(L162&gt;=0,L162,""),""))</f>
        <v/>
      </c>
      <c r="AC162" s="87" t="str">
        <f aca="false">IF(ISBLANK($C162),"",IF(M162=Constants!$B$19,Constants!$B$19,Constants!$B$18))</f>
        <v/>
      </c>
      <c r="AD162" s="87" t="str">
        <f aca="false">IF(ISBLANK($C162),"",IF(ISNUMBER(N162),IF(N162&gt;=0,N162,""),""))</f>
        <v/>
      </c>
      <c r="AE162" s="87" t="str">
        <f aca="false">IF(ISBLANK($C162),"",IF(O162=Constants!$B$19,Constants!$B$19,Constants!$B$18))</f>
        <v/>
      </c>
      <c r="AF162" s="87" t="str">
        <f aca="false">IF(ISBLANK($C162),"",IF(ISNUMBER(P162),IF(P162&gt;=0,P162,""),""))</f>
        <v/>
      </c>
      <c r="AG162" s="87" t="str">
        <f aca="false">IF(ISBLANK($C162),"",IF(Q162=Constants!$B$19,Constants!$B$19,Constants!$B$18))</f>
        <v/>
      </c>
      <c r="AH162" s="87" t="str">
        <f aca="false">IF(ISBLANK($C162),"",IF(ISNUMBER(R162),IF(R162&gt;=0,R162,""),""))</f>
        <v/>
      </c>
      <c r="AI162" s="87" t="str">
        <f aca="false">IF(ISBLANK($C162),"",IF(S162=Constants!$B$2, TRUE(), IF(S162=Constants!$B$3, FALSE(), FALSE())))</f>
        <v/>
      </c>
      <c r="AJ162" s="87" t="str">
        <f aca="false">IF(ISBLANK($C162),"",IF(AI162,Constants!$B$4,IF(COUNTA(E162:R162)=0,Constants!$B$5,IF(COUNTA(J162,L162,N162,P162,R162)=0,Constants!$B$6,Constants!$B$7))))</f>
        <v/>
      </c>
      <c r="AK162" s="87" t="str">
        <f aca="false">IF(ISBLANK($C162),"",IF($AJ162&lt;&gt;Constants!$B$7,$AJ162,IF(OR(NOT(X162),AND(NOT(U162),COUNTIFS(Y162:AG162,Constants!$B$18,Z162:AH162,"&gt;=0")&gt;0),AND(NOT(V162),COUNTIFS(Y162:AG162,Constants!$B$19,Z162:AH162,"&gt;=0")&gt;0)),Constants!$B$12,Constants!$B$11)))</f>
        <v/>
      </c>
      <c r="AL162" s="87" t="str">
        <f aca="false">IF($AJ162=Constants!$B$7,IF(Z162="",Constants!$B$13,Z162),"")</f>
        <v/>
      </c>
      <c r="AM162" s="87" t="str">
        <f aca="false">IF($AJ162=Constants!$B$7,IF(AB162="",Constants!$B$13,AB162),"")</f>
        <v/>
      </c>
      <c r="AN162" s="87" t="str">
        <f aca="false">IF($AJ162=Constants!$B$7,IF(AD162="",Constants!$B$13,AD162),"")</f>
        <v/>
      </c>
      <c r="AO162" s="87" t="str">
        <f aca="false">IF($AJ162=Constants!$B$7,IF(AF162="",Constants!$B$13,AF162),"")</f>
        <v/>
      </c>
      <c r="AP162" s="87" t="str">
        <f aca="false">IF($AJ162=Constants!$B$7,IF(AH162="",Constants!$B$13,AH162),"")</f>
        <v/>
      </c>
      <c r="AQ162" s="87" t="str">
        <f aca="false">IF($AJ162=Constants!$B$7,IF(SUMPRODUCT(--($AL162:$AP162&gt;AL162))+SUMPRODUCT(--($AL162:AL162=AL162))=1,1,IF(SUMPRODUCT(--($AL162:$AP162&gt;AM162))+SUMPRODUCT(--($AL162:AM162=AM162))=1,2,IF(SUMPRODUCT(--($AL162:$AP162&gt;AN162))+SUMPRODUCT(--($AL162:AN162=AN162))=1,3,IF(SUMPRODUCT(--($AL162:$AP162&gt;AO162))+SUMPRODUCT(--($AL162:AO162=AO162))=1,4,5)))),"")</f>
        <v/>
      </c>
      <c r="AR162" s="87" t="str">
        <f aca="false">IF($AJ162=Constants!$B$7,IF(SUMPRODUCT(--($AL162:$AP162&gt;AL162))+SUMPRODUCT(--($AL162:AL162=AL162))=2,1,IF(SUMPRODUCT(--($AL162:$AP162&gt;AM162))+SUMPRODUCT(--($AL162:AM162=AM162))=2,2,IF(SUMPRODUCT(--($AL162:$AP162&gt;AN162))+SUMPRODUCT(--($AL162:AN162=AN162))=2,3,IF(SUMPRODUCT(--($AL162:$AP162&gt;AO162))+SUMPRODUCT(--($AL162:AO162=AO162))=2,4,5)))),"")</f>
        <v/>
      </c>
      <c r="AS162" s="87" t="str">
        <f aca="false">IF($AJ162=Constants!$B$7,IF(SUMPRODUCT(--($AL162:$AP162&gt;AL162))+SUMPRODUCT(--($AL162:AL162=AL162))=3,1,IF(SUMPRODUCT(--($AL162:$AP162&gt;AM162))+SUMPRODUCT(--($AL162:AM162=AM162))=3,2,IF(SUMPRODUCT(--($AL162:$AP162&gt;AN162))+SUMPRODUCT(--($AL162:AN162=AN162))=3,3,IF(SUMPRODUCT(--($AL162:$AP162&gt;AO162))+SUMPRODUCT(--($AL162:AO162=AO162))=3,4,5)))),"")</f>
        <v/>
      </c>
      <c r="AT162" s="87" t="str">
        <f aca="false">IF($AJ162=Constants!$B$7,LARGE(AL162:AP162,1)+LARGE(AL162:AP162,2)+LARGE(AL162:AP162,3),"")</f>
        <v/>
      </c>
      <c r="AU162" s="87" t="str">
        <f aca="false">IF(ISBLANK($C162),"",IF($AJ162&lt;&gt;Constants!$B$7,$AJ162,AT162*W162))</f>
        <v/>
      </c>
      <c r="AV162" s="87" t="str">
        <f aca="false">IF(ISBLANK($C162),"",IF($AJ162=Constants!$B$7,IF(ISNUMBER(AU162),RANK(AU162,$AU$8:$AU$507),Constants!$B$14),$AJ162))</f>
        <v/>
      </c>
      <c r="AW162" s="87" t="str">
        <f aca="false">IF(ISBLANK($C162),"",IF($AJ162=Constants!$B$7,IF(ISNUMBER(AV162),COUNTIFS($AK$8:$AK$507,"&lt;"&amp;$AK162)+COUNTIFS($AK$8:$AK$507,$AK162,$AV$8:$AV$507,"&lt;"&amp;$AV162)+1,Constants!$B$14),$AJ162))</f>
        <v/>
      </c>
      <c r="AX162" s="87" t="str">
        <f aca="false">IF(ISBLANK($C162),"",IF($AJ162=Constants!$B$7,LARGE(AL162:AP162,4)*W162,""))</f>
        <v/>
      </c>
      <c r="AY162" s="87" t="str">
        <f aca="false">IF(ISBLANK($C162),"",IF($AJ162=Constants!$B$7,RANK(AX162,$AX$8:$AX$507),$AJ162))</f>
        <v/>
      </c>
      <c r="AZ162" s="87" t="str">
        <f aca="false">IF(ISBLANK($C162),"",IF($AJ162=Constants!$B$7,IF(ISNUMBER(AV162),COUNTIFS($AK$8:$AK$507,"&lt;"&amp;$AK162)+COUNTIFS($AK$8:$AK$507,$AK162,$AV$8:$AV$507,"&lt;"&amp;$AV162)+COUNTIFS($AK$8:$AK$507,$AK162,$AV$8:$AV$507,$AV162,$AY$8:$AY$507,"&lt;"&amp;$AY162)+1,Constants!$B$14),$AJ162))</f>
        <v/>
      </c>
      <c r="BA162" s="87" t="str">
        <f aca="false">IF(ISBLANK($C162),"",IF($AJ162=Constants!$B$7,IF(ISNUMBER(AW162),AW162-AZ162,Constants!$B$14),$AJ162))</f>
        <v/>
      </c>
      <c r="BB162" s="88"/>
      <c r="BC162" s="89" t="str">
        <f aca="false">IF(ISBLANK($C162),"",IF($AJ162&lt;&gt;Constants!$B$7,$AJ162,SMALL(AQ162:AS162,1)&amp;", "&amp;SMALL(AQ162:AS162,2)&amp;", "&amp;SMALL(AQ162:AS162,3)))</f>
        <v/>
      </c>
      <c r="BD162" s="90" t="str">
        <f aca="false">IF(ISBLANK($C162),"",IF($AJ162&lt;&gt;Constants!$B$7,$AJ162,W162))</f>
        <v/>
      </c>
      <c r="BE162" s="91" t="str">
        <f aca="false">IF(ISBLANK($C162),"",IF($AJ162&lt;&gt;Constants!$B$7,$AJ162,AU162))</f>
        <v/>
      </c>
      <c r="BF162" s="92" t="str">
        <f aca="false">IF(ISBLANK($C162),"",IF($AJ162&lt;&gt;Constants!$B$7,$AJ162,AK162))</f>
        <v/>
      </c>
      <c r="BG162" s="90" t="str">
        <f aca="false">IF(ISBLANK($C162),"",BA162)</f>
        <v/>
      </c>
      <c r="BH162" s="90" t="str">
        <f aca="false">IF(ISBLANK($C162),"",AZ162)</f>
        <v/>
      </c>
      <c r="BI162" s="93" t="str">
        <f aca="false">IF(ISBLANK($C162),"",IF(BH162=Constants!$B$4,COUNTA($C$8:$C$507)+2,IF(BH162=Constants!$B$5,COUNTA($C$8:$C$507)+1,IF(BH162=Constants!$B$6,COUNTA($C$8:$C$507),BH162))))</f>
        <v/>
      </c>
      <c r="BJ162" s="5"/>
      <c r="BK162" s="94" t="n">
        <f aca="false">IF(OR(ISNUMBER(BH162),BH162=Constants!$B$4,BH162=Constants!$B$6,BH162=Constants!$B$5),1,0)</f>
        <v>0</v>
      </c>
      <c r="BL162" s="94" t="n">
        <v>155</v>
      </c>
      <c r="BM162" s="94" t="str">
        <f aca="false">IF(ISBLANK($C162),"",IF(ISNUMBER(BI162),BI162+ROW($B162)/1000,""))</f>
        <v/>
      </c>
      <c r="BN162" s="94" t="str">
        <f aca="false">IF(ISNUMBER(BM162),RANK(BM162,$BM$8:$BM$507,1),"")</f>
        <v/>
      </c>
      <c r="BO162" s="94" t="str">
        <f aca="false">IF(ISBLANK($C162),"",$B162)</f>
        <v/>
      </c>
      <c r="BP162" s="94" t="str">
        <f aca="false">IF(ISBLANK($C162),"",$C162)</f>
        <v/>
      </c>
      <c r="BQ162" s="94" t="str">
        <f aca="false">IF(ISBLANK($C162),"",$D162)</f>
        <v/>
      </c>
      <c r="BR162" s="95" t="str">
        <f aca="false">BF162</f>
        <v/>
      </c>
      <c r="BS162" s="96" t="str">
        <f aca="false">BE162</f>
        <v/>
      </c>
      <c r="BT162" s="94" t="str">
        <f aca="false">IF(ISBLANK($C162),"",BH162)</f>
        <v/>
      </c>
      <c r="BU162" s="97" t="str">
        <f aca="false">IF($BL162&gt;$BK$7,"",VLOOKUP($BL162,$BN$8:$BT$507,7,FALSE()))</f>
        <v/>
      </c>
      <c r="BV162" s="98" t="str">
        <f aca="false">IF($BL162&gt;$BK$7,"",VLOOKUP($BL162,$BN$8:$BT$507,2,FALSE()))</f>
        <v/>
      </c>
      <c r="BW162" s="98" t="str">
        <f aca="false">IF($BL162&gt;$BK$7,"",VLOOKUP($BL162,$BN$8:$BT$507,3,FALSE()))</f>
        <v/>
      </c>
      <c r="BX162" s="98" t="str">
        <f aca="false">IF($BL162&gt;$BK$7,"",VLOOKUP($BL162,$BN$8:$BT$507,4,FALSE()))</f>
        <v/>
      </c>
      <c r="BY162" s="98" t="str">
        <f aca="false">IF($BL162&gt;$BK$7,"",VLOOKUP($BL162,$BN$8:$BT$507,5,FALSE()))</f>
        <v/>
      </c>
      <c r="BZ162" s="99" t="str">
        <f aca="false">IF($BL162&gt;$BK$7,"",VLOOKUP($BL162,$BN$8:$BT$507,6,FALSE()))</f>
        <v/>
      </c>
      <c r="CA162" s="48"/>
    </row>
    <row r="163" customFormat="false" ht="15.75" hidden="false" customHeight="false" outlineLevel="0" collapsed="false">
      <c r="A163" s="5"/>
      <c r="B163" s="114"/>
      <c r="C163" s="115"/>
      <c r="D163" s="100"/>
      <c r="E163" s="120"/>
      <c r="F163" s="125"/>
      <c r="G163" s="82"/>
      <c r="H163" s="126"/>
      <c r="I163" s="127"/>
      <c r="J163" s="82"/>
      <c r="K163" s="126"/>
      <c r="L163" s="82"/>
      <c r="M163" s="126"/>
      <c r="N163" s="82"/>
      <c r="O163" s="126"/>
      <c r="P163" s="82"/>
      <c r="Q163" s="126"/>
      <c r="R163" s="82"/>
      <c r="S163" s="120"/>
      <c r="T163" s="86"/>
      <c r="U163" s="87" t="str">
        <f aca="false">IF(ISBLANK($C163),"",IF(E163=Constants!$B$2, TRUE(), IF(E163=Constants!$B$3, FALSE(), TRUE())))</f>
        <v/>
      </c>
      <c r="V163" s="87" t="str">
        <f aca="false">IF(ISBLANK($C163),"",IF(F163=Constants!$B$2, TRUE(), IF(F163=Constants!$B$3, FALSE(), TRUE())))</f>
        <v/>
      </c>
      <c r="W163" s="87" t="str">
        <f aca="false">IF(ISBLANK($C163),"",IF(G163=Constants!$B$15,Constants!$B$8,IF(G163=Constants!$B$16,Constants!$B$9,Constants!$B$10)))</f>
        <v/>
      </c>
      <c r="X163" s="87" t="str">
        <f aca="false">IF(ISBLANK($C163),"",IF(H163=Constants!$B$2, TRUE(), IF(H163=Constants!$B$3, FALSE(), TRUE())))</f>
        <v/>
      </c>
      <c r="Y163" s="87" t="str">
        <f aca="false">IF(ISBLANK($C163),"",IF(I163=Constants!$B$19,Constants!$B$19,Constants!$B$18))</f>
        <v/>
      </c>
      <c r="Z163" s="87" t="str">
        <f aca="false">IF(ISBLANK($C163),"",IF(ISNUMBER(J163),IF(J163&gt;=0,J163,""),""))</f>
        <v/>
      </c>
      <c r="AA163" s="87" t="str">
        <f aca="false">IF(ISBLANK($C163),"",IF(K163=Constants!$B$19,Constants!$B$19,Constants!$B$18))</f>
        <v/>
      </c>
      <c r="AB163" s="87" t="str">
        <f aca="false">IF(ISBLANK($C163),"",IF(ISNUMBER(L163),IF(L163&gt;=0,L163,""),""))</f>
        <v/>
      </c>
      <c r="AC163" s="87" t="str">
        <f aca="false">IF(ISBLANK($C163),"",IF(M163=Constants!$B$19,Constants!$B$19,Constants!$B$18))</f>
        <v/>
      </c>
      <c r="AD163" s="87" t="str">
        <f aca="false">IF(ISBLANK($C163),"",IF(ISNUMBER(N163),IF(N163&gt;=0,N163,""),""))</f>
        <v/>
      </c>
      <c r="AE163" s="87" t="str">
        <f aca="false">IF(ISBLANK($C163),"",IF(O163=Constants!$B$19,Constants!$B$19,Constants!$B$18))</f>
        <v/>
      </c>
      <c r="AF163" s="87" t="str">
        <f aca="false">IF(ISBLANK($C163),"",IF(ISNUMBER(P163),IF(P163&gt;=0,P163,""),""))</f>
        <v/>
      </c>
      <c r="AG163" s="87" t="str">
        <f aca="false">IF(ISBLANK($C163),"",IF(Q163=Constants!$B$19,Constants!$B$19,Constants!$B$18))</f>
        <v/>
      </c>
      <c r="AH163" s="87" t="str">
        <f aca="false">IF(ISBLANK($C163),"",IF(ISNUMBER(R163),IF(R163&gt;=0,R163,""),""))</f>
        <v/>
      </c>
      <c r="AI163" s="87" t="str">
        <f aca="false">IF(ISBLANK($C163),"",IF(S163=Constants!$B$2, TRUE(), IF(S163=Constants!$B$3, FALSE(), FALSE())))</f>
        <v/>
      </c>
      <c r="AJ163" s="87" t="str">
        <f aca="false">IF(ISBLANK($C163),"",IF(AI163,Constants!$B$4,IF(COUNTA(E163:R163)=0,Constants!$B$5,IF(COUNTA(J163,L163,N163,P163,R163)=0,Constants!$B$6,Constants!$B$7))))</f>
        <v/>
      </c>
      <c r="AK163" s="87" t="str">
        <f aca="false">IF(ISBLANK($C163),"",IF($AJ163&lt;&gt;Constants!$B$7,$AJ163,IF(OR(NOT(X163),AND(NOT(U163),COUNTIFS(Y163:AG163,Constants!$B$18,Z163:AH163,"&gt;=0")&gt;0),AND(NOT(V163),COUNTIFS(Y163:AG163,Constants!$B$19,Z163:AH163,"&gt;=0")&gt;0)),Constants!$B$12,Constants!$B$11)))</f>
        <v/>
      </c>
      <c r="AL163" s="87" t="str">
        <f aca="false">IF($AJ163=Constants!$B$7,IF(Z163="",Constants!$B$13,Z163),"")</f>
        <v/>
      </c>
      <c r="AM163" s="87" t="str">
        <f aca="false">IF($AJ163=Constants!$B$7,IF(AB163="",Constants!$B$13,AB163),"")</f>
        <v/>
      </c>
      <c r="AN163" s="87" t="str">
        <f aca="false">IF($AJ163=Constants!$B$7,IF(AD163="",Constants!$B$13,AD163),"")</f>
        <v/>
      </c>
      <c r="AO163" s="87" t="str">
        <f aca="false">IF($AJ163=Constants!$B$7,IF(AF163="",Constants!$B$13,AF163),"")</f>
        <v/>
      </c>
      <c r="AP163" s="87" t="str">
        <f aca="false">IF($AJ163=Constants!$B$7,IF(AH163="",Constants!$B$13,AH163),"")</f>
        <v/>
      </c>
      <c r="AQ163" s="87" t="str">
        <f aca="false">IF($AJ163=Constants!$B$7,IF(SUMPRODUCT(--($AL163:$AP163&gt;AL163))+SUMPRODUCT(--($AL163:AL163=AL163))=1,1,IF(SUMPRODUCT(--($AL163:$AP163&gt;AM163))+SUMPRODUCT(--($AL163:AM163=AM163))=1,2,IF(SUMPRODUCT(--($AL163:$AP163&gt;AN163))+SUMPRODUCT(--($AL163:AN163=AN163))=1,3,IF(SUMPRODUCT(--($AL163:$AP163&gt;AO163))+SUMPRODUCT(--($AL163:AO163=AO163))=1,4,5)))),"")</f>
        <v/>
      </c>
      <c r="AR163" s="87" t="str">
        <f aca="false">IF($AJ163=Constants!$B$7,IF(SUMPRODUCT(--($AL163:$AP163&gt;AL163))+SUMPRODUCT(--($AL163:AL163=AL163))=2,1,IF(SUMPRODUCT(--($AL163:$AP163&gt;AM163))+SUMPRODUCT(--($AL163:AM163=AM163))=2,2,IF(SUMPRODUCT(--($AL163:$AP163&gt;AN163))+SUMPRODUCT(--($AL163:AN163=AN163))=2,3,IF(SUMPRODUCT(--($AL163:$AP163&gt;AO163))+SUMPRODUCT(--($AL163:AO163=AO163))=2,4,5)))),"")</f>
        <v/>
      </c>
      <c r="AS163" s="87" t="str">
        <f aca="false">IF($AJ163=Constants!$B$7,IF(SUMPRODUCT(--($AL163:$AP163&gt;AL163))+SUMPRODUCT(--($AL163:AL163=AL163))=3,1,IF(SUMPRODUCT(--($AL163:$AP163&gt;AM163))+SUMPRODUCT(--($AL163:AM163=AM163))=3,2,IF(SUMPRODUCT(--($AL163:$AP163&gt;AN163))+SUMPRODUCT(--($AL163:AN163=AN163))=3,3,IF(SUMPRODUCT(--($AL163:$AP163&gt;AO163))+SUMPRODUCT(--($AL163:AO163=AO163))=3,4,5)))),"")</f>
        <v/>
      </c>
      <c r="AT163" s="87" t="str">
        <f aca="false">IF($AJ163=Constants!$B$7,LARGE(AL163:AP163,1)+LARGE(AL163:AP163,2)+LARGE(AL163:AP163,3),"")</f>
        <v/>
      </c>
      <c r="AU163" s="87" t="str">
        <f aca="false">IF(ISBLANK($C163),"",IF($AJ163&lt;&gt;Constants!$B$7,$AJ163,AT163*W163))</f>
        <v/>
      </c>
      <c r="AV163" s="87" t="str">
        <f aca="false">IF(ISBLANK($C163),"",IF($AJ163=Constants!$B$7,IF(ISNUMBER(AU163),RANK(AU163,$AU$8:$AU$507),Constants!$B$14),$AJ163))</f>
        <v/>
      </c>
      <c r="AW163" s="87" t="str">
        <f aca="false">IF(ISBLANK($C163),"",IF($AJ163=Constants!$B$7,IF(ISNUMBER(AV163),COUNTIFS($AK$8:$AK$507,"&lt;"&amp;$AK163)+COUNTIFS($AK$8:$AK$507,$AK163,$AV$8:$AV$507,"&lt;"&amp;$AV163)+1,Constants!$B$14),$AJ163))</f>
        <v/>
      </c>
      <c r="AX163" s="87" t="str">
        <f aca="false">IF(ISBLANK($C163),"",IF($AJ163=Constants!$B$7,LARGE(AL163:AP163,4)*W163,""))</f>
        <v/>
      </c>
      <c r="AY163" s="87" t="str">
        <f aca="false">IF(ISBLANK($C163),"",IF($AJ163=Constants!$B$7,RANK(AX163,$AX$8:$AX$507),$AJ163))</f>
        <v/>
      </c>
      <c r="AZ163" s="87" t="str">
        <f aca="false">IF(ISBLANK($C163),"",IF($AJ163=Constants!$B$7,IF(ISNUMBER(AV163),COUNTIFS($AK$8:$AK$507,"&lt;"&amp;$AK163)+COUNTIFS($AK$8:$AK$507,$AK163,$AV$8:$AV$507,"&lt;"&amp;$AV163)+COUNTIFS($AK$8:$AK$507,$AK163,$AV$8:$AV$507,$AV163,$AY$8:$AY$507,"&lt;"&amp;$AY163)+1,Constants!$B$14),$AJ163))</f>
        <v/>
      </c>
      <c r="BA163" s="87" t="str">
        <f aca="false">IF(ISBLANK($C163),"",IF($AJ163=Constants!$B$7,IF(ISNUMBER(AW163),AW163-AZ163,Constants!$B$14),$AJ163))</f>
        <v/>
      </c>
      <c r="BB163" s="88"/>
      <c r="BC163" s="89" t="str">
        <f aca="false">IF(ISBLANK($C163),"",IF($AJ163&lt;&gt;Constants!$B$7,$AJ163,SMALL(AQ163:AS163,1)&amp;", "&amp;SMALL(AQ163:AS163,2)&amp;", "&amp;SMALL(AQ163:AS163,3)))</f>
        <v/>
      </c>
      <c r="BD163" s="90" t="str">
        <f aca="false">IF(ISBLANK($C163),"",IF($AJ163&lt;&gt;Constants!$B$7,$AJ163,W163))</f>
        <v/>
      </c>
      <c r="BE163" s="91" t="str">
        <f aca="false">IF(ISBLANK($C163),"",IF($AJ163&lt;&gt;Constants!$B$7,$AJ163,AU163))</f>
        <v/>
      </c>
      <c r="BF163" s="92" t="str">
        <f aca="false">IF(ISBLANK($C163),"",IF($AJ163&lt;&gt;Constants!$B$7,$AJ163,AK163))</f>
        <v/>
      </c>
      <c r="BG163" s="90" t="str">
        <f aca="false">IF(ISBLANK($C163),"",BA163)</f>
        <v/>
      </c>
      <c r="BH163" s="90" t="str">
        <f aca="false">IF(ISBLANK($C163),"",AZ163)</f>
        <v/>
      </c>
      <c r="BI163" s="93" t="str">
        <f aca="false">IF(ISBLANK($C163),"",IF(BH163=Constants!$B$4,COUNTA($C$8:$C$507)+2,IF(BH163=Constants!$B$5,COUNTA($C$8:$C$507)+1,IF(BH163=Constants!$B$6,COUNTA($C$8:$C$507),BH163))))</f>
        <v/>
      </c>
      <c r="BJ163" s="5"/>
      <c r="BK163" s="94" t="n">
        <f aca="false">IF(OR(ISNUMBER(BH163),BH163=Constants!$B$4,BH163=Constants!$B$6,BH163=Constants!$B$5),1,0)</f>
        <v>0</v>
      </c>
      <c r="BL163" s="94" t="n">
        <v>156</v>
      </c>
      <c r="BM163" s="94" t="str">
        <f aca="false">IF(ISBLANK($C163),"",IF(ISNUMBER(BI163),BI163+ROW($B163)/1000,""))</f>
        <v/>
      </c>
      <c r="BN163" s="94" t="str">
        <f aca="false">IF(ISNUMBER(BM163),RANK(BM163,$BM$8:$BM$507,1),"")</f>
        <v/>
      </c>
      <c r="BO163" s="94" t="str">
        <f aca="false">IF(ISBLANK($C163),"",$B163)</f>
        <v/>
      </c>
      <c r="BP163" s="94" t="str">
        <f aca="false">IF(ISBLANK($C163),"",$C163)</f>
        <v/>
      </c>
      <c r="BQ163" s="94" t="str">
        <f aca="false">IF(ISBLANK($C163),"",$D163)</f>
        <v/>
      </c>
      <c r="BR163" s="95" t="str">
        <f aca="false">BF163</f>
        <v/>
      </c>
      <c r="BS163" s="96" t="str">
        <f aca="false">BE163</f>
        <v/>
      </c>
      <c r="BT163" s="94" t="str">
        <f aca="false">IF(ISBLANK($C163),"",BH163)</f>
        <v/>
      </c>
      <c r="BU163" s="97" t="str">
        <f aca="false">IF($BL163&gt;$BK$7,"",VLOOKUP($BL163,$BN$8:$BT$507,7,FALSE()))</f>
        <v/>
      </c>
      <c r="BV163" s="98" t="str">
        <f aca="false">IF($BL163&gt;$BK$7,"",VLOOKUP($BL163,$BN$8:$BT$507,2,FALSE()))</f>
        <v/>
      </c>
      <c r="BW163" s="98" t="str">
        <f aca="false">IF($BL163&gt;$BK$7,"",VLOOKUP($BL163,$BN$8:$BT$507,3,FALSE()))</f>
        <v/>
      </c>
      <c r="BX163" s="98" t="str">
        <f aca="false">IF($BL163&gt;$BK$7,"",VLOOKUP($BL163,$BN$8:$BT$507,4,FALSE()))</f>
        <v/>
      </c>
      <c r="BY163" s="98" t="str">
        <f aca="false">IF($BL163&gt;$BK$7,"",VLOOKUP($BL163,$BN$8:$BT$507,5,FALSE()))</f>
        <v/>
      </c>
      <c r="BZ163" s="99" t="str">
        <f aca="false">IF($BL163&gt;$BK$7,"",VLOOKUP($BL163,$BN$8:$BT$507,6,FALSE()))</f>
        <v/>
      </c>
      <c r="CA163" s="48"/>
    </row>
    <row r="164" customFormat="false" ht="15.75" hidden="false" customHeight="false" outlineLevel="0" collapsed="false">
      <c r="A164" s="5"/>
      <c r="B164" s="121"/>
      <c r="C164" s="50"/>
      <c r="D164" s="51"/>
      <c r="E164" s="74"/>
      <c r="F164" s="122"/>
      <c r="G164" s="54"/>
      <c r="H164" s="123"/>
      <c r="I164" s="124"/>
      <c r="J164" s="54"/>
      <c r="K164" s="123"/>
      <c r="L164" s="54"/>
      <c r="M164" s="123"/>
      <c r="N164" s="54"/>
      <c r="O164" s="123"/>
      <c r="P164" s="54"/>
      <c r="Q164" s="123"/>
      <c r="R164" s="54"/>
      <c r="S164" s="74"/>
      <c r="T164" s="58"/>
      <c r="U164" s="59" t="str">
        <f aca="false">IF(ISBLANK($C164),"",IF(E164=Constants!$B$2, TRUE(), IF(E164=Constants!$B$3, FALSE(), TRUE())))</f>
        <v/>
      </c>
      <c r="V164" s="59" t="str">
        <f aca="false">IF(ISBLANK($C164),"",IF(F164=Constants!$B$2, TRUE(), IF(F164=Constants!$B$3, FALSE(), TRUE())))</f>
        <v/>
      </c>
      <c r="W164" s="59" t="str">
        <f aca="false">IF(ISBLANK($C164),"",IF(G164=Constants!$B$15,Constants!$B$8,IF(G164=Constants!$B$16,Constants!$B$9,Constants!$B$10)))</f>
        <v/>
      </c>
      <c r="X164" s="59" t="str">
        <f aca="false">IF(ISBLANK($C164),"",IF(H164=Constants!$B$2, TRUE(), IF(H164=Constants!$B$3, FALSE(), TRUE())))</f>
        <v/>
      </c>
      <c r="Y164" s="59" t="str">
        <f aca="false">IF(ISBLANK($C164),"",IF(I164=Constants!$B$19,Constants!$B$19,Constants!$B$18))</f>
        <v/>
      </c>
      <c r="Z164" s="59" t="str">
        <f aca="false">IF(ISBLANK($C164),"",IF(ISNUMBER(J164),IF(J164&gt;=0,J164,""),""))</f>
        <v/>
      </c>
      <c r="AA164" s="59" t="str">
        <f aca="false">IF(ISBLANK($C164),"",IF(K164=Constants!$B$19,Constants!$B$19,Constants!$B$18))</f>
        <v/>
      </c>
      <c r="AB164" s="59" t="str">
        <f aca="false">IF(ISBLANK($C164),"",IF(ISNUMBER(L164),IF(L164&gt;=0,L164,""),""))</f>
        <v/>
      </c>
      <c r="AC164" s="59" t="str">
        <f aca="false">IF(ISBLANK($C164),"",IF(M164=Constants!$B$19,Constants!$B$19,Constants!$B$18))</f>
        <v/>
      </c>
      <c r="AD164" s="59" t="str">
        <f aca="false">IF(ISBLANK($C164),"",IF(ISNUMBER(N164),IF(N164&gt;=0,N164,""),""))</f>
        <v/>
      </c>
      <c r="AE164" s="59" t="str">
        <f aca="false">IF(ISBLANK($C164),"",IF(O164=Constants!$B$19,Constants!$B$19,Constants!$B$18))</f>
        <v/>
      </c>
      <c r="AF164" s="59" t="str">
        <f aca="false">IF(ISBLANK($C164),"",IF(ISNUMBER(P164),IF(P164&gt;=0,P164,""),""))</f>
        <v/>
      </c>
      <c r="AG164" s="59" t="str">
        <f aca="false">IF(ISBLANK($C164),"",IF(Q164=Constants!$B$19,Constants!$B$19,Constants!$B$18))</f>
        <v/>
      </c>
      <c r="AH164" s="59" t="str">
        <f aca="false">IF(ISBLANK($C164),"",IF(ISNUMBER(R164),IF(R164&gt;=0,R164,""),""))</f>
        <v/>
      </c>
      <c r="AI164" s="59" t="str">
        <f aca="false">IF(ISBLANK($C164),"",IF(S164=Constants!$B$2, TRUE(), IF(S164=Constants!$B$3, FALSE(), FALSE())))</f>
        <v/>
      </c>
      <c r="AJ164" s="59" t="str">
        <f aca="false">IF(ISBLANK($C164),"",IF(AI164,Constants!$B$4,IF(COUNTA(E164:R164)=0,Constants!$B$5,IF(COUNTA(J164,L164,N164,P164,R164)=0,Constants!$B$6,Constants!$B$7))))</f>
        <v/>
      </c>
      <c r="AK164" s="59" t="str">
        <f aca="false">IF(ISBLANK($C164),"",IF($AJ164&lt;&gt;Constants!$B$7,$AJ164,IF(OR(NOT(X164),AND(NOT(U164),COUNTIFS(Y164:AG164,Constants!$B$18,Z164:AH164,"&gt;=0")&gt;0),AND(NOT(V164),COUNTIFS(Y164:AG164,Constants!$B$19,Z164:AH164,"&gt;=0")&gt;0)),Constants!$B$12,Constants!$B$11)))</f>
        <v/>
      </c>
      <c r="AL164" s="59" t="str">
        <f aca="false">IF($AJ164=Constants!$B$7,IF(Z164="",Constants!$B$13,Z164),"")</f>
        <v/>
      </c>
      <c r="AM164" s="59" t="str">
        <f aca="false">IF($AJ164=Constants!$B$7,IF(AB164="",Constants!$B$13,AB164),"")</f>
        <v/>
      </c>
      <c r="AN164" s="59" t="str">
        <f aca="false">IF($AJ164=Constants!$B$7,IF(AD164="",Constants!$B$13,AD164),"")</f>
        <v/>
      </c>
      <c r="AO164" s="59" t="str">
        <f aca="false">IF($AJ164=Constants!$B$7,IF(AF164="",Constants!$B$13,AF164),"")</f>
        <v/>
      </c>
      <c r="AP164" s="59" t="str">
        <f aca="false">IF($AJ164=Constants!$B$7,IF(AH164="",Constants!$B$13,AH164),"")</f>
        <v/>
      </c>
      <c r="AQ164" s="59" t="str">
        <f aca="false">IF($AJ164=Constants!$B$7,IF(SUMPRODUCT(--($AL164:$AP164&gt;AL164))+SUMPRODUCT(--($AL164:AL164=AL164))=1,1,IF(SUMPRODUCT(--($AL164:$AP164&gt;AM164))+SUMPRODUCT(--($AL164:AM164=AM164))=1,2,IF(SUMPRODUCT(--($AL164:$AP164&gt;AN164))+SUMPRODUCT(--($AL164:AN164=AN164))=1,3,IF(SUMPRODUCT(--($AL164:$AP164&gt;AO164))+SUMPRODUCT(--($AL164:AO164=AO164))=1,4,5)))),"")</f>
        <v/>
      </c>
      <c r="AR164" s="59" t="str">
        <f aca="false">IF($AJ164=Constants!$B$7,IF(SUMPRODUCT(--($AL164:$AP164&gt;AL164))+SUMPRODUCT(--($AL164:AL164=AL164))=2,1,IF(SUMPRODUCT(--($AL164:$AP164&gt;AM164))+SUMPRODUCT(--($AL164:AM164=AM164))=2,2,IF(SUMPRODUCT(--($AL164:$AP164&gt;AN164))+SUMPRODUCT(--($AL164:AN164=AN164))=2,3,IF(SUMPRODUCT(--($AL164:$AP164&gt;AO164))+SUMPRODUCT(--($AL164:AO164=AO164))=2,4,5)))),"")</f>
        <v/>
      </c>
      <c r="AS164" s="59" t="str">
        <f aca="false">IF($AJ164=Constants!$B$7,IF(SUMPRODUCT(--($AL164:$AP164&gt;AL164))+SUMPRODUCT(--($AL164:AL164=AL164))=3,1,IF(SUMPRODUCT(--($AL164:$AP164&gt;AM164))+SUMPRODUCT(--($AL164:AM164=AM164))=3,2,IF(SUMPRODUCT(--($AL164:$AP164&gt;AN164))+SUMPRODUCT(--($AL164:AN164=AN164))=3,3,IF(SUMPRODUCT(--($AL164:$AP164&gt;AO164))+SUMPRODUCT(--($AL164:AO164=AO164))=3,4,5)))),"")</f>
        <v/>
      </c>
      <c r="AT164" s="59" t="str">
        <f aca="false">IF($AJ164=Constants!$B$7,LARGE(AL164:AP164,1)+LARGE(AL164:AP164,2)+LARGE(AL164:AP164,3),"")</f>
        <v/>
      </c>
      <c r="AU164" s="59" t="str">
        <f aca="false">IF(ISBLANK($C164),"",IF($AJ164&lt;&gt;Constants!$B$7,$AJ164,AT164*W164))</f>
        <v/>
      </c>
      <c r="AV164" s="59" t="str">
        <f aca="false">IF(ISBLANK($C164),"",IF($AJ164=Constants!$B$7,IF(ISNUMBER(AU164),RANK(AU164,$AU$8:$AU$507),Constants!$B$14),$AJ164))</f>
        <v/>
      </c>
      <c r="AW164" s="59" t="str">
        <f aca="false">IF(ISBLANK($C164),"",IF($AJ164=Constants!$B$7,IF(ISNUMBER(AV164),COUNTIFS($AK$8:$AK$507,"&lt;"&amp;$AK164)+COUNTIFS($AK$8:$AK$507,$AK164,$AV$8:$AV$507,"&lt;"&amp;$AV164)+1,Constants!$B$14),$AJ164))</f>
        <v/>
      </c>
      <c r="AX164" s="59" t="str">
        <f aca="false">IF(ISBLANK($C164),"",IF($AJ164=Constants!$B$7,LARGE(AL164:AP164,4)*W164,""))</f>
        <v/>
      </c>
      <c r="AY164" s="59" t="str">
        <f aca="false">IF(ISBLANK($C164),"",IF($AJ164=Constants!$B$7,RANK(AX164,$AX$8:$AX$507),$AJ164))</f>
        <v/>
      </c>
      <c r="AZ164" s="59" t="str">
        <f aca="false">IF(ISBLANK($C164),"",IF($AJ164=Constants!$B$7,IF(ISNUMBER(AV164),COUNTIFS($AK$8:$AK$507,"&lt;"&amp;$AK164)+COUNTIFS($AK$8:$AK$507,$AK164,$AV$8:$AV$507,"&lt;"&amp;$AV164)+COUNTIFS($AK$8:$AK$507,$AK164,$AV$8:$AV$507,$AV164,$AY$8:$AY$507,"&lt;"&amp;$AY164)+1,Constants!$B$14),$AJ164))</f>
        <v/>
      </c>
      <c r="BA164" s="59" t="str">
        <f aca="false">IF(ISBLANK($C164),"",IF($AJ164=Constants!$B$7,IF(ISNUMBER(AW164),AW164-AZ164,Constants!$B$14),$AJ164))</f>
        <v/>
      </c>
      <c r="BB164" s="61"/>
      <c r="BC164" s="62" t="str">
        <f aca="false">IF(ISBLANK($C164),"",IF($AJ164&lt;&gt;Constants!$B$7,$AJ164,SMALL(AQ164:AS164,1)&amp;", "&amp;SMALL(AQ164:AS164,2)&amp;", "&amp;SMALL(AQ164:AS164,3)))</f>
        <v/>
      </c>
      <c r="BD164" s="63" t="str">
        <f aca="false">IF(ISBLANK($C164),"",IF($AJ164&lt;&gt;Constants!$B$7,$AJ164,W164))</f>
        <v/>
      </c>
      <c r="BE164" s="64" t="str">
        <f aca="false">IF(ISBLANK($C164),"",IF($AJ164&lt;&gt;Constants!$B$7,$AJ164,AU164))</f>
        <v/>
      </c>
      <c r="BF164" s="65" t="str">
        <f aca="false">IF(ISBLANK($C164),"",IF($AJ164&lt;&gt;Constants!$B$7,$AJ164,AK164))</f>
        <v/>
      </c>
      <c r="BG164" s="63" t="str">
        <f aca="false">IF(ISBLANK($C164),"",BA164)</f>
        <v/>
      </c>
      <c r="BH164" s="63" t="str">
        <f aca="false">IF(ISBLANK($C164),"",AZ164)</f>
        <v/>
      </c>
      <c r="BI164" s="66" t="str">
        <f aca="false">IF(ISBLANK($C164),"",IF(BH164=Constants!$B$4,COUNTA($C$8:$C$507)+2,IF(BH164=Constants!$B$5,COUNTA($C$8:$C$507)+1,IF(BH164=Constants!$B$6,COUNTA($C$8:$C$507),BH164))))</f>
        <v/>
      </c>
      <c r="BJ164" s="5"/>
      <c r="BK164" s="67" t="n">
        <f aca="false">IF(OR(ISNUMBER(BH164),BH164=Constants!$B$4,BH164=Constants!$B$6,BH164=Constants!$B$5),1,0)</f>
        <v>0</v>
      </c>
      <c r="BL164" s="67" t="n">
        <v>157</v>
      </c>
      <c r="BM164" s="67" t="str">
        <f aca="false">IF(ISBLANK($C164),"",IF(ISNUMBER(BI164),BI164+ROW($B164)/1000,""))</f>
        <v/>
      </c>
      <c r="BN164" s="67" t="str">
        <f aca="false">IF(ISNUMBER(BM164),RANK(BM164,$BM$8:$BM$507,1),"")</f>
        <v/>
      </c>
      <c r="BO164" s="67" t="str">
        <f aca="false">IF(ISBLANK($C164),"",$B164)</f>
        <v/>
      </c>
      <c r="BP164" s="67" t="str">
        <f aca="false">IF(ISBLANK($C164),"",$C164)</f>
        <v/>
      </c>
      <c r="BQ164" s="67" t="str">
        <f aca="false">IF(ISBLANK($C164),"",$D164)</f>
        <v/>
      </c>
      <c r="BR164" s="68" t="str">
        <f aca="false">BF164</f>
        <v/>
      </c>
      <c r="BS164" s="69" t="str">
        <f aca="false">BE164</f>
        <v/>
      </c>
      <c r="BT164" s="67" t="str">
        <f aca="false">IF(ISBLANK($C164),"",BH164)</f>
        <v/>
      </c>
      <c r="BU164" s="70" t="str">
        <f aca="false">IF($BL164&gt;$BK$7,"",VLOOKUP($BL164,$BN$8:$BT$507,7,FALSE()))</f>
        <v/>
      </c>
      <c r="BV164" s="71" t="str">
        <f aca="false">IF($BL164&gt;$BK$7,"",VLOOKUP($BL164,$BN$8:$BT$507,2,FALSE()))</f>
        <v/>
      </c>
      <c r="BW164" s="71" t="str">
        <f aca="false">IF($BL164&gt;$BK$7,"",VLOOKUP($BL164,$BN$8:$BT$507,3,FALSE()))</f>
        <v/>
      </c>
      <c r="BX164" s="71" t="str">
        <f aca="false">IF($BL164&gt;$BK$7,"",VLOOKUP($BL164,$BN$8:$BT$507,4,FALSE()))</f>
        <v/>
      </c>
      <c r="BY164" s="71" t="str">
        <f aca="false">IF($BL164&gt;$BK$7,"",VLOOKUP($BL164,$BN$8:$BT$507,5,FALSE()))</f>
        <v/>
      </c>
      <c r="BZ164" s="72" t="str">
        <f aca="false">IF($BL164&gt;$BK$7,"",VLOOKUP($BL164,$BN$8:$BT$507,6,FALSE()))</f>
        <v/>
      </c>
      <c r="CA164" s="48"/>
    </row>
    <row r="165" customFormat="false" ht="15.75" hidden="false" customHeight="false" outlineLevel="0" collapsed="false">
      <c r="A165" s="5"/>
      <c r="B165" s="121"/>
      <c r="C165" s="50"/>
      <c r="D165" s="51"/>
      <c r="E165" s="74"/>
      <c r="F165" s="122"/>
      <c r="G165" s="54"/>
      <c r="H165" s="123"/>
      <c r="I165" s="124"/>
      <c r="J165" s="54"/>
      <c r="K165" s="123"/>
      <c r="L165" s="54"/>
      <c r="M165" s="123"/>
      <c r="N165" s="54"/>
      <c r="O165" s="123"/>
      <c r="P165" s="54"/>
      <c r="Q165" s="123"/>
      <c r="R165" s="54"/>
      <c r="S165" s="74"/>
      <c r="T165" s="58"/>
      <c r="U165" s="59" t="str">
        <f aca="false">IF(ISBLANK($C165),"",IF(E165=Constants!$B$2, TRUE(), IF(E165=Constants!$B$3, FALSE(), TRUE())))</f>
        <v/>
      </c>
      <c r="V165" s="59" t="str">
        <f aca="false">IF(ISBLANK($C165),"",IF(F165=Constants!$B$2, TRUE(), IF(F165=Constants!$B$3, FALSE(), TRUE())))</f>
        <v/>
      </c>
      <c r="W165" s="59" t="str">
        <f aca="false">IF(ISBLANK($C165),"",IF(G165=Constants!$B$15,Constants!$B$8,IF(G165=Constants!$B$16,Constants!$B$9,Constants!$B$10)))</f>
        <v/>
      </c>
      <c r="X165" s="59" t="str">
        <f aca="false">IF(ISBLANK($C165),"",IF(H165=Constants!$B$2, TRUE(), IF(H165=Constants!$B$3, FALSE(), TRUE())))</f>
        <v/>
      </c>
      <c r="Y165" s="59" t="str">
        <f aca="false">IF(ISBLANK($C165),"",IF(I165=Constants!$B$19,Constants!$B$19,Constants!$B$18))</f>
        <v/>
      </c>
      <c r="Z165" s="59" t="str">
        <f aca="false">IF(ISBLANK($C165),"",IF(ISNUMBER(J165),IF(J165&gt;=0,J165,""),""))</f>
        <v/>
      </c>
      <c r="AA165" s="59" t="str">
        <f aca="false">IF(ISBLANK($C165),"",IF(K165=Constants!$B$19,Constants!$B$19,Constants!$B$18))</f>
        <v/>
      </c>
      <c r="AB165" s="59" t="str">
        <f aca="false">IF(ISBLANK($C165),"",IF(ISNUMBER(L165),IF(L165&gt;=0,L165,""),""))</f>
        <v/>
      </c>
      <c r="AC165" s="59" t="str">
        <f aca="false">IF(ISBLANK($C165),"",IF(M165=Constants!$B$19,Constants!$B$19,Constants!$B$18))</f>
        <v/>
      </c>
      <c r="AD165" s="59" t="str">
        <f aca="false">IF(ISBLANK($C165),"",IF(ISNUMBER(N165),IF(N165&gt;=0,N165,""),""))</f>
        <v/>
      </c>
      <c r="AE165" s="59" t="str">
        <f aca="false">IF(ISBLANK($C165),"",IF(O165=Constants!$B$19,Constants!$B$19,Constants!$B$18))</f>
        <v/>
      </c>
      <c r="AF165" s="59" t="str">
        <f aca="false">IF(ISBLANK($C165),"",IF(ISNUMBER(P165),IF(P165&gt;=0,P165,""),""))</f>
        <v/>
      </c>
      <c r="AG165" s="59" t="str">
        <f aca="false">IF(ISBLANK($C165),"",IF(Q165=Constants!$B$19,Constants!$B$19,Constants!$B$18))</f>
        <v/>
      </c>
      <c r="AH165" s="59" t="str">
        <f aca="false">IF(ISBLANK($C165),"",IF(ISNUMBER(R165),IF(R165&gt;=0,R165,""),""))</f>
        <v/>
      </c>
      <c r="AI165" s="59" t="str">
        <f aca="false">IF(ISBLANK($C165),"",IF(S165=Constants!$B$2, TRUE(), IF(S165=Constants!$B$3, FALSE(), FALSE())))</f>
        <v/>
      </c>
      <c r="AJ165" s="59" t="str">
        <f aca="false">IF(ISBLANK($C165),"",IF(AI165,Constants!$B$4,IF(COUNTA(E165:R165)=0,Constants!$B$5,IF(COUNTA(J165,L165,N165,P165,R165)=0,Constants!$B$6,Constants!$B$7))))</f>
        <v/>
      </c>
      <c r="AK165" s="59" t="str">
        <f aca="false">IF(ISBLANK($C165),"",IF($AJ165&lt;&gt;Constants!$B$7,$AJ165,IF(OR(NOT(X165),AND(NOT(U165),COUNTIFS(Y165:AG165,Constants!$B$18,Z165:AH165,"&gt;=0")&gt;0),AND(NOT(V165),COUNTIFS(Y165:AG165,Constants!$B$19,Z165:AH165,"&gt;=0")&gt;0)),Constants!$B$12,Constants!$B$11)))</f>
        <v/>
      </c>
      <c r="AL165" s="59" t="str">
        <f aca="false">IF($AJ165=Constants!$B$7,IF(Z165="",Constants!$B$13,Z165),"")</f>
        <v/>
      </c>
      <c r="AM165" s="59" t="str">
        <f aca="false">IF($AJ165=Constants!$B$7,IF(AB165="",Constants!$B$13,AB165),"")</f>
        <v/>
      </c>
      <c r="AN165" s="59" t="str">
        <f aca="false">IF($AJ165=Constants!$B$7,IF(AD165="",Constants!$B$13,AD165),"")</f>
        <v/>
      </c>
      <c r="AO165" s="59" t="str">
        <f aca="false">IF($AJ165=Constants!$B$7,IF(AF165="",Constants!$B$13,AF165),"")</f>
        <v/>
      </c>
      <c r="AP165" s="59" t="str">
        <f aca="false">IF($AJ165=Constants!$B$7,IF(AH165="",Constants!$B$13,AH165),"")</f>
        <v/>
      </c>
      <c r="AQ165" s="59" t="str">
        <f aca="false">IF($AJ165=Constants!$B$7,IF(SUMPRODUCT(--($AL165:$AP165&gt;AL165))+SUMPRODUCT(--($AL165:AL165=AL165))=1,1,IF(SUMPRODUCT(--($AL165:$AP165&gt;AM165))+SUMPRODUCT(--($AL165:AM165=AM165))=1,2,IF(SUMPRODUCT(--($AL165:$AP165&gt;AN165))+SUMPRODUCT(--($AL165:AN165=AN165))=1,3,IF(SUMPRODUCT(--($AL165:$AP165&gt;AO165))+SUMPRODUCT(--($AL165:AO165=AO165))=1,4,5)))),"")</f>
        <v/>
      </c>
      <c r="AR165" s="59" t="str">
        <f aca="false">IF($AJ165=Constants!$B$7,IF(SUMPRODUCT(--($AL165:$AP165&gt;AL165))+SUMPRODUCT(--($AL165:AL165=AL165))=2,1,IF(SUMPRODUCT(--($AL165:$AP165&gt;AM165))+SUMPRODUCT(--($AL165:AM165=AM165))=2,2,IF(SUMPRODUCT(--($AL165:$AP165&gt;AN165))+SUMPRODUCT(--($AL165:AN165=AN165))=2,3,IF(SUMPRODUCT(--($AL165:$AP165&gt;AO165))+SUMPRODUCT(--($AL165:AO165=AO165))=2,4,5)))),"")</f>
        <v/>
      </c>
      <c r="AS165" s="59" t="str">
        <f aca="false">IF($AJ165=Constants!$B$7,IF(SUMPRODUCT(--($AL165:$AP165&gt;AL165))+SUMPRODUCT(--($AL165:AL165=AL165))=3,1,IF(SUMPRODUCT(--($AL165:$AP165&gt;AM165))+SUMPRODUCT(--($AL165:AM165=AM165))=3,2,IF(SUMPRODUCT(--($AL165:$AP165&gt;AN165))+SUMPRODUCT(--($AL165:AN165=AN165))=3,3,IF(SUMPRODUCT(--($AL165:$AP165&gt;AO165))+SUMPRODUCT(--($AL165:AO165=AO165))=3,4,5)))),"")</f>
        <v/>
      </c>
      <c r="AT165" s="59" t="str">
        <f aca="false">IF($AJ165=Constants!$B$7,LARGE(AL165:AP165,1)+LARGE(AL165:AP165,2)+LARGE(AL165:AP165,3),"")</f>
        <v/>
      </c>
      <c r="AU165" s="59" t="str">
        <f aca="false">IF(ISBLANK($C165),"",IF($AJ165&lt;&gt;Constants!$B$7,$AJ165,AT165*W165))</f>
        <v/>
      </c>
      <c r="AV165" s="59" t="str">
        <f aca="false">IF(ISBLANK($C165),"",IF($AJ165=Constants!$B$7,IF(ISNUMBER(AU165),RANK(AU165,$AU$8:$AU$507),Constants!$B$14),$AJ165))</f>
        <v/>
      </c>
      <c r="AW165" s="59" t="str">
        <f aca="false">IF(ISBLANK($C165),"",IF($AJ165=Constants!$B$7,IF(ISNUMBER(AV165),COUNTIFS($AK$8:$AK$507,"&lt;"&amp;$AK165)+COUNTIFS($AK$8:$AK$507,$AK165,$AV$8:$AV$507,"&lt;"&amp;$AV165)+1,Constants!$B$14),$AJ165))</f>
        <v/>
      </c>
      <c r="AX165" s="59" t="str">
        <f aca="false">IF(ISBLANK($C165),"",IF($AJ165=Constants!$B$7,LARGE(AL165:AP165,4)*W165,""))</f>
        <v/>
      </c>
      <c r="AY165" s="59" t="str">
        <f aca="false">IF(ISBLANK($C165),"",IF($AJ165=Constants!$B$7,RANK(AX165,$AX$8:$AX$507),$AJ165))</f>
        <v/>
      </c>
      <c r="AZ165" s="59" t="str">
        <f aca="false">IF(ISBLANK($C165),"",IF($AJ165=Constants!$B$7,IF(ISNUMBER(AV165),COUNTIFS($AK$8:$AK$507,"&lt;"&amp;$AK165)+COUNTIFS($AK$8:$AK$507,$AK165,$AV$8:$AV$507,"&lt;"&amp;$AV165)+COUNTIFS($AK$8:$AK$507,$AK165,$AV$8:$AV$507,$AV165,$AY$8:$AY$507,"&lt;"&amp;$AY165)+1,Constants!$B$14),$AJ165))</f>
        <v/>
      </c>
      <c r="BA165" s="59" t="str">
        <f aca="false">IF(ISBLANK($C165),"",IF($AJ165=Constants!$B$7,IF(ISNUMBER(AW165),AW165-AZ165,Constants!$B$14),$AJ165))</f>
        <v/>
      </c>
      <c r="BB165" s="61"/>
      <c r="BC165" s="62" t="str">
        <f aca="false">IF(ISBLANK($C165),"",IF($AJ165&lt;&gt;Constants!$B$7,$AJ165,SMALL(AQ165:AS165,1)&amp;", "&amp;SMALL(AQ165:AS165,2)&amp;", "&amp;SMALL(AQ165:AS165,3)))</f>
        <v/>
      </c>
      <c r="BD165" s="63" t="str">
        <f aca="false">IF(ISBLANK($C165),"",IF($AJ165&lt;&gt;Constants!$B$7,$AJ165,W165))</f>
        <v/>
      </c>
      <c r="BE165" s="64" t="str">
        <f aca="false">IF(ISBLANK($C165),"",IF($AJ165&lt;&gt;Constants!$B$7,$AJ165,AU165))</f>
        <v/>
      </c>
      <c r="BF165" s="65" t="str">
        <f aca="false">IF(ISBLANK($C165),"",IF($AJ165&lt;&gt;Constants!$B$7,$AJ165,AK165))</f>
        <v/>
      </c>
      <c r="BG165" s="63" t="str">
        <f aca="false">IF(ISBLANK($C165),"",BA165)</f>
        <v/>
      </c>
      <c r="BH165" s="63" t="str">
        <f aca="false">IF(ISBLANK($C165),"",AZ165)</f>
        <v/>
      </c>
      <c r="BI165" s="66" t="str">
        <f aca="false">IF(ISBLANK($C165),"",IF(BH165=Constants!$B$4,COUNTA($C$8:$C$507)+2,IF(BH165=Constants!$B$5,COUNTA($C$8:$C$507)+1,IF(BH165=Constants!$B$6,COUNTA($C$8:$C$507),BH165))))</f>
        <v/>
      </c>
      <c r="BJ165" s="5"/>
      <c r="BK165" s="67" t="n">
        <f aca="false">IF(OR(ISNUMBER(BH165),BH165=Constants!$B$4,BH165=Constants!$B$6,BH165=Constants!$B$5),1,0)</f>
        <v>0</v>
      </c>
      <c r="BL165" s="67" t="n">
        <v>158</v>
      </c>
      <c r="BM165" s="67" t="str">
        <f aca="false">IF(ISBLANK($C165),"",IF(ISNUMBER(BI165),BI165+ROW($B165)/1000,""))</f>
        <v/>
      </c>
      <c r="BN165" s="67" t="str">
        <f aca="false">IF(ISNUMBER(BM165),RANK(BM165,$BM$8:$BM$507,1),"")</f>
        <v/>
      </c>
      <c r="BO165" s="67" t="str">
        <f aca="false">IF(ISBLANK($C165),"",$B165)</f>
        <v/>
      </c>
      <c r="BP165" s="67" t="str">
        <f aca="false">IF(ISBLANK($C165),"",$C165)</f>
        <v/>
      </c>
      <c r="BQ165" s="67" t="str">
        <f aca="false">IF(ISBLANK($C165),"",$D165)</f>
        <v/>
      </c>
      <c r="BR165" s="68" t="str">
        <f aca="false">BF165</f>
        <v/>
      </c>
      <c r="BS165" s="69" t="str">
        <f aca="false">BE165</f>
        <v/>
      </c>
      <c r="BT165" s="67" t="str">
        <f aca="false">IF(ISBLANK($C165),"",BH165)</f>
        <v/>
      </c>
      <c r="BU165" s="70" t="str">
        <f aca="false">IF($BL165&gt;$BK$7,"",VLOOKUP($BL165,$BN$8:$BT$507,7,FALSE()))</f>
        <v/>
      </c>
      <c r="BV165" s="71" t="str">
        <f aca="false">IF($BL165&gt;$BK$7,"",VLOOKUP($BL165,$BN$8:$BT$507,2,FALSE()))</f>
        <v/>
      </c>
      <c r="BW165" s="71" t="str">
        <f aca="false">IF($BL165&gt;$BK$7,"",VLOOKUP($BL165,$BN$8:$BT$507,3,FALSE()))</f>
        <v/>
      </c>
      <c r="BX165" s="71" t="str">
        <f aca="false">IF($BL165&gt;$BK$7,"",VLOOKUP($BL165,$BN$8:$BT$507,4,FALSE()))</f>
        <v/>
      </c>
      <c r="BY165" s="71" t="str">
        <f aca="false">IF($BL165&gt;$BK$7,"",VLOOKUP($BL165,$BN$8:$BT$507,5,FALSE()))</f>
        <v/>
      </c>
      <c r="BZ165" s="72" t="str">
        <f aca="false">IF($BL165&gt;$BK$7,"",VLOOKUP($BL165,$BN$8:$BT$507,6,FALSE()))</f>
        <v/>
      </c>
      <c r="CA165" s="48"/>
    </row>
    <row r="166" customFormat="false" ht="15.75" hidden="false" customHeight="false" outlineLevel="0" collapsed="false">
      <c r="A166" s="5"/>
      <c r="B166" s="121"/>
      <c r="C166" s="50"/>
      <c r="D166" s="51"/>
      <c r="E166" s="74"/>
      <c r="F166" s="122"/>
      <c r="G166" s="54"/>
      <c r="H166" s="123"/>
      <c r="I166" s="124"/>
      <c r="J166" s="54"/>
      <c r="K166" s="123"/>
      <c r="L166" s="54"/>
      <c r="M166" s="123"/>
      <c r="N166" s="54"/>
      <c r="O166" s="123"/>
      <c r="P166" s="54"/>
      <c r="Q166" s="123"/>
      <c r="R166" s="54"/>
      <c r="S166" s="74"/>
      <c r="T166" s="58"/>
      <c r="U166" s="59" t="str">
        <f aca="false">IF(ISBLANK($C166),"",IF(E166=Constants!$B$2, TRUE(), IF(E166=Constants!$B$3, FALSE(), TRUE())))</f>
        <v/>
      </c>
      <c r="V166" s="59" t="str">
        <f aca="false">IF(ISBLANK($C166),"",IF(F166=Constants!$B$2, TRUE(), IF(F166=Constants!$B$3, FALSE(), TRUE())))</f>
        <v/>
      </c>
      <c r="W166" s="59" t="str">
        <f aca="false">IF(ISBLANK($C166),"",IF(G166=Constants!$B$15,Constants!$B$8,IF(G166=Constants!$B$16,Constants!$B$9,Constants!$B$10)))</f>
        <v/>
      </c>
      <c r="X166" s="59" t="str">
        <f aca="false">IF(ISBLANK($C166),"",IF(H166=Constants!$B$2, TRUE(), IF(H166=Constants!$B$3, FALSE(), TRUE())))</f>
        <v/>
      </c>
      <c r="Y166" s="59" t="str">
        <f aca="false">IF(ISBLANK($C166),"",IF(I166=Constants!$B$19,Constants!$B$19,Constants!$B$18))</f>
        <v/>
      </c>
      <c r="Z166" s="59" t="str">
        <f aca="false">IF(ISBLANK($C166),"",IF(ISNUMBER(J166),IF(J166&gt;=0,J166,""),""))</f>
        <v/>
      </c>
      <c r="AA166" s="59" t="str">
        <f aca="false">IF(ISBLANK($C166),"",IF(K166=Constants!$B$19,Constants!$B$19,Constants!$B$18))</f>
        <v/>
      </c>
      <c r="AB166" s="59" t="str">
        <f aca="false">IF(ISBLANK($C166),"",IF(ISNUMBER(L166),IF(L166&gt;=0,L166,""),""))</f>
        <v/>
      </c>
      <c r="AC166" s="59" t="str">
        <f aca="false">IF(ISBLANK($C166),"",IF(M166=Constants!$B$19,Constants!$B$19,Constants!$B$18))</f>
        <v/>
      </c>
      <c r="AD166" s="59" t="str">
        <f aca="false">IF(ISBLANK($C166),"",IF(ISNUMBER(N166),IF(N166&gt;=0,N166,""),""))</f>
        <v/>
      </c>
      <c r="AE166" s="59" t="str">
        <f aca="false">IF(ISBLANK($C166),"",IF(O166=Constants!$B$19,Constants!$B$19,Constants!$B$18))</f>
        <v/>
      </c>
      <c r="AF166" s="59" t="str">
        <f aca="false">IF(ISBLANK($C166),"",IF(ISNUMBER(P166),IF(P166&gt;=0,P166,""),""))</f>
        <v/>
      </c>
      <c r="AG166" s="59" t="str">
        <f aca="false">IF(ISBLANK($C166),"",IF(Q166=Constants!$B$19,Constants!$B$19,Constants!$B$18))</f>
        <v/>
      </c>
      <c r="AH166" s="59" t="str">
        <f aca="false">IF(ISBLANK($C166),"",IF(ISNUMBER(R166),IF(R166&gt;=0,R166,""),""))</f>
        <v/>
      </c>
      <c r="AI166" s="59" t="str">
        <f aca="false">IF(ISBLANK($C166),"",IF(S166=Constants!$B$2, TRUE(), IF(S166=Constants!$B$3, FALSE(), FALSE())))</f>
        <v/>
      </c>
      <c r="AJ166" s="59" t="str">
        <f aca="false">IF(ISBLANK($C166),"",IF(AI166,Constants!$B$4,IF(COUNTA(E166:R166)=0,Constants!$B$5,IF(COUNTA(J166,L166,N166,P166,R166)=0,Constants!$B$6,Constants!$B$7))))</f>
        <v/>
      </c>
      <c r="AK166" s="59" t="str">
        <f aca="false">IF(ISBLANK($C166),"",IF($AJ166&lt;&gt;Constants!$B$7,$AJ166,IF(OR(NOT(X166),AND(NOT(U166),COUNTIFS(Y166:AG166,Constants!$B$18,Z166:AH166,"&gt;=0")&gt;0),AND(NOT(V166),COUNTIFS(Y166:AG166,Constants!$B$19,Z166:AH166,"&gt;=0")&gt;0)),Constants!$B$12,Constants!$B$11)))</f>
        <v/>
      </c>
      <c r="AL166" s="59" t="str">
        <f aca="false">IF($AJ166=Constants!$B$7,IF(Z166="",Constants!$B$13,Z166),"")</f>
        <v/>
      </c>
      <c r="AM166" s="59" t="str">
        <f aca="false">IF($AJ166=Constants!$B$7,IF(AB166="",Constants!$B$13,AB166),"")</f>
        <v/>
      </c>
      <c r="AN166" s="59" t="str">
        <f aca="false">IF($AJ166=Constants!$B$7,IF(AD166="",Constants!$B$13,AD166),"")</f>
        <v/>
      </c>
      <c r="AO166" s="59" t="str">
        <f aca="false">IF($AJ166=Constants!$B$7,IF(AF166="",Constants!$B$13,AF166),"")</f>
        <v/>
      </c>
      <c r="AP166" s="59" t="str">
        <f aca="false">IF($AJ166=Constants!$B$7,IF(AH166="",Constants!$B$13,AH166),"")</f>
        <v/>
      </c>
      <c r="AQ166" s="59" t="str">
        <f aca="false">IF($AJ166=Constants!$B$7,IF(SUMPRODUCT(--($AL166:$AP166&gt;AL166))+SUMPRODUCT(--($AL166:AL166=AL166))=1,1,IF(SUMPRODUCT(--($AL166:$AP166&gt;AM166))+SUMPRODUCT(--($AL166:AM166=AM166))=1,2,IF(SUMPRODUCT(--($AL166:$AP166&gt;AN166))+SUMPRODUCT(--($AL166:AN166=AN166))=1,3,IF(SUMPRODUCT(--($AL166:$AP166&gt;AO166))+SUMPRODUCT(--($AL166:AO166=AO166))=1,4,5)))),"")</f>
        <v/>
      </c>
      <c r="AR166" s="59" t="str">
        <f aca="false">IF($AJ166=Constants!$B$7,IF(SUMPRODUCT(--($AL166:$AP166&gt;AL166))+SUMPRODUCT(--($AL166:AL166=AL166))=2,1,IF(SUMPRODUCT(--($AL166:$AP166&gt;AM166))+SUMPRODUCT(--($AL166:AM166=AM166))=2,2,IF(SUMPRODUCT(--($AL166:$AP166&gt;AN166))+SUMPRODUCT(--($AL166:AN166=AN166))=2,3,IF(SUMPRODUCT(--($AL166:$AP166&gt;AO166))+SUMPRODUCT(--($AL166:AO166=AO166))=2,4,5)))),"")</f>
        <v/>
      </c>
      <c r="AS166" s="59" t="str">
        <f aca="false">IF($AJ166=Constants!$B$7,IF(SUMPRODUCT(--($AL166:$AP166&gt;AL166))+SUMPRODUCT(--($AL166:AL166=AL166))=3,1,IF(SUMPRODUCT(--($AL166:$AP166&gt;AM166))+SUMPRODUCT(--($AL166:AM166=AM166))=3,2,IF(SUMPRODUCT(--($AL166:$AP166&gt;AN166))+SUMPRODUCT(--($AL166:AN166=AN166))=3,3,IF(SUMPRODUCT(--($AL166:$AP166&gt;AO166))+SUMPRODUCT(--($AL166:AO166=AO166))=3,4,5)))),"")</f>
        <v/>
      </c>
      <c r="AT166" s="59" t="str">
        <f aca="false">IF($AJ166=Constants!$B$7,LARGE(AL166:AP166,1)+LARGE(AL166:AP166,2)+LARGE(AL166:AP166,3),"")</f>
        <v/>
      </c>
      <c r="AU166" s="59" t="str">
        <f aca="false">IF(ISBLANK($C166),"",IF($AJ166&lt;&gt;Constants!$B$7,$AJ166,AT166*W166))</f>
        <v/>
      </c>
      <c r="AV166" s="59" t="str">
        <f aca="false">IF(ISBLANK($C166),"",IF($AJ166=Constants!$B$7,IF(ISNUMBER(AU166),RANK(AU166,$AU$8:$AU$507),Constants!$B$14),$AJ166))</f>
        <v/>
      </c>
      <c r="AW166" s="59" t="str">
        <f aca="false">IF(ISBLANK($C166),"",IF($AJ166=Constants!$B$7,IF(ISNUMBER(AV166),COUNTIFS($AK$8:$AK$507,"&lt;"&amp;$AK166)+COUNTIFS($AK$8:$AK$507,$AK166,$AV$8:$AV$507,"&lt;"&amp;$AV166)+1,Constants!$B$14),$AJ166))</f>
        <v/>
      </c>
      <c r="AX166" s="59" t="str">
        <f aca="false">IF(ISBLANK($C166),"",IF($AJ166=Constants!$B$7,LARGE(AL166:AP166,4)*W166,""))</f>
        <v/>
      </c>
      <c r="AY166" s="59" t="str">
        <f aca="false">IF(ISBLANK($C166),"",IF($AJ166=Constants!$B$7,RANK(AX166,$AX$8:$AX$507),$AJ166))</f>
        <v/>
      </c>
      <c r="AZ166" s="59" t="str">
        <f aca="false">IF(ISBLANK($C166),"",IF($AJ166=Constants!$B$7,IF(ISNUMBER(AV166),COUNTIFS($AK$8:$AK$507,"&lt;"&amp;$AK166)+COUNTIFS($AK$8:$AK$507,$AK166,$AV$8:$AV$507,"&lt;"&amp;$AV166)+COUNTIFS($AK$8:$AK$507,$AK166,$AV$8:$AV$507,$AV166,$AY$8:$AY$507,"&lt;"&amp;$AY166)+1,Constants!$B$14),$AJ166))</f>
        <v/>
      </c>
      <c r="BA166" s="59" t="str">
        <f aca="false">IF(ISBLANK($C166),"",IF($AJ166=Constants!$B$7,IF(ISNUMBER(AW166),AW166-AZ166,Constants!$B$14),$AJ166))</f>
        <v/>
      </c>
      <c r="BB166" s="61"/>
      <c r="BC166" s="62" t="str">
        <f aca="false">IF(ISBLANK($C166),"",IF($AJ166&lt;&gt;Constants!$B$7,$AJ166,SMALL(AQ166:AS166,1)&amp;", "&amp;SMALL(AQ166:AS166,2)&amp;", "&amp;SMALL(AQ166:AS166,3)))</f>
        <v/>
      </c>
      <c r="BD166" s="63" t="str">
        <f aca="false">IF(ISBLANK($C166),"",IF($AJ166&lt;&gt;Constants!$B$7,$AJ166,W166))</f>
        <v/>
      </c>
      <c r="BE166" s="64" t="str">
        <f aca="false">IF(ISBLANK($C166),"",IF($AJ166&lt;&gt;Constants!$B$7,$AJ166,AU166))</f>
        <v/>
      </c>
      <c r="BF166" s="65" t="str">
        <f aca="false">IF(ISBLANK($C166),"",IF($AJ166&lt;&gt;Constants!$B$7,$AJ166,AK166))</f>
        <v/>
      </c>
      <c r="BG166" s="63" t="str">
        <f aca="false">IF(ISBLANK($C166),"",BA166)</f>
        <v/>
      </c>
      <c r="BH166" s="63" t="str">
        <f aca="false">IF(ISBLANK($C166),"",AZ166)</f>
        <v/>
      </c>
      <c r="BI166" s="66" t="str">
        <f aca="false">IF(ISBLANK($C166),"",IF(BH166=Constants!$B$4,COUNTA($C$8:$C$507)+2,IF(BH166=Constants!$B$5,COUNTA($C$8:$C$507)+1,IF(BH166=Constants!$B$6,COUNTA($C$8:$C$507),BH166))))</f>
        <v/>
      </c>
      <c r="BJ166" s="5"/>
      <c r="BK166" s="67" t="n">
        <f aca="false">IF(OR(ISNUMBER(BH166),BH166=Constants!$B$4,BH166=Constants!$B$6,BH166=Constants!$B$5),1,0)</f>
        <v>0</v>
      </c>
      <c r="BL166" s="67" t="n">
        <v>159</v>
      </c>
      <c r="BM166" s="67" t="str">
        <f aca="false">IF(ISBLANK($C166),"",IF(ISNUMBER(BI166),BI166+ROW($B166)/1000,""))</f>
        <v/>
      </c>
      <c r="BN166" s="67" t="str">
        <f aca="false">IF(ISNUMBER(BM166),RANK(BM166,$BM$8:$BM$507,1),"")</f>
        <v/>
      </c>
      <c r="BO166" s="67" t="str">
        <f aca="false">IF(ISBLANK($C166),"",$B166)</f>
        <v/>
      </c>
      <c r="BP166" s="67" t="str">
        <f aca="false">IF(ISBLANK($C166),"",$C166)</f>
        <v/>
      </c>
      <c r="BQ166" s="67" t="str">
        <f aca="false">IF(ISBLANK($C166),"",$D166)</f>
        <v/>
      </c>
      <c r="BR166" s="68" t="str">
        <f aca="false">BF166</f>
        <v/>
      </c>
      <c r="BS166" s="69" t="str">
        <f aca="false">BE166</f>
        <v/>
      </c>
      <c r="BT166" s="67" t="str">
        <f aca="false">IF(ISBLANK($C166),"",BH166)</f>
        <v/>
      </c>
      <c r="BU166" s="70" t="str">
        <f aca="false">IF($BL166&gt;$BK$7,"",VLOOKUP($BL166,$BN$8:$BT$507,7,FALSE()))</f>
        <v/>
      </c>
      <c r="BV166" s="71" t="str">
        <f aca="false">IF($BL166&gt;$BK$7,"",VLOOKUP($BL166,$BN$8:$BT$507,2,FALSE()))</f>
        <v/>
      </c>
      <c r="BW166" s="71" t="str">
        <f aca="false">IF($BL166&gt;$BK$7,"",VLOOKUP($BL166,$BN$8:$BT$507,3,FALSE()))</f>
        <v/>
      </c>
      <c r="BX166" s="71" t="str">
        <f aca="false">IF($BL166&gt;$BK$7,"",VLOOKUP($BL166,$BN$8:$BT$507,4,FALSE()))</f>
        <v/>
      </c>
      <c r="BY166" s="71" t="str">
        <f aca="false">IF($BL166&gt;$BK$7,"",VLOOKUP($BL166,$BN$8:$BT$507,5,FALSE()))</f>
        <v/>
      </c>
      <c r="BZ166" s="72" t="str">
        <f aca="false">IF($BL166&gt;$BK$7,"",VLOOKUP($BL166,$BN$8:$BT$507,6,FALSE()))</f>
        <v/>
      </c>
      <c r="CA166" s="48"/>
    </row>
    <row r="167" customFormat="false" ht="15.75" hidden="false" customHeight="false" outlineLevel="0" collapsed="false">
      <c r="A167" s="5"/>
      <c r="B167" s="114"/>
      <c r="C167" s="115"/>
      <c r="D167" s="100"/>
      <c r="E167" s="120"/>
      <c r="F167" s="125"/>
      <c r="G167" s="82"/>
      <c r="H167" s="126"/>
      <c r="I167" s="127"/>
      <c r="J167" s="82"/>
      <c r="K167" s="126"/>
      <c r="L167" s="82"/>
      <c r="M167" s="126"/>
      <c r="N167" s="82"/>
      <c r="O167" s="126"/>
      <c r="P167" s="82"/>
      <c r="Q167" s="126"/>
      <c r="R167" s="82"/>
      <c r="S167" s="120"/>
      <c r="T167" s="86"/>
      <c r="U167" s="87" t="str">
        <f aca="false">IF(ISBLANK($C167),"",IF(E167=Constants!$B$2, TRUE(), IF(E167=Constants!$B$3, FALSE(), TRUE())))</f>
        <v/>
      </c>
      <c r="V167" s="87" t="str">
        <f aca="false">IF(ISBLANK($C167),"",IF(F167=Constants!$B$2, TRUE(), IF(F167=Constants!$B$3, FALSE(), TRUE())))</f>
        <v/>
      </c>
      <c r="W167" s="87" t="str">
        <f aca="false">IF(ISBLANK($C167),"",IF(G167=Constants!$B$15,Constants!$B$8,IF(G167=Constants!$B$16,Constants!$B$9,Constants!$B$10)))</f>
        <v/>
      </c>
      <c r="X167" s="87" t="str">
        <f aca="false">IF(ISBLANK($C167),"",IF(H167=Constants!$B$2, TRUE(), IF(H167=Constants!$B$3, FALSE(), TRUE())))</f>
        <v/>
      </c>
      <c r="Y167" s="87" t="str">
        <f aca="false">IF(ISBLANK($C167),"",IF(I167=Constants!$B$19,Constants!$B$19,Constants!$B$18))</f>
        <v/>
      </c>
      <c r="Z167" s="87" t="str">
        <f aca="false">IF(ISBLANK($C167),"",IF(ISNUMBER(J167),IF(J167&gt;=0,J167,""),""))</f>
        <v/>
      </c>
      <c r="AA167" s="87" t="str">
        <f aca="false">IF(ISBLANK($C167),"",IF(K167=Constants!$B$19,Constants!$B$19,Constants!$B$18))</f>
        <v/>
      </c>
      <c r="AB167" s="87" t="str">
        <f aca="false">IF(ISBLANK($C167),"",IF(ISNUMBER(L167),IF(L167&gt;=0,L167,""),""))</f>
        <v/>
      </c>
      <c r="AC167" s="87" t="str">
        <f aca="false">IF(ISBLANK($C167),"",IF(M167=Constants!$B$19,Constants!$B$19,Constants!$B$18))</f>
        <v/>
      </c>
      <c r="AD167" s="87" t="str">
        <f aca="false">IF(ISBLANK($C167),"",IF(ISNUMBER(N167),IF(N167&gt;=0,N167,""),""))</f>
        <v/>
      </c>
      <c r="AE167" s="87" t="str">
        <f aca="false">IF(ISBLANK($C167),"",IF(O167=Constants!$B$19,Constants!$B$19,Constants!$B$18))</f>
        <v/>
      </c>
      <c r="AF167" s="87" t="str">
        <f aca="false">IF(ISBLANK($C167),"",IF(ISNUMBER(P167),IF(P167&gt;=0,P167,""),""))</f>
        <v/>
      </c>
      <c r="AG167" s="87" t="str">
        <f aca="false">IF(ISBLANK($C167),"",IF(Q167=Constants!$B$19,Constants!$B$19,Constants!$B$18))</f>
        <v/>
      </c>
      <c r="AH167" s="87" t="str">
        <f aca="false">IF(ISBLANK($C167),"",IF(ISNUMBER(R167),IF(R167&gt;=0,R167,""),""))</f>
        <v/>
      </c>
      <c r="AI167" s="87" t="str">
        <f aca="false">IF(ISBLANK($C167),"",IF(S167=Constants!$B$2, TRUE(), IF(S167=Constants!$B$3, FALSE(), FALSE())))</f>
        <v/>
      </c>
      <c r="AJ167" s="87" t="str">
        <f aca="false">IF(ISBLANK($C167),"",IF(AI167,Constants!$B$4,IF(COUNTA(E167:R167)=0,Constants!$B$5,IF(COUNTA(J167,L167,N167,P167,R167)=0,Constants!$B$6,Constants!$B$7))))</f>
        <v/>
      </c>
      <c r="AK167" s="87" t="str">
        <f aca="false">IF(ISBLANK($C167),"",IF($AJ167&lt;&gt;Constants!$B$7,$AJ167,IF(OR(NOT(X167),AND(NOT(U167),COUNTIFS(Y167:AG167,Constants!$B$18,Z167:AH167,"&gt;=0")&gt;0),AND(NOT(V167),COUNTIFS(Y167:AG167,Constants!$B$19,Z167:AH167,"&gt;=0")&gt;0)),Constants!$B$12,Constants!$B$11)))</f>
        <v/>
      </c>
      <c r="AL167" s="87" t="str">
        <f aca="false">IF($AJ167=Constants!$B$7,IF(Z167="",Constants!$B$13,Z167),"")</f>
        <v/>
      </c>
      <c r="AM167" s="87" t="str">
        <f aca="false">IF($AJ167=Constants!$B$7,IF(AB167="",Constants!$B$13,AB167),"")</f>
        <v/>
      </c>
      <c r="AN167" s="87" t="str">
        <f aca="false">IF($AJ167=Constants!$B$7,IF(AD167="",Constants!$B$13,AD167),"")</f>
        <v/>
      </c>
      <c r="AO167" s="87" t="str">
        <f aca="false">IF($AJ167=Constants!$B$7,IF(AF167="",Constants!$B$13,AF167),"")</f>
        <v/>
      </c>
      <c r="AP167" s="87" t="str">
        <f aca="false">IF($AJ167=Constants!$B$7,IF(AH167="",Constants!$B$13,AH167),"")</f>
        <v/>
      </c>
      <c r="AQ167" s="87" t="str">
        <f aca="false">IF($AJ167=Constants!$B$7,IF(SUMPRODUCT(--($AL167:$AP167&gt;AL167))+SUMPRODUCT(--($AL167:AL167=AL167))=1,1,IF(SUMPRODUCT(--($AL167:$AP167&gt;AM167))+SUMPRODUCT(--($AL167:AM167=AM167))=1,2,IF(SUMPRODUCT(--($AL167:$AP167&gt;AN167))+SUMPRODUCT(--($AL167:AN167=AN167))=1,3,IF(SUMPRODUCT(--($AL167:$AP167&gt;AO167))+SUMPRODUCT(--($AL167:AO167=AO167))=1,4,5)))),"")</f>
        <v/>
      </c>
      <c r="AR167" s="87" t="str">
        <f aca="false">IF($AJ167=Constants!$B$7,IF(SUMPRODUCT(--($AL167:$AP167&gt;AL167))+SUMPRODUCT(--($AL167:AL167=AL167))=2,1,IF(SUMPRODUCT(--($AL167:$AP167&gt;AM167))+SUMPRODUCT(--($AL167:AM167=AM167))=2,2,IF(SUMPRODUCT(--($AL167:$AP167&gt;AN167))+SUMPRODUCT(--($AL167:AN167=AN167))=2,3,IF(SUMPRODUCT(--($AL167:$AP167&gt;AO167))+SUMPRODUCT(--($AL167:AO167=AO167))=2,4,5)))),"")</f>
        <v/>
      </c>
      <c r="AS167" s="87" t="str">
        <f aca="false">IF($AJ167=Constants!$B$7,IF(SUMPRODUCT(--($AL167:$AP167&gt;AL167))+SUMPRODUCT(--($AL167:AL167=AL167))=3,1,IF(SUMPRODUCT(--($AL167:$AP167&gt;AM167))+SUMPRODUCT(--($AL167:AM167=AM167))=3,2,IF(SUMPRODUCT(--($AL167:$AP167&gt;AN167))+SUMPRODUCT(--($AL167:AN167=AN167))=3,3,IF(SUMPRODUCT(--($AL167:$AP167&gt;AO167))+SUMPRODUCT(--($AL167:AO167=AO167))=3,4,5)))),"")</f>
        <v/>
      </c>
      <c r="AT167" s="87" t="str">
        <f aca="false">IF($AJ167=Constants!$B$7,LARGE(AL167:AP167,1)+LARGE(AL167:AP167,2)+LARGE(AL167:AP167,3),"")</f>
        <v/>
      </c>
      <c r="AU167" s="87" t="str">
        <f aca="false">IF(ISBLANK($C167),"",IF($AJ167&lt;&gt;Constants!$B$7,$AJ167,AT167*W167))</f>
        <v/>
      </c>
      <c r="AV167" s="87" t="str">
        <f aca="false">IF(ISBLANK($C167),"",IF($AJ167=Constants!$B$7,IF(ISNUMBER(AU167),RANK(AU167,$AU$8:$AU$507),Constants!$B$14),$AJ167))</f>
        <v/>
      </c>
      <c r="AW167" s="87" t="str">
        <f aca="false">IF(ISBLANK($C167),"",IF($AJ167=Constants!$B$7,IF(ISNUMBER(AV167),COUNTIFS($AK$8:$AK$507,"&lt;"&amp;$AK167)+COUNTIFS($AK$8:$AK$507,$AK167,$AV$8:$AV$507,"&lt;"&amp;$AV167)+1,Constants!$B$14),$AJ167))</f>
        <v/>
      </c>
      <c r="AX167" s="87" t="str">
        <f aca="false">IF(ISBLANK($C167),"",IF($AJ167=Constants!$B$7,LARGE(AL167:AP167,4)*W167,""))</f>
        <v/>
      </c>
      <c r="AY167" s="87" t="str">
        <f aca="false">IF(ISBLANK($C167),"",IF($AJ167=Constants!$B$7,RANK(AX167,$AX$8:$AX$507),$AJ167))</f>
        <v/>
      </c>
      <c r="AZ167" s="87" t="str">
        <f aca="false">IF(ISBLANK($C167),"",IF($AJ167=Constants!$B$7,IF(ISNUMBER(AV167),COUNTIFS($AK$8:$AK$507,"&lt;"&amp;$AK167)+COUNTIFS($AK$8:$AK$507,$AK167,$AV$8:$AV$507,"&lt;"&amp;$AV167)+COUNTIFS($AK$8:$AK$507,$AK167,$AV$8:$AV$507,$AV167,$AY$8:$AY$507,"&lt;"&amp;$AY167)+1,Constants!$B$14),$AJ167))</f>
        <v/>
      </c>
      <c r="BA167" s="87" t="str">
        <f aca="false">IF(ISBLANK($C167),"",IF($AJ167=Constants!$B$7,IF(ISNUMBER(AW167),AW167-AZ167,Constants!$B$14),$AJ167))</f>
        <v/>
      </c>
      <c r="BB167" s="88"/>
      <c r="BC167" s="89" t="str">
        <f aca="false">IF(ISBLANK($C167),"",IF($AJ167&lt;&gt;Constants!$B$7,$AJ167,SMALL(AQ167:AS167,1)&amp;", "&amp;SMALL(AQ167:AS167,2)&amp;", "&amp;SMALL(AQ167:AS167,3)))</f>
        <v/>
      </c>
      <c r="BD167" s="90" t="str">
        <f aca="false">IF(ISBLANK($C167),"",IF($AJ167&lt;&gt;Constants!$B$7,$AJ167,W167))</f>
        <v/>
      </c>
      <c r="BE167" s="91" t="str">
        <f aca="false">IF(ISBLANK($C167),"",IF($AJ167&lt;&gt;Constants!$B$7,$AJ167,AU167))</f>
        <v/>
      </c>
      <c r="BF167" s="92" t="str">
        <f aca="false">IF(ISBLANK($C167),"",IF($AJ167&lt;&gt;Constants!$B$7,$AJ167,AK167))</f>
        <v/>
      </c>
      <c r="BG167" s="90" t="str">
        <f aca="false">IF(ISBLANK($C167),"",BA167)</f>
        <v/>
      </c>
      <c r="BH167" s="90" t="str">
        <f aca="false">IF(ISBLANK($C167),"",AZ167)</f>
        <v/>
      </c>
      <c r="BI167" s="93" t="str">
        <f aca="false">IF(ISBLANK($C167),"",IF(BH167=Constants!$B$4,COUNTA($C$8:$C$507)+2,IF(BH167=Constants!$B$5,COUNTA($C$8:$C$507)+1,IF(BH167=Constants!$B$6,COUNTA($C$8:$C$507),BH167))))</f>
        <v/>
      </c>
      <c r="BJ167" s="5"/>
      <c r="BK167" s="94" t="n">
        <f aca="false">IF(OR(ISNUMBER(BH167),BH167=Constants!$B$4,BH167=Constants!$B$6,BH167=Constants!$B$5),1,0)</f>
        <v>0</v>
      </c>
      <c r="BL167" s="94" t="n">
        <v>160</v>
      </c>
      <c r="BM167" s="94" t="str">
        <f aca="false">IF(ISBLANK($C167),"",IF(ISNUMBER(BI167),BI167+ROW($B167)/1000,""))</f>
        <v/>
      </c>
      <c r="BN167" s="94" t="str">
        <f aca="false">IF(ISNUMBER(BM167),RANK(BM167,$BM$8:$BM$507,1),"")</f>
        <v/>
      </c>
      <c r="BO167" s="94" t="str">
        <f aca="false">IF(ISBLANK($C167),"",$B167)</f>
        <v/>
      </c>
      <c r="BP167" s="94" t="str">
        <f aca="false">IF(ISBLANK($C167),"",$C167)</f>
        <v/>
      </c>
      <c r="BQ167" s="94" t="str">
        <f aca="false">IF(ISBLANK($C167),"",$D167)</f>
        <v/>
      </c>
      <c r="BR167" s="95" t="str">
        <f aca="false">BF167</f>
        <v/>
      </c>
      <c r="BS167" s="96" t="str">
        <f aca="false">BE167</f>
        <v/>
      </c>
      <c r="BT167" s="94" t="str">
        <f aca="false">IF(ISBLANK($C167),"",BH167)</f>
        <v/>
      </c>
      <c r="BU167" s="97" t="str">
        <f aca="false">IF($BL167&gt;$BK$7,"",VLOOKUP($BL167,$BN$8:$BT$507,7,FALSE()))</f>
        <v/>
      </c>
      <c r="BV167" s="98" t="str">
        <f aca="false">IF($BL167&gt;$BK$7,"",VLOOKUP($BL167,$BN$8:$BT$507,2,FALSE()))</f>
        <v/>
      </c>
      <c r="BW167" s="98" t="str">
        <f aca="false">IF($BL167&gt;$BK$7,"",VLOOKUP($BL167,$BN$8:$BT$507,3,FALSE()))</f>
        <v/>
      </c>
      <c r="BX167" s="98" t="str">
        <f aca="false">IF($BL167&gt;$BK$7,"",VLOOKUP($BL167,$BN$8:$BT$507,4,FALSE()))</f>
        <v/>
      </c>
      <c r="BY167" s="98" t="str">
        <f aca="false">IF($BL167&gt;$BK$7,"",VLOOKUP($BL167,$BN$8:$BT$507,5,FALSE()))</f>
        <v/>
      </c>
      <c r="BZ167" s="99" t="str">
        <f aca="false">IF($BL167&gt;$BK$7,"",VLOOKUP($BL167,$BN$8:$BT$507,6,FALSE()))</f>
        <v/>
      </c>
      <c r="CA167" s="48"/>
    </row>
    <row r="168" customFormat="false" ht="15.75" hidden="false" customHeight="false" outlineLevel="0" collapsed="false">
      <c r="A168" s="5"/>
      <c r="B168" s="114"/>
      <c r="C168" s="115"/>
      <c r="D168" s="100"/>
      <c r="E168" s="120"/>
      <c r="F168" s="125"/>
      <c r="G168" s="82"/>
      <c r="H168" s="126"/>
      <c r="I168" s="127"/>
      <c r="J168" s="82"/>
      <c r="K168" s="126"/>
      <c r="L168" s="82"/>
      <c r="M168" s="126"/>
      <c r="N168" s="82"/>
      <c r="O168" s="126"/>
      <c r="P168" s="82"/>
      <c r="Q168" s="126"/>
      <c r="R168" s="82"/>
      <c r="S168" s="120"/>
      <c r="T168" s="86"/>
      <c r="U168" s="87" t="str">
        <f aca="false">IF(ISBLANK($C168),"",IF(E168=Constants!$B$2, TRUE(), IF(E168=Constants!$B$3, FALSE(), TRUE())))</f>
        <v/>
      </c>
      <c r="V168" s="87" t="str">
        <f aca="false">IF(ISBLANK($C168),"",IF(F168=Constants!$B$2, TRUE(), IF(F168=Constants!$B$3, FALSE(), TRUE())))</f>
        <v/>
      </c>
      <c r="W168" s="87" t="str">
        <f aca="false">IF(ISBLANK($C168),"",IF(G168=Constants!$B$15,Constants!$B$8,IF(G168=Constants!$B$16,Constants!$B$9,Constants!$B$10)))</f>
        <v/>
      </c>
      <c r="X168" s="87" t="str">
        <f aca="false">IF(ISBLANK($C168),"",IF(H168=Constants!$B$2, TRUE(), IF(H168=Constants!$B$3, FALSE(), TRUE())))</f>
        <v/>
      </c>
      <c r="Y168" s="87" t="str">
        <f aca="false">IF(ISBLANK($C168),"",IF(I168=Constants!$B$19,Constants!$B$19,Constants!$B$18))</f>
        <v/>
      </c>
      <c r="Z168" s="87" t="str">
        <f aca="false">IF(ISBLANK($C168),"",IF(ISNUMBER(J168),IF(J168&gt;=0,J168,""),""))</f>
        <v/>
      </c>
      <c r="AA168" s="87" t="str">
        <f aca="false">IF(ISBLANK($C168),"",IF(K168=Constants!$B$19,Constants!$B$19,Constants!$B$18))</f>
        <v/>
      </c>
      <c r="AB168" s="87" t="str">
        <f aca="false">IF(ISBLANK($C168),"",IF(ISNUMBER(L168),IF(L168&gt;=0,L168,""),""))</f>
        <v/>
      </c>
      <c r="AC168" s="87" t="str">
        <f aca="false">IF(ISBLANK($C168),"",IF(M168=Constants!$B$19,Constants!$B$19,Constants!$B$18))</f>
        <v/>
      </c>
      <c r="AD168" s="87" t="str">
        <f aca="false">IF(ISBLANK($C168),"",IF(ISNUMBER(N168),IF(N168&gt;=0,N168,""),""))</f>
        <v/>
      </c>
      <c r="AE168" s="87" t="str">
        <f aca="false">IF(ISBLANK($C168),"",IF(O168=Constants!$B$19,Constants!$B$19,Constants!$B$18))</f>
        <v/>
      </c>
      <c r="AF168" s="87" t="str">
        <f aca="false">IF(ISBLANK($C168),"",IF(ISNUMBER(P168),IF(P168&gt;=0,P168,""),""))</f>
        <v/>
      </c>
      <c r="AG168" s="87" t="str">
        <f aca="false">IF(ISBLANK($C168),"",IF(Q168=Constants!$B$19,Constants!$B$19,Constants!$B$18))</f>
        <v/>
      </c>
      <c r="AH168" s="87" t="str">
        <f aca="false">IF(ISBLANK($C168),"",IF(ISNUMBER(R168),IF(R168&gt;=0,R168,""),""))</f>
        <v/>
      </c>
      <c r="AI168" s="87" t="str">
        <f aca="false">IF(ISBLANK($C168),"",IF(S168=Constants!$B$2, TRUE(), IF(S168=Constants!$B$3, FALSE(), FALSE())))</f>
        <v/>
      </c>
      <c r="AJ168" s="87" t="str">
        <f aca="false">IF(ISBLANK($C168),"",IF(AI168,Constants!$B$4,IF(COUNTA(E168:R168)=0,Constants!$B$5,IF(COUNTA(J168,L168,N168,P168,R168)=0,Constants!$B$6,Constants!$B$7))))</f>
        <v/>
      </c>
      <c r="AK168" s="87" t="str">
        <f aca="false">IF(ISBLANK($C168),"",IF($AJ168&lt;&gt;Constants!$B$7,$AJ168,IF(OR(NOT(X168),AND(NOT(U168),COUNTIFS(Y168:AG168,Constants!$B$18,Z168:AH168,"&gt;=0")&gt;0),AND(NOT(V168),COUNTIFS(Y168:AG168,Constants!$B$19,Z168:AH168,"&gt;=0")&gt;0)),Constants!$B$12,Constants!$B$11)))</f>
        <v/>
      </c>
      <c r="AL168" s="87" t="str">
        <f aca="false">IF($AJ168=Constants!$B$7,IF(Z168="",Constants!$B$13,Z168),"")</f>
        <v/>
      </c>
      <c r="AM168" s="87" t="str">
        <f aca="false">IF($AJ168=Constants!$B$7,IF(AB168="",Constants!$B$13,AB168),"")</f>
        <v/>
      </c>
      <c r="AN168" s="87" t="str">
        <f aca="false">IF($AJ168=Constants!$B$7,IF(AD168="",Constants!$B$13,AD168),"")</f>
        <v/>
      </c>
      <c r="AO168" s="87" t="str">
        <f aca="false">IF($AJ168=Constants!$B$7,IF(AF168="",Constants!$B$13,AF168),"")</f>
        <v/>
      </c>
      <c r="AP168" s="87" t="str">
        <f aca="false">IF($AJ168=Constants!$B$7,IF(AH168="",Constants!$B$13,AH168),"")</f>
        <v/>
      </c>
      <c r="AQ168" s="87" t="str">
        <f aca="false">IF($AJ168=Constants!$B$7,IF(SUMPRODUCT(--($AL168:$AP168&gt;AL168))+SUMPRODUCT(--($AL168:AL168=AL168))=1,1,IF(SUMPRODUCT(--($AL168:$AP168&gt;AM168))+SUMPRODUCT(--($AL168:AM168=AM168))=1,2,IF(SUMPRODUCT(--($AL168:$AP168&gt;AN168))+SUMPRODUCT(--($AL168:AN168=AN168))=1,3,IF(SUMPRODUCT(--($AL168:$AP168&gt;AO168))+SUMPRODUCT(--($AL168:AO168=AO168))=1,4,5)))),"")</f>
        <v/>
      </c>
      <c r="AR168" s="87" t="str">
        <f aca="false">IF($AJ168=Constants!$B$7,IF(SUMPRODUCT(--($AL168:$AP168&gt;AL168))+SUMPRODUCT(--($AL168:AL168=AL168))=2,1,IF(SUMPRODUCT(--($AL168:$AP168&gt;AM168))+SUMPRODUCT(--($AL168:AM168=AM168))=2,2,IF(SUMPRODUCT(--($AL168:$AP168&gt;AN168))+SUMPRODUCT(--($AL168:AN168=AN168))=2,3,IF(SUMPRODUCT(--($AL168:$AP168&gt;AO168))+SUMPRODUCT(--($AL168:AO168=AO168))=2,4,5)))),"")</f>
        <v/>
      </c>
      <c r="AS168" s="87" t="str">
        <f aca="false">IF($AJ168=Constants!$B$7,IF(SUMPRODUCT(--($AL168:$AP168&gt;AL168))+SUMPRODUCT(--($AL168:AL168=AL168))=3,1,IF(SUMPRODUCT(--($AL168:$AP168&gt;AM168))+SUMPRODUCT(--($AL168:AM168=AM168))=3,2,IF(SUMPRODUCT(--($AL168:$AP168&gt;AN168))+SUMPRODUCT(--($AL168:AN168=AN168))=3,3,IF(SUMPRODUCT(--($AL168:$AP168&gt;AO168))+SUMPRODUCT(--($AL168:AO168=AO168))=3,4,5)))),"")</f>
        <v/>
      </c>
      <c r="AT168" s="87" t="str">
        <f aca="false">IF($AJ168=Constants!$B$7,LARGE(AL168:AP168,1)+LARGE(AL168:AP168,2)+LARGE(AL168:AP168,3),"")</f>
        <v/>
      </c>
      <c r="AU168" s="87" t="str">
        <f aca="false">IF(ISBLANK($C168),"",IF($AJ168&lt;&gt;Constants!$B$7,$AJ168,AT168*W168))</f>
        <v/>
      </c>
      <c r="AV168" s="87" t="str">
        <f aca="false">IF(ISBLANK($C168),"",IF($AJ168=Constants!$B$7,IF(ISNUMBER(AU168),RANK(AU168,$AU$8:$AU$507),Constants!$B$14),$AJ168))</f>
        <v/>
      </c>
      <c r="AW168" s="87" t="str">
        <f aca="false">IF(ISBLANK($C168),"",IF($AJ168=Constants!$B$7,IF(ISNUMBER(AV168),COUNTIFS($AK$8:$AK$507,"&lt;"&amp;$AK168)+COUNTIFS($AK$8:$AK$507,$AK168,$AV$8:$AV$507,"&lt;"&amp;$AV168)+1,Constants!$B$14),$AJ168))</f>
        <v/>
      </c>
      <c r="AX168" s="87" t="str">
        <f aca="false">IF(ISBLANK($C168),"",IF($AJ168=Constants!$B$7,LARGE(AL168:AP168,4)*W168,""))</f>
        <v/>
      </c>
      <c r="AY168" s="87" t="str">
        <f aca="false">IF(ISBLANK($C168),"",IF($AJ168=Constants!$B$7,RANK(AX168,$AX$8:$AX$507),$AJ168))</f>
        <v/>
      </c>
      <c r="AZ168" s="87" t="str">
        <f aca="false">IF(ISBLANK($C168),"",IF($AJ168=Constants!$B$7,IF(ISNUMBER(AV168),COUNTIFS($AK$8:$AK$507,"&lt;"&amp;$AK168)+COUNTIFS($AK$8:$AK$507,$AK168,$AV$8:$AV$507,"&lt;"&amp;$AV168)+COUNTIFS($AK$8:$AK$507,$AK168,$AV$8:$AV$507,$AV168,$AY$8:$AY$507,"&lt;"&amp;$AY168)+1,Constants!$B$14),$AJ168))</f>
        <v/>
      </c>
      <c r="BA168" s="87" t="str">
        <f aca="false">IF(ISBLANK($C168),"",IF($AJ168=Constants!$B$7,IF(ISNUMBER(AW168),AW168-AZ168,Constants!$B$14),$AJ168))</f>
        <v/>
      </c>
      <c r="BB168" s="88"/>
      <c r="BC168" s="89" t="str">
        <f aca="false">IF(ISBLANK($C168),"",IF($AJ168&lt;&gt;Constants!$B$7,$AJ168,SMALL(AQ168:AS168,1)&amp;", "&amp;SMALL(AQ168:AS168,2)&amp;", "&amp;SMALL(AQ168:AS168,3)))</f>
        <v/>
      </c>
      <c r="BD168" s="90" t="str">
        <f aca="false">IF(ISBLANK($C168),"",IF($AJ168&lt;&gt;Constants!$B$7,$AJ168,W168))</f>
        <v/>
      </c>
      <c r="BE168" s="91" t="str">
        <f aca="false">IF(ISBLANK($C168),"",IF($AJ168&lt;&gt;Constants!$B$7,$AJ168,AU168))</f>
        <v/>
      </c>
      <c r="BF168" s="92" t="str">
        <f aca="false">IF(ISBLANK($C168),"",IF($AJ168&lt;&gt;Constants!$B$7,$AJ168,AK168))</f>
        <v/>
      </c>
      <c r="BG168" s="90" t="str">
        <f aca="false">IF(ISBLANK($C168),"",BA168)</f>
        <v/>
      </c>
      <c r="BH168" s="90" t="str">
        <f aca="false">IF(ISBLANK($C168),"",AZ168)</f>
        <v/>
      </c>
      <c r="BI168" s="93" t="str">
        <f aca="false">IF(ISBLANK($C168),"",IF(BH168=Constants!$B$4,COUNTA($C$8:$C$507)+2,IF(BH168=Constants!$B$5,COUNTA($C$8:$C$507)+1,IF(BH168=Constants!$B$6,COUNTA($C$8:$C$507),BH168))))</f>
        <v/>
      </c>
      <c r="BJ168" s="5"/>
      <c r="BK168" s="94" t="n">
        <f aca="false">IF(OR(ISNUMBER(BH168),BH168=Constants!$B$4,BH168=Constants!$B$6,BH168=Constants!$B$5),1,0)</f>
        <v>0</v>
      </c>
      <c r="BL168" s="94" t="n">
        <v>161</v>
      </c>
      <c r="BM168" s="94" t="str">
        <f aca="false">IF(ISBLANK($C168),"",IF(ISNUMBER(BI168),BI168+ROW($B168)/1000,""))</f>
        <v/>
      </c>
      <c r="BN168" s="94" t="str">
        <f aca="false">IF(ISNUMBER(BM168),RANK(BM168,$BM$8:$BM$507,1),"")</f>
        <v/>
      </c>
      <c r="BO168" s="94" t="str">
        <f aca="false">IF(ISBLANK($C168),"",$B168)</f>
        <v/>
      </c>
      <c r="BP168" s="94" t="str">
        <f aca="false">IF(ISBLANK($C168),"",$C168)</f>
        <v/>
      </c>
      <c r="BQ168" s="94" t="str">
        <f aca="false">IF(ISBLANK($C168),"",$D168)</f>
        <v/>
      </c>
      <c r="BR168" s="95" t="str">
        <f aca="false">BF168</f>
        <v/>
      </c>
      <c r="BS168" s="96" t="str">
        <f aca="false">BE168</f>
        <v/>
      </c>
      <c r="BT168" s="94" t="str">
        <f aca="false">IF(ISBLANK($C168),"",BH168)</f>
        <v/>
      </c>
      <c r="BU168" s="97" t="str">
        <f aca="false">IF($BL168&gt;$BK$7,"",VLOOKUP($BL168,$BN$8:$BT$507,7,FALSE()))</f>
        <v/>
      </c>
      <c r="BV168" s="98" t="str">
        <f aca="false">IF($BL168&gt;$BK$7,"",VLOOKUP($BL168,$BN$8:$BT$507,2,FALSE()))</f>
        <v/>
      </c>
      <c r="BW168" s="98" t="str">
        <f aca="false">IF($BL168&gt;$BK$7,"",VLOOKUP($BL168,$BN$8:$BT$507,3,FALSE()))</f>
        <v/>
      </c>
      <c r="BX168" s="98" t="str">
        <f aca="false">IF($BL168&gt;$BK$7,"",VLOOKUP($BL168,$BN$8:$BT$507,4,FALSE()))</f>
        <v/>
      </c>
      <c r="BY168" s="98" t="str">
        <f aca="false">IF($BL168&gt;$BK$7,"",VLOOKUP($BL168,$BN$8:$BT$507,5,FALSE()))</f>
        <v/>
      </c>
      <c r="BZ168" s="99" t="str">
        <f aca="false">IF($BL168&gt;$BK$7,"",VLOOKUP($BL168,$BN$8:$BT$507,6,FALSE()))</f>
        <v/>
      </c>
      <c r="CA168" s="48"/>
    </row>
    <row r="169" customFormat="false" ht="15.75" hidden="false" customHeight="false" outlineLevel="0" collapsed="false">
      <c r="A169" s="5"/>
      <c r="B169" s="114"/>
      <c r="C169" s="115"/>
      <c r="D169" s="100"/>
      <c r="E169" s="120"/>
      <c r="F169" s="125"/>
      <c r="G169" s="82"/>
      <c r="H169" s="126"/>
      <c r="I169" s="127"/>
      <c r="J169" s="82"/>
      <c r="K169" s="126"/>
      <c r="L169" s="82"/>
      <c r="M169" s="126"/>
      <c r="N169" s="82"/>
      <c r="O169" s="126"/>
      <c r="P169" s="82"/>
      <c r="Q169" s="126"/>
      <c r="R169" s="82"/>
      <c r="S169" s="120"/>
      <c r="T169" s="86"/>
      <c r="U169" s="87" t="str">
        <f aca="false">IF(ISBLANK($C169),"",IF(E169=Constants!$B$2, TRUE(), IF(E169=Constants!$B$3, FALSE(), TRUE())))</f>
        <v/>
      </c>
      <c r="V169" s="87" t="str">
        <f aca="false">IF(ISBLANK($C169),"",IF(F169=Constants!$B$2, TRUE(), IF(F169=Constants!$B$3, FALSE(), TRUE())))</f>
        <v/>
      </c>
      <c r="W169" s="87" t="str">
        <f aca="false">IF(ISBLANK($C169),"",IF(G169=Constants!$B$15,Constants!$B$8,IF(G169=Constants!$B$16,Constants!$B$9,Constants!$B$10)))</f>
        <v/>
      </c>
      <c r="X169" s="87" t="str">
        <f aca="false">IF(ISBLANK($C169),"",IF(H169=Constants!$B$2, TRUE(), IF(H169=Constants!$B$3, FALSE(), TRUE())))</f>
        <v/>
      </c>
      <c r="Y169" s="87" t="str">
        <f aca="false">IF(ISBLANK($C169),"",IF(I169=Constants!$B$19,Constants!$B$19,Constants!$B$18))</f>
        <v/>
      </c>
      <c r="Z169" s="87" t="str">
        <f aca="false">IF(ISBLANK($C169),"",IF(ISNUMBER(J169),IF(J169&gt;=0,J169,""),""))</f>
        <v/>
      </c>
      <c r="AA169" s="87" t="str">
        <f aca="false">IF(ISBLANK($C169),"",IF(K169=Constants!$B$19,Constants!$B$19,Constants!$B$18))</f>
        <v/>
      </c>
      <c r="AB169" s="87" t="str">
        <f aca="false">IF(ISBLANK($C169),"",IF(ISNUMBER(L169),IF(L169&gt;=0,L169,""),""))</f>
        <v/>
      </c>
      <c r="AC169" s="87" t="str">
        <f aca="false">IF(ISBLANK($C169),"",IF(M169=Constants!$B$19,Constants!$B$19,Constants!$B$18))</f>
        <v/>
      </c>
      <c r="AD169" s="87" t="str">
        <f aca="false">IF(ISBLANK($C169),"",IF(ISNUMBER(N169),IF(N169&gt;=0,N169,""),""))</f>
        <v/>
      </c>
      <c r="AE169" s="87" t="str">
        <f aca="false">IF(ISBLANK($C169),"",IF(O169=Constants!$B$19,Constants!$B$19,Constants!$B$18))</f>
        <v/>
      </c>
      <c r="AF169" s="87" t="str">
        <f aca="false">IF(ISBLANK($C169),"",IF(ISNUMBER(P169),IF(P169&gt;=0,P169,""),""))</f>
        <v/>
      </c>
      <c r="AG169" s="87" t="str">
        <f aca="false">IF(ISBLANK($C169),"",IF(Q169=Constants!$B$19,Constants!$B$19,Constants!$B$18))</f>
        <v/>
      </c>
      <c r="AH169" s="87" t="str">
        <f aca="false">IF(ISBLANK($C169),"",IF(ISNUMBER(R169),IF(R169&gt;=0,R169,""),""))</f>
        <v/>
      </c>
      <c r="AI169" s="87" t="str">
        <f aca="false">IF(ISBLANK($C169),"",IF(S169=Constants!$B$2, TRUE(), IF(S169=Constants!$B$3, FALSE(), FALSE())))</f>
        <v/>
      </c>
      <c r="AJ169" s="87" t="str">
        <f aca="false">IF(ISBLANK($C169),"",IF(AI169,Constants!$B$4,IF(COUNTA(E169:R169)=0,Constants!$B$5,IF(COUNTA(J169,L169,N169,P169,R169)=0,Constants!$B$6,Constants!$B$7))))</f>
        <v/>
      </c>
      <c r="AK169" s="87" t="str">
        <f aca="false">IF(ISBLANK($C169),"",IF($AJ169&lt;&gt;Constants!$B$7,$AJ169,IF(OR(NOT(X169),AND(NOT(U169),COUNTIFS(Y169:AG169,Constants!$B$18,Z169:AH169,"&gt;=0")&gt;0),AND(NOT(V169),COUNTIFS(Y169:AG169,Constants!$B$19,Z169:AH169,"&gt;=0")&gt;0)),Constants!$B$12,Constants!$B$11)))</f>
        <v/>
      </c>
      <c r="AL169" s="87" t="str">
        <f aca="false">IF($AJ169=Constants!$B$7,IF(Z169="",Constants!$B$13,Z169),"")</f>
        <v/>
      </c>
      <c r="AM169" s="87" t="str">
        <f aca="false">IF($AJ169=Constants!$B$7,IF(AB169="",Constants!$B$13,AB169),"")</f>
        <v/>
      </c>
      <c r="AN169" s="87" t="str">
        <f aca="false">IF($AJ169=Constants!$B$7,IF(AD169="",Constants!$B$13,AD169),"")</f>
        <v/>
      </c>
      <c r="AO169" s="87" t="str">
        <f aca="false">IF($AJ169=Constants!$B$7,IF(AF169="",Constants!$B$13,AF169),"")</f>
        <v/>
      </c>
      <c r="AP169" s="87" t="str">
        <f aca="false">IF($AJ169=Constants!$B$7,IF(AH169="",Constants!$B$13,AH169),"")</f>
        <v/>
      </c>
      <c r="AQ169" s="87" t="str">
        <f aca="false">IF($AJ169=Constants!$B$7,IF(SUMPRODUCT(--($AL169:$AP169&gt;AL169))+SUMPRODUCT(--($AL169:AL169=AL169))=1,1,IF(SUMPRODUCT(--($AL169:$AP169&gt;AM169))+SUMPRODUCT(--($AL169:AM169=AM169))=1,2,IF(SUMPRODUCT(--($AL169:$AP169&gt;AN169))+SUMPRODUCT(--($AL169:AN169=AN169))=1,3,IF(SUMPRODUCT(--($AL169:$AP169&gt;AO169))+SUMPRODUCT(--($AL169:AO169=AO169))=1,4,5)))),"")</f>
        <v/>
      </c>
      <c r="AR169" s="87" t="str">
        <f aca="false">IF($AJ169=Constants!$B$7,IF(SUMPRODUCT(--($AL169:$AP169&gt;AL169))+SUMPRODUCT(--($AL169:AL169=AL169))=2,1,IF(SUMPRODUCT(--($AL169:$AP169&gt;AM169))+SUMPRODUCT(--($AL169:AM169=AM169))=2,2,IF(SUMPRODUCT(--($AL169:$AP169&gt;AN169))+SUMPRODUCT(--($AL169:AN169=AN169))=2,3,IF(SUMPRODUCT(--($AL169:$AP169&gt;AO169))+SUMPRODUCT(--($AL169:AO169=AO169))=2,4,5)))),"")</f>
        <v/>
      </c>
      <c r="AS169" s="87" t="str">
        <f aca="false">IF($AJ169=Constants!$B$7,IF(SUMPRODUCT(--($AL169:$AP169&gt;AL169))+SUMPRODUCT(--($AL169:AL169=AL169))=3,1,IF(SUMPRODUCT(--($AL169:$AP169&gt;AM169))+SUMPRODUCT(--($AL169:AM169=AM169))=3,2,IF(SUMPRODUCT(--($AL169:$AP169&gt;AN169))+SUMPRODUCT(--($AL169:AN169=AN169))=3,3,IF(SUMPRODUCT(--($AL169:$AP169&gt;AO169))+SUMPRODUCT(--($AL169:AO169=AO169))=3,4,5)))),"")</f>
        <v/>
      </c>
      <c r="AT169" s="87" t="str">
        <f aca="false">IF($AJ169=Constants!$B$7,LARGE(AL169:AP169,1)+LARGE(AL169:AP169,2)+LARGE(AL169:AP169,3),"")</f>
        <v/>
      </c>
      <c r="AU169" s="87" t="str">
        <f aca="false">IF(ISBLANK($C169),"",IF($AJ169&lt;&gt;Constants!$B$7,$AJ169,AT169*W169))</f>
        <v/>
      </c>
      <c r="AV169" s="87" t="str">
        <f aca="false">IF(ISBLANK($C169),"",IF($AJ169=Constants!$B$7,IF(ISNUMBER(AU169),RANK(AU169,$AU$8:$AU$507),Constants!$B$14),$AJ169))</f>
        <v/>
      </c>
      <c r="AW169" s="87" t="str">
        <f aca="false">IF(ISBLANK($C169),"",IF($AJ169=Constants!$B$7,IF(ISNUMBER(AV169),COUNTIFS($AK$8:$AK$507,"&lt;"&amp;$AK169)+COUNTIFS($AK$8:$AK$507,$AK169,$AV$8:$AV$507,"&lt;"&amp;$AV169)+1,Constants!$B$14),$AJ169))</f>
        <v/>
      </c>
      <c r="AX169" s="87" t="str">
        <f aca="false">IF(ISBLANK($C169),"",IF($AJ169=Constants!$B$7,LARGE(AL169:AP169,4)*W169,""))</f>
        <v/>
      </c>
      <c r="AY169" s="87" t="str">
        <f aca="false">IF(ISBLANK($C169),"",IF($AJ169=Constants!$B$7,RANK(AX169,$AX$8:$AX$507),$AJ169))</f>
        <v/>
      </c>
      <c r="AZ169" s="87" t="str">
        <f aca="false">IF(ISBLANK($C169),"",IF($AJ169=Constants!$B$7,IF(ISNUMBER(AV169),COUNTIFS($AK$8:$AK$507,"&lt;"&amp;$AK169)+COUNTIFS($AK$8:$AK$507,$AK169,$AV$8:$AV$507,"&lt;"&amp;$AV169)+COUNTIFS($AK$8:$AK$507,$AK169,$AV$8:$AV$507,$AV169,$AY$8:$AY$507,"&lt;"&amp;$AY169)+1,Constants!$B$14),$AJ169))</f>
        <v/>
      </c>
      <c r="BA169" s="87" t="str">
        <f aca="false">IF(ISBLANK($C169),"",IF($AJ169=Constants!$B$7,IF(ISNUMBER(AW169),AW169-AZ169,Constants!$B$14),$AJ169))</f>
        <v/>
      </c>
      <c r="BB169" s="88"/>
      <c r="BC169" s="89" t="str">
        <f aca="false">IF(ISBLANK($C169),"",IF($AJ169&lt;&gt;Constants!$B$7,$AJ169,SMALL(AQ169:AS169,1)&amp;", "&amp;SMALL(AQ169:AS169,2)&amp;", "&amp;SMALL(AQ169:AS169,3)))</f>
        <v/>
      </c>
      <c r="BD169" s="90" t="str">
        <f aca="false">IF(ISBLANK($C169),"",IF($AJ169&lt;&gt;Constants!$B$7,$AJ169,W169))</f>
        <v/>
      </c>
      <c r="BE169" s="91" t="str">
        <f aca="false">IF(ISBLANK($C169),"",IF($AJ169&lt;&gt;Constants!$B$7,$AJ169,AU169))</f>
        <v/>
      </c>
      <c r="BF169" s="92" t="str">
        <f aca="false">IF(ISBLANK($C169),"",IF($AJ169&lt;&gt;Constants!$B$7,$AJ169,AK169))</f>
        <v/>
      </c>
      <c r="BG169" s="90" t="str">
        <f aca="false">IF(ISBLANK($C169),"",BA169)</f>
        <v/>
      </c>
      <c r="BH169" s="90" t="str">
        <f aca="false">IF(ISBLANK($C169),"",AZ169)</f>
        <v/>
      </c>
      <c r="BI169" s="93" t="str">
        <f aca="false">IF(ISBLANK($C169),"",IF(BH169=Constants!$B$4,COUNTA($C$8:$C$507)+2,IF(BH169=Constants!$B$5,COUNTA($C$8:$C$507)+1,IF(BH169=Constants!$B$6,COUNTA($C$8:$C$507),BH169))))</f>
        <v/>
      </c>
      <c r="BJ169" s="5"/>
      <c r="BK169" s="94" t="n">
        <f aca="false">IF(OR(ISNUMBER(BH169),BH169=Constants!$B$4,BH169=Constants!$B$6,BH169=Constants!$B$5),1,0)</f>
        <v>0</v>
      </c>
      <c r="BL169" s="94" t="n">
        <v>162</v>
      </c>
      <c r="BM169" s="94" t="str">
        <f aca="false">IF(ISBLANK($C169),"",IF(ISNUMBER(BI169),BI169+ROW($B169)/1000,""))</f>
        <v/>
      </c>
      <c r="BN169" s="94" t="str">
        <f aca="false">IF(ISNUMBER(BM169),RANK(BM169,$BM$8:$BM$507,1),"")</f>
        <v/>
      </c>
      <c r="BO169" s="94" t="str">
        <f aca="false">IF(ISBLANK($C169),"",$B169)</f>
        <v/>
      </c>
      <c r="BP169" s="94" t="str">
        <f aca="false">IF(ISBLANK($C169),"",$C169)</f>
        <v/>
      </c>
      <c r="BQ169" s="94" t="str">
        <f aca="false">IF(ISBLANK($C169),"",$D169)</f>
        <v/>
      </c>
      <c r="BR169" s="95" t="str">
        <f aca="false">BF169</f>
        <v/>
      </c>
      <c r="BS169" s="96" t="str">
        <f aca="false">BE169</f>
        <v/>
      </c>
      <c r="BT169" s="94" t="str">
        <f aca="false">IF(ISBLANK($C169),"",BH169)</f>
        <v/>
      </c>
      <c r="BU169" s="97" t="str">
        <f aca="false">IF($BL169&gt;$BK$7,"",VLOOKUP($BL169,$BN$8:$BT$507,7,FALSE()))</f>
        <v/>
      </c>
      <c r="BV169" s="98" t="str">
        <f aca="false">IF($BL169&gt;$BK$7,"",VLOOKUP($BL169,$BN$8:$BT$507,2,FALSE()))</f>
        <v/>
      </c>
      <c r="BW169" s="98" t="str">
        <f aca="false">IF($BL169&gt;$BK$7,"",VLOOKUP($BL169,$BN$8:$BT$507,3,FALSE()))</f>
        <v/>
      </c>
      <c r="BX169" s="98" t="str">
        <f aca="false">IF($BL169&gt;$BK$7,"",VLOOKUP($BL169,$BN$8:$BT$507,4,FALSE()))</f>
        <v/>
      </c>
      <c r="BY169" s="98" t="str">
        <f aca="false">IF($BL169&gt;$BK$7,"",VLOOKUP($BL169,$BN$8:$BT$507,5,FALSE()))</f>
        <v/>
      </c>
      <c r="BZ169" s="99" t="str">
        <f aca="false">IF($BL169&gt;$BK$7,"",VLOOKUP($BL169,$BN$8:$BT$507,6,FALSE()))</f>
        <v/>
      </c>
      <c r="CA169" s="48"/>
    </row>
    <row r="170" customFormat="false" ht="15.75" hidden="false" customHeight="false" outlineLevel="0" collapsed="false">
      <c r="A170" s="5"/>
      <c r="B170" s="121"/>
      <c r="C170" s="50"/>
      <c r="D170" s="51"/>
      <c r="E170" s="74"/>
      <c r="F170" s="122"/>
      <c r="G170" s="54"/>
      <c r="H170" s="123"/>
      <c r="I170" s="124"/>
      <c r="J170" s="54"/>
      <c r="K170" s="123"/>
      <c r="L170" s="54"/>
      <c r="M170" s="123"/>
      <c r="N170" s="54"/>
      <c r="O170" s="123"/>
      <c r="P170" s="54"/>
      <c r="Q170" s="123"/>
      <c r="R170" s="54"/>
      <c r="S170" s="74"/>
      <c r="T170" s="58"/>
      <c r="U170" s="59" t="str">
        <f aca="false">IF(ISBLANK($C170),"",IF(E170=Constants!$B$2, TRUE(), IF(E170=Constants!$B$3, FALSE(), TRUE())))</f>
        <v/>
      </c>
      <c r="V170" s="59" t="str">
        <f aca="false">IF(ISBLANK($C170),"",IF(F170=Constants!$B$2, TRUE(), IF(F170=Constants!$B$3, FALSE(), TRUE())))</f>
        <v/>
      </c>
      <c r="W170" s="59" t="str">
        <f aca="false">IF(ISBLANK($C170),"",IF(G170=Constants!$B$15,Constants!$B$8,IF(G170=Constants!$B$16,Constants!$B$9,Constants!$B$10)))</f>
        <v/>
      </c>
      <c r="X170" s="59" t="str">
        <f aca="false">IF(ISBLANK($C170),"",IF(H170=Constants!$B$2, TRUE(), IF(H170=Constants!$B$3, FALSE(), TRUE())))</f>
        <v/>
      </c>
      <c r="Y170" s="59" t="str">
        <f aca="false">IF(ISBLANK($C170),"",IF(I170=Constants!$B$19,Constants!$B$19,Constants!$B$18))</f>
        <v/>
      </c>
      <c r="Z170" s="59" t="str">
        <f aca="false">IF(ISBLANK($C170),"",IF(ISNUMBER(J170),IF(J170&gt;=0,J170,""),""))</f>
        <v/>
      </c>
      <c r="AA170" s="59" t="str">
        <f aca="false">IF(ISBLANK($C170),"",IF(K170=Constants!$B$19,Constants!$B$19,Constants!$B$18))</f>
        <v/>
      </c>
      <c r="AB170" s="59" t="str">
        <f aca="false">IF(ISBLANK($C170),"",IF(ISNUMBER(L170),IF(L170&gt;=0,L170,""),""))</f>
        <v/>
      </c>
      <c r="AC170" s="59" t="str">
        <f aca="false">IF(ISBLANK($C170),"",IF(M170=Constants!$B$19,Constants!$B$19,Constants!$B$18))</f>
        <v/>
      </c>
      <c r="AD170" s="59" t="str">
        <f aca="false">IF(ISBLANK($C170),"",IF(ISNUMBER(N170),IF(N170&gt;=0,N170,""),""))</f>
        <v/>
      </c>
      <c r="AE170" s="59" t="str">
        <f aca="false">IF(ISBLANK($C170),"",IF(O170=Constants!$B$19,Constants!$B$19,Constants!$B$18))</f>
        <v/>
      </c>
      <c r="AF170" s="59" t="str">
        <f aca="false">IF(ISBLANK($C170),"",IF(ISNUMBER(P170),IF(P170&gt;=0,P170,""),""))</f>
        <v/>
      </c>
      <c r="AG170" s="59" t="str">
        <f aca="false">IF(ISBLANK($C170),"",IF(Q170=Constants!$B$19,Constants!$B$19,Constants!$B$18))</f>
        <v/>
      </c>
      <c r="AH170" s="59" t="str">
        <f aca="false">IF(ISBLANK($C170),"",IF(ISNUMBER(R170),IF(R170&gt;=0,R170,""),""))</f>
        <v/>
      </c>
      <c r="AI170" s="59" t="str">
        <f aca="false">IF(ISBLANK($C170),"",IF(S170=Constants!$B$2, TRUE(), IF(S170=Constants!$B$3, FALSE(), FALSE())))</f>
        <v/>
      </c>
      <c r="AJ170" s="59" t="str">
        <f aca="false">IF(ISBLANK($C170),"",IF(AI170,Constants!$B$4,IF(COUNTA(E170:R170)=0,Constants!$B$5,IF(COUNTA(J170,L170,N170,P170,R170)=0,Constants!$B$6,Constants!$B$7))))</f>
        <v/>
      </c>
      <c r="AK170" s="59" t="str">
        <f aca="false">IF(ISBLANK($C170),"",IF($AJ170&lt;&gt;Constants!$B$7,$AJ170,IF(OR(NOT(X170),AND(NOT(U170),COUNTIFS(Y170:AG170,Constants!$B$18,Z170:AH170,"&gt;=0")&gt;0),AND(NOT(V170),COUNTIFS(Y170:AG170,Constants!$B$19,Z170:AH170,"&gt;=0")&gt;0)),Constants!$B$12,Constants!$B$11)))</f>
        <v/>
      </c>
      <c r="AL170" s="59" t="str">
        <f aca="false">IF($AJ170=Constants!$B$7,IF(Z170="",Constants!$B$13,Z170),"")</f>
        <v/>
      </c>
      <c r="AM170" s="59" t="str">
        <f aca="false">IF($AJ170=Constants!$B$7,IF(AB170="",Constants!$B$13,AB170),"")</f>
        <v/>
      </c>
      <c r="AN170" s="59" t="str">
        <f aca="false">IF($AJ170=Constants!$B$7,IF(AD170="",Constants!$B$13,AD170),"")</f>
        <v/>
      </c>
      <c r="AO170" s="59" t="str">
        <f aca="false">IF($AJ170=Constants!$B$7,IF(AF170="",Constants!$B$13,AF170),"")</f>
        <v/>
      </c>
      <c r="AP170" s="59" t="str">
        <f aca="false">IF($AJ170=Constants!$B$7,IF(AH170="",Constants!$B$13,AH170),"")</f>
        <v/>
      </c>
      <c r="AQ170" s="59" t="str">
        <f aca="false">IF($AJ170=Constants!$B$7,IF(SUMPRODUCT(--($AL170:$AP170&gt;AL170))+SUMPRODUCT(--($AL170:AL170=AL170))=1,1,IF(SUMPRODUCT(--($AL170:$AP170&gt;AM170))+SUMPRODUCT(--($AL170:AM170=AM170))=1,2,IF(SUMPRODUCT(--($AL170:$AP170&gt;AN170))+SUMPRODUCT(--($AL170:AN170=AN170))=1,3,IF(SUMPRODUCT(--($AL170:$AP170&gt;AO170))+SUMPRODUCT(--($AL170:AO170=AO170))=1,4,5)))),"")</f>
        <v/>
      </c>
      <c r="AR170" s="59" t="str">
        <f aca="false">IF($AJ170=Constants!$B$7,IF(SUMPRODUCT(--($AL170:$AP170&gt;AL170))+SUMPRODUCT(--($AL170:AL170=AL170))=2,1,IF(SUMPRODUCT(--($AL170:$AP170&gt;AM170))+SUMPRODUCT(--($AL170:AM170=AM170))=2,2,IF(SUMPRODUCT(--($AL170:$AP170&gt;AN170))+SUMPRODUCT(--($AL170:AN170=AN170))=2,3,IF(SUMPRODUCT(--($AL170:$AP170&gt;AO170))+SUMPRODUCT(--($AL170:AO170=AO170))=2,4,5)))),"")</f>
        <v/>
      </c>
      <c r="AS170" s="59" t="str">
        <f aca="false">IF($AJ170=Constants!$B$7,IF(SUMPRODUCT(--($AL170:$AP170&gt;AL170))+SUMPRODUCT(--($AL170:AL170=AL170))=3,1,IF(SUMPRODUCT(--($AL170:$AP170&gt;AM170))+SUMPRODUCT(--($AL170:AM170=AM170))=3,2,IF(SUMPRODUCT(--($AL170:$AP170&gt;AN170))+SUMPRODUCT(--($AL170:AN170=AN170))=3,3,IF(SUMPRODUCT(--($AL170:$AP170&gt;AO170))+SUMPRODUCT(--($AL170:AO170=AO170))=3,4,5)))),"")</f>
        <v/>
      </c>
      <c r="AT170" s="59" t="str">
        <f aca="false">IF($AJ170=Constants!$B$7,LARGE(AL170:AP170,1)+LARGE(AL170:AP170,2)+LARGE(AL170:AP170,3),"")</f>
        <v/>
      </c>
      <c r="AU170" s="59" t="str">
        <f aca="false">IF(ISBLANK($C170),"",IF($AJ170&lt;&gt;Constants!$B$7,$AJ170,AT170*W170))</f>
        <v/>
      </c>
      <c r="AV170" s="59" t="str">
        <f aca="false">IF(ISBLANK($C170),"",IF($AJ170=Constants!$B$7,IF(ISNUMBER(AU170),RANK(AU170,$AU$8:$AU$507),Constants!$B$14),$AJ170))</f>
        <v/>
      </c>
      <c r="AW170" s="59" t="str">
        <f aca="false">IF(ISBLANK($C170),"",IF($AJ170=Constants!$B$7,IF(ISNUMBER(AV170),COUNTIFS($AK$8:$AK$507,"&lt;"&amp;$AK170)+COUNTIFS($AK$8:$AK$507,$AK170,$AV$8:$AV$507,"&lt;"&amp;$AV170)+1,Constants!$B$14),$AJ170))</f>
        <v/>
      </c>
      <c r="AX170" s="59" t="str">
        <f aca="false">IF(ISBLANK($C170),"",IF($AJ170=Constants!$B$7,LARGE(AL170:AP170,4)*W170,""))</f>
        <v/>
      </c>
      <c r="AY170" s="59" t="str">
        <f aca="false">IF(ISBLANK($C170),"",IF($AJ170=Constants!$B$7,RANK(AX170,$AX$8:$AX$507),$AJ170))</f>
        <v/>
      </c>
      <c r="AZ170" s="59" t="str">
        <f aca="false">IF(ISBLANK($C170),"",IF($AJ170=Constants!$B$7,IF(ISNUMBER(AV170),COUNTIFS($AK$8:$AK$507,"&lt;"&amp;$AK170)+COUNTIFS($AK$8:$AK$507,$AK170,$AV$8:$AV$507,"&lt;"&amp;$AV170)+COUNTIFS($AK$8:$AK$507,$AK170,$AV$8:$AV$507,$AV170,$AY$8:$AY$507,"&lt;"&amp;$AY170)+1,Constants!$B$14),$AJ170))</f>
        <v/>
      </c>
      <c r="BA170" s="59" t="str">
        <f aca="false">IF(ISBLANK($C170),"",IF($AJ170=Constants!$B$7,IF(ISNUMBER(AW170),AW170-AZ170,Constants!$B$14),$AJ170))</f>
        <v/>
      </c>
      <c r="BB170" s="61"/>
      <c r="BC170" s="62" t="str">
        <f aca="false">IF(ISBLANK($C170),"",IF($AJ170&lt;&gt;Constants!$B$7,$AJ170,SMALL(AQ170:AS170,1)&amp;", "&amp;SMALL(AQ170:AS170,2)&amp;", "&amp;SMALL(AQ170:AS170,3)))</f>
        <v/>
      </c>
      <c r="BD170" s="63" t="str">
        <f aca="false">IF(ISBLANK($C170),"",IF($AJ170&lt;&gt;Constants!$B$7,$AJ170,W170))</f>
        <v/>
      </c>
      <c r="BE170" s="64" t="str">
        <f aca="false">IF(ISBLANK($C170),"",IF($AJ170&lt;&gt;Constants!$B$7,$AJ170,AU170))</f>
        <v/>
      </c>
      <c r="BF170" s="65" t="str">
        <f aca="false">IF(ISBLANK($C170),"",IF($AJ170&lt;&gt;Constants!$B$7,$AJ170,AK170))</f>
        <v/>
      </c>
      <c r="BG170" s="63" t="str">
        <f aca="false">IF(ISBLANK($C170),"",BA170)</f>
        <v/>
      </c>
      <c r="BH170" s="63" t="str">
        <f aca="false">IF(ISBLANK($C170),"",AZ170)</f>
        <v/>
      </c>
      <c r="BI170" s="66" t="str">
        <f aca="false">IF(ISBLANK($C170),"",IF(BH170=Constants!$B$4,COUNTA($C$8:$C$507)+2,IF(BH170=Constants!$B$5,COUNTA($C$8:$C$507)+1,IF(BH170=Constants!$B$6,COUNTA($C$8:$C$507),BH170))))</f>
        <v/>
      </c>
      <c r="BJ170" s="5"/>
      <c r="BK170" s="67" t="n">
        <f aca="false">IF(OR(ISNUMBER(BH170),BH170=Constants!$B$4,BH170=Constants!$B$6,BH170=Constants!$B$5),1,0)</f>
        <v>0</v>
      </c>
      <c r="BL170" s="67" t="n">
        <v>163</v>
      </c>
      <c r="BM170" s="67" t="str">
        <f aca="false">IF(ISBLANK($C170),"",IF(ISNUMBER(BI170),BI170+ROW($B170)/1000,""))</f>
        <v/>
      </c>
      <c r="BN170" s="67" t="str">
        <f aca="false">IF(ISNUMBER(BM170),RANK(BM170,$BM$8:$BM$507,1),"")</f>
        <v/>
      </c>
      <c r="BO170" s="67" t="str">
        <f aca="false">IF(ISBLANK($C170),"",$B170)</f>
        <v/>
      </c>
      <c r="BP170" s="67" t="str">
        <f aca="false">IF(ISBLANK($C170),"",$C170)</f>
        <v/>
      </c>
      <c r="BQ170" s="67" t="str">
        <f aca="false">IF(ISBLANK($C170),"",$D170)</f>
        <v/>
      </c>
      <c r="BR170" s="68" t="str">
        <f aca="false">BF170</f>
        <v/>
      </c>
      <c r="BS170" s="69" t="str">
        <f aca="false">BE170</f>
        <v/>
      </c>
      <c r="BT170" s="67" t="str">
        <f aca="false">IF(ISBLANK($C170),"",BH170)</f>
        <v/>
      </c>
      <c r="BU170" s="70" t="str">
        <f aca="false">IF($BL170&gt;$BK$7,"",VLOOKUP($BL170,$BN$8:$BT$507,7,FALSE()))</f>
        <v/>
      </c>
      <c r="BV170" s="71" t="str">
        <f aca="false">IF($BL170&gt;$BK$7,"",VLOOKUP($BL170,$BN$8:$BT$507,2,FALSE()))</f>
        <v/>
      </c>
      <c r="BW170" s="71" t="str">
        <f aca="false">IF($BL170&gt;$BK$7,"",VLOOKUP($BL170,$BN$8:$BT$507,3,FALSE()))</f>
        <v/>
      </c>
      <c r="BX170" s="71" t="str">
        <f aca="false">IF($BL170&gt;$BK$7,"",VLOOKUP($BL170,$BN$8:$BT$507,4,FALSE()))</f>
        <v/>
      </c>
      <c r="BY170" s="71" t="str">
        <f aca="false">IF($BL170&gt;$BK$7,"",VLOOKUP($BL170,$BN$8:$BT$507,5,FALSE()))</f>
        <v/>
      </c>
      <c r="BZ170" s="72" t="str">
        <f aca="false">IF($BL170&gt;$BK$7,"",VLOOKUP($BL170,$BN$8:$BT$507,6,FALSE()))</f>
        <v/>
      </c>
      <c r="CA170" s="48"/>
    </row>
    <row r="171" customFormat="false" ht="15.75" hidden="false" customHeight="false" outlineLevel="0" collapsed="false">
      <c r="A171" s="5"/>
      <c r="B171" s="121"/>
      <c r="C171" s="50"/>
      <c r="D171" s="51"/>
      <c r="E171" s="74"/>
      <c r="F171" s="122"/>
      <c r="G171" s="54"/>
      <c r="H171" s="123"/>
      <c r="I171" s="124"/>
      <c r="J171" s="54"/>
      <c r="K171" s="123"/>
      <c r="L171" s="54"/>
      <c r="M171" s="123"/>
      <c r="N171" s="54"/>
      <c r="O171" s="123"/>
      <c r="P171" s="54"/>
      <c r="Q171" s="123"/>
      <c r="R171" s="54"/>
      <c r="S171" s="74"/>
      <c r="T171" s="58"/>
      <c r="U171" s="59" t="str">
        <f aca="false">IF(ISBLANK($C171),"",IF(E171=Constants!$B$2, TRUE(), IF(E171=Constants!$B$3, FALSE(), TRUE())))</f>
        <v/>
      </c>
      <c r="V171" s="59" t="str">
        <f aca="false">IF(ISBLANK($C171),"",IF(F171=Constants!$B$2, TRUE(), IF(F171=Constants!$B$3, FALSE(), TRUE())))</f>
        <v/>
      </c>
      <c r="W171" s="59" t="str">
        <f aca="false">IF(ISBLANK($C171),"",IF(G171=Constants!$B$15,Constants!$B$8,IF(G171=Constants!$B$16,Constants!$B$9,Constants!$B$10)))</f>
        <v/>
      </c>
      <c r="X171" s="59" t="str">
        <f aca="false">IF(ISBLANK($C171),"",IF(H171=Constants!$B$2, TRUE(), IF(H171=Constants!$B$3, FALSE(), TRUE())))</f>
        <v/>
      </c>
      <c r="Y171" s="59" t="str">
        <f aca="false">IF(ISBLANK($C171),"",IF(I171=Constants!$B$19,Constants!$B$19,Constants!$B$18))</f>
        <v/>
      </c>
      <c r="Z171" s="59" t="str">
        <f aca="false">IF(ISBLANK($C171),"",IF(ISNUMBER(J171),IF(J171&gt;=0,J171,""),""))</f>
        <v/>
      </c>
      <c r="AA171" s="59" t="str">
        <f aca="false">IF(ISBLANK($C171),"",IF(K171=Constants!$B$19,Constants!$B$19,Constants!$B$18))</f>
        <v/>
      </c>
      <c r="AB171" s="59" t="str">
        <f aca="false">IF(ISBLANK($C171),"",IF(ISNUMBER(L171),IF(L171&gt;=0,L171,""),""))</f>
        <v/>
      </c>
      <c r="AC171" s="59" t="str">
        <f aca="false">IF(ISBLANK($C171),"",IF(M171=Constants!$B$19,Constants!$B$19,Constants!$B$18))</f>
        <v/>
      </c>
      <c r="AD171" s="59" t="str">
        <f aca="false">IF(ISBLANK($C171),"",IF(ISNUMBER(N171),IF(N171&gt;=0,N171,""),""))</f>
        <v/>
      </c>
      <c r="AE171" s="59" t="str">
        <f aca="false">IF(ISBLANK($C171),"",IF(O171=Constants!$B$19,Constants!$B$19,Constants!$B$18))</f>
        <v/>
      </c>
      <c r="AF171" s="59" t="str">
        <f aca="false">IF(ISBLANK($C171),"",IF(ISNUMBER(P171),IF(P171&gt;=0,P171,""),""))</f>
        <v/>
      </c>
      <c r="AG171" s="59" t="str">
        <f aca="false">IF(ISBLANK($C171),"",IF(Q171=Constants!$B$19,Constants!$B$19,Constants!$B$18))</f>
        <v/>
      </c>
      <c r="AH171" s="59" t="str">
        <f aca="false">IF(ISBLANK($C171),"",IF(ISNUMBER(R171),IF(R171&gt;=0,R171,""),""))</f>
        <v/>
      </c>
      <c r="AI171" s="59" t="str">
        <f aca="false">IF(ISBLANK($C171),"",IF(S171=Constants!$B$2, TRUE(), IF(S171=Constants!$B$3, FALSE(), FALSE())))</f>
        <v/>
      </c>
      <c r="AJ171" s="59" t="str">
        <f aca="false">IF(ISBLANK($C171),"",IF(AI171,Constants!$B$4,IF(COUNTA(E171:R171)=0,Constants!$B$5,IF(COUNTA(J171,L171,N171,P171,R171)=0,Constants!$B$6,Constants!$B$7))))</f>
        <v/>
      </c>
      <c r="AK171" s="59" t="str">
        <f aca="false">IF(ISBLANK($C171),"",IF($AJ171&lt;&gt;Constants!$B$7,$AJ171,IF(OR(NOT(X171),AND(NOT(U171),COUNTIFS(Y171:AG171,Constants!$B$18,Z171:AH171,"&gt;=0")&gt;0),AND(NOT(V171),COUNTIFS(Y171:AG171,Constants!$B$19,Z171:AH171,"&gt;=0")&gt;0)),Constants!$B$12,Constants!$B$11)))</f>
        <v/>
      </c>
      <c r="AL171" s="59" t="str">
        <f aca="false">IF($AJ171=Constants!$B$7,IF(Z171="",Constants!$B$13,Z171),"")</f>
        <v/>
      </c>
      <c r="AM171" s="59" t="str">
        <f aca="false">IF($AJ171=Constants!$B$7,IF(AB171="",Constants!$B$13,AB171),"")</f>
        <v/>
      </c>
      <c r="AN171" s="59" t="str">
        <f aca="false">IF($AJ171=Constants!$B$7,IF(AD171="",Constants!$B$13,AD171),"")</f>
        <v/>
      </c>
      <c r="AO171" s="59" t="str">
        <f aca="false">IF($AJ171=Constants!$B$7,IF(AF171="",Constants!$B$13,AF171),"")</f>
        <v/>
      </c>
      <c r="AP171" s="59" t="str">
        <f aca="false">IF($AJ171=Constants!$B$7,IF(AH171="",Constants!$B$13,AH171),"")</f>
        <v/>
      </c>
      <c r="AQ171" s="59" t="str">
        <f aca="false">IF($AJ171=Constants!$B$7,IF(SUMPRODUCT(--($AL171:$AP171&gt;AL171))+SUMPRODUCT(--($AL171:AL171=AL171))=1,1,IF(SUMPRODUCT(--($AL171:$AP171&gt;AM171))+SUMPRODUCT(--($AL171:AM171=AM171))=1,2,IF(SUMPRODUCT(--($AL171:$AP171&gt;AN171))+SUMPRODUCT(--($AL171:AN171=AN171))=1,3,IF(SUMPRODUCT(--($AL171:$AP171&gt;AO171))+SUMPRODUCT(--($AL171:AO171=AO171))=1,4,5)))),"")</f>
        <v/>
      </c>
      <c r="AR171" s="59" t="str">
        <f aca="false">IF($AJ171=Constants!$B$7,IF(SUMPRODUCT(--($AL171:$AP171&gt;AL171))+SUMPRODUCT(--($AL171:AL171=AL171))=2,1,IF(SUMPRODUCT(--($AL171:$AP171&gt;AM171))+SUMPRODUCT(--($AL171:AM171=AM171))=2,2,IF(SUMPRODUCT(--($AL171:$AP171&gt;AN171))+SUMPRODUCT(--($AL171:AN171=AN171))=2,3,IF(SUMPRODUCT(--($AL171:$AP171&gt;AO171))+SUMPRODUCT(--($AL171:AO171=AO171))=2,4,5)))),"")</f>
        <v/>
      </c>
      <c r="AS171" s="59" t="str">
        <f aca="false">IF($AJ171=Constants!$B$7,IF(SUMPRODUCT(--($AL171:$AP171&gt;AL171))+SUMPRODUCT(--($AL171:AL171=AL171))=3,1,IF(SUMPRODUCT(--($AL171:$AP171&gt;AM171))+SUMPRODUCT(--($AL171:AM171=AM171))=3,2,IF(SUMPRODUCT(--($AL171:$AP171&gt;AN171))+SUMPRODUCT(--($AL171:AN171=AN171))=3,3,IF(SUMPRODUCT(--($AL171:$AP171&gt;AO171))+SUMPRODUCT(--($AL171:AO171=AO171))=3,4,5)))),"")</f>
        <v/>
      </c>
      <c r="AT171" s="59" t="str">
        <f aca="false">IF($AJ171=Constants!$B$7,LARGE(AL171:AP171,1)+LARGE(AL171:AP171,2)+LARGE(AL171:AP171,3),"")</f>
        <v/>
      </c>
      <c r="AU171" s="59" t="str">
        <f aca="false">IF(ISBLANK($C171),"",IF($AJ171&lt;&gt;Constants!$B$7,$AJ171,AT171*W171))</f>
        <v/>
      </c>
      <c r="AV171" s="59" t="str">
        <f aca="false">IF(ISBLANK($C171),"",IF($AJ171=Constants!$B$7,IF(ISNUMBER(AU171),RANK(AU171,$AU$8:$AU$507),Constants!$B$14),$AJ171))</f>
        <v/>
      </c>
      <c r="AW171" s="59" t="str">
        <f aca="false">IF(ISBLANK($C171),"",IF($AJ171=Constants!$B$7,IF(ISNUMBER(AV171),COUNTIFS($AK$8:$AK$507,"&lt;"&amp;$AK171)+COUNTIFS($AK$8:$AK$507,$AK171,$AV$8:$AV$507,"&lt;"&amp;$AV171)+1,Constants!$B$14),$AJ171))</f>
        <v/>
      </c>
      <c r="AX171" s="59" t="str">
        <f aca="false">IF(ISBLANK($C171),"",IF($AJ171=Constants!$B$7,LARGE(AL171:AP171,4)*W171,""))</f>
        <v/>
      </c>
      <c r="AY171" s="59" t="str">
        <f aca="false">IF(ISBLANK($C171),"",IF($AJ171=Constants!$B$7,RANK(AX171,$AX$8:$AX$507),$AJ171))</f>
        <v/>
      </c>
      <c r="AZ171" s="59" t="str">
        <f aca="false">IF(ISBLANK($C171),"",IF($AJ171=Constants!$B$7,IF(ISNUMBER(AV171),COUNTIFS($AK$8:$AK$507,"&lt;"&amp;$AK171)+COUNTIFS($AK$8:$AK$507,$AK171,$AV$8:$AV$507,"&lt;"&amp;$AV171)+COUNTIFS($AK$8:$AK$507,$AK171,$AV$8:$AV$507,$AV171,$AY$8:$AY$507,"&lt;"&amp;$AY171)+1,Constants!$B$14),$AJ171))</f>
        <v/>
      </c>
      <c r="BA171" s="59" t="str">
        <f aca="false">IF(ISBLANK($C171),"",IF($AJ171=Constants!$B$7,IF(ISNUMBER(AW171),AW171-AZ171,Constants!$B$14),$AJ171))</f>
        <v/>
      </c>
      <c r="BB171" s="61"/>
      <c r="BC171" s="62" t="str">
        <f aca="false">IF(ISBLANK($C171),"",IF($AJ171&lt;&gt;Constants!$B$7,$AJ171,SMALL(AQ171:AS171,1)&amp;", "&amp;SMALL(AQ171:AS171,2)&amp;", "&amp;SMALL(AQ171:AS171,3)))</f>
        <v/>
      </c>
      <c r="BD171" s="63" t="str">
        <f aca="false">IF(ISBLANK($C171),"",IF($AJ171&lt;&gt;Constants!$B$7,$AJ171,W171))</f>
        <v/>
      </c>
      <c r="BE171" s="64" t="str">
        <f aca="false">IF(ISBLANK($C171),"",IF($AJ171&lt;&gt;Constants!$B$7,$AJ171,AU171))</f>
        <v/>
      </c>
      <c r="BF171" s="65" t="str">
        <f aca="false">IF(ISBLANK($C171),"",IF($AJ171&lt;&gt;Constants!$B$7,$AJ171,AK171))</f>
        <v/>
      </c>
      <c r="BG171" s="63" t="str">
        <f aca="false">IF(ISBLANK($C171),"",BA171)</f>
        <v/>
      </c>
      <c r="BH171" s="63" t="str">
        <f aca="false">IF(ISBLANK($C171),"",AZ171)</f>
        <v/>
      </c>
      <c r="BI171" s="66" t="str">
        <f aca="false">IF(ISBLANK($C171),"",IF(BH171=Constants!$B$4,COUNTA($C$8:$C$507)+2,IF(BH171=Constants!$B$5,COUNTA($C$8:$C$507)+1,IF(BH171=Constants!$B$6,COUNTA($C$8:$C$507),BH171))))</f>
        <v/>
      </c>
      <c r="BJ171" s="5"/>
      <c r="BK171" s="67" t="n">
        <f aca="false">IF(OR(ISNUMBER(BH171),BH171=Constants!$B$4,BH171=Constants!$B$6,BH171=Constants!$B$5),1,0)</f>
        <v>0</v>
      </c>
      <c r="BL171" s="67" t="n">
        <v>164</v>
      </c>
      <c r="BM171" s="67" t="str">
        <f aca="false">IF(ISBLANK($C171),"",IF(ISNUMBER(BI171),BI171+ROW($B171)/1000,""))</f>
        <v/>
      </c>
      <c r="BN171" s="67" t="str">
        <f aca="false">IF(ISNUMBER(BM171),RANK(BM171,$BM$8:$BM$507,1),"")</f>
        <v/>
      </c>
      <c r="BO171" s="67" t="str">
        <f aca="false">IF(ISBLANK($C171),"",$B171)</f>
        <v/>
      </c>
      <c r="BP171" s="67" t="str">
        <f aca="false">IF(ISBLANK($C171),"",$C171)</f>
        <v/>
      </c>
      <c r="BQ171" s="67" t="str">
        <f aca="false">IF(ISBLANK($C171),"",$D171)</f>
        <v/>
      </c>
      <c r="BR171" s="68" t="str">
        <f aca="false">BF171</f>
        <v/>
      </c>
      <c r="BS171" s="69" t="str">
        <f aca="false">BE171</f>
        <v/>
      </c>
      <c r="BT171" s="67" t="str">
        <f aca="false">IF(ISBLANK($C171),"",BH171)</f>
        <v/>
      </c>
      <c r="BU171" s="70" t="str">
        <f aca="false">IF($BL171&gt;$BK$7,"",VLOOKUP($BL171,$BN$8:$BT$507,7,FALSE()))</f>
        <v/>
      </c>
      <c r="BV171" s="71" t="str">
        <f aca="false">IF($BL171&gt;$BK$7,"",VLOOKUP($BL171,$BN$8:$BT$507,2,FALSE()))</f>
        <v/>
      </c>
      <c r="BW171" s="71" t="str">
        <f aca="false">IF($BL171&gt;$BK$7,"",VLOOKUP($BL171,$BN$8:$BT$507,3,FALSE()))</f>
        <v/>
      </c>
      <c r="BX171" s="71" t="str">
        <f aca="false">IF($BL171&gt;$BK$7,"",VLOOKUP($BL171,$BN$8:$BT$507,4,FALSE()))</f>
        <v/>
      </c>
      <c r="BY171" s="71" t="str">
        <f aca="false">IF($BL171&gt;$BK$7,"",VLOOKUP($BL171,$BN$8:$BT$507,5,FALSE()))</f>
        <v/>
      </c>
      <c r="BZ171" s="72" t="str">
        <f aca="false">IF($BL171&gt;$BK$7,"",VLOOKUP($BL171,$BN$8:$BT$507,6,FALSE()))</f>
        <v/>
      </c>
      <c r="CA171" s="48"/>
    </row>
    <row r="172" customFormat="false" ht="15.75" hidden="false" customHeight="false" outlineLevel="0" collapsed="false">
      <c r="A172" s="5"/>
      <c r="B172" s="121"/>
      <c r="C172" s="50"/>
      <c r="D172" s="51"/>
      <c r="E172" s="74"/>
      <c r="F172" s="122"/>
      <c r="G172" s="54"/>
      <c r="H172" s="123"/>
      <c r="I172" s="124"/>
      <c r="J172" s="54"/>
      <c r="K172" s="123"/>
      <c r="L172" s="54"/>
      <c r="M172" s="123"/>
      <c r="N172" s="54"/>
      <c r="O172" s="123"/>
      <c r="P172" s="54"/>
      <c r="Q172" s="123"/>
      <c r="R172" s="54"/>
      <c r="S172" s="74"/>
      <c r="T172" s="58"/>
      <c r="U172" s="59" t="str">
        <f aca="false">IF(ISBLANK($C172),"",IF(E172=Constants!$B$2, TRUE(), IF(E172=Constants!$B$3, FALSE(), TRUE())))</f>
        <v/>
      </c>
      <c r="V172" s="59" t="str">
        <f aca="false">IF(ISBLANK($C172),"",IF(F172=Constants!$B$2, TRUE(), IF(F172=Constants!$B$3, FALSE(), TRUE())))</f>
        <v/>
      </c>
      <c r="W172" s="59" t="str">
        <f aca="false">IF(ISBLANK($C172),"",IF(G172=Constants!$B$15,Constants!$B$8,IF(G172=Constants!$B$16,Constants!$B$9,Constants!$B$10)))</f>
        <v/>
      </c>
      <c r="X172" s="59" t="str">
        <f aca="false">IF(ISBLANK($C172),"",IF(H172=Constants!$B$2, TRUE(), IF(H172=Constants!$B$3, FALSE(), TRUE())))</f>
        <v/>
      </c>
      <c r="Y172" s="59" t="str">
        <f aca="false">IF(ISBLANK($C172),"",IF(I172=Constants!$B$19,Constants!$B$19,Constants!$B$18))</f>
        <v/>
      </c>
      <c r="Z172" s="59" t="str">
        <f aca="false">IF(ISBLANK($C172),"",IF(ISNUMBER(J172),IF(J172&gt;=0,J172,""),""))</f>
        <v/>
      </c>
      <c r="AA172" s="59" t="str">
        <f aca="false">IF(ISBLANK($C172),"",IF(K172=Constants!$B$19,Constants!$B$19,Constants!$B$18))</f>
        <v/>
      </c>
      <c r="AB172" s="59" t="str">
        <f aca="false">IF(ISBLANK($C172),"",IF(ISNUMBER(L172),IF(L172&gt;=0,L172,""),""))</f>
        <v/>
      </c>
      <c r="AC172" s="59" t="str">
        <f aca="false">IF(ISBLANK($C172),"",IF(M172=Constants!$B$19,Constants!$B$19,Constants!$B$18))</f>
        <v/>
      </c>
      <c r="AD172" s="59" t="str">
        <f aca="false">IF(ISBLANK($C172),"",IF(ISNUMBER(N172),IF(N172&gt;=0,N172,""),""))</f>
        <v/>
      </c>
      <c r="AE172" s="59" t="str">
        <f aca="false">IF(ISBLANK($C172),"",IF(O172=Constants!$B$19,Constants!$B$19,Constants!$B$18))</f>
        <v/>
      </c>
      <c r="AF172" s="59" t="str">
        <f aca="false">IF(ISBLANK($C172),"",IF(ISNUMBER(P172),IF(P172&gt;=0,P172,""),""))</f>
        <v/>
      </c>
      <c r="AG172" s="59" t="str">
        <f aca="false">IF(ISBLANK($C172),"",IF(Q172=Constants!$B$19,Constants!$B$19,Constants!$B$18))</f>
        <v/>
      </c>
      <c r="AH172" s="59" t="str">
        <f aca="false">IF(ISBLANK($C172),"",IF(ISNUMBER(R172),IF(R172&gt;=0,R172,""),""))</f>
        <v/>
      </c>
      <c r="AI172" s="59" t="str">
        <f aca="false">IF(ISBLANK($C172),"",IF(S172=Constants!$B$2, TRUE(), IF(S172=Constants!$B$3, FALSE(), FALSE())))</f>
        <v/>
      </c>
      <c r="AJ172" s="59" t="str">
        <f aca="false">IF(ISBLANK($C172),"",IF(AI172,Constants!$B$4,IF(COUNTA(E172:R172)=0,Constants!$B$5,IF(COUNTA(J172,L172,N172,P172,R172)=0,Constants!$B$6,Constants!$B$7))))</f>
        <v/>
      </c>
      <c r="AK172" s="59" t="str">
        <f aca="false">IF(ISBLANK($C172),"",IF($AJ172&lt;&gt;Constants!$B$7,$AJ172,IF(OR(NOT(X172),AND(NOT(U172),COUNTIFS(Y172:AG172,Constants!$B$18,Z172:AH172,"&gt;=0")&gt;0),AND(NOT(V172),COUNTIFS(Y172:AG172,Constants!$B$19,Z172:AH172,"&gt;=0")&gt;0)),Constants!$B$12,Constants!$B$11)))</f>
        <v/>
      </c>
      <c r="AL172" s="59" t="str">
        <f aca="false">IF($AJ172=Constants!$B$7,IF(Z172="",Constants!$B$13,Z172),"")</f>
        <v/>
      </c>
      <c r="AM172" s="59" t="str">
        <f aca="false">IF($AJ172=Constants!$B$7,IF(AB172="",Constants!$B$13,AB172),"")</f>
        <v/>
      </c>
      <c r="AN172" s="59" t="str">
        <f aca="false">IF($AJ172=Constants!$B$7,IF(AD172="",Constants!$B$13,AD172),"")</f>
        <v/>
      </c>
      <c r="AO172" s="59" t="str">
        <f aca="false">IF($AJ172=Constants!$B$7,IF(AF172="",Constants!$B$13,AF172),"")</f>
        <v/>
      </c>
      <c r="AP172" s="59" t="str">
        <f aca="false">IF($AJ172=Constants!$B$7,IF(AH172="",Constants!$B$13,AH172),"")</f>
        <v/>
      </c>
      <c r="AQ172" s="59" t="str">
        <f aca="false">IF($AJ172=Constants!$B$7,IF(SUMPRODUCT(--($AL172:$AP172&gt;AL172))+SUMPRODUCT(--($AL172:AL172=AL172))=1,1,IF(SUMPRODUCT(--($AL172:$AP172&gt;AM172))+SUMPRODUCT(--($AL172:AM172=AM172))=1,2,IF(SUMPRODUCT(--($AL172:$AP172&gt;AN172))+SUMPRODUCT(--($AL172:AN172=AN172))=1,3,IF(SUMPRODUCT(--($AL172:$AP172&gt;AO172))+SUMPRODUCT(--($AL172:AO172=AO172))=1,4,5)))),"")</f>
        <v/>
      </c>
      <c r="AR172" s="59" t="str">
        <f aca="false">IF($AJ172=Constants!$B$7,IF(SUMPRODUCT(--($AL172:$AP172&gt;AL172))+SUMPRODUCT(--($AL172:AL172=AL172))=2,1,IF(SUMPRODUCT(--($AL172:$AP172&gt;AM172))+SUMPRODUCT(--($AL172:AM172=AM172))=2,2,IF(SUMPRODUCT(--($AL172:$AP172&gt;AN172))+SUMPRODUCT(--($AL172:AN172=AN172))=2,3,IF(SUMPRODUCT(--($AL172:$AP172&gt;AO172))+SUMPRODUCT(--($AL172:AO172=AO172))=2,4,5)))),"")</f>
        <v/>
      </c>
      <c r="AS172" s="59" t="str">
        <f aca="false">IF($AJ172=Constants!$B$7,IF(SUMPRODUCT(--($AL172:$AP172&gt;AL172))+SUMPRODUCT(--($AL172:AL172=AL172))=3,1,IF(SUMPRODUCT(--($AL172:$AP172&gt;AM172))+SUMPRODUCT(--($AL172:AM172=AM172))=3,2,IF(SUMPRODUCT(--($AL172:$AP172&gt;AN172))+SUMPRODUCT(--($AL172:AN172=AN172))=3,3,IF(SUMPRODUCT(--($AL172:$AP172&gt;AO172))+SUMPRODUCT(--($AL172:AO172=AO172))=3,4,5)))),"")</f>
        <v/>
      </c>
      <c r="AT172" s="59" t="str">
        <f aca="false">IF($AJ172=Constants!$B$7,LARGE(AL172:AP172,1)+LARGE(AL172:AP172,2)+LARGE(AL172:AP172,3),"")</f>
        <v/>
      </c>
      <c r="AU172" s="59" t="str">
        <f aca="false">IF(ISBLANK($C172),"",IF($AJ172&lt;&gt;Constants!$B$7,$AJ172,AT172*W172))</f>
        <v/>
      </c>
      <c r="AV172" s="59" t="str">
        <f aca="false">IF(ISBLANK($C172),"",IF($AJ172=Constants!$B$7,IF(ISNUMBER(AU172),RANK(AU172,$AU$8:$AU$507),Constants!$B$14),$AJ172))</f>
        <v/>
      </c>
      <c r="AW172" s="59" t="str">
        <f aca="false">IF(ISBLANK($C172),"",IF($AJ172=Constants!$B$7,IF(ISNUMBER(AV172),COUNTIFS($AK$8:$AK$507,"&lt;"&amp;$AK172)+COUNTIFS($AK$8:$AK$507,$AK172,$AV$8:$AV$507,"&lt;"&amp;$AV172)+1,Constants!$B$14),$AJ172))</f>
        <v/>
      </c>
      <c r="AX172" s="59" t="str">
        <f aca="false">IF(ISBLANK($C172),"",IF($AJ172=Constants!$B$7,LARGE(AL172:AP172,4)*W172,""))</f>
        <v/>
      </c>
      <c r="AY172" s="59" t="str">
        <f aca="false">IF(ISBLANK($C172),"",IF($AJ172=Constants!$B$7,RANK(AX172,$AX$8:$AX$507),$AJ172))</f>
        <v/>
      </c>
      <c r="AZ172" s="59" t="str">
        <f aca="false">IF(ISBLANK($C172),"",IF($AJ172=Constants!$B$7,IF(ISNUMBER(AV172),COUNTIFS($AK$8:$AK$507,"&lt;"&amp;$AK172)+COUNTIFS($AK$8:$AK$507,$AK172,$AV$8:$AV$507,"&lt;"&amp;$AV172)+COUNTIFS($AK$8:$AK$507,$AK172,$AV$8:$AV$507,$AV172,$AY$8:$AY$507,"&lt;"&amp;$AY172)+1,Constants!$B$14),$AJ172))</f>
        <v/>
      </c>
      <c r="BA172" s="59" t="str">
        <f aca="false">IF(ISBLANK($C172),"",IF($AJ172=Constants!$B$7,IF(ISNUMBER(AW172),AW172-AZ172,Constants!$B$14),$AJ172))</f>
        <v/>
      </c>
      <c r="BB172" s="61"/>
      <c r="BC172" s="62" t="str">
        <f aca="false">IF(ISBLANK($C172),"",IF($AJ172&lt;&gt;Constants!$B$7,$AJ172,SMALL(AQ172:AS172,1)&amp;", "&amp;SMALL(AQ172:AS172,2)&amp;", "&amp;SMALL(AQ172:AS172,3)))</f>
        <v/>
      </c>
      <c r="BD172" s="63" t="str">
        <f aca="false">IF(ISBLANK($C172),"",IF($AJ172&lt;&gt;Constants!$B$7,$AJ172,W172))</f>
        <v/>
      </c>
      <c r="BE172" s="64" t="str">
        <f aca="false">IF(ISBLANK($C172),"",IF($AJ172&lt;&gt;Constants!$B$7,$AJ172,AU172))</f>
        <v/>
      </c>
      <c r="BF172" s="65" t="str">
        <f aca="false">IF(ISBLANK($C172),"",IF($AJ172&lt;&gt;Constants!$B$7,$AJ172,AK172))</f>
        <v/>
      </c>
      <c r="BG172" s="63" t="str">
        <f aca="false">IF(ISBLANK($C172),"",BA172)</f>
        <v/>
      </c>
      <c r="BH172" s="63" t="str">
        <f aca="false">IF(ISBLANK($C172),"",AZ172)</f>
        <v/>
      </c>
      <c r="BI172" s="66" t="str">
        <f aca="false">IF(ISBLANK($C172),"",IF(BH172=Constants!$B$4,COUNTA($C$8:$C$507)+2,IF(BH172=Constants!$B$5,COUNTA($C$8:$C$507)+1,IF(BH172=Constants!$B$6,COUNTA($C$8:$C$507),BH172))))</f>
        <v/>
      </c>
      <c r="BJ172" s="5"/>
      <c r="BK172" s="67" t="n">
        <f aca="false">IF(OR(ISNUMBER(BH172),BH172=Constants!$B$4,BH172=Constants!$B$6,BH172=Constants!$B$5),1,0)</f>
        <v>0</v>
      </c>
      <c r="BL172" s="67" t="n">
        <v>165</v>
      </c>
      <c r="BM172" s="67" t="str">
        <f aca="false">IF(ISBLANK($C172),"",IF(ISNUMBER(BI172),BI172+ROW($B172)/1000,""))</f>
        <v/>
      </c>
      <c r="BN172" s="67" t="str">
        <f aca="false">IF(ISNUMBER(BM172),RANK(BM172,$BM$8:$BM$507,1),"")</f>
        <v/>
      </c>
      <c r="BO172" s="67" t="str">
        <f aca="false">IF(ISBLANK($C172),"",$B172)</f>
        <v/>
      </c>
      <c r="BP172" s="67" t="str">
        <f aca="false">IF(ISBLANK($C172),"",$C172)</f>
        <v/>
      </c>
      <c r="BQ172" s="67" t="str">
        <f aca="false">IF(ISBLANK($C172),"",$D172)</f>
        <v/>
      </c>
      <c r="BR172" s="68" t="str">
        <f aca="false">BF172</f>
        <v/>
      </c>
      <c r="BS172" s="69" t="str">
        <f aca="false">BE172</f>
        <v/>
      </c>
      <c r="BT172" s="67" t="str">
        <f aca="false">IF(ISBLANK($C172),"",BH172)</f>
        <v/>
      </c>
      <c r="BU172" s="70" t="str">
        <f aca="false">IF($BL172&gt;$BK$7,"",VLOOKUP($BL172,$BN$8:$BT$507,7,FALSE()))</f>
        <v/>
      </c>
      <c r="BV172" s="71" t="str">
        <f aca="false">IF($BL172&gt;$BK$7,"",VLOOKUP($BL172,$BN$8:$BT$507,2,FALSE()))</f>
        <v/>
      </c>
      <c r="BW172" s="71" t="str">
        <f aca="false">IF($BL172&gt;$BK$7,"",VLOOKUP($BL172,$BN$8:$BT$507,3,FALSE()))</f>
        <v/>
      </c>
      <c r="BX172" s="71" t="str">
        <f aca="false">IF($BL172&gt;$BK$7,"",VLOOKUP($BL172,$BN$8:$BT$507,4,FALSE()))</f>
        <v/>
      </c>
      <c r="BY172" s="71" t="str">
        <f aca="false">IF($BL172&gt;$BK$7,"",VLOOKUP($BL172,$BN$8:$BT$507,5,FALSE()))</f>
        <v/>
      </c>
      <c r="BZ172" s="72" t="str">
        <f aca="false">IF($BL172&gt;$BK$7,"",VLOOKUP($BL172,$BN$8:$BT$507,6,FALSE()))</f>
        <v/>
      </c>
      <c r="CA172" s="48"/>
    </row>
    <row r="173" customFormat="false" ht="15.75" hidden="false" customHeight="false" outlineLevel="0" collapsed="false">
      <c r="A173" s="5"/>
      <c r="B173" s="114"/>
      <c r="C173" s="115"/>
      <c r="D173" s="100"/>
      <c r="E173" s="120"/>
      <c r="F173" s="125"/>
      <c r="G173" s="82"/>
      <c r="H173" s="126"/>
      <c r="I173" s="127"/>
      <c r="J173" s="82"/>
      <c r="K173" s="126"/>
      <c r="L173" s="82"/>
      <c r="M173" s="126"/>
      <c r="N173" s="82"/>
      <c r="O173" s="126"/>
      <c r="P173" s="82"/>
      <c r="Q173" s="126"/>
      <c r="R173" s="82"/>
      <c r="S173" s="120"/>
      <c r="T173" s="86"/>
      <c r="U173" s="87" t="str">
        <f aca="false">IF(ISBLANK($C173),"",IF(E173=Constants!$B$2, TRUE(), IF(E173=Constants!$B$3, FALSE(), TRUE())))</f>
        <v/>
      </c>
      <c r="V173" s="87" t="str">
        <f aca="false">IF(ISBLANK($C173),"",IF(F173=Constants!$B$2, TRUE(), IF(F173=Constants!$B$3, FALSE(), TRUE())))</f>
        <v/>
      </c>
      <c r="W173" s="87" t="str">
        <f aca="false">IF(ISBLANK($C173),"",IF(G173=Constants!$B$15,Constants!$B$8,IF(G173=Constants!$B$16,Constants!$B$9,Constants!$B$10)))</f>
        <v/>
      </c>
      <c r="X173" s="87" t="str">
        <f aca="false">IF(ISBLANK($C173),"",IF(H173=Constants!$B$2, TRUE(), IF(H173=Constants!$B$3, FALSE(), TRUE())))</f>
        <v/>
      </c>
      <c r="Y173" s="87" t="str">
        <f aca="false">IF(ISBLANK($C173),"",IF(I173=Constants!$B$19,Constants!$B$19,Constants!$B$18))</f>
        <v/>
      </c>
      <c r="Z173" s="87" t="str">
        <f aca="false">IF(ISBLANK($C173),"",IF(ISNUMBER(J173),IF(J173&gt;=0,J173,""),""))</f>
        <v/>
      </c>
      <c r="AA173" s="87" t="str">
        <f aca="false">IF(ISBLANK($C173),"",IF(K173=Constants!$B$19,Constants!$B$19,Constants!$B$18))</f>
        <v/>
      </c>
      <c r="AB173" s="87" t="str">
        <f aca="false">IF(ISBLANK($C173),"",IF(ISNUMBER(L173),IF(L173&gt;=0,L173,""),""))</f>
        <v/>
      </c>
      <c r="AC173" s="87" t="str">
        <f aca="false">IF(ISBLANK($C173),"",IF(M173=Constants!$B$19,Constants!$B$19,Constants!$B$18))</f>
        <v/>
      </c>
      <c r="AD173" s="87" t="str">
        <f aca="false">IF(ISBLANK($C173),"",IF(ISNUMBER(N173),IF(N173&gt;=0,N173,""),""))</f>
        <v/>
      </c>
      <c r="AE173" s="87" t="str">
        <f aca="false">IF(ISBLANK($C173),"",IF(O173=Constants!$B$19,Constants!$B$19,Constants!$B$18))</f>
        <v/>
      </c>
      <c r="AF173" s="87" t="str">
        <f aca="false">IF(ISBLANK($C173),"",IF(ISNUMBER(P173),IF(P173&gt;=0,P173,""),""))</f>
        <v/>
      </c>
      <c r="AG173" s="87" t="str">
        <f aca="false">IF(ISBLANK($C173),"",IF(Q173=Constants!$B$19,Constants!$B$19,Constants!$B$18))</f>
        <v/>
      </c>
      <c r="AH173" s="87" t="str">
        <f aca="false">IF(ISBLANK($C173),"",IF(ISNUMBER(R173),IF(R173&gt;=0,R173,""),""))</f>
        <v/>
      </c>
      <c r="AI173" s="87" t="str">
        <f aca="false">IF(ISBLANK($C173),"",IF(S173=Constants!$B$2, TRUE(), IF(S173=Constants!$B$3, FALSE(), FALSE())))</f>
        <v/>
      </c>
      <c r="AJ173" s="87" t="str">
        <f aca="false">IF(ISBLANK($C173),"",IF(AI173,Constants!$B$4,IF(COUNTA(E173:R173)=0,Constants!$B$5,IF(COUNTA(J173,L173,N173,P173,R173)=0,Constants!$B$6,Constants!$B$7))))</f>
        <v/>
      </c>
      <c r="AK173" s="87" t="str">
        <f aca="false">IF(ISBLANK($C173),"",IF($AJ173&lt;&gt;Constants!$B$7,$AJ173,IF(OR(NOT(X173),AND(NOT(U173),COUNTIFS(Y173:AG173,Constants!$B$18,Z173:AH173,"&gt;=0")&gt;0),AND(NOT(V173),COUNTIFS(Y173:AG173,Constants!$B$19,Z173:AH173,"&gt;=0")&gt;0)),Constants!$B$12,Constants!$B$11)))</f>
        <v/>
      </c>
      <c r="AL173" s="87" t="str">
        <f aca="false">IF($AJ173=Constants!$B$7,IF(Z173="",Constants!$B$13,Z173),"")</f>
        <v/>
      </c>
      <c r="AM173" s="87" t="str">
        <f aca="false">IF($AJ173=Constants!$B$7,IF(AB173="",Constants!$B$13,AB173),"")</f>
        <v/>
      </c>
      <c r="AN173" s="87" t="str">
        <f aca="false">IF($AJ173=Constants!$B$7,IF(AD173="",Constants!$B$13,AD173),"")</f>
        <v/>
      </c>
      <c r="AO173" s="87" t="str">
        <f aca="false">IF($AJ173=Constants!$B$7,IF(AF173="",Constants!$B$13,AF173),"")</f>
        <v/>
      </c>
      <c r="AP173" s="87" t="str">
        <f aca="false">IF($AJ173=Constants!$B$7,IF(AH173="",Constants!$B$13,AH173),"")</f>
        <v/>
      </c>
      <c r="AQ173" s="87" t="str">
        <f aca="false">IF($AJ173=Constants!$B$7,IF(SUMPRODUCT(--($AL173:$AP173&gt;AL173))+SUMPRODUCT(--($AL173:AL173=AL173))=1,1,IF(SUMPRODUCT(--($AL173:$AP173&gt;AM173))+SUMPRODUCT(--($AL173:AM173=AM173))=1,2,IF(SUMPRODUCT(--($AL173:$AP173&gt;AN173))+SUMPRODUCT(--($AL173:AN173=AN173))=1,3,IF(SUMPRODUCT(--($AL173:$AP173&gt;AO173))+SUMPRODUCT(--($AL173:AO173=AO173))=1,4,5)))),"")</f>
        <v/>
      </c>
      <c r="AR173" s="87" t="str">
        <f aca="false">IF($AJ173=Constants!$B$7,IF(SUMPRODUCT(--($AL173:$AP173&gt;AL173))+SUMPRODUCT(--($AL173:AL173=AL173))=2,1,IF(SUMPRODUCT(--($AL173:$AP173&gt;AM173))+SUMPRODUCT(--($AL173:AM173=AM173))=2,2,IF(SUMPRODUCT(--($AL173:$AP173&gt;AN173))+SUMPRODUCT(--($AL173:AN173=AN173))=2,3,IF(SUMPRODUCT(--($AL173:$AP173&gt;AO173))+SUMPRODUCT(--($AL173:AO173=AO173))=2,4,5)))),"")</f>
        <v/>
      </c>
      <c r="AS173" s="87" t="str">
        <f aca="false">IF($AJ173=Constants!$B$7,IF(SUMPRODUCT(--($AL173:$AP173&gt;AL173))+SUMPRODUCT(--($AL173:AL173=AL173))=3,1,IF(SUMPRODUCT(--($AL173:$AP173&gt;AM173))+SUMPRODUCT(--($AL173:AM173=AM173))=3,2,IF(SUMPRODUCT(--($AL173:$AP173&gt;AN173))+SUMPRODUCT(--($AL173:AN173=AN173))=3,3,IF(SUMPRODUCT(--($AL173:$AP173&gt;AO173))+SUMPRODUCT(--($AL173:AO173=AO173))=3,4,5)))),"")</f>
        <v/>
      </c>
      <c r="AT173" s="87" t="str">
        <f aca="false">IF($AJ173=Constants!$B$7,LARGE(AL173:AP173,1)+LARGE(AL173:AP173,2)+LARGE(AL173:AP173,3),"")</f>
        <v/>
      </c>
      <c r="AU173" s="87" t="str">
        <f aca="false">IF(ISBLANK($C173),"",IF($AJ173&lt;&gt;Constants!$B$7,$AJ173,AT173*W173))</f>
        <v/>
      </c>
      <c r="AV173" s="87" t="str">
        <f aca="false">IF(ISBLANK($C173),"",IF($AJ173=Constants!$B$7,IF(ISNUMBER(AU173),RANK(AU173,$AU$8:$AU$507),Constants!$B$14),$AJ173))</f>
        <v/>
      </c>
      <c r="AW173" s="87" t="str">
        <f aca="false">IF(ISBLANK($C173),"",IF($AJ173=Constants!$B$7,IF(ISNUMBER(AV173),COUNTIFS($AK$8:$AK$507,"&lt;"&amp;$AK173)+COUNTIFS($AK$8:$AK$507,$AK173,$AV$8:$AV$507,"&lt;"&amp;$AV173)+1,Constants!$B$14),$AJ173))</f>
        <v/>
      </c>
      <c r="AX173" s="87" t="str">
        <f aca="false">IF(ISBLANK($C173),"",IF($AJ173=Constants!$B$7,LARGE(AL173:AP173,4)*W173,""))</f>
        <v/>
      </c>
      <c r="AY173" s="87" t="str">
        <f aca="false">IF(ISBLANK($C173),"",IF($AJ173=Constants!$B$7,RANK(AX173,$AX$8:$AX$507),$AJ173))</f>
        <v/>
      </c>
      <c r="AZ173" s="87" t="str">
        <f aca="false">IF(ISBLANK($C173),"",IF($AJ173=Constants!$B$7,IF(ISNUMBER(AV173),COUNTIFS($AK$8:$AK$507,"&lt;"&amp;$AK173)+COUNTIFS($AK$8:$AK$507,$AK173,$AV$8:$AV$507,"&lt;"&amp;$AV173)+COUNTIFS($AK$8:$AK$507,$AK173,$AV$8:$AV$507,$AV173,$AY$8:$AY$507,"&lt;"&amp;$AY173)+1,Constants!$B$14),$AJ173))</f>
        <v/>
      </c>
      <c r="BA173" s="87" t="str">
        <f aca="false">IF(ISBLANK($C173),"",IF($AJ173=Constants!$B$7,IF(ISNUMBER(AW173),AW173-AZ173,Constants!$B$14),$AJ173))</f>
        <v/>
      </c>
      <c r="BB173" s="88"/>
      <c r="BC173" s="89" t="str">
        <f aca="false">IF(ISBLANK($C173),"",IF($AJ173&lt;&gt;Constants!$B$7,$AJ173,SMALL(AQ173:AS173,1)&amp;", "&amp;SMALL(AQ173:AS173,2)&amp;", "&amp;SMALL(AQ173:AS173,3)))</f>
        <v/>
      </c>
      <c r="BD173" s="90" t="str">
        <f aca="false">IF(ISBLANK($C173),"",IF($AJ173&lt;&gt;Constants!$B$7,$AJ173,W173))</f>
        <v/>
      </c>
      <c r="BE173" s="91" t="str">
        <f aca="false">IF(ISBLANK($C173),"",IF($AJ173&lt;&gt;Constants!$B$7,$AJ173,AU173))</f>
        <v/>
      </c>
      <c r="BF173" s="92" t="str">
        <f aca="false">IF(ISBLANK($C173),"",IF($AJ173&lt;&gt;Constants!$B$7,$AJ173,AK173))</f>
        <v/>
      </c>
      <c r="BG173" s="90" t="str">
        <f aca="false">IF(ISBLANK($C173),"",BA173)</f>
        <v/>
      </c>
      <c r="BH173" s="90" t="str">
        <f aca="false">IF(ISBLANK($C173),"",AZ173)</f>
        <v/>
      </c>
      <c r="BI173" s="93" t="str">
        <f aca="false">IF(ISBLANK($C173),"",IF(BH173=Constants!$B$4,COUNTA($C$8:$C$507)+2,IF(BH173=Constants!$B$5,COUNTA($C$8:$C$507)+1,IF(BH173=Constants!$B$6,COUNTA($C$8:$C$507),BH173))))</f>
        <v/>
      </c>
      <c r="BJ173" s="5"/>
      <c r="BK173" s="94" t="n">
        <f aca="false">IF(OR(ISNUMBER(BH173),BH173=Constants!$B$4,BH173=Constants!$B$6,BH173=Constants!$B$5),1,0)</f>
        <v>0</v>
      </c>
      <c r="BL173" s="94" t="n">
        <v>166</v>
      </c>
      <c r="BM173" s="94" t="str">
        <f aca="false">IF(ISBLANK($C173),"",IF(ISNUMBER(BI173),BI173+ROW($B173)/1000,""))</f>
        <v/>
      </c>
      <c r="BN173" s="94" t="str">
        <f aca="false">IF(ISNUMBER(BM173),RANK(BM173,$BM$8:$BM$507,1),"")</f>
        <v/>
      </c>
      <c r="BO173" s="94" t="str">
        <f aca="false">IF(ISBLANK($C173),"",$B173)</f>
        <v/>
      </c>
      <c r="BP173" s="94" t="str">
        <f aca="false">IF(ISBLANK($C173),"",$C173)</f>
        <v/>
      </c>
      <c r="BQ173" s="94" t="str">
        <f aca="false">IF(ISBLANK($C173),"",$D173)</f>
        <v/>
      </c>
      <c r="BR173" s="95" t="str">
        <f aca="false">BF173</f>
        <v/>
      </c>
      <c r="BS173" s="96" t="str">
        <f aca="false">BE173</f>
        <v/>
      </c>
      <c r="BT173" s="94" t="str">
        <f aca="false">IF(ISBLANK($C173),"",BH173)</f>
        <v/>
      </c>
      <c r="BU173" s="97" t="str">
        <f aca="false">IF($BL173&gt;$BK$7,"",VLOOKUP($BL173,$BN$8:$BT$507,7,FALSE()))</f>
        <v/>
      </c>
      <c r="BV173" s="98" t="str">
        <f aca="false">IF($BL173&gt;$BK$7,"",VLOOKUP($BL173,$BN$8:$BT$507,2,FALSE()))</f>
        <v/>
      </c>
      <c r="BW173" s="98" t="str">
        <f aca="false">IF($BL173&gt;$BK$7,"",VLOOKUP($BL173,$BN$8:$BT$507,3,FALSE()))</f>
        <v/>
      </c>
      <c r="BX173" s="98" t="str">
        <f aca="false">IF($BL173&gt;$BK$7,"",VLOOKUP($BL173,$BN$8:$BT$507,4,FALSE()))</f>
        <v/>
      </c>
      <c r="BY173" s="98" t="str">
        <f aca="false">IF($BL173&gt;$BK$7,"",VLOOKUP($BL173,$BN$8:$BT$507,5,FALSE()))</f>
        <v/>
      </c>
      <c r="BZ173" s="99" t="str">
        <f aca="false">IF($BL173&gt;$BK$7,"",VLOOKUP($BL173,$BN$8:$BT$507,6,FALSE()))</f>
        <v/>
      </c>
      <c r="CA173" s="48"/>
    </row>
    <row r="174" customFormat="false" ht="15.75" hidden="false" customHeight="false" outlineLevel="0" collapsed="false">
      <c r="A174" s="5"/>
      <c r="B174" s="114"/>
      <c r="C174" s="115"/>
      <c r="D174" s="100"/>
      <c r="E174" s="120"/>
      <c r="F174" s="125"/>
      <c r="G174" s="82"/>
      <c r="H174" s="126"/>
      <c r="I174" s="127"/>
      <c r="J174" s="82"/>
      <c r="K174" s="126"/>
      <c r="L174" s="82"/>
      <c r="M174" s="126"/>
      <c r="N174" s="82"/>
      <c r="O174" s="126"/>
      <c r="P174" s="82"/>
      <c r="Q174" s="126"/>
      <c r="R174" s="82"/>
      <c r="S174" s="120"/>
      <c r="T174" s="86"/>
      <c r="U174" s="87" t="str">
        <f aca="false">IF(ISBLANK($C174),"",IF(E174=Constants!$B$2, TRUE(), IF(E174=Constants!$B$3, FALSE(), TRUE())))</f>
        <v/>
      </c>
      <c r="V174" s="87" t="str">
        <f aca="false">IF(ISBLANK($C174),"",IF(F174=Constants!$B$2, TRUE(), IF(F174=Constants!$B$3, FALSE(), TRUE())))</f>
        <v/>
      </c>
      <c r="W174" s="87" t="str">
        <f aca="false">IF(ISBLANK($C174),"",IF(G174=Constants!$B$15,Constants!$B$8,IF(G174=Constants!$B$16,Constants!$B$9,Constants!$B$10)))</f>
        <v/>
      </c>
      <c r="X174" s="87" t="str">
        <f aca="false">IF(ISBLANK($C174),"",IF(H174=Constants!$B$2, TRUE(), IF(H174=Constants!$B$3, FALSE(), TRUE())))</f>
        <v/>
      </c>
      <c r="Y174" s="87" t="str">
        <f aca="false">IF(ISBLANK($C174),"",IF(I174=Constants!$B$19,Constants!$B$19,Constants!$B$18))</f>
        <v/>
      </c>
      <c r="Z174" s="87" t="str">
        <f aca="false">IF(ISBLANK($C174),"",IF(ISNUMBER(J174),IF(J174&gt;=0,J174,""),""))</f>
        <v/>
      </c>
      <c r="AA174" s="87" t="str">
        <f aca="false">IF(ISBLANK($C174),"",IF(K174=Constants!$B$19,Constants!$B$19,Constants!$B$18))</f>
        <v/>
      </c>
      <c r="AB174" s="87" t="str">
        <f aca="false">IF(ISBLANK($C174),"",IF(ISNUMBER(L174),IF(L174&gt;=0,L174,""),""))</f>
        <v/>
      </c>
      <c r="AC174" s="87" t="str">
        <f aca="false">IF(ISBLANK($C174),"",IF(M174=Constants!$B$19,Constants!$B$19,Constants!$B$18))</f>
        <v/>
      </c>
      <c r="AD174" s="87" t="str">
        <f aca="false">IF(ISBLANK($C174),"",IF(ISNUMBER(N174),IF(N174&gt;=0,N174,""),""))</f>
        <v/>
      </c>
      <c r="AE174" s="87" t="str">
        <f aca="false">IF(ISBLANK($C174),"",IF(O174=Constants!$B$19,Constants!$B$19,Constants!$B$18))</f>
        <v/>
      </c>
      <c r="AF174" s="87" t="str">
        <f aca="false">IF(ISBLANK($C174),"",IF(ISNUMBER(P174),IF(P174&gt;=0,P174,""),""))</f>
        <v/>
      </c>
      <c r="AG174" s="87" t="str">
        <f aca="false">IF(ISBLANK($C174),"",IF(Q174=Constants!$B$19,Constants!$B$19,Constants!$B$18))</f>
        <v/>
      </c>
      <c r="AH174" s="87" t="str">
        <f aca="false">IF(ISBLANK($C174),"",IF(ISNUMBER(R174),IF(R174&gt;=0,R174,""),""))</f>
        <v/>
      </c>
      <c r="AI174" s="87" t="str">
        <f aca="false">IF(ISBLANK($C174),"",IF(S174=Constants!$B$2, TRUE(), IF(S174=Constants!$B$3, FALSE(), FALSE())))</f>
        <v/>
      </c>
      <c r="AJ174" s="87" t="str">
        <f aca="false">IF(ISBLANK($C174),"",IF(AI174,Constants!$B$4,IF(COUNTA(E174:R174)=0,Constants!$B$5,IF(COUNTA(J174,L174,N174,P174,R174)=0,Constants!$B$6,Constants!$B$7))))</f>
        <v/>
      </c>
      <c r="AK174" s="87" t="str">
        <f aca="false">IF(ISBLANK($C174),"",IF($AJ174&lt;&gt;Constants!$B$7,$AJ174,IF(OR(NOT(X174),AND(NOT(U174),COUNTIFS(Y174:AG174,Constants!$B$18,Z174:AH174,"&gt;=0")&gt;0),AND(NOT(V174),COUNTIFS(Y174:AG174,Constants!$B$19,Z174:AH174,"&gt;=0")&gt;0)),Constants!$B$12,Constants!$B$11)))</f>
        <v/>
      </c>
      <c r="AL174" s="87" t="str">
        <f aca="false">IF($AJ174=Constants!$B$7,IF(Z174="",Constants!$B$13,Z174),"")</f>
        <v/>
      </c>
      <c r="AM174" s="87" t="str">
        <f aca="false">IF($AJ174=Constants!$B$7,IF(AB174="",Constants!$B$13,AB174),"")</f>
        <v/>
      </c>
      <c r="AN174" s="87" t="str">
        <f aca="false">IF($AJ174=Constants!$B$7,IF(AD174="",Constants!$B$13,AD174),"")</f>
        <v/>
      </c>
      <c r="AO174" s="87" t="str">
        <f aca="false">IF($AJ174=Constants!$B$7,IF(AF174="",Constants!$B$13,AF174),"")</f>
        <v/>
      </c>
      <c r="AP174" s="87" t="str">
        <f aca="false">IF($AJ174=Constants!$B$7,IF(AH174="",Constants!$B$13,AH174),"")</f>
        <v/>
      </c>
      <c r="AQ174" s="87" t="str">
        <f aca="false">IF($AJ174=Constants!$B$7,IF(SUMPRODUCT(--($AL174:$AP174&gt;AL174))+SUMPRODUCT(--($AL174:AL174=AL174))=1,1,IF(SUMPRODUCT(--($AL174:$AP174&gt;AM174))+SUMPRODUCT(--($AL174:AM174=AM174))=1,2,IF(SUMPRODUCT(--($AL174:$AP174&gt;AN174))+SUMPRODUCT(--($AL174:AN174=AN174))=1,3,IF(SUMPRODUCT(--($AL174:$AP174&gt;AO174))+SUMPRODUCT(--($AL174:AO174=AO174))=1,4,5)))),"")</f>
        <v/>
      </c>
      <c r="AR174" s="87" t="str">
        <f aca="false">IF($AJ174=Constants!$B$7,IF(SUMPRODUCT(--($AL174:$AP174&gt;AL174))+SUMPRODUCT(--($AL174:AL174=AL174))=2,1,IF(SUMPRODUCT(--($AL174:$AP174&gt;AM174))+SUMPRODUCT(--($AL174:AM174=AM174))=2,2,IF(SUMPRODUCT(--($AL174:$AP174&gt;AN174))+SUMPRODUCT(--($AL174:AN174=AN174))=2,3,IF(SUMPRODUCT(--($AL174:$AP174&gt;AO174))+SUMPRODUCT(--($AL174:AO174=AO174))=2,4,5)))),"")</f>
        <v/>
      </c>
      <c r="AS174" s="87" t="str">
        <f aca="false">IF($AJ174=Constants!$B$7,IF(SUMPRODUCT(--($AL174:$AP174&gt;AL174))+SUMPRODUCT(--($AL174:AL174=AL174))=3,1,IF(SUMPRODUCT(--($AL174:$AP174&gt;AM174))+SUMPRODUCT(--($AL174:AM174=AM174))=3,2,IF(SUMPRODUCT(--($AL174:$AP174&gt;AN174))+SUMPRODUCT(--($AL174:AN174=AN174))=3,3,IF(SUMPRODUCT(--($AL174:$AP174&gt;AO174))+SUMPRODUCT(--($AL174:AO174=AO174))=3,4,5)))),"")</f>
        <v/>
      </c>
      <c r="AT174" s="87" t="str">
        <f aca="false">IF($AJ174=Constants!$B$7,LARGE(AL174:AP174,1)+LARGE(AL174:AP174,2)+LARGE(AL174:AP174,3),"")</f>
        <v/>
      </c>
      <c r="AU174" s="87" t="str">
        <f aca="false">IF(ISBLANK($C174),"",IF($AJ174&lt;&gt;Constants!$B$7,$AJ174,AT174*W174))</f>
        <v/>
      </c>
      <c r="AV174" s="87" t="str">
        <f aca="false">IF(ISBLANK($C174),"",IF($AJ174=Constants!$B$7,IF(ISNUMBER(AU174),RANK(AU174,$AU$8:$AU$507),Constants!$B$14),$AJ174))</f>
        <v/>
      </c>
      <c r="AW174" s="87" t="str">
        <f aca="false">IF(ISBLANK($C174),"",IF($AJ174=Constants!$B$7,IF(ISNUMBER(AV174),COUNTIFS($AK$8:$AK$507,"&lt;"&amp;$AK174)+COUNTIFS($AK$8:$AK$507,$AK174,$AV$8:$AV$507,"&lt;"&amp;$AV174)+1,Constants!$B$14),$AJ174))</f>
        <v/>
      </c>
      <c r="AX174" s="87" t="str">
        <f aca="false">IF(ISBLANK($C174),"",IF($AJ174=Constants!$B$7,LARGE(AL174:AP174,4)*W174,""))</f>
        <v/>
      </c>
      <c r="AY174" s="87" t="str">
        <f aca="false">IF(ISBLANK($C174),"",IF($AJ174=Constants!$B$7,RANK(AX174,$AX$8:$AX$507),$AJ174))</f>
        <v/>
      </c>
      <c r="AZ174" s="87" t="str">
        <f aca="false">IF(ISBLANK($C174),"",IF($AJ174=Constants!$B$7,IF(ISNUMBER(AV174),COUNTIFS($AK$8:$AK$507,"&lt;"&amp;$AK174)+COUNTIFS($AK$8:$AK$507,$AK174,$AV$8:$AV$507,"&lt;"&amp;$AV174)+COUNTIFS($AK$8:$AK$507,$AK174,$AV$8:$AV$507,$AV174,$AY$8:$AY$507,"&lt;"&amp;$AY174)+1,Constants!$B$14),$AJ174))</f>
        <v/>
      </c>
      <c r="BA174" s="87" t="str">
        <f aca="false">IF(ISBLANK($C174),"",IF($AJ174=Constants!$B$7,IF(ISNUMBER(AW174),AW174-AZ174,Constants!$B$14),$AJ174))</f>
        <v/>
      </c>
      <c r="BB174" s="88"/>
      <c r="BC174" s="89" t="str">
        <f aca="false">IF(ISBLANK($C174),"",IF($AJ174&lt;&gt;Constants!$B$7,$AJ174,SMALL(AQ174:AS174,1)&amp;", "&amp;SMALL(AQ174:AS174,2)&amp;", "&amp;SMALL(AQ174:AS174,3)))</f>
        <v/>
      </c>
      <c r="BD174" s="90" t="str">
        <f aca="false">IF(ISBLANK($C174),"",IF($AJ174&lt;&gt;Constants!$B$7,$AJ174,W174))</f>
        <v/>
      </c>
      <c r="BE174" s="91" t="str">
        <f aca="false">IF(ISBLANK($C174),"",IF($AJ174&lt;&gt;Constants!$B$7,$AJ174,AU174))</f>
        <v/>
      </c>
      <c r="BF174" s="92" t="str">
        <f aca="false">IF(ISBLANK($C174),"",IF($AJ174&lt;&gt;Constants!$B$7,$AJ174,AK174))</f>
        <v/>
      </c>
      <c r="BG174" s="90" t="str">
        <f aca="false">IF(ISBLANK($C174),"",BA174)</f>
        <v/>
      </c>
      <c r="BH174" s="90" t="str">
        <f aca="false">IF(ISBLANK($C174),"",AZ174)</f>
        <v/>
      </c>
      <c r="BI174" s="93" t="str">
        <f aca="false">IF(ISBLANK($C174),"",IF(BH174=Constants!$B$4,COUNTA($C$8:$C$507)+2,IF(BH174=Constants!$B$5,COUNTA($C$8:$C$507)+1,IF(BH174=Constants!$B$6,COUNTA($C$8:$C$507),BH174))))</f>
        <v/>
      </c>
      <c r="BJ174" s="5"/>
      <c r="BK174" s="94" t="n">
        <f aca="false">IF(OR(ISNUMBER(BH174),BH174=Constants!$B$4,BH174=Constants!$B$6,BH174=Constants!$B$5),1,0)</f>
        <v>0</v>
      </c>
      <c r="BL174" s="94" t="n">
        <v>167</v>
      </c>
      <c r="BM174" s="94" t="str">
        <f aca="false">IF(ISBLANK($C174),"",IF(ISNUMBER(BI174),BI174+ROW($B174)/1000,""))</f>
        <v/>
      </c>
      <c r="BN174" s="94" t="str">
        <f aca="false">IF(ISNUMBER(BM174),RANK(BM174,$BM$8:$BM$507,1),"")</f>
        <v/>
      </c>
      <c r="BO174" s="94" t="str">
        <f aca="false">IF(ISBLANK($C174),"",$B174)</f>
        <v/>
      </c>
      <c r="BP174" s="94" t="str">
        <f aca="false">IF(ISBLANK($C174),"",$C174)</f>
        <v/>
      </c>
      <c r="BQ174" s="94" t="str">
        <f aca="false">IF(ISBLANK($C174),"",$D174)</f>
        <v/>
      </c>
      <c r="BR174" s="95" t="str">
        <f aca="false">BF174</f>
        <v/>
      </c>
      <c r="BS174" s="96" t="str">
        <f aca="false">BE174</f>
        <v/>
      </c>
      <c r="BT174" s="94" t="str">
        <f aca="false">IF(ISBLANK($C174),"",BH174)</f>
        <v/>
      </c>
      <c r="BU174" s="97" t="str">
        <f aca="false">IF($BL174&gt;$BK$7,"",VLOOKUP($BL174,$BN$8:$BT$507,7,FALSE()))</f>
        <v/>
      </c>
      <c r="BV174" s="98" t="str">
        <f aca="false">IF($BL174&gt;$BK$7,"",VLOOKUP($BL174,$BN$8:$BT$507,2,FALSE()))</f>
        <v/>
      </c>
      <c r="BW174" s="98" t="str">
        <f aca="false">IF($BL174&gt;$BK$7,"",VLOOKUP($BL174,$BN$8:$BT$507,3,FALSE()))</f>
        <v/>
      </c>
      <c r="BX174" s="98" t="str">
        <f aca="false">IF($BL174&gt;$BK$7,"",VLOOKUP($BL174,$BN$8:$BT$507,4,FALSE()))</f>
        <v/>
      </c>
      <c r="BY174" s="98" t="str">
        <f aca="false">IF($BL174&gt;$BK$7,"",VLOOKUP($BL174,$BN$8:$BT$507,5,FALSE()))</f>
        <v/>
      </c>
      <c r="BZ174" s="99" t="str">
        <f aca="false">IF($BL174&gt;$BK$7,"",VLOOKUP($BL174,$BN$8:$BT$507,6,FALSE()))</f>
        <v/>
      </c>
      <c r="CA174" s="48"/>
    </row>
    <row r="175" customFormat="false" ht="15.75" hidden="false" customHeight="false" outlineLevel="0" collapsed="false">
      <c r="A175" s="5"/>
      <c r="B175" s="114"/>
      <c r="C175" s="115"/>
      <c r="D175" s="100"/>
      <c r="E175" s="120"/>
      <c r="F175" s="125"/>
      <c r="G175" s="82"/>
      <c r="H175" s="126"/>
      <c r="I175" s="127"/>
      <c r="J175" s="82"/>
      <c r="K175" s="126"/>
      <c r="L175" s="82"/>
      <c r="M175" s="126"/>
      <c r="N175" s="82"/>
      <c r="O175" s="126"/>
      <c r="P175" s="82"/>
      <c r="Q175" s="126"/>
      <c r="R175" s="82"/>
      <c r="S175" s="120"/>
      <c r="T175" s="86"/>
      <c r="U175" s="87" t="str">
        <f aca="false">IF(ISBLANK($C175),"",IF(E175=Constants!$B$2, TRUE(), IF(E175=Constants!$B$3, FALSE(), TRUE())))</f>
        <v/>
      </c>
      <c r="V175" s="87" t="str">
        <f aca="false">IF(ISBLANK($C175),"",IF(F175=Constants!$B$2, TRUE(), IF(F175=Constants!$B$3, FALSE(), TRUE())))</f>
        <v/>
      </c>
      <c r="W175" s="87" t="str">
        <f aca="false">IF(ISBLANK($C175),"",IF(G175=Constants!$B$15,Constants!$B$8,IF(G175=Constants!$B$16,Constants!$B$9,Constants!$B$10)))</f>
        <v/>
      </c>
      <c r="X175" s="87" t="str">
        <f aca="false">IF(ISBLANK($C175),"",IF(H175=Constants!$B$2, TRUE(), IF(H175=Constants!$B$3, FALSE(), TRUE())))</f>
        <v/>
      </c>
      <c r="Y175" s="87" t="str">
        <f aca="false">IF(ISBLANK($C175),"",IF(I175=Constants!$B$19,Constants!$B$19,Constants!$B$18))</f>
        <v/>
      </c>
      <c r="Z175" s="87" t="str">
        <f aca="false">IF(ISBLANK($C175),"",IF(ISNUMBER(J175),IF(J175&gt;=0,J175,""),""))</f>
        <v/>
      </c>
      <c r="AA175" s="87" t="str">
        <f aca="false">IF(ISBLANK($C175),"",IF(K175=Constants!$B$19,Constants!$B$19,Constants!$B$18))</f>
        <v/>
      </c>
      <c r="AB175" s="87" t="str">
        <f aca="false">IF(ISBLANK($C175),"",IF(ISNUMBER(L175),IF(L175&gt;=0,L175,""),""))</f>
        <v/>
      </c>
      <c r="AC175" s="87" t="str">
        <f aca="false">IF(ISBLANK($C175),"",IF(M175=Constants!$B$19,Constants!$B$19,Constants!$B$18))</f>
        <v/>
      </c>
      <c r="AD175" s="87" t="str">
        <f aca="false">IF(ISBLANK($C175),"",IF(ISNUMBER(N175),IF(N175&gt;=0,N175,""),""))</f>
        <v/>
      </c>
      <c r="AE175" s="87" t="str">
        <f aca="false">IF(ISBLANK($C175),"",IF(O175=Constants!$B$19,Constants!$B$19,Constants!$B$18))</f>
        <v/>
      </c>
      <c r="AF175" s="87" t="str">
        <f aca="false">IF(ISBLANK($C175),"",IF(ISNUMBER(P175),IF(P175&gt;=0,P175,""),""))</f>
        <v/>
      </c>
      <c r="AG175" s="87" t="str">
        <f aca="false">IF(ISBLANK($C175),"",IF(Q175=Constants!$B$19,Constants!$B$19,Constants!$B$18))</f>
        <v/>
      </c>
      <c r="AH175" s="87" t="str">
        <f aca="false">IF(ISBLANK($C175),"",IF(ISNUMBER(R175),IF(R175&gt;=0,R175,""),""))</f>
        <v/>
      </c>
      <c r="AI175" s="87" t="str">
        <f aca="false">IF(ISBLANK($C175),"",IF(S175=Constants!$B$2, TRUE(), IF(S175=Constants!$B$3, FALSE(), FALSE())))</f>
        <v/>
      </c>
      <c r="AJ175" s="87" t="str">
        <f aca="false">IF(ISBLANK($C175),"",IF(AI175,Constants!$B$4,IF(COUNTA(E175:R175)=0,Constants!$B$5,IF(COUNTA(J175,L175,N175,P175,R175)=0,Constants!$B$6,Constants!$B$7))))</f>
        <v/>
      </c>
      <c r="AK175" s="87" t="str">
        <f aca="false">IF(ISBLANK($C175),"",IF($AJ175&lt;&gt;Constants!$B$7,$AJ175,IF(OR(NOT(X175),AND(NOT(U175),COUNTIFS(Y175:AG175,Constants!$B$18,Z175:AH175,"&gt;=0")&gt;0),AND(NOT(V175),COUNTIFS(Y175:AG175,Constants!$B$19,Z175:AH175,"&gt;=0")&gt;0)),Constants!$B$12,Constants!$B$11)))</f>
        <v/>
      </c>
      <c r="AL175" s="87" t="str">
        <f aca="false">IF($AJ175=Constants!$B$7,IF(Z175="",Constants!$B$13,Z175),"")</f>
        <v/>
      </c>
      <c r="AM175" s="87" t="str">
        <f aca="false">IF($AJ175=Constants!$B$7,IF(AB175="",Constants!$B$13,AB175),"")</f>
        <v/>
      </c>
      <c r="AN175" s="87" t="str">
        <f aca="false">IF($AJ175=Constants!$B$7,IF(AD175="",Constants!$B$13,AD175),"")</f>
        <v/>
      </c>
      <c r="AO175" s="87" t="str">
        <f aca="false">IF($AJ175=Constants!$B$7,IF(AF175="",Constants!$B$13,AF175),"")</f>
        <v/>
      </c>
      <c r="AP175" s="87" t="str">
        <f aca="false">IF($AJ175=Constants!$B$7,IF(AH175="",Constants!$B$13,AH175),"")</f>
        <v/>
      </c>
      <c r="AQ175" s="87" t="str">
        <f aca="false">IF($AJ175=Constants!$B$7,IF(SUMPRODUCT(--($AL175:$AP175&gt;AL175))+SUMPRODUCT(--($AL175:AL175=AL175))=1,1,IF(SUMPRODUCT(--($AL175:$AP175&gt;AM175))+SUMPRODUCT(--($AL175:AM175=AM175))=1,2,IF(SUMPRODUCT(--($AL175:$AP175&gt;AN175))+SUMPRODUCT(--($AL175:AN175=AN175))=1,3,IF(SUMPRODUCT(--($AL175:$AP175&gt;AO175))+SUMPRODUCT(--($AL175:AO175=AO175))=1,4,5)))),"")</f>
        <v/>
      </c>
      <c r="AR175" s="87" t="str">
        <f aca="false">IF($AJ175=Constants!$B$7,IF(SUMPRODUCT(--($AL175:$AP175&gt;AL175))+SUMPRODUCT(--($AL175:AL175=AL175))=2,1,IF(SUMPRODUCT(--($AL175:$AP175&gt;AM175))+SUMPRODUCT(--($AL175:AM175=AM175))=2,2,IF(SUMPRODUCT(--($AL175:$AP175&gt;AN175))+SUMPRODUCT(--($AL175:AN175=AN175))=2,3,IF(SUMPRODUCT(--($AL175:$AP175&gt;AO175))+SUMPRODUCT(--($AL175:AO175=AO175))=2,4,5)))),"")</f>
        <v/>
      </c>
      <c r="AS175" s="87" t="str">
        <f aca="false">IF($AJ175=Constants!$B$7,IF(SUMPRODUCT(--($AL175:$AP175&gt;AL175))+SUMPRODUCT(--($AL175:AL175=AL175))=3,1,IF(SUMPRODUCT(--($AL175:$AP175&gt;AM175))+SUMPRODUCT(--($AL175:AM175=AM175))=3,2,IF(SUMPRODUCT(--($AL175:$AP175&gt;AN175))+SUMPRODUCT(--($AL175:AN175=AN175))=3,3,IF(SUMPRODUCT(--($AL175:$AP175&gt;AO175))+SUMPRODUCT(--($AL175:AO175=AO175))=3,4,5)))),"")</f>
        <v/>
      </c>
      <c r="AT175" s="87" t="str">
        <f aca="false">IF($AJ175=Constants!$B$7,LARGE(AL175:AP175,1)+LARGE(AL175:AP175,2)+LARGE(AL175:AP175,3),"")</f>
        <v/>
      </c>
      <c r="AU175" s="87" t="str">
        <f aca="false">IF(ISBLANK($C175),"",IF($AJ175&lt;&gt;Constants!$B$7,$AJ175,AT175*W175))</f>
        <v/>
      </c>
      <c r="AV175" s="87" t="str">
        <f aca="false">IF(ISBLANK($C175),"",IF($AJ175=Constants!$B$7,IF(ISNUMBER(AU175),RANK(AU175,$AU$8:$AU$507),Constants!$B$14),$AJ175))</f>
        <v/>
      </c>
      <c r="AW175" s="87" t="str">
        <f aca="false">IF(ISBLANK($C175),"",IF($AJ175=Constants!$B$7,IF(ISNUMBER(AV175),COUNTIFS($AK$8:$AK$507,"&lt;"&amp;$AK175)+COUNTIFS($AK$8:$AK$507,$AK175,$AV$8:$AV$507,"&lt;"&amp;$AV175)+1,Constants!$B$14),$AJ175))</f>
        <v/>
      </c>
      <c r="AX175" s="87" t="str">
        <f aca="false">IF(ISBLANK($C175),"",IF($AJ175=Constants!$B$7,LARGE(AL175:AP175,4)*W175,""))</f>
        <v/>
      </c>
      <c r="AY175" s="87" t="str">
        <f aca="false">IF(ISBLANK($C175),"",IF($AJ175=Constants!$B$7,RANK(AX175,$AX$8:$AX$507),$AJ175))</f>
        <v/>
      </c>
      <c r="AZ175" s="87" t="str">
        <f aca="false">IF(ISBLANK($C175),"",IF($AJ175=Constants!$B$7,IF(ISNUMBER(AV175),COUNTIFS($AK$8:$AK$507,"&lt;"&amp;$AK175)+COUNTIFS($AK$8:$AK$507,$AK175,$AV$8:$AV$507,"&lt;"&amp;$AV175)+COUNTIFS($AK$8:$AK$507,$AK175,$AV$8:$AV$507,$AV175,$AY$8:$AY$507,"&lt;"&amp;$AY175)+1,Constants!$B$14),$AJ175))</f>
        <v/>
      </c>
      <c r="BA175" s="87" t="str">
        <f aca="false">IF(ISBLANK($C175),"",IF($AJ175=Constants!$B$7,IF(ISNUMBER(AW175),AW175-AZ175,Constants!$B$14),$AJ175))</f>
        <v/>
      </c>
      <c r="BB175" s="88"/>
      <c r="BC175" s="89" t="str">
        <f aca="false">IF(ISBLANK($C175),"",IF($AJ175&lt;&gt;Constants!$B$7,$AJ175,SMALL(AQ175:AS175,1)&amp;", "&amp;SMALL(AQ175:AS175,2)&amp;", "&amp;SMALL(AQ175:AS175,3)))</f>
        <v/>
      </c>
      <c r="BD175" s="90" t="str">
        <f aca="false">IF(ISBLANK($C175),"",IF($AJ175&lt;&gt;Constants!$B$7,$AJ175,W175))</f>
        <v/>
      </c>
      <c r="BE175" s="91" t="str">
        <f aca="false">IF(ISBLANK($C175),"",IF($AJ175&lt;&gt;Constants!$B$7,$AJ175,AU175))</f>
        <v/>
      </c>
      <c r="BF175" s="92" t="str">
        <f aca="false">IF(ISBLANK($C175),"",IF($AJ175&lt;&gt;Constants!$B$7,$AJ175,AK175))</f>
        <v/>
      </c>
      <c r="BG175" s="90" t="str">
        <f aca="false">IF(ISBLANK($C175),"",BA175)</f>
        <v/>
      </c>
      <c r="BH175" s="90" t="str">
        <f aca="false">IF(ISBLANK($C175),"",AZ175)</f>
        <v/>
      </c>
      <c r="BI175" s="93" t="str">
        <f aca="false">IF(ISBLANK($C175),"",IF(BH175=Constants!$B$4,COUNTA($C$8:$C$507)+2,IF(BH175=Constants!$B$5,COUNTA($C$8:$C$507)+1,IF(BH175=Constants!$B$6,COUNTA($C$8:$C$507),BH175))))</f>
        <v/>
      </c>
      <c r="BJ175" s="5"/>
      <c r="BK175" s="94" t="n">
        <f aca="false">IF(OR(ISNUMBER(BH175),BH175=Constants!$B$4,BH175=Constants!$B$6,BH175=Constants!$B$5),1,0)</f>
        <v>0</v>
      </c>
      <c r="BL175" s="94" t="n">
        <v>168</v>
      </c>
      <c r="BM175" s="94" t="str">
        <f aca="false">IF(ISBLANK($C175),"",IF(ISNUMBER(BI175),BI175+ROW($B175)/1000,""))</f>
        <v/>
      </c>
      <c r="BN175" s="94" t="str">
        <f aca="false">IF(ISNUMBER(BM175),RANK(BM175,$BM$8:$BM$507,1),"")</f>
        <v/>
      </c>
      <c r="BO175" s="94" t="str">
        <f aca="false">IF(ISBLANK($C175),"",$B175)</f>
        <v/>
      </c>
      <c r="BP175" s="94" t="str">
        <f aca="false">IF(ISBLANK($C175),"",$C175)</f>
        <v/>
      </c>
      <c r="BQ175" s="94" t="str">
        <f aca="false">IF(ISBLANK($C175),"",$D175)</f>
        <v/>
      </c>
      <c r="BR175" s="95" t="str">
        <f aca="false">BF175</f>
        <v/>
      </c>
      <c r="BS175" s="96" t="str">
        <f aca="false">BE175</f>
        <v/>
      </c>
      <c r="BT175" s="94" t="str">
        <f aca="false">IF(ISBLANK($C175),"",BH175)</f>
        <v/>
      </c>
      <c r="BU175" s="97" t="str">
        <f aca="false">IF($BL175&gt;$BK$7,"",VLOOKUP($BL175,$BN$8:$BT$507,7,FALSE()))</f>
        <v/>
      </c>
      <c r="BV175" s="98" t="str">
        <f aca="false">IF($BL175&gt;$BK$7,"",VLOOKUP($BL175,$BN$8:$BT$507,2,FALSE()))</f>
        <v/>
      </c>
      <c r="BW175" s="98" t="str">
        <f aca="false">IF($BL175&gt;$BK$7,"",VLOOKUP($BL175,$BN$8:$BT$507,3,FALSE()))</f>
        <v/>
      </c>
      <c r="BX175" s="98" t="str">
        <f aca="false">IF($BL175&gt;$BK$7,"",VLOOKUP($BL175,$BN$8:$BT$507,4,FALSE()))</f>
        <v/>
      </c>
      <c r="BY175" s="98" t="str">
        <f aca="false">IF($BL175&gt;$BK$7,"",VLOOKUP($BL175,$BN$8:$BT$507,5,FALSE()))</f>
        <v/>
      </c>
      <c r="BZ175" s="99" t="str">
        <f aca="false">IF($BL175&gt;$BK$7,"",VLOOKUP($BL175,$BN$8:$BT$507,6,FALSE()))</f>
        <v/>
      </c>
      <c r="CA175" s="48"/>
    </row>
    <row r="176" customFormat="false" ht="15.75" hidden="false" customHeight="false" outlineLevel="0" collapsed="false">
      <c r="A176" s="5"/>
      <c r="B176" s="121"/>
      <c r="C176" s="50"/>
      <c r="D176" s="51"/>
      <c r="E176" s="74"/>
      <c r="F176" s="122"/>
      <c r="G176" s="54"/>
      <c r="H176" s="123"/>
      <c r="I176" s="124"/>
      <c r="J176" s="54"/>
      <c r="K176" s="123"/>
      <c r="L176" s="54"/>
      <c r="M176" s="123"/>
      <c r="N176" s="54"/>
      <c r="O176" s="123"/>
      <c r="P176" s="54"/>
      <c r="Q176" s="123"/>
      <c r="R176" s="54"/>
      <c r="S176" s="74"/>
      <c r="T176" s="58"/>
      <c r="U176" s="59" t="str">
        <f aca="false">IF(ISBLANK($C176),"",IF(E176=Constants!$B$2, TRUE(), IF(E176=Constants!$B$3, FALSE(), TRUE())))</f>
        <v/>
      </c>
      <c r="V176" s="59" t="str">
        <f aca="false">IF(ISBLANK($C176),"",IF(F176=Constants!$B$2, TRUE(), IF(F176=Constants!$B$3, FALSE(), TRUE())))</f>
        <v/>
      </c>
      <c r="W176" s="59" t="str">
        <f aca="false">IF(ISBLANK($C176),"",IF(G176=Constants!$B$15,Constants!$B$8,IF(G176=Constants!$B$16,Constants!$B$9,Constants!$B$10)))</f>
        <v/>
      </c>
      <c r="X176" s="59" t="str">
        <f aca="false">IF(ISBLANK($C176),"",IF(H176=Constants!$B$2, TRUE(), IF(H176=Constants!$B$3, FALSE(), TRUE())))</f>
        <v/>
      </c>
      <c r="Y176" s="59" t="str">
        <f aca="false">IF(ISBLANK($C176),"",IF(I176=Constants!$B$19,Constants!$B$19,Constants!$B$18))</f>
        <v/>
      </c>
      <c r="Z176" s="59" t="str">
        <f aca="false">IF(ISBLANK($C176),"",IF(ISNUMBER(J176),IF(J176&gt;=0,J176,""),""))</f>
        <v/>
      </c>
      <c r="AA176" s="59" t="str">
        <f aca="false">IF(ISBLANK($C176),"",IF(K176=Constants!$B$19,Constants!$B$19,Constants!$B$18))</f>
        <v/>
      </c>
      <c r="AB176" s="59" t="str">
        <f aca="false">IF(ISBLANK($C176),"",IF(ISNUMBER(L176),IF(L176&gt;=0,L176,""),""))</f>
        <v/>
      </c>
      <c r="AC176" s="59" t="str">
        <f aca="false">IF(ISBLANK($C176),"",IF(M176=Constants!$B$19,Constants!$B$19,Constants!$B$18))</f>
        <v/>
      </c>
      <c r="AD176" s="59" t="str">
        <f aca="false">IF(ISBLANK($C176),"",IF(ISNUMBER(N176),IF(N176&gt;=0,N176,""),""))</f>
        <v/>
      </c>
      <c r="AE176" s="59" t="str">
        <f aca="false">IF(ISBLANK($C176),"",IF(O176=Constants!$B$19,Constants!$B$19,Constants!$B$18))</f>
        <v/>
      </c>
      <c r="AF176" s="59" t="str">
        <f aca="false">IF(ISBLANK($C176),"",IF(ISNUMBER(P176),IF(P176&gt;=0,P176,""),""))</f>
        <v/>
      </c>
      <c r="AG176" s="59" t="str">
        <f aca="false">IF(ISBLANK($C176),"",IF(Q176=Constants!$B$19,Constants!$B$19,Constants!$B$18))</f>
        <v/>
      </c>
      <c r="AH176" s="59" t="str">
        <f aca="false">IF(ISBLANK($C176),"",IF(ISNUMBER(R176),IF(R176&gt;=0,R176,""),""))</f>
        <v/>
      </c>
      <c r="AI176" s="59" t="str">
        <f aca="false">IF(ISBLANK($C176),"",IF(S176=Constants!$B$2, TRUE(), IF(S176=Constants!$B$3, FALSE(), FALSE())))</f>
        <v/>
      </c>
      <c r="AJ176" s="59" t="str">
        <f aca="false">IF(ISBLANK($C176),"",IF(AI176,Constants!$B$4,IF(COUNTA(E176:R176)=0,Constants!$B$5,IF(COUNTA(J176,L176,N176,P176,R176)=0,Constants!$B$6,Constants!$B$7))))</f>
        <v/>
      </c>
      <c r="AK176" s="59" t="str">
        <f aca="false">IF(ISBLANK($C176),"",IF($AJ176&lt;&gt;Constants!$B$7,$AJ176,IF(OR(NOT(X176),AND(NOT(U176),COUNTIFS(Y176:AG176,Constants!$B$18,Z176:AH176,"&gt;=0")&gt;0),AND(NOT(V176),COUNTIFS(Y176:AG176,Constants!$B$19,Z176:AH176,"&gt;=0")&gt;0)),Constants!$B$12,Constants!$B$11)))</f>
        <v/>
      </c>
      <c r="AL176" s="59" t="str">
        <f aca="false">IF($AJ176=Constants!$B$7,IF(Z176="",Constants!$B$13,Z176),"")</f>
        <v/>
      </c>
      <c r="AM176" s="59" t="str">
        <f aca="false">IF($AJ176=Constants!$B$7,IF(AB176="",Constants!$B$13,AB176),"")</f>
        <v/>
      </c>
      <c r="AN176" s="59" t="str">
        <f aca="false">IF($AJ176=Constants!$B$7,IF(AD176="",Constants!$B$13,AD176),"")</f>
        <v/>
      </c>
      <c r="AO176" s="59" t="str">
        <f aca="false">IF($AJ176=Constants!$B$7,IF(AF176="",Constants!$B$13,AF176),"")</f>
        <v/>
      </c>
      <c r="AP176" s="59" t="str">
        <f aca="false">IF($AJ176=Constants!$B$7,IF(AH176="",Constants!$B$13,AH176),"")</f>
        <v/>
      </c>
      <c r="AQ176" s="59" t="str">
        <f aca="false">IF($AJ176=Constants!$B$7,IF(SUMPRODUCT(--($AL176:$AP176&gt;AL176))+SUMPRODUCT(--($AL176:AL176=AL176))=1,1,IF(SUMPRODUCT(--($AL176:$AP176&gt;AM176))+SUMPRODUCT(--($AL176:AM176=AM176))=1,2,IF(SUMPRODUCT(--($AL176:$AP176&gt;AN176))+SUMPRODUCT(--($AL176:AN176=AN176))=1,3,IF(SUMPRODUCT(--($AL176:$AP176&gt;AO176))+SUMPRODUCT(--($AL176:AO176=AO176))=1,4,5)))),"")</f>
        <v/>
      </c>
      <c r="AR176" s="59" t="str">
        <f aca="false">IF($AJ176=Constants!$B$7,IF(SUMPRODUCT(--($AL176:$AP176&gt;AL176))+SUMPRODUCT(--($AL176:AL176=AL176))=2,1,IF(SUMPRODUCT(--($AL176:$AP176&gt;AM176))+SUMPRODUCT(--($AL176:AM176=AM176))=2,2,IF(SUMPRODUCT(--($AL176:$AP176&gt;AN176))+SUMPRODUCT(--($AL176:AN176=AN176))=2,3,IF(SUMPRODUCT(--($AL176:$AP176&gt;AO176))+SUMPRODUCT(--($AL176:AO176=AO176))=2,4,5)))),"")</f>
        <v/>
      </c>
      <c r="AS176" s="59" t="str">
        <f aca="false">IF($AJ176=Constants!$B$7,IF(SUMPRODUCT(--($AL176:$AP176&gt;AL176))+SUMPRODUCT(--($AL176:AL176=AL176))=3,1,IF(SUMPRODUCT(--($AL176:$AP176&gt;AM176))+SUMPRODUCT(--($AL176:AM176=AM176))=3,2,IF(SUMPRODUCT(--($AL176:$AP176&gt;AN176))+SUMPRODUCT(--($AL176:AN176=AN176))=3,3,IF(SUMPRODUCT(--($AL176:$AP176&gt;AO176))+SUMPRODUCT(--($AL176:AO176=AO176))=3,4,5)))),"")</f>
        <v/>
      </c>
      <c r="AT176" s="59" t="str">
        <f aca="false">IF($AJ176=Constants!$B$7,LARGE(AL176:AP176,1)+LARGE(AL176:AP176,2)+LARGE(AL176:AP176,3),"")</f>
        <v/>
      </c>
      <c r="AU176" s="59" t="str">
        <f aca="false">IF(ISBLANK($C176),"",IF($AJ176&lt;&gt;Constants!$B$7,$AJ176,AT176*W176))</f>
        <v/>
      </c>
      <c r="AV176" s="59" t="str">
        <f aca="false">IF(ISBLANK($C176),"",IF($AJ176=Constants!$B$7,IF(ISNUMBER(AU176),RANK(AU176,$AU$8:$AU$507),Constants!$B$14),$AJ176))</f>
        <v/>
      </c>
      <c r="AW176" s="59" t="str">
        <f aca="false">IF(ISBLANK($C176),"",IF($AJ176=Constants!$B$7,IF(ISNUMBER(AV176),COUNTIFS($AK$8:$AK$507,"&lt;"&amp;$AK176)+COUNTIFS($AK$8:$AK$507,$AK176,$AV$8:$AV$507,"&lt;"&amp;$AV176)+1,Constants!$B$14),$AJ176))</f>
        <v/>
      </c>
      <c r="AX176" s="59" t="str">
        <f aca="false">IF(ISBLANK($C176),"",IF($AJ176=Constants!$B$7,LARGE(AL176:AP176,4)*W176,""))</f>
        <v/>
      </c>
      <c r="AY176" s="59" t="str">
        <f aca="false">IF(ISBLANK($C176),"",IF($AJ176=Constants!$B$7,RANK(AX176,$AX$8:$AX$507),$AJ176))</f>
        <v/>
      </c>
      <c r="AZ176" s="59" t="str">
        <f aca="false">IF(ISBLANK($C176),"",IF($AJ176=Constants!$B$7,IF(ISNUMBER(AV176),COUNTIFS($AK$8:$AK$507,"&lt;"&amp;$AK176)+COUNTIFS($AK$8:$AK$507,$AK176,$AV$8:$AV$507,"&lt;"&amp;$AV176)+COUNTIFS($AK$8:$AK$507,$AK176,$AV$8:$AV$507,$AV176,$AY$8:$AY$507,"&lt;"&amp;$AY176)+1,Constants!$B$14),$AJ176))</f>
        <v/>
      </c>
      <c r="BA176" s="59" t="str">
        <f aca="false">IF(ISBLANK($C176),"",IF($AJ176=Constants!$B$7,IF(ISNUMBER(AW176),AW176-AZ176,Constants!$B$14),$AJ176))</f>
        <v/>
      </c>
      <c r="BB176" s="61"/>
      <c r="BC176" s="62" t="str">
        <f aca="false">IF(ISBLANK($C176),"",IF($AJ176&lt;&gt;Constants!$B$7,$AJ176,SMALL(AQ176:AS176,1)&amp;", "&amp;SMALL(AQ176:AS176,2)&amp;", "&amp;SMALL(AQ176:AS176,3)))</f>
        <v/>
      </c>
      <c r="BD176" s="63" t="str">
        <f aca="false">IF(ISBLANK($C176),"",IF($AJ176&lt;&gt;Constants!$B$7,$AJ176,W176))</f>
        <v/>
      </c>
      <c r="BE176" s="64" t="str">
        <f aca="false">IF(ISBLANK($C176),"",IF($AJ176&lt;&gt;Constants!$B$7,$AJ176,AU176))</f>
        <v/>
      </c>
      <c r="BF176" s="65" t="str">
        <f aca="false">IF(ISBLANK($C176),"",IF($AJ176&lt;&gt;Constants!$B$7,$AJ176,AK176))</f>
        <v/>
      </c>
      <c r="BG176" s="63" t="str">
        <f aca="false">IF(ISBLANK($C176),"",BA176)</f>
        <v/>
      </c>
      <c r="BH176" s="63" t="str">
        <f aca="false">IF(ISBLANK($C176),"",AZ176)</f>
        <v/>
      </c>
      <c r="BI176" s="66" t="str">
        <f aca="false">IF(ISBLANK($C176),"",IF(BH176=Constants!$B$4,COUNTA($C$8:$C$507)+2,IF(BH176=Constants!$B$5,COUNTA($C$8:$C$507)+1,IF(BH176=Constants!$B$6,COUNTA($C$8:$C$507),BH176))))</f>
        <v/>
      </c>
      <c r="BJ176" s="5"/>
      <c r="BK176" s="67" t="n">
        <f aca="false">IF(OR(ISNUMBER(BH176),BH176=Constants!$B$4,BH176=Constants!$B$6,BH176=Constants!$B$5),1,0)</f>
        <v>0</v>
      </c>
      <c r="BL176" s="67" t="n">
        <v>169</v>
      </c>
      <c r="BM176" s="67" t="str">
        <f aca="false">IF(ISBLANK($C176),"",IF(ISNUMBER(BI176),BI176+ROW($B176)/1000,""))</f>
        <v/>
      </c>
      <c r="BN176" s="67" t="str">
        <f aca="false">IF(ISNUMBER(BM176),RANK(BM176,$BM$8:$BM$507,1),"")</f>
        <v/>
      </c>
      <c r="BO176" s="67" t="str">
        <f aca="false">IF(ISBLANK($C176),"",$B176)</f>
        <v/>
      </c>
      <c r="BP176" s="67" t="str">
        <f aca="false">IF(ISBLANK($C176),"",$C176)</f>
        <v/>
      </c>
      <c r="BQ176" s="67" t="str">
        <f aca="false">IF(ISBLANK($C176),"",$D176)</f>
        <v/>
      </c>
      <c r="BR176" s="68" t="str">
        <f aca="false">BF176</f>
        <v/>
      </c>
      <c r="BS176" s="69" t="str">
        <f aca="false">BE176</f>
        <v/>
      </c>
      <c r="BT176" s="67" t="str">
        <f aca="false">IF(ISBLANK($C176),"",BH176)</f>
        <v/>
      </c>
      <c r="BU176" s="70" t="str">
        <f aca="false">IF($BL176&gt;$BK$7,"",VLOOKUP($BL176,$BN$8:$BT$507,7,FALSE()))</f>
        <v/>
      </c>
      <c r="BV176" s="71" t="str">
        <f aca="false">IF($BL176&gt;$BK$7,"",VLOOKUP($BL176,$BN$8:$BT$507,2,FALSE()))</f>
        <v/>
      </c>
      <c r="BW176" s="71" t="str">
        <f aca="false">IF($BL176&gt;$BK$7,"",VLOOKUP($BL176,$BN$8:$BT$507,3,FALSE()))</f>
        <v/>
      </c>
      <c r="BX176" s="71" t="str">
        <f aca="false">IF($BL176&gt;$BK$7,"",VLOOKUP($BL176,$BN$8:$BT$507,4,FALSE()))</f>
        <v/>
      </c>
      <c r="BY176" s="71" t="str">
        <f aca="false">IF($BL176&gt;$BK$7,"",VLOOKUP($BL176,$BN$8:$BT$507,5,FALSE()))</f>
        <v/>
      </c>
      <c r="BZ176" s="72" t="str">
        <f aca="false">IF($BL176&gt;$BK$7,"",VLOOKUP($BL176,$BN$8:$BT$507,6,FALSE()))</f>
        <v/>
      </c>
      <c r="CA176" s="48"/>
    </row>
    <row r="177" customFormat="false" ht="15.75" hidden="false" customHeight="false" outlineLevel="0" collapsed="false">
      <c r="A177" s="5"/>
      <c r="B177" s="121"/>
      <c r="C177" s="50"/>
      <c r="D177" s="51"/>
      <c r="E177" s="74"/>
      <c r="F177" s="122"/>
      <c r="G177" s="54"/>
      <c r="H177" s="123"/>
      <c r="I177" s="124"/>
      <c r="J177" s="54"/>
      <c r="K177" s="123"/>
      <c r="L177" s="54"/>
      <c r="M177" s="123"/>
      <c r="N177" s="54"/>
      <c r="O177" s="123"/>
      <c r="P177" s="54"/>
      <c r="Q177" s="123"/>
      <c r="R177" s="54"/>
      <c r="S177" s="74"/>
      <c r="T177" s="58"/>
      <c r="U177" s="59" t="str">
        <f aca="false">IF(ISBLANK($C177),"",IF(E177=Constants!$B$2, TRUE(), IF(E177=Constants!$B$3, FALSE(), TRUE())))</f>
        <v/>
      </c>
      <c r="V177" s="59" t="str">
        <f aca="false">IF(ISBLANK($C177),"",IF(F177=Constants!$B$2, TRUE(), IF(F177=Constants!$B$3, FALSE(), TRUE())))</f>
        <v/>
      </c>
      <c r="W177" s="59" t="str">
        <f aca="false">IF(ISBLANK($C177),"",IF(G177=Constants!$B$15,Constants!$B$8,IF(G177=Constants!$B$16,Constants!$B$9,Constants!$B$10)))</f>
        <v/>
      </c>
      <c r="X177" s="59" t="str">
        <f aca="false">IF(ISBLANK($C177),"",IF(H177=Constants!$B$2, TRUE(), IF(H177=Constants!$B$3, FALSE(), TRUE())))</f>
        <v/>
      </c>
      <c r="Y177" s="59" t="str">
        <f aca="false">IF(ISBLANK($C177),"",IF(I177=Constants!$B$19,Constants!$B$19,Constants!$B$18))</f>
        <v/>
      </c>
      <c r="Z177" s="59" t="str">
        <f aca="false">IF(ISBLANK($C177),"",IF(ISNUMBER(J177),IF(J177&gt;=0,J177,""),""))</f>
        <v/>
      </c>
      <c r="AA177" s="59" t="str">
        <f aca="false">IF(ISBLANK($C177),"",IF(K177=Constants!$B$19,Constants!$B$19,Constants!$B$18))</f>
        <v/>
      </c>
      <c r="AB177" s="59" t="str">
        <f aca="false">IF(ISBLANK($C177),"",IF(ISNUMBER(L177),IF(L177&gt;=0,L177,""),""))</f>
        <v/>
      </c>
      <c r="AC177" s="59" t="str">
        <f aca="false">IF(ISBLANK($C177),"",IF(M177=Constants!$B$19,Constants!$B$19,Constants!$B$18))</f>
        <v/>
      </c>
      <c r="AD177" s="59" t="str">
        <f aca="false">IF(ISBLANK($C177),"",IF(ISNUMBER(N177),IF(N177&gt;=0,N177,""),""))</f>
        <v/>
      </c>
      <c r="AE177" s="59" t="str">
        <f aca="false">IF(ISBLANK($C177),"",IF(O177=Constants!$B$19,Constants!$B$19,Constants!$B$18))</f>
        <v/>
      </c>
      <c r="AF177" s="59" t="str">
        <f aca="false">IF(ISBLANK($C177),"",IF(ISNUMBER(P177),IF(P177&gt;=0,P177,""),""))</f>
        <v/>
      </c>
      <c r="AG177" s="59" t="str">
        <f aca="false">IF(ISBLANK($C177),"",IF(Q177=Constants!$B$19,Constants!$B$19,Constants!$B$18))</f>
        <v/>
      </c>
      <c r="AH177" s="59" t="str">
        <f aca="false">IF(ISBLANK($C177),"",IF(ISNUMBER(R177),IF(R177&gt;=0,R177,""),""))</f>
        <v/>
      </c>
      <c r="AI177" s="59" t="str">
        <f aca="false">IF(ISBLANK($C177),"",IF(S177=Constants!$B$2, TRUE(), IF(S177=Constants!$B$3, FALSE(), FALSE())))</f>
        <v/>
      </c>
      <c r="AJ177" s="59" t="str">
        <f aca="false">IF(ISBLANK($C177),"",IF(AI177,Constants!$B$4,IF(COUNTA(E177:R177)=0,Constants!$B$5,IF(COUNTA(J177,L177,N177,P177,R177)=0,Constants!$B$6,Constants!$B$7))))</f>
        <v/>
      </c>
      <c r="AK177" s="59" t="str">
        <f aca="false">IF(ISBLANK($C177),"",IF($AJ177&lt;&gt;Constants!$B$7,$AJ177,IF(OR(NOT(X177),AND(NOT(U177),COUNTIFS(Y177:AG177,Constants!$B$18,Z177:AH177,"&gt;=0")&gt;0),AND(NOT(V177),COUNTIFS(Y177:AG177,Constants!$B$19,Z177:AH177,"&gt;=0")&gt;0)),Constants!$B$12,Constants!$B$11)))</f>
        <v/>
      </c>
      <c r="AL177" s="59" t="str">
        <f aca="false">IF($AJ177=Constants!$B$7,IF(Z177="",Constants!$B$13,Z177),"")</f>
        <v/>
      </c>
      <c r="AM177" s="59" t="str">
        <f aca="false">IF($AJ177=Constants!$B$7,IF(AB177="",Constants!$B$13,AB177),"")</f>
        <v/>
      </c>
      <c r="AN177" s="59" t="str">
        <f aca="false">IF($AJ177=Constants!$B$7,IF(AD177="",Constants!$B$13,AD177),"")</f>
        <v/>
      </c>
      <c r="AO177" s="59" t="str">
        <f aca="false">IF($AJ177=Constants!$B$7,IF(AF177="",Constants!$B$13,AF177),"")</f>
        <v/>
      </c>
      <c r="AP177" s="59" t="str">
        <f aca="false">IF($AJ177=Constants!$B$7,IF(AH177="",Constants!$B$13,AH177),"")</f>
        <v/>
      </c>
      <c r="AQ177" s="59" t="str">
        <f aca="false">IF($AJ177=Constants!$B$7,IF(SUMPRODUCT(--($AL177:$AP177&gt;AL177))+SUMPRODUCT(--($AL177:AL177=AL177))=1,1,IF(SUMPRODUCT(--($AL177:$AP177&gt;AM177))+SUMPRODUCT(--($AL177:AM177=AM177))=1,2,IF(SUMPRODUCT(--($AL177:$AP177&gt;AN177))+SUMPRODUCT(--($AL177:AN177=AN177))=1,3,IF(SUMPRODUCT(--($AL177:$AP177&gt;AO177))+SUMPRODUCT(--($AL177:AO177=AO177))=1,4,5)))),"")</f>
        <v/>
      </c>
      <c r="AR177" s="59" t="str">
        <f aca="false">IF($AJ177=Constants!$B$7,IF(SUMPRODUCT(--($AL177:$AP177&gt;AL177))+SUMPRODUCT(--($AL177:AL177=AL177))=2,1,IF(SUMPRODUCT(--($AL177:$AP177&gt;AM177))+SUMPRODUCT(--($AL177:AM177=AM177))=2,2,IF(SUMPRODUCT(--($AL177:$AP177&gt;AN177))+SUMPRODUCT(--($AL177:AN177=AN177))=2,3,IF(SUMPRODUCT(--($AL177:$AP177&gt;AO177))+SUMPRODUCT(--($AL177:AO177=AO177))=2,4,5)))),"")</f>
        <v/>
      </c>
      <c r="AS177" s="59" t="str">
        <f aca="false">IF($AJ177=Constants!$B$7,IF(SUMPRODUCT(--($AL177:$AP177&gt;AL177))+SUMPRODUCT(--($AL177:AL177=AL177))=3,1,IF(SUMPRODUCT(--($AL177:$AP177&gt;AM177))+SUMPRODUCT(--($AL177:AM177=AM177))=3,2,IF(SUMPRODUCT(--($AL177:$AP177&gt;AN177))+SUMPRODUCT(--($AL177:AN177=AN177))=3,3,IF(SUMPRODUCT(--($AL177:$AP177&gt;AO177))+SUMPRODUCT(--($AL177:AO177=AO177))=3,4,5)))),"")</f>
        <v/>
      </c>
      <c r="AT177" s="59" t="str">
        <f aca="false">IF($AJ177=Constants!$B$7,LARGE(AL177:AP177,1)+LARGE(AL177:AP177,2)+LARGE(AL177:AP177,3),"")</f>
        <v/>
      </c>
      <c r="AU177" s="59" t="str">
        <f aca="false">IF(ISBLANK($C177),"",IF($AJ177&lt;&gt;Constants!$B$7,$AJ177,AT177*W177))</f>
        <v/>
      </c>
      <c r="AV177" s="59" t="str">
        <f aca="false">IF(ISBLANK($C177),"",IF($AJ177=Constants!$B$7,IF(ISNUMBER(AU177),RANK(AU177,$AU$8:$AU$507),Constants!$B$14),$AJ177))</f>
        <v/>
      </c>
      <c r="AW177" s="59" t="str">
        <f aca="false">IF(ISBLANK($C177),"",IF($AJ177=Constants!$B$7,IF(ISNUMBER(AV177),COUNTIFS($AK$8:$AK$507,"&lt;"&amp;$AK177)+COUNTIFS($AK$8:$AK$507,$AK177,$AV$8:$AV$507,"&lt;"&amp;$AV177)+1,Constants!$B$14),$AJ177))</f>
        <v/>
      </c>
      <c r="AX177" s="59" t="str">
        <f aca="false">IF(ISBLANK($C177),"",IF($AJ177=Constants!$B$7,LARGE(AL177:AP177,4)*W177,""))</f>
        <v/>
      </c>
      <c r="AY177" s="59" t="str">
        <f aca="false">IF(ISBLANK($C177),"",IF($AJ177=Constants!$B$7,RANK(AX177,$AX$8:$AX$507),$AJ177))</f>
        <v/>
      </c>
      <c r="AZ177" s="59" t="str">
        <f aca="false">IF(ISBLANK($C177),"",IF($AJ177=Constants!$B$7,IF(ISNUMBER(AV177),COUNTIFS($AK$8:$AK$507,"&lt;"&amp;$AK177)+COUNTIFS($AK$8:$AK$507,$AK177,$AV$8:$AV$507,"&lt;"&amp;$AV177)+COUNTIFS($AK$8:$AK$507,$AK177,$AV$8:$AV$507,$AV177,$AY$8:$AY$507,"&lt;"&amp;$AY177)+1,Constants!$B$14),$AJ177))</f>
        <v/>
      </c>
      <c r="BA177" s="59" t="str">
        <f aca="false">IF(ISBLANK($C177),"",IF($AJ177=Constants!$B$7,IF(ISNUMBER(AW177),AW177-AZ177,Constants!$B$14),$AJ177))</f>
        <v/>
      </c>
      <c r="BB177" s="61"/>
      <c r="BC177" s="62" t="str">
        <f aca="false">IF(ISBLANK($C177),"",IF($AJ177&lt;&gt;Constants!$B$7,$AJ177,SMALL(AQ177:AS177,1)&amp;", "&amp;SMALL(AQ177:AS177,2)&amp;", "&amp;SMALL(AQ177:AS177,3)))</f>
        <v/>
      </c>
      <c r="BD177" s="63" t="str">
        <f aca="false">IF(ISBLANK($C177),"",IF($AJ177&lt;&gt;Constants!$B$7,$AJ177,W177))</f>
        <v/>
      </c>
      <c r="BE177" s="64" t="str">
        <f aca="false">IF(ISBLANK($C177),"",IF($AJ177&lt;&gt;Constants!$B$7,$AJ177,AU177))</f>
        <v/>
      </c>
      <c r="BF177" s="65" t="str">
        <f aca="false">IF(ISBLANK($C177),"",IF($AJ177&lt;&gt;Constants!$B$7,$AJ177,AK177))</f>
        <v/>
      </c>
      <c r="BG177" s="63" t="str">
        <f aca="false">IF(ISBLANK($C177),"",BA177)</f>
        <v/>
      </c>
      <c r="BH177" s="63" t="str">
        <f aca="false">IF(ISBLANK($C177),"",AZ177)</f>
        <v/>
      </c>
      <c r="BI177" s="66" t="str">
        <f aca="false">IF(ISBLANK($C177),"",IF(BH177=Constants!$B$4,COUNTA($C$8:$C$507)+2,IF(BH177=Constants!$B$5,COUNTA($C$8:$C$507)+1,IF(BH177=Constants!$B$6,COUNTA($C$8:$C$507),BH177))))</f>
        <v/>
      </c>
      <c r="BJ177" s="5"/>
      <c r="BK177" s="67" t="n">
        <f aca="false">IF(OR(ISNUMBER(BH177),BH177=Constants!$B$4,BH177=Constants!$B$6,BH177=Constants!$B$5),1,0)</f>
        <v>0</v>
      </c>
      <c r="BL177" s="67" t="n">
        <v>170</v>
      </c>
      <c r="BM177" s="67" t="str">
        <f aca="false">IF(ISBLANK($C177),"",IF(ISNUMBER(BI177),BI177+ROW($B177)/1000,""))</f>
        <v/>
      </c>
      <c r="BN177" s="67" t="str">
        <f aca="false">IF(ISNUMBER(BM177),RANK(BM177,$BM$8:$BM$507,1),"")</f>
        <v/>
      </c>
      <c r="BO177" s="67" t="str">
        <f aca="false">IF(ISBLANK($C177),"",$B177)</f>
        <v/>
      </c>
      <c r="BP177" s="67" t="str">
        <f aca="false">IF(ISBLANK($C177),"",$C177)</f>
        <v/>
      </c>
      <c r="BQ177" s="67" t="str">
        <f aca="false">IF(ISBLANK($C177),"",$D177)</f>
        <v/>
      </c>
      <c r="BR177" s="68" t="str">
        <f aca="false">BF177</f>
        <v/>
      </c>
      <c r="BS177" s="69" t="str">
        <f aca="false">BE177</f>
        <v/>
      </c>
      <c r="BT177" s="67" t="str">
        <f aca="false">IF(ISBLANK($C177),"",BH177)</f>
        <v/>
      </c>
      <c r="BU177" s="70" t="str">
        <f aca="false">IF($BL177&gt;$BK$7,"",VLOOKUP($BL177,$BN$8:$BT$507,7,FALSE()))</f>
        <v/>
      </c>
      <c r="BV177" s="71" t="str">
        <f aca="false">IF($BL177&gt;$BK$7,"",VLOOKUP($BL177,$BN$8:$BT$507,2,FALSE()))</f>
        <v/>
      </c>
      <c r="BW177" s="71" t="str">
        <f aca="false">IF($BL177&gt;$BK$7,"",VLOOKUP($BL177,$BN$8:$BT$507,3,FALSE()))</f>
        <v/>
      </c>
      <c r="BX177" s="71" t="str">
        <f aca="false">IF($BL177&gt;$BK$7,"",VLOOKUP($BL177,$BN$8:$BT$507,4,FALSE()))</f>
        <v/>
      </c>
      <c r="BY177" s="71" t="str">
        <f aca="false">IF($BL177&gt;$BK$7,"",VLOOKUP($BL177,$BN$8:$BT$507,5,FALSE()))</f>
        <v/>
      </c>
      <c r="BZ177" s="72" t="str">
        <f aca="false">IF($BL177&gt;$BK$7,"",VLOOKUP($BL177,$BN$8:$BT$507,6,FALSE()))</f>
        <v/>
      </c>
      <c r="CA177" s="48"/>
    </row>
    <row r="178" customFormat="false" ht="15.75" hidden="false" customHeight="false" outlineLevel="0" collapsed="false">
      <c r="A178" s="5"/>
      <c r="B178" s="121"/>
      <c r="C178" s="50"/>
      <c r="D178" s="51"/>
      <c r="E178" s="74"/>
      <c r="F178" s="122"/>
      <c r="G178" s="54"/>
      <c r="H178" s="123"/>
      <c r="I178" s="124"/>
      <c r="J178" s="54"/>
      <c r="K178" s="123"/>
      <c r="L178" s="54"/>
      <c r="M178" s="123"/>
      <c r="N178" s="54"/>
      <c r="O178" s="123"/>
      <c r="P178" s="54"/>
      <c r="Q178" s="123"/>
      <c r="R178" s="54"/>
      <c r="S178" s="74"/>
      <c r="T178" s="58"/>
      <c r="U178" s="59" t="str">
        <f aca="false">IF(ISBLANK($C178),"",IF(E178=Constants!$B$2, TRUE(), IF(E178=Constants!$B$3, FALSE(), TRUE())))</f>
        <v/>
      </c>
      <c r="V178" s="59" t="str">
        <f aca="false">IF(ISBLANK($C178),"",IF(F178=Constants!$B$2, TRUE(), IF(F178=Constants!$B$3, FALSE(), TRUE())))</f>
        <v/>
      </c>
      <c r="W178" s="59" t="str">
        <f aca="false">IF(ISBLANK($C178),"",IF(G178=Constants!$B$15,Constants!$B$8,IF(G178=Constants!$B$16,Constants!$B$9,Constants!$B$10)))</f>
        <v/>
      </c>
      <c r="X178" s="59" t="str">
        <f aca="false">IF(ISBLANK($C178),"",IF(H178=Constants!$B$2, TRUE(), IF(H178=Constants!$B$3, FALSE(), TRUE())))</f>
        <v/>
      </c>
      <c r="Y178" s="59" t="str">
        <f aca="false">IF(ISBLANK($C178),"",IF(I178=Constants!$B$19,Constants!$B$19,Constants!$B$18))</f>
        <v/>
      </c>
      <c r="Z178" s="59" t="str">
        <f aca="false">IF(ISBLANK($C178),"",IF(ISNUMBER(J178),IF(J178&gt;=0,J178,""),""))</f>
        <v/>
      </c>
      <c r="AA178" s="59" t="str">
        <f aca="false">IF(ISBLANK($C178),"",IF(K178=Constants!$B$19,Constants!$B$19,Constants!$B$18))</f>
        <v/>
      </c>
      <c r="AB178" s="59" t="str">
        <f aca="false">IF(ISBLANK($C178),"",IF(ISNUMBER(L178),IF(L178&gt;=0,L178,""),""))</f>
        <v/>
      </c>
      <c r="AC178" s="59" t="str">
        <f aca="false">IF(ISBLANK($C178),"",IF(M178=Constants!$B$19,Constants!$B$19,Constants!$B$18))</f>
        <v/>
      </c>
      <c r="AD178" s="59" t="str">
        <f aca="false">IF(ISBLANK($C178),"",IF(ISNUMBER(N178),IF(N178&gt;=0,N178,""),""))</f>
        <v/>
      </c>
      <c r="AE178" s="59" t="str">
        <f aca="false">IF(ISBLANK($C178),"",IF(O178=Constants!$B$19,Constants!$B$19,Constants!$B$18))</f>
        <v/>
      </c>
      <c r="AF178" s="59" t="str">
        <f aca="false">IF(ISBLANK($C178),"",IF(ISNUMBER(P178),IF(P178&gt;=0,P178,""),""))</f>
        <v/>
      </c>
      <c r="AG178" s="59" t="str">
        <f aca="false">IF(ISBLANK($C178),"",IF(Q178=Constants!$B$19,Constants!$B$19,Constants!$B$18))</f>
        <v/>
      </c>
      <c r="AH178" s="59" t="str">
        <f aca="false">IF(ISBLANK($C178),"",IF(ISNUMBER(R178),IF(R178&gt;=0,R178,""),""))</f>
        <v/>
      </c>
      <c r="AI178" s="59" t="str">
        <f aca="false">IF(ISBLANK($C178),"",IF(S178=Constants!$B$2, TRUE(), IF(S178=Constants!$B$3, FALSE(), FALSE())))</f>
        <v/>
      </c>
      <c r="AJ178" s="59" t="str">
        <f aca="false">IF(ISBLANK($C178),"",IF(AI178,Constants!$B$4,IF(COUNTA(E178:R178)=0,Constants!$B$5,IF(COUNTA(J178,L178,N178,P178,R178)=0,Constants!$B$6,Constants!$B$7))))</f>
        <v/>
      </c>
      <c r="AK178" s="59" t="str">
        <f aca="false">IF(ISBLANK($C178),"",IF($AJ178&lt;&gt;Constants!$B$7,$AJ178,IF(OR(NOT(X178),AND(NOT(U178),COUNTIFS(Y178:AG178,Constants!$B$18,Z178:AH178,"&gt;=0")&gt;0),AND(NOT(V178),COUNTIFS(Y178:AG178,Constants!$B$19,Z178:AH178,"&gt;=0")&gt;0)),Constants!$B$12,Constants!$B$11)))</f>
        <v/>
      </c>
      <c r="AL178" s="59" t="str">
        <f aca="false">IF($AJ178=Constants!$B$7,IF(Z178="",Constants!$B$13,Z178),"")</f>
        <v/>
      </c>
      <c r="AM178" s="59" t="str">
        <f aca="false">IF($AJ178=Constants!$B$7,IF(AB178="",Constants!$B$13,AB178),"")</f>
        <v/>
      </c>
      <c r="AN178" s="59" t="str">
        <f aca="false">IF($AJ178=Constants!$B$7,IF(AD178="",Constants!$B$13,AD178),"")</f>
        <v/>
      </c>
      <c r="AO178" s="59" t="str">
        <f aca="false">IF($AJ178=Constants!$B$7,IF(AF178="",Constants!$B$13,AF178),"")</f>
        <v/>
      </c>
      <c r="AP178" s="59" t="str">
        <f aca="false">IF($AJ178=Constants!$B$7,IF(AH178="",Constants!$B$13,AH178),"")</f>
        <v/>
      </c>
      <c r="AQ178" s="59" t="str">
        <f aca="false">IF($AJ178=Constants!$B$7,IF(SUMPRODUCT(--($AL178:$AP178&gt;AL178))+SUMPRODUCT(--($AL178:AL178=AL178))=1,1,IF(SUMPRODUCT(--($AL178:$AP178&gt;AM178))+SUMPRODUCT(--($AL178:AM178=AM178))=1,2,IF(SUMPRODUCT(--($AL178:$AP178&gt;AN178))+SUMPRODUCT(--($AL178:AN178=AN178))=1,3,IF(SUMPRODUCT(--($AL178:$AP178&gt;AO178))+SUMPRODUCT(--($AL178:AO178=AO178))=1,4,5)))),"")</f>
        <v/>
      </c>
      <c r="AR178" s="59" t="str">
        <f aca="false">IF($AJ178=Constants!$B$7,IF(SUMPRODUCT(--($AL178:$AP178&gt;AL178))+SUMPRODUCT(--($AL178:AL178=AL178))=2,1,IF(SUMPRODUCT(--($AL178:$AP178&gt;AM178))+SUMPRODUCT(--($AL178:AM178=AM178))=2,2,IF(SUMPRODUCT(--($AL178:$AP178&gt;AN178))+SUMPRODUCT(--($AL178:AN178=AN178))=2,3,IF(SUMPRODUCT(--($AL178:$AP178&gt;AO178))+SUMPRODUCT(--($AL178:AO178=AO178))=2,4,5)))),"")</f>
        <v/>
      </c>
      <c r="AS178" s="59" t="str">
        <f aca="false">IF($AJ178=Constants!$B$7,IF(SUMPRODUCT(--($AL178:$AP178&gt;AL178))+SUMPRODUCT(--($AL178:AL178=AL178))=3,1,IF(SUMPRODUCT(--($AL178:$AP178&gt;AM178))+SUMPRODUCT(--($AL178:AM178=AM178))=3,2,IF(SUMPRODUCT(--($AL178:$AP178&gt;AN178))+SUMPRODUCT(--($AL178:AN178=AN178))=3,3,IF(SUMPRODUCT(--($AL178:$AP178&gt;AO178))+SUMPRODUCT(--($AL178:AO178=AO178))=3,4,5)))),"")</f>
        <v/>
      </c>
      <c r="AT178" s="59" t="str">
        <f aca="false">IF($AJ178=Constants!$B$7,LARGE(AL178:AP178,1)+LARGE(AL178:AP178,2)+LARGE(AL178:AP178,3),"")</f>
        <v/>
      </c>
      <c r="AU178" s="59" t="str">
        <f aca="false">IF(ISBLANK($C178),"",IF($AJ178&lt;&gt;Constants!$B$7,$AJ178,AT178*W178))</f>
        <v/>
      </c>
      <c r="AV178" s="59" t="str">
        <f aca="false">IF(ISBLANK($C178),"",IF($AJ178=Constants!$B$7,IF(ISNUMBER(AU178),RANK(AU178,$AU$8:$AU$507),Constants!$B$14),$AJ178))</f>
        <v/>
      </c>
      <c r="AW178" s="59" t="str">
        <f aca="false">IF(ISBLANK($C178),"",IF($AJ178=Constants!$B$7,IF(ISNUMBER(AV178),COUNTIFS($AK$8:$AK$507,"&lt;"&amp;$AK178)+COUNTIFS($AK$8:$AK$507,$AK178,$AV$8:$AV$507,"&lt;"&amp;$AV178)+1,Constants!$B$14),$AJ178))</f>
        <v/>
      </c>
      <c r="AX178" s="59" t="str">
        <f aca="false">IF(ISBLANK($C178),"",IF($AJ178=Constants!$B$7,LARGE(AL178:AP178,4)*W178,""))</f>
        <v/>
      </c>
      <c r="AY178" s="59" t="str">
        <f aca="false">IF(ISBLANK($C178),"",IF($AJ178=Constants!$B$7,RANK(AX178,$AX$8:$AX$507),$AJ178))</f>
        <v/>
      </c>
      <c r="AZ178" s="59" t="str">
        <f aca="false">IF(ISBLANK($C178),"",IF($AJ178=Constants!$B$7,IF(ISNUMBER(AV178),COUNTIFS($AK$8:$AK$507,"&lt;"&amp;$AK178)+COUNTIFS($AK$8:$AK$507,$AK178,$AV$8:$AV$507,"&lt;"&amp;$AV178)+COUNTIFS($AK$8:$AK$507,$AK178,$AV$8:$AV$507,$AV178,$AY$8:$AY$507,"&lt;"&amp;$AY178)+1,Constants!$B$14),$AJ178))</f>
        <v/>
      </c>
      <c r="BA178" s="59" t="str">
        <f aca="false">IF(ISBLANK($C178),"",IF($AJ178=Constants!$B$7,IF(ISNUMBER(AW178),AW178-AZ178,Constants!$B$14),$AJ178))</f>
        <v/>
      </c>
      <c r="BB178" s="61"/>
      <c r="BC178" s="62" t="str">
        <f aca="false">IF(ISBLANK($C178),"",IF($AJ178&lt;&gt;Constants!$B$7,$AJ178,SMALL(AQ178:AS178,1)&amp;", "&amp;SMALL(AQ178:AS178,2)&amp;", "&amp;SMALL(AQ178:AS178,3)))</f>
        <v/>
      </c>
      <c r="BD178" s="63" t="str">
        <f aca="false">IF(ISBLANK($C178),"",IF($AJ178&lt;&gt;Constants!$B$7,$AJ178,W178))</f>
        <v/>
      </c>
      <c r="BE178" s="64" t="str">
        <f aca="false">IF(ISBLANK($C178),"",IF($AJ178&lt;&gt;Constants!$B$7,$AJ178,AU178))</f>
        <v/>
      </c>
      <c r="BF178" s="65" t="str">
        <f aca="false">IF(ISBLANK($C178),"",IF($AJ178&lt;&gt;Constants!$B$7,$AJ178,AK178))</f>
        <v/>
      </c>
      <c r="BG178" s="63" t="str">
        <f aca="false">IF(ISBLANK($C178),"",BA178)</f>
        <v/>
      </c>
      <c r="BH178" s="63" t="str">
        <f aca="false">IF(ISBLANK($C178),"",AZ178)</f>
        <v/>
      </c>
      <c r="BI178" s="66" t="str">
        <f aca="false">IF(ISBLANK($C178),"",IF(BH178=Constants!$B$4,COUNTA($C$8:$C$507)+2,IF(BH178=Constants!$B$5,COUNTA($C$8:$C$507)+1,IF(BH178=Constants!$B$6,COUNTA($C$8:$C$507),BH178))))</f>
        <v/>
      </c>
      <c r="BJ178" s="5"/>
      <c r="BK178" s="67" t="n">
        <f aca="false">IF(OR(ISNUMBER(BH178),BH178=Constants!$B$4,BH178=Constants!$B$6,BH178=Constants!$B$5),1,0)</f>
        <v>0</v>
      </c>
      <c r="BL178" s="67" t="n">
        <v>171</v>
      </c>
      <c r="BM178" s="67" t="str">
        <f aca="false">IF(ISBLANK($C178),"",IF(ISNUMBER(BI178),BI178+ROW($B178)/1000,""))</f>
        <v/>
      </c>
      <c r="BN178" s="67" t="str">
        <f aca="false">IF(ISNUMBER(BM178),RANK(BM178,$BM$8:$BM$507,1),"")</f>
        <v/>
      </c>
      <c r="BO178" s="67" t="str">
        <f aca="false">IF(ISBLANK($C178),"",$B178)</f>
        <v/>
      </c>
      <c r="BP178" s="67" t="str">
        <f aca="false">IF(ISBLANK($C178),"",$C178)</f>
        <v/>
      </c>
      <c r="BQ178" s="67" t="str">
        <f aca="false">IF(ISBLANK($C178),"",$D178)</f>
        <v/>
      </c>
      <c r="BR178" s="68" t="str">
        <f aca="false">BF178</f>
        <v/>
      </c>
      <c r="BS178" s="69" t="str">
        <f aca="false">BE178</f>
        <v/>
      </c>
      <c r="BT178" s="67" t="str">
        <f aca="false">IF(ISBLANK($C178),"",BH178)</f>
        <v/>
      </c>
      <c r="BU178" s="70" t="str">
        <f aca="false">IF($BL178&gt;$BK$7,"",VLOOKUP($BL178,$BN$8:$BT$507,7,FALSE()))</f>
        <v/>
      </c>
      <c r="BV178" s="71" t="str">
        <f aca="false">IF($BL178&gt;$BK$7,"",VLOOKUP($BL178,$BN$8:$BT$507,2,FALSE()))</f>
        <v/>
      </c>
      <c r="BW178" s="71" t="str">
        <f aca="false">IF($BL178&gt;$BK$7,"",VLOOKUP($BL178,$BN$8:$BT$507,3,FALSE()))</f>
        <v/>
      </c>
      <c r="BX178" s="71" t="str">
        <f aca="false">IF($BL178&gt;$BK$7,"",VLOOKUP($BL178,$BN$8:$BT$507,4,FALSE()))</f>
        <v/>
      </c>
      <c r="BY178" s="71" t="str">
        <f aca="false">IF($BL178&gt;$BK$7,"",VLOOKUP($BL178,$BN$8:$BT$507,5,FALSE()))</f>
        <v/>
      </c>
      <c r="BZ178" s="72" t="str">
        <f aca="false">IF($BL178&gt;$BK$7,"",VLOOKUP($BL178,$BN$8:$BT$507,6,FALSE()))</f>
        <v/>
      </c>
      <c r="CA178" s="48"/>
    </row>
    <row r="179" customFormat="false" ht="15.75" hidden="false" customHeight="false" outlineLevel="0" collapsed="false">
      <c r="A179" s="5"/>
      <c r="B179" s="114"/>
      <c r="C179" s="115"/>
      <c r="D179" s="100"/>
      <c r="E179" s="120"/>
      <c r="F179" s="125"/>
      <c r="G179" s="82"/>
      <c r="H179" s="126"/>
      <c r="I179" s="127"/>
      <c r="J179" s="82"/>
      <c r="K179" s="126"/>
      <c r="L179" s="82"/>
      <c r="M179" s="126"/>
      <c r="N179" s="82"/>
      <c r="O179" s="126"/>
      <c r="P179" s="82"/>
      <c r="Q179" s="126"/>
      <c r="R179" s="82"/>
      <c r="S179" s="120"/>
      <c r="T179" s="86"/>
      <c r="U179" s="87" t="str">
        <f aca="false">IF(ISBLANK($C179),"",IF(E179=Constants!$B$2, TRUE(), IF(E179=Constants!$B$3, FALSE(), TRUE())))</f>
        <v/>
      </c>
      <c r="V179" s="87" t="str">
        <f aca="false">IF(ISBLANK($C179),"",IF(F179=Constants!$B$2, TRUE(), IF(F179=Constants!$B$3, FALSE(), TRUE())))</f>
        <v/>
      </c>
      <c r="W179" s="87" t="str">
        <f aca="false">IF(ISBLANK($C179),"",IF(G179=Constants!$B$15,Constants!$B$8,IF(G179=Constants!$B$16,Constants!$B$9,Constants!$B$10)))</f>
        <v/>
      </c>
      <c r="X179" s="87" t="str">
        <f aca="false">IF(ISBLANK($C179),"",IF(H179=Constants!$B$2, TRUE(), IF(H179=Constants!$B$3, FALSE(), TRUE())))</f>
        <v/>
      </c>
      <c r="Y179" s="87" t="str">
        <f aca="false">IF(ISBLANK($C179),"",IF(I179=Constants!$B$19,Constants!$B$19,Constants!$B$18))</f>
        <v/>
      </c>
      <c r="Z179" s="87" t="str">
        <f aca="false">IF(ISBLANK($C179),"",IF(ISNUMBER(J179),IF(J179&gt;=0,J179,""),""))</f>
        <v/>
      </c>
      <c r="AA179" s="87" t="str">
        <f aca="false">IF(ISBLANK($C179),"",IF(K179=Constants!$B$19,Constants!$B$19,Constants!$B$18))</f>
        <v/>
      </c>
      <c r="AB179" s="87" t="str">
        <f aca="false">IF(ISBLANK($C179),"",IF(ISNUMBER(L179),IF(L179&gt;=0,L179,""),""))</f>
        <v/>
      </c>
      <c r="AC179" s="87" t="str">
        <f aca="false">IF(ISBLANK($C179),"",IF(M179=Constants!$B$19,Constants!$B$19,Constants!$B$18))</f>
        <v/>
      </c>
      <c r="AD179" s="87" t="str">
        <f aca="false">IF(ISBLANK($C179),"",IF(ISNUMBER(N179),IF(N179&gt;=0,N179,""),""))</f>
        <v/>
      </c>
      <c r="AE179" s="87" t="str">
        <f aca="false">IF(ISBLANK($C179),"",IF(O179=Constants!$B$19,Constants!$B$19,Constants!$B$18))</f>
        <v/>
      </c>
      <c r="AF179" s="87" t="str">
        <f aca="false">IF(ISBLANK($C179),"",IF(ISNUMBER(P179),IF(P179&gt;=0,P179,""),""))</f>
        <v/>
      </c>
      <c r="AG179" s="87" t="str">
        <f aca="false">IF(ISBLANK($C179),"",IF(Q179=Constants!$B$19,Constants!$B$19,Constants!$B$18))</f>
        <v/>
      </c>
      <c r="AH179" s="87" t="str">
        <f aca="false">IF(ISBLANK($C179),"",IF(ISNUMBER(R179),IF(R179&gt;=0,R179,""),""))</f>
        <v/>
      </c>
      <c r="AI179" s="87" t="str">
        <f aca="false">IF(ISBLANK($C179),"",IF(S179=Constants!$B$2, TRUE(), IF(S179=Constants!$B$3, FALSE(), FALSE())))</f>
        <v/>
      </c>
      <c r="AJ179" s="87" t="str">
        <f aca="false">IF(ISBLANK($C179),"",IF(AI179,Constants!$B$4,IF(COUNTA(E179:R179)=0,Constants!$B$5,IF(COUNTA(J179,L179,N179,P179,R179)=0,Constants!$B$6,Constants!$B$7))))</f>
        <v/>
      </c>
      <c r="AK179" s="87" t="str">
        <f aca="false">IF(ISBLANK($C179),"",IF($AJ179&lt;&gt;Constants!$B$7,$AJ179,IF(OR(NOT(X179),AND(NOT(U179),COUNTIFS(Y179:AG179,Constants!$B$18,Z179:AH179,"&gt;=0")&gt;0),AND(NOT(V179),COUNTIFS(Y179:AG179,Constants!$B$19,Z179:AH179,"&gt;=0")&gt;0)),Constants!$B$12,Constants!$B$11)))</f>
        <v/>
      </c>
      <c r="AL179" s="87" t="str">
        <f aca="false">IF($AJ179=Constants!$B$7,IF(Z179="",Constants!$B$13,Z179),"")</f>
        <v/>
      </c>
      <c r="AM179" s="87" t="str">
        <f aca="false">IF($AJ179=Constants!$B$7,IF(AB179="",Constants!$B$13,AB179),"")</f>
        <v/>
      </c>
      <c r="AN179" s="87" t="str">
        <f aca="false">IF($AJ179=Constants!$B$7,IF(AD179="",Constants!$B$13,AD179),"")</f>
        <v/>
      </c>
      <c r="AO179" s="87" t="str">
        <f aca="false">IF($AJ179=Constants!$B$7,IF(AF179="",Constants!$B$13,AF179),"")</f>
        <v/>
      </c>
      <c r="AP179" s="87" t="str">
        <f aca="false">IF($AJ179=Constants!$B$7,IF(AH179="",Constants!$B$13,AH179),"")</f>
        <v/>
      </c>
      <c r="AQ179" s="87" t="str">
        <f aca="false">IF($AJ179=Constants!$B$7,IF(SUMPRODUCT(--($AL179:$AP179&gt;AL179))+SUMPRODUCT(--($AL179:AL179=AL179))=1,1,IF(SUMPRODUCT(--($AL179:$AP179&gt;AM179))+SUMPRODUCT(--($AL179:AM179=AM179))=1,2,IF(SUMPRODUCT(--($AL179:$AP179&gt;AN179))+SUMPRODUCT(--($AL179:AN179=AN179))=1,3,IF(SUMPRODUCT(--($AL179:$AP179&gt;AO179))+SUMPRODUCT(--($AL179:AO179=AO179))=1,4,5)))),"")</f>
        <v/>
      </c>
      <c r="AR179" s="87" t="str">
        <f aca="false">IF($AJ179=Constants!$B$7,IF(SUMPRODUCT(--($AL179:$AP179&gt;AL179))+SUMPRODUCT(--($AL179:AL179=AL179))=2,1,IF(SUMPRODUCT(--($AL179:$AP179&gt;AM179))+SUMPRODUCT(--($AL179:AM179=AM179))=2,2,IF(SUMPRODUCT(--($AL179:$AP179&gt;AN179))+SUMPRODUCT(--($AL179:AN179=AN179))=2,3,IF(SUMPRODUCT(--($AL179:$AP179&gt;AO179))+SUMPRODUCT(--($AL179:AO179=AO179))=2,4,5)))),"")</f>
        <v/>
      </c>
      <c r="AS179" s="87" t="str">
        <f aca="false">IF($AJ179=Constants!$B$7,IF(SUMPRODUCT(--($AL179:$AP179&gt;AL179))+SUMPRODUCT(--($AL179:AL179=AL179))=3,1,IF(SUMPRODUCT(--($AL179:$AP179&gt;AM179))+SUMPRODUCT(--($AL179:AM179=AM179))=3,2,IF(SUMPRODUCT(--($AL179:$AP179&gt;AN179))+SUMPRODUCT(--($AL179:AN179=AN179))=3,3,IF(SUMPRODUCT(--($AL179:$AP179&gt;AO179))+SUMPRODUCT(--($AL179:AO179=AO179))=3,4,5)))),"")</f>
        <v/>
      </c>
      <c r="AT179" s="87" t="str">
        <f aca="false">IF($AJ179=Constants!$B$7,LARGE(AL179:AP179,1)+LARGE(AL179:AP179,2)+LARGE(AL179:AP179,3),"")</f>
        <v/>
      </c>
      <c r="AU179" s="87" t="str">
        <f aca="false">IF(ISBLANK($C179),"",IF($AJ179&lt;&gt;Constants!$B$7,$AJ179,AT179*W179))</f>
        <v/>
      </c>
      <c r="AV179" s="87" t="str">
        <f aca="false">IF(ISBLANK($C179),"",IF($AJ179=Constants!$B$7,IF(ISNUMBER(AU179),RANK(AU179,$AU$8:$AU$507),Constants!$B$14),$AJ179))</f>
        <v/>
      </c>
      <c r="AW179" s="87" t="str">
        <f aca="false">IF(ISBLANK($C179),"",IF($AJ179=Constants!$B$7,IF(ISNUMBER(AV179),COUNTIFS($AK$8:$AK$507,"&lt;"&amp;$AK179)+COUNTIFS($AK$8:$AK$507,$AK179,$AV$8:$AV$507,"&lt;"&amp;$AV179)+1,Constants!$B$14),$AJ179))</f>
        <v/>
      </c>
      <c r="AX179" s="87" t="str">
        <f aca="false">IF(ISBLANK($C179),"",IF($AJ179=Constants!$B$7,LARGE(AL179:AP179,4)*W179,""))</f>
        <v/>
      </c>
      <c r="AY179" s="87" t="str">
        <f aca="false">IF(ISBLANK($C179),"",IF($AJ179=Constants!$B$7,RANK(AX179,$AX$8:$AX$507),$AJ179))</f>
        <v/>
      </c>
      <c r="AZ179" s="87" t="str">
        <f aca="false">IF(ISBLANK($C179),"",IF($AJ179=Constants!$B$7,IF(ISNUMBER(AV179),COUNTIFS($AK$8:$AK$507,"&lt;"&amp;$AK179)+COUNTIFS($AK$8:$AK$507,$AK179,$AV$8:$AV$507,"&lt;"&amp;$AV179)+COUNTIFS($AK$8:$AK$507,$AK179,$AV$8:$AV$507,$AV179,$AY$8:$AY$507,"&lt;"&amp;$AY179)+1,Constants!$B$14),$AJ179))</f>
        <v/>
      </c>
      <c r="BA179" s="87" t="str">
        <f aca="false">IF(ISBLANK($C179),"",IF($AJ179=Constants!$B$7,IF(ISNUMBER(AW179),AW179-AZ179,Constants!$B$14),$AJ179))</f>
        <v/>
      </c>
      <c r="BB179" s="88"/>
      <c r="BC179" s="89" t="str">
        <f aca="false">IF(ISBLANK($C179),"",IF($AJ179&lt;&gt;Constants!$B$7,$AJ179,SMALL(AQ179:AS179,1)&amp;", "&amp;SMALL(AQ179:AS179,2)&amp;", "&amp;SMALL(AQ179:AS179,3)))</f>
        <v/>
      </c>
      <c r="BD179" s="90" t="str">
        <f aca="false">IF(ISBLANK($C179),"",IF($AJ179&lt;&gt;Constants!$B$7,$AJ179,W179))</f>
        <v/>
      </c>
      <c r="BE179" s="91" t="str">
        <f aca="false">IF(ISBLANK($C179),"",IF($AJ179&lt;&gt;Constants!$B$7,$AJ179,AU179))</f>
        <v/>
      </c>
      <c r="BF179" s="92" t="str">
        <f aca="false">IF(ISBLANK($C179),"",IF($AJ179&lt;&gt;Constants!$B$7,$AJ179,AK179))</f>
        <v/>
      </c>
      <c r="BG179" s="90" t="str">
        <f aca="false">IF(ISBLANK($C179),"",BA179)</f>
        <v/>
      </c>
      <c r="BH179" s="90" t="str">
        <f aca="false">IF(ISBLANK($C179),"",AZ179)</f>
        <v/>
      </c>
      <c r="BI179" s="93" t="str">
        <f aca="false">IF(ISBLANK($C179),"",IF(BH179=Constants!$B$4,COUNTA($C$8:$C$507)+2,IF(BH179=Constants!$B$5,COUNTA($C$8:$C$507)+1,IF(BH179=Constants!$B$6,COUNTA($C$8:$C$507),BH179))))</f>
        <v/>
      </c>
      <c r="BJ179" s="5"/>
      <c r="BK179" s="94" t="n">
        <f aca="false">IF(OR(ISNUMBER(BH179),BH179=Constants!$B$4,BH179=Constants!$B$6,BH179=Constants!$B$5),1,0)</f>
        <v>0</v>
      </c>
      <c r="BL179" s="94" t="n">
        <v>172</v>
      </c>
      <c r="BM179" s="94" t="str">
        <f aca="false">IF(ISBLANK($C179),"",IF(ISNUMBER(BI179),BI179+ROW($B179)/1000,""))</f>
        <v/>
      </c>
      <c r="BN179" s="94" t="str">
        <f aca="false">IF(ISNUMBER(BM179),RANK(BM179,$BM$8:$BM$507,1),"")</f>
        <v/>
      </c>
      <c r="BO179" s="94" t="str">
        <f aca="false">IF(ISBLANK($C179),"",$B179)</f>
        <v/>
      </c>
      <c r="BP179" s="94" t="str">
        <f aca="false">IF(ISBLANK($C179),"",$C179)</f>
        <v/>
      </c>
      <c r="BQ179" s="94" t="str">
        <f aca="false">IF(ISBLANK($C179),"",$D179)</f>
        <v/>
      </c>
      <c r="BR179" s="95" t="str">
        <f aca="false">BF179</f>
        <v/>
      </c>
      <c r="BS179" s="96" t="str">
        <f aca="false">BE179</f>
        <v/>
      </c>
      <c r="BT179" s="94" t="str">
        <f aca="false">IF(ISBLANK($C179),"",BH179)</f>
        <v/>
      </c>
      <c r="BU179" s="97" t="str">
        <f aca="false">IF($BL179&gt;$BK$7,"",VLOOKUP($BL179,$BN$8:$BT$507,7,FALSE()))</f>
        <v/>
      </c>
      <c r="BV179" s="98" t="str">
        <f aca="false">IF($BL179&gt;$BK$7,"",VLOOKUP($BL179,$BN$8:$BT$507,2,FALSE()))</f>
        <v/>
      </c>
      <c r="BW179" s="98" t="str">
        <f aca="false">IF($BL179&gt;$BK$7,"",VLOOKUP($BL179,$BN$8:$BT$507,3,FALSE()))</f>
        <v/>
      </c>
      <c r="BX179" s="98" t="str">
        <f aca="false">IF($BL179&gt;$BK$7,"",VLOOKUP($BL179,$BN$8:$BT$507,4,FALSE()))</f>
        <v/>
      </c>
      <c r="BY179" s="98" t="str">
        <f aca="false">IF($BL179&gt;$BK$7,"",VLOOKUP($BL179,$BN$8:$BT$507,5,FALSE()))</f>
        <v/>
      </c>
      <c r="BZ179" s="99" t="str">
        <f aca="false">IF($BL179&gt;$BK$7,"",VLOOKUP($BL179,$BN$8:$BT$507,6,FALSE()))</f>
        <v/>
      </c>
      <c r="CA179" s="48"/>
    </row>
    <row r="180" customFormat="false" ht="15.75" hidden="false" customHeight="false" outlineLevel="0" collapsed="false">
      <c r="A180" s="5"/>
      <c r="B180" s="114"/>
      <c r="C180" s="115"/>
      <c r="D180" s="100"/>
      <c r="E180" s="120"/>
      <c r="F180" s="125"/>
      <c r="G180" s="82"/>
      <c r="H180" s="126"/>
      <c r="I180" s="127"/>
      <c r="J180" s="82"/>
      <c r="K180" s="126"/>
      <c r="L180" s="82"/>
      <c r="M180" s="126"/>
      <c r="N180" s="82"/>
      <c r="O180" s="126"/>
      <c r="P180" s="82"/>
      <c r="Q180" s="126"/>
      <c r="R180" s="82"/>
      <c r="S180" s="120"/>
      <c r="T180" s="86"/>
      <c r="U180" s="87" t="str">
        <f aca="false">IF(ISBLANK($C180),"",IF(E180=Constants!$B$2, TRUE(), IF(E180=Constants!$B$3, FALSE(), TRUE())))</f>
        <v/>
      </c>
      <c r="V180" s="87" t="str">
        <f aca="false">IF(ISBLANK($C180),"",IF(F180=Constants!$B$2, TRUE(), IF(F180=Constants!$B$3, FALSE(), TRUE())))</f>
        <v/>
      </c>
      <c r="W180" s="87" t="str">
        <f aca="false">IF(ISBLANK($C180),"",IF(G180=Constants!$B$15,Constants!$B$8,IF(G180=Constants!$B$16,Constants!$B$9,Constants!$B$10)))</f>
        <v/>
      </c>
      <c r="X180" s="87" t="str">
        <f aca="false">IF(ISBLANK($C180),"",IF(H180=Constants!$B$2, TRUE(), IF(H180=Constants!$B$3, FALSE(), TRUE())))</f>
        <v/>
      </c>
      <c r="Y180" s="87" t="str">
        <f aca="false">IF(ISBLANK($C180),"",IF(I180=Constants!$B$19,Constants!$B$19,Constants!$B$18))</f>
        <v/>
      </c>
      <c r="Z180" s="87" t="str">
        <f aca="false">IF(ISBLANK($C180),"",IF(ISNUMBER(J180),IF(J180&gt;=0,J180,""),""))</f>
        <v/>
      </c>
      <c r="AA180" s="87" t="str">
        <f aca="false">IF(ISBLANK($C180),"",IF(K180=Constants!$B$19,Constants!$B$19,Constants!$B$18))</f>
        <v/>
      </c>
      <c r="AB180" s="87" t="str">
        <f aca="false">IF(ISBLANK($C180),"",IF(ISNUMBER(L180),IF(L180&gt;=0,L180,""),""))</f>
        <v/>
      </c>
      <c r="AC180" s="87" t="str">
        <f aca="false">IF(ISBLANK($C180),"",IF(M180=Constants!$B$19,Constants!$B$19,Constants!$B$18))</f>
        <v/>
      </c>
      <c r="AD180" s="87" t="str">
        <f aca="false">IF(ISBLANK($C180),"",IF(ISNUMBER(N180),IF(N180&gt;=0,N180,""),""))</f>
        <v/>
      </c>
      <c r="AE180" s="87" t="str">
        <f aca="false">IF(ISBLANK($C180),"",IF(O180=Constants!$B$19,Constants!$B$19,Constants!$B$18))</f>
        <v/>
      </c>
      <c r="AF180" s="87" t="str">
        <f aca="false">IF(ISBLANK($C180),"",IF(ISNUMBER(P180),IF(P180&gt;=0,P180,""),""))</f>
        <v/>
      </c>
      <c r="AG180" s="87" t="str">
        <f aca="false">IF(ISBLANK($C180),"",IF(Q180=Constants!$B$19,Constants!$B$19,Constants!$B$18))</f>
        <v/>
      </c>
      <c r="AH180" s="87" t="str">
        <f aca="false">IF(ISBLANK($C180),"",IF(ISNUMBER(R180),IF(R180&gt;=0,R180,""),""))</f>
        <v/>
      </c>
      <c r="AI180" s="87" t="str">
        <f aca="false">IF(ISBLANK($C180),"",IF(S180=Constants!$B$2, TRUE(), IF(S180=Constants!$B$3, FALSE(), FALSE())))</f>
        <v/>
      </c>
      <c r="AJ180" s="87" t="str">
        <f aca="false">IF(ISBLANK($C180),"",IF(AI180,Constants!$B$4,IF(COUNTA(E180:R180)=0,Constants!$B$5,IF(COUNTA(J180,L180,N180,P180,R180)=0,Constants!$B$6,Constants!$B$7))))</f>
        <v/>
      </c>
      <c r="AK180" s="87" t="str">
        <f aca="false">IF(ISBLANK($C180),"",IF($AJ180&lt;&gt;Constants!$B$7,$AJ180,IF(OR(NOT(X180),AND(NOT(U180),COUNTIFS(Y180:AG180,Constants!$B$18,Z180:AH180,"&gt;=0")&gt;0),AND(NOT(V180),COUNTIFS(Y180:AG180,Constants!$B$19,Z180:AH180,"&gt;=0")&gt;0)),Constants!$B$12,Constants!$B$11)))</f>
        <v/>
      </c>
      <c r="AL180" s="87" t="str">
        <f aca="false">IF($AJ180=Constants!$B$7,IF(Z180="",Constants!$B$13,Z180),"")</f>
        <v/>
      </c>
      <c r="AM180" s="87" t="str">
        <f aca="false">IF($AJ180=Constants!$B$7,IF(AB180="",Constants!$B$13,AB180),"")</f>
        <v/>
      </c>
      <c r="AN180" s="87" t="str">
        <f aca="false">IF($AJ180=Constants!$B$7,IF(AD180="",Constants!$B$13,AD180),"")</f>
        <v/>
      </c>
      <c r="AO180" s="87" t="str">
        <f aca="false">IF($AJ180=Constants!$B$7,IF(AF180="",Constants!$B$13,AF180),"")</f>
        <v/>
      </c>
      <c r="AP180" s="87" t="str">
        <f aca="false">IF($AJ180=Constants!$B$7,IF(AH180="",Constants!$B$13,AH180),"")</f>
        <v/>
      </c>
      <c r="AQ180" s="87" t="str">
        <f aca="false">IF($AJ180=Constants!$B$7,IF(SUMPRODUCT(--($AL180:$AP180&gt;AL180))+SUMPRODUCT(--($AL180:AL180=AL180))=1,1,IF(SUMPRODUCT(--($AL180:$AP180&gt;AM180))+SUMPRODUCT(--($AL180:AM180=AM180))=1,2,IF(SUMPRODUCT(--($AL180:$AP180&gt;AN180))+SUMPRODUCT(--($AL180:AN180=AN180))=1,3,IF(SUMPRODUCT(--($AL180:$AP180&gt;AO180))+SUMPRODUCT(--($AL180:AO180=AO180))=1,4,5)))),"")</f>
        <v/>
      </c>
      <c r="AR180" s="87" t="str">
        <f aca="false">IF($AJ180=Constants!$B$7,IF(SUMPRODUCT(--($AL180:$AP180&gt;AL180))+SUMPRODUCT(--($AL180:AL180=AL180))=2,1,IF(SUMPRODUCT(--($AL180:$AP180&gt;AM180))+SUMPRODUCT(--($AL180:AM180=AM180))=2,2,IF(SUMPRODUCT(--($AL180:$AP180&gt;AN180))+SUMPRODUCT(--($AL180:AN180=AN180))=2,3,IF(SUMPRODUCT(--($AL180:$AP180&gt;AO180))+SUMPRODUCT(--($AL180:AO180=AO180))=2,4,5)))),"")</f>
        <v/>
      </c>
      <c r="AS180" s="87" t="str">
        <f aca="false">IF($AJ180=Constants!$B$7,IF(SUMPRODUCT(--($AL180:$AP180&gt;AL180))+SUMPRODUCT(--($AL180:AL180=AL180))=3,1,IF(SUMPRODUCT(--($AL180:$AP180&gt;AM180))+SUMPRODUCT(--($AL180:AM180=AM180))=3,2,IF(SUMPRODUCT(--($AL180:$AP180&gt;AN180))+SUMPRODUCT(--($AL180:AN180=AN180))=3,3,IF(SUMPRODUCT(--($AL180:$AP180&gt;AO180))+SUMPRODUCT(--($AL180:AO180=AO180))=3,4,5)))),"")</f>
        <v/>
      </c>
      <c r="AT180" s="87" t="str">
        <f aca="false">IF($AJ180=Constants!$B$7,LARGE(AL180:AP180,1)+LARGE(AL180:AP180,2)+LARGE(AL180:AP180,3),"")</f>
        <v/>
      </c>
      <c r="AU180" s="87" t="str">
        <f aca="false">IF(ISBLANK($C180),"",IF($AJ180&lt;&gt;Constants!$B$7,$AJ180,AT180*W180))</f>
        <v/>
      </c>
      <c r="AV180" s="87" t="str">
        <f aca="false">IF(ISBLANK($C180),"",IF($AJ180=Constants!$B$7,IF(ISNUMBER(AU180),RANK(AU180,$AU$8:$AU$507),Constants!$B$14),$AJ180))</f>
        <v/>
      </c>
      <c r="AW180" s="87" t="str">
        <f aca="false">IF(ISBLANK($C180),"",IF($AJ180=Constants!$B$7,IF(ISNUMBER(AV180),COUNTIFS($AK$8:$AK$507,"&lt;"&amp;$AK180)+COUNTIFS($AK$8:$AK$507,$AK180,$AV$8:$AV$507,"&lt;"&amp;$AV180)+1,Constants!$B$14),$AJ180))</f>
        <v/>
      </c>
      <c r="AX180" s="87" t="str">
        <f aca="false">IF(ISBLANK($C180),"",IF($AJ180=Constants!$B$7,LARGE(AL180:AP180,4)*W180,""))</f>
        <v/>
      </c>
      <c r="AY180" s="87" t="str">
        <f aca="false">IF(ISBLANK($C180),"",IF($AJ180=Constants!$B$7,RANK(AX180,$AX$8:$AX$507),$AJ180))</f>
        <v/>
      </c>
      <c r="AZ180" s="87" t="str">
        <f aca="false">IF(ISBLANK($C180),"",IF($AJ180=Constants!$B$7,IF(ISNUMBER(AV180),COUNTIFS($AK$8:$AK$507,"&lt;"&amp;$AK180)+COUNTIFS($AK$8:$AK$507,$AK180,$AV$8:$AV$507,"&lt;"&amp;$AV180)+COUNTIFS($AK$8:$AK$507,$AK180,$AV$8:$AV$507,$AV180,$AY$8:$AY$507,"&lt;"&amp;$AY180)+1,Constants!$B$14),$AJ180))</f>
        <v/>
      </c>
      <c r="BA180" s="87" t="str">
        <f aca="false">IF(ISBLANK($C180),"",IF($AJ180=Constants!$B$7,IF(ISNUMBER(AW180),AW180-AZ180,Constants!$B$14),$AJ180))</f>
        <v/>
      </c>
      <c r="BB180" s="88"/>
      <c r="BC180" s="89" t="str">
        <f aca="false">IF(ISBLANK($C180),"",IF($AJ180&lt;&gt;Constants!$B$7,$AJ180,SMALL(AQ180:AS180,1)&amp;", "&amp;SMALL(AQ180:AS180,2)&amp;", "&amp;SMALL(AQ180:AS180,3)))</f>
        <v/>
      </c>
      <c r="BD180" s="90" t="str">
        <f aca="false">IF(ISBLANK($C180),"",IF($AJ180&lt;&gt;Constants!$B$7,$AJ180,W180))</f>
        <v/>
      </c>
      <c r="BE180" s="91" t="str">
        <f aca="false">IF(ISBLANK($C180),"",IF($AJ180&lt;&gt;Constants!$B$7,$AJ180,AU180))</f>
        <v/>
      </c>
      <c r="BF180" s="92" t="str">
        <f aca="false">IF(ISBLANK($C180),"",IF($AJ180&lt;&gt;Constants!$B$7,$AJ180,AK180))</f>
        <v/>
      </c>
      <c r="BG180" s="90" t="str">
        <f aca="false">IF(ISBLANK($C180),"",BA180)</f>
        <v/>
      </c>
      <c r="BH180" s="90" t="str">
        <f aca="false">IF(ISBLANK($C180),"",AZ180)</f>
        <v/>
      </c>
      <c r="BI180" s="93" t="str">
        <f aca="false">IF(ISBLANK($C180),"",IF(BH180=Constants!$B$4,COUNTA($C$8:$C$507)+2,IF(BH180=Constants!$B$5,COUNTA($C$8:$C$507)+1,IF(BH180=Constants!$B$6,COUNTA($C$8:$C$507),BH180))))</f>
        <v/>
      </c>
      <c r="BJ180" s="5"/>
      <c r="BK180" s="94" t="n">
        <f aca="false">IF(OR(ISNUMBER(BH180),BH180=Constants!$B$4,BH180=Constants!$B$6,BH180=Constants!$B$5),1,0)</f>
        <v>0</v>
      </c>
      <c r="BL180" s="94" t="n">
        <v>173</v>
      </c>
      <c r="BM180" s="94" t="str">
        <f aca="false">IF(ISBLANK($C180),"",IF(ISNUMBER(BI180),BI180+ROW($B180)/1000,""))</f>
        <v/>
      </c>
      <c r="BN180" s="94" t="str">
        <f aca="false">IF(ISNUMBER(BM180),RANK(BM180,$BM$8:$BM$507,1),"")</f>
        <v/>
      </c>
      <c r="BO180" s="94" t="str">
        <f aca="false">IF(ISBLANK($C180),"",$B180)</f>
        <v/>
      </c>
      <c r="BP180" s="94" t="str">
        <f aca="false">IF(ISBLANK($C180),"",$C180)</f>
        <v/>
      </c>
      <c r="BQ180" s="94" t="str">
        <f aca="false">IF(ISBLANK($C180),"",$D180)</f>
        <v/>
      </c>
      <c r="BR180" s="95" t="str">
        <f aca="false">BF180</f>
        <v/>
      </c>
      <c r="BS180" s="96" t="str">
        <f aca="false">BE180</f>
        <v/>
      </c>
      <c r="BT180" s="94" t="str">
        <f aca="false">IF(ISBLANK($C180),"",BH180)</f>
        <v/>
      </c>
      <c r="BU180" s="97" t="str">
        <f aca="false">IF($BL180&gt;$BK$7,"",VLOOKUP($BL180,$BN$8:$BT$507,7,FALSE()))</f>
        <v/>
      </c>
      <c r="BV180" s="98" t="str">
        <f aca="false">IF($BL180&gt;$BK$7,"",VLOOKUP($BL180,$BN$8:$BT$507,2,FALSE()))</f>
        <v/>
      </c>
      <c r="BW180" s="98" t="str">
        <f aca="false">IF($BL180&gt;$BK$7,"",VLOOKUP($BL180,$BN$8:$BT$507,3,FALSE()))</f>
        <v/>
      </c>
      <c r="BX180" s="98" t="str">
        <f aca="false">IF($BL180&gt;$BK$7,"",VLOOKUP($BL180,$BN$8:$BT$507,4,FALSE()))</f>
        <v/>
      </c>
      <c r="BY180" s="98" t="str">
        <f aca="false">IF($BL180&gt;$BK$7,"",VLOOKUP($BL180,$BN$8:$BT$507,5,FALSE()))</f>
        <v/>
      </c>
      <c r="BZ180" s="99" t="str">
        <f aca="false">IF($BL180&gt;$BK$7,"",VLOOKUP($BL180,$BN$8:$BT$507,6,FALSE()))</f>
        <v/>
      </c>
      <c r="CA180" s="48"/>
    </row>
    <row r="181" customFormat="false" ht="15.75" hidden="false" customHeight="false" outlineLevel="0" collapsed="false">
      <c r="A181" s="5"/>
      <c r="B181" s="114"/>
      <c r="C181" s="115"/>
      <c r="D181" s="100"/>
      <c r="E181" s="120"/>
      <c r="F181" s="125"/>
      <c r="G181" s="82"/>
      <c r="H181" s="126"/>
      <c r="I181" s="127"/>
      <c r="J181" s="82"/>
      <c r="K181" s="126"/>
      <c r="L181" s="82"/>
      <c r="M181" s="126"/>
      <c r="N181" s="82"/>
      <c r="O181" s="126"/>
      <c r="P181" s="82"/>
      <c r="Q181" s="126"/>
      <c r="R181" s="82"/>
      <c r="S181" s="120"/>
      <c r="T181" s="86"/>
      <c r="U181" s="87" t="str">
        <f aca="false">IF(ISBLANK($C181),"",IF(E181=Constants!$B$2, TRUE(), IF(E181=Constants!$B$3, FALSE(), TRUE())))</f>
        <v/>
      </c>
      <c r="V181" s="87" t="str">
        <f aca="false">IF(ISBLANK($C181),"",IF(F181=Constants!$B$2, TRUE(), IF(F181=Constants!$B$3, FALSE(), TRUE())))</f>
        <v/>
      </c>
      <c r="W181" s="87" t="str">
        <f aca="false">IF(ISBLANK($C181),"",IF(G181=Constants!$B$15,Constants!$B$8,IF(G181=Constants!$B$16,Constants!$B$9,Constants!$B$10)))</f>
        <v/>
      </c>
      <c r="X181" s="87" t="str">
        <f aca="false">IF(ISBLANK($C181),"",IF(H181=Constants!$B$2, TRUE(), IF(H181=Constants!$B$3, FALSE(), TRUE())))</f>
        <v/>
      </c>
      <c r="Y181" s="87" t="str">
        <f aca="false">IF(ISBLANK($C181),"",IF(I181=Constants!$B$19,Constants!$B$19,Constants!$B$18))</f>
        <v/>
      </c>
      <c r="Z181" s="87" t="str">
        <f aca="false">IF(ISBLANK($C181),"",IF(ISNUMBER(J181),IF(J181&gt;=0,J181,""),""))</f>
        <v/>
      </c>
      <c r="AA181" s="87" t="str">
        <f aca="false">IF(ISBLANK($C181),"",IF(K181=Constants!$B$19,Constants!$B$19,Constants!$B$18))</f>
        <v/>
      </c>
      <c r="AB181" s="87" t="str">
        <f aca="false">IF(ISBLANK($C181),"",IF(ISNUMBER(L181),IF(L181&gt;=0,L181,""),""))</f>
        <v/>
      </c>
      <c r="AC181" s="87" t="str">
        <f aca="false">IF(ISBLANK($C181),"",IF(M181=Constants!$B$19,Constants!$B$19,Constants!$B$18))</f>
        <v/>
      </c>
      <c r="AD181" s="87" t="str">
        <f aca="false">IF(ISBLANK($C181),"",IF(ISNUMBER(N181),IF(N181&gt;=0,N181,""),""))</f>
        <v/>
      </c>
      <c r="AE181" s="87" t="str">
        <f aca="false">IF(ISBLANK($C181),"",IF(O181=Constants!$B$19,Constants!$B$19,Constants!$B$18))</f>
        <v/>
      </c>
      <c r="AF181" s="87" t="str">
        <f aca="false">IF(ISBLANK($C181),"",IF(ISNUMBER(P181),IF(P181&gt;=0,P181,""),""))</f>
        <v/>
      </c>
      <c r="AG181" s="87" t="str">
        <f aca="false">IF(ISBLANK($C181),"",IF(Q181=Constants!$B$19,Constants!$B$19,Constants!$B$18))</f>
        <v/>
      </c>
      <c r="AH181" s="87" t="str">
        <f aca="false">IF(ISBLANK($C181),"",IF(ISNUMBER(R181),IF(R181&gt;=0,R181,""),""))</f>
        <v/>
      </c>
      <c r="AI181" s="87" t="str">
        <f aca="false">IF(ISBLANK($C181),"",IF(S181=Constants!$B$2, TRUE(), IF(S181=Constants!$B$3, FALSE(), FALSE())))</f>
        <v/>
      </c>
      <c r="AJ181" s="87" t="str">
        <f aca="false">IF(ISBLANK($C181),"",IF(AI181,Constants!$B$4,IF(COUNTA(E181:R181)=0,Constants!$B$5,IF(COUNTA(J181,L181,N181,P181,R181)=0,Constants!$B$6,Constants!$B$7))))</f>
        <v/>
      </c>
      <c r="AK181" s="87" t="str">
        <f aca="false">IF(ISBLANK($C181),"",IF($AJ181&lt;&gt;Constants!$B$7,$AJ181,IF(OR(NOT(X181),AND(NOT(U181),COUNTIFS(Y181:AG181,Constants!$B$18,Z181:AH181,"&gt;=0")&gt;0),AND(NOT(V181),COUNTIFS(Y181:AG181,Constants!$B$19,Z181:AH181,"&gt;=0")&gt;0)),Constants!$B$12,Constants!$B$11)))</f>
        <v/>
      </c>
      <c r="AL181" s="87" t="str">
        <f aca="false">IF($AJ181=Constants!$B$7,IF(Z181="",Constants!$B$13,Z181),"")</f>
        <v/>
      </c>
      <c r="AM181" s="87" t="str">
        <f aca="false">IF($AJ181=Constants!$B$7,IF(AB181="",Constants!$B$13,AB181),"")</f>
        <v/>
      </c>
      <c r="AN181" s="87" t="str">
        <f aca="false">IF($AJ181=Constants!$B$7,IF(AD181="",Constants!$B$13,AD181),"")</f>
        <v/>
      </c>
      <c r="AO181" s="87" t="str">
        <f aca="false">IF($AJ181=Constants!$B$7,IF(AF181="",Constants!$B$13,AF181),"")</f>
        <v/>
      </c>
      <c r="AP181" s="87" t="str">
        <f aca="false">IF($AJ181=Constants!$B$7,IF(AH181="",Constants!$B$13,AH181),"")</f>
        <v/>
      </c>
      <c r="AQ181" s="87" t="str">
        <f aca="false">IF($AJ181=Constants!$B$7,IF(SUMPRODUCT(--($AL181:$AP181&gt;AL181))+SUMPRODUCT(--($AL181:AL181=AL181))=1,1,IF(SUMPRODUCT(--($AL181:$AP181&gt;AM181))+SUMPRODUCT(--($AL181:AM181=AM181))=1,2,IF(SUMPRODUCT(--($AL181:$AP181&gt;AN181))+SUMPRODUCT(--($AL181:AN181=AN181))=1,3,IF(SUMPRODUCT(--($AL181:$AP181&gt;AO181))+SUMPRODUCT(--($AL181:AO181=AO181))=1,4,5)))),"")</f>
        <v/>
      </c>
      <c r="AR181" s="87" t="str">
        <f aca="false">IF($AJ181=Constants!$B$7,IF(SUMPRODUCT(--($AL181:$AP181&gt;AL181))+SUMPRODUCT(--($AL181:AL181=AL181))=2,1,IF(SUMPRODUCT(--($AL181:$AP181&gt;AM181))+SUMPRODUCT(--($AL181:AM181=AM181))=2,2,IF(SUMPRODUCT(--($AL181:$AP181&gt;AN181))+SUMPRODUCT(--($AL181:AN181=AN181))=2,3,IF(SUMPRODUCT(--($AL181:$AP181&gt;AO181))+SUMPRODUCT(--($AL181:AO181=AO181))=2,4,5)))),"")</f>
        <v/>
      </c>
      <c r="AS181" s="87" t="str">
        <f aca="false">IF($AJ181=Constants!$B$7,IF(SUMPRODUCT(--($AL181:$AP181&gt;AL181))+SUMPRODUCT(--($AL181:AL181=AL181))=3,1,IF(SUMPRODUCT(--($AL181:$AP181&gt;AM181))+SUMPRODUCT(--($AL181:AM181=AM181))=3,2,IF(SUMPRODUCT(--($AL181:$AP181&gt;AN181))+SUMPRODUCT(--($AL181:AN181=AN181))=3,3,IF(SUMPRODUCT(--($AL181:$AP181&gt;AO181))+SUMPRODUCT(--($AL181:AO181=AO181))=3,4,5)))),"")</f>
        <v/>
      </c>
      <c r="AT181" s="87" t="str">
        <f aca="false">IF($AJ181=Constants!$B$7,LARGE(AL181:AP181,1)+LARGE(AL181:AP181,2)+LARGE(AL181:AP181,3),"")</f>
        <v/>
      </c>
      <c r="AU181" s="87" t="str">
        <f aca="false">IF(ISBLANK($C181),"",IF($AJ181&lt;&gt;Constants!$B$7,$AJ181,AT181*W181))</f>
        <v/>
      </c>
      <c r="AV181" s="87" t="str">
        <f aca="false">IF(ISBLANK($C181),"",IF($AJ181=Constants!$B$7,IF(ISNUMBER(AU181),RANK(AU181,$AU$8:$AU$507),Constants!$B$14),$AJ181))</f>
        <v/>
      </c>
      <c r="AW181" s="87" t="str">
        <f aca="false">IF(ISBLANK($C181),"",IF($AJ181=Constants!$B$7,IF(ISNUMBER(AV181),COUNTIFS($AK$8:$AK$507,"&lt;"&amp;$AK181)+COUNTIFS($AK$8:$AK$507,$AK181,$AV$8:$AV$507,"&lt;"&amp;$AV181)+1,Constants!$B$14),$AJ181))</f>
        <v/>
      </c>
      <c r="AX181" s="87" t="str">
        <f aca="false">IF(ISBLANK($C181),"",IF($AJ181=Constants!$B$7,LARGE(AL181:AP181,4)*W181,""))</f>
        <v/>
      </c>
      <c r="AY181" s="87" t="str">
        <f aca="false">IF(ISBLANK($C181),"",IF($AJ181=Constants!$B$7,RANK(AX181,$AX$8:$AX$507),$AJ181))</f>
        <v/>
      </c>
      <c r="AZ181" s="87" t="str">
        <f aca="false">IF(ISBLANK($C181),"",IF($AJ181=Constants!$B$7,IF(ISNUMBER(AV181),COUNTIFS($AK$8:$AK$507,"&lt;"&amp;$AK181)+COUNTIFS($AK$8:$AK$507,$AK181,$AV$8:$AV$507,"&lt;"&amp;$AV181)+COUNTIFS($AK$8:$AK$507,$AK181,$AV$8:$AV$507,$AV181,$AY$8:$AY$507,"&lt;"&amp;$AY181)+1,Constants!$B$14),$AJ181))</f>
        <v/>
      </c>
      <c r="BA181" s="87" t="str">
        <f aca="false">IF(ISBLANK($C181),"",IF($AJ181=Constants!$B$7,IF(ISNUMBER(AW181),AW181-AZ181,Constants!$B$14),$AJ181))</f>
        <v/>
      </c>
      <c r="BB181" s="88"/>
      <c r="BC181" s="89" t="str">
        <f aca="false">IF(ISBLANK($C181),"",IF($AJ181&lt;&gt;Constants!$B$7,$AJ181,SMALL(AQ181:AS181,1)&amp;", "&amp;SMALL(AQ181:AS181,2)&amp;", "&amp;SMALL(AQ181:AS181,3)))</f>
        <v/>
      </c>
      <c r="BD181" s="90" t="str">
        <f aca="false">IF(ISBLANK($C181),"",IF($AJ181&lt;&gt;Constants!$B$7,$AJ181,W181))</f>
        <v/>
      </c>
      <c r="BE181" s="91" t="str">
        <f aca="false">IF(ISBLANK($C181),"",IF($AJ181&lt;&gt;Constants!$B$7,$AJ181,AU181))</f>
        <v/>
      </c>
      <c r="BF181" s="92" t="str">
        <f aca="false">IF(ISBLANK($C181),"",IF($AJ181&lt;&gt;Constants!$B$7,$AJ181,AK181))</f>
        <v/>
      </c>
      <c r="BG181" s="90" t="str">
        <f aca="false">IF(ISBLANK($C181),"",BA181)</f>
        <v/>
      </c>
      <c r="BH181" s="90" t="str">
        <f aca="false">IF(ISBLANK($C181),"",AZ181)</f>
        <v/>
      </c>
      <c r="BI181" s="93" t="str">
        <f aca="false">IF(ISBLANK($C181),"",IF(BH181=Constants!$B$4,COUNTA($C$8:$C$507)+2,IF(BH181=Constants!$B$5,COUNTA($C$8:$C$507)+1,IF(BH181=Constants!$B$6,COUNTA($C$8:$C$507),BH181))))</f>
        <v/>
      </c>
      <c r="BJ181" s="5"/>
      <c r="BK181" s="94" t="n">
        <f aca="false">IF(OR(ISNUMBER(BH181),BH181=Constants!$B$4,BH181=Constants!$B$6,BH181=Constants!$B$5),1,0)</f>
        <v>0</v>
      </c>
      <c r="BL181" s="94" t="n">
        <v>174</v>
      </c>
      <c r="BM181" s="94" t="str">
        <f aca="false">IF(ISBLANK($C181),"",IF(ISNUMBER(BI181),BI181+ROW($B181)/1000,""))</f>
        <v/>
      </c>
      <c r="BN181" s="94" t="str">
        <f aca="false">IF(ISNUMBER(BM181),RANK(BM181,$BM$8:$BM$507,1),"")</f>
        <v/>
      </c>
      <c r="BO181" s="94" t="str">
        <f aca="false">IF(ISBLANK($C181),"",$B181)</f>
        <v/>
      </c>
      <c r="BP181" s="94" t="str">
        <f aca="false">IF(ISBLANK($C181),"",$C181)</f>
        <v/>
      </c>
      <c r="BQ181" s="94" t="str">
        <f aca="false">IF(ISBLANK($C181),"",$D181)</f>
        <v/>
      </c>
      <c r="BR181" s="95" t="str">
        <f aca="false">BF181</f>
        <v/>
      </c>
      <c r="BS181" s="96" t="str">
        <f aca="false">BE181</f>
        <v/>
      </c>
      <c r="BT181" s="94" t="str">
        <f aca="false">IF(ISBLANK($C181),"",BH181)</f>
        <v/>
      </c>
      <c r="BU181" s="97" t="str">
        <f aca="false">IF($BL181&gt;$BK$7,"",VLOOKUP($BL181,$BN$8:$BT$507,7,FALSE()))</f>
        <v/>
      </c>
      <c r="BV181" s="98" t="str">
        <f aca="false">IF($BL181&gt;$BK$7,"",VLOOKUP($BL181,$BN$8:$BT$507,2,FALSE()))</f>
        <v/>
      </c>
      <c r="BW181" s="98" t="str">
        <f aca="false">IF($BL181&gt;$BK$7,"",VLOOKUP($BL181,$BN$8:$BT$507,3,FALSE()))</f>
        <v/>
      </c>
      <c r="BX181" s="98" t="str">
        <f aca="false">IF($BL181&gt;$BK$7,"",VLOOKUP($BL181,$BN$8:$BT$507,4,FALSE()))</f>
        <v/>
      </c>
      <c r="BY181" s="98" t="str">
        <f aca="false">IF($BL181&gt;$BK$7,"",VLOOKUP($BL181,$BN$8:$BT$507,5,FALSE()))</f>
        <v/>
      </c>
      <c r="BZ181" s="99" t="str">
        <f aca="false">IF($BL181&gt;$BK$7,"",VLOOKUP($BL181,$BN$8:$BT$507,6,FALSE()))</f>
        <v/>
      </c>
      <c r="CA181" s="48"/>
    </row>
    <row r="182" customFormat="false" ht="15.75" hidden="false" customHeight="false" outlineLevel="0" collapsed="false">
      <c r="A182" s="5"/>
      <c r="B182" s="121"/>
      <c r="C182" s="50"/>
      <c r="D182" s="51"/>
      <c r="E182" s="74"/>
      <c r="F182" s="122"/>
      <c r="G182" s="54"/>
      <c r="H182" s="123"/>
      <c r="I182" s="124"/>
      <c r="J182" s="54"/>
      <c r="K182" s="123"/>
      <c r="L182" s="54"/>
      <c r="M182" s="123"/>
      <c r="N182" s="54"/>
      <c r="O182" s="123"/>
      <c r="P182" s="54"/>
      <c r="Q182" s="123"/>
      <c r="R182" s="54"/>
      <c r="S182" s="74"/>
      <c r="T182" s="58"/>
      <c r="U182" s="59" t="str">
        <f aca="false">IF(ISBLANK($C182),"",IF(E182=Constants!$B$2, TRUE(), IF(E182=Constants!$B$3, FALSE(), TRUE())))</f>
        <v/>
      </c>
      <c r="V182" s="59" t="str">
        <f aca="false">IF(ISBLANK($C182),"",IF(F182=Constants!$B$2, TRUE(), IF(F182=Constants!$B$3, FALSE(), TRUE())))</f>
        <v/>
      </c>
      <c r="W182" s="59" t="str">
        <f aca="false">IF(ISBLANK($C182),"",IF(G182=Constants!$B$15,Constants!$B$8,IF(G182=Constants!$B$16,Constants!$B$9,Constants!$B$10)))</f>
        <v/>
      </c>
      <c r="X182" s="59" t="str">
        <f aca="false">IF(ISBLANK($C182),"",IF(H182=Constants!$B$2, TRUE(), IF(H182=Constants!$B$3, FALSE(), TRUE())))</f>
        <v/>
      </c>
      <c r="Y182" s="59" t="str">
        <f aca="false">IF(ISBLANK($C182),"",IF(I182=Constants!$B$19,Constants!$B$19,Constants!$B$18))</f>
        <v/>
      </c>
      <c r="Z182" s="59" t="str">
        <f aca="false">IF(ISBLANK($C182),"",IF(ISNUMBER(J182),IF(J182&gt;=0,J182,""),""))</f>
        <v/>
      </c>
      <c r="AA182" s="59" t="str">
        <f aca="false">IF(ISBLANK($C182),"",IF(K182=Constants!$B$19,Constants!$B$19,Constants!$B$18))</f>
        <v/>
      </c>
      <c r="AB182" s="59" t="str">
        <f aca="false">IF(ISBLANK($C182),"",IF(ISNUMBER(L182),IF(L182&gt;=0,L182,""),""))</f>
        <v/>
      </c>
      <c r="AC182" s="59" t="str">
        <f aca="false">IF(ISBLANK($C182),"",IF(M182=Constants!$B$19,Constants!$B$19,Constants!$B$18))</f>
        <v/>
      </c>
      <c r="AD182" s="59" t="str">
        <f aca="false">IF(ISBLANK($C182),"",IF(ISNUMBER(N182),IF(N182&gt;=0,N182,""),""))</f>
        <v/>
      </c>
      <c r="AE182" s="59" t="str">
        <f aca="false">IF(ISBLANK($C182),"",IF(O182=Constants!$B$19,Constants!$B$19,Constants!$B$18))</f>
        <v/>
      </c>
      <c r="AF182" s="59" t="str">
        <f aca="false">IF(ISBLANK($C182),"",IF(ISNUMBER(P182),IF(P182&gt;=0,P182,""),""))</f>
        <v/>
      </c>
      <c r="AG182" s="59" t="str">
        <f aca="false">IF(ISBLANK($C182),"",IF(Q182=Constants!$B$19,Constants!$B$19,Constants!$B$18))</f>
        <v/>
      </c>
      <c r="AH182" s="59" t="str">
        <f aca="false">IF(ISBLANK($C182),"",IF(ISNUMBER(R182),IF(R182&gt;=0,R182,""),""))</f>
        <v/>
      </c>
      <c r="AI182" s="59" t="str">
        <f aca="false">IF(ISBLANK($C182),"",IF(S182=Constants!$B$2, TRUE(), IF(S182=Constants!$B$3, FALSE(), FALSE())))</f>
        <v/>
      </c>
      <c r="AJ182" s="59" t="str">
        <f aca="false">IF(ISBLANK($C182),"",IF(AI182,Constants!$B$4,IF(COUNTA(E182:R182)=0,Constants!$B$5,IF(COUNTA(J182,L182,N182,P182,R182)=0,Constants!$B$6,Constants!$B$7))))</f>
        <v/>
      </c>
      <c r="AK182" s="59" t="str">
        <f aca="false">IF(ISBLANK($C182),"",IF($AJ182&lt;&gt;Constants!$B$7,$AJ182,IF(OR(NOT(X182),AND(NOT(U182),COUNTIFS(Y182:AG182,Constants!$B$18,Z182:AH182,"&gt;=0")&gt;0),AND(NOT(V182),COUNTIFS(Y182:AG182,Constants!$B$19,Z182:AH182,"&gt;=0")&gt;0)),Constants!$B$12,Constants!$B$11)))</f>
        <v/>
      </c>
      <c r="AL182" s="59" t="str">
        <f aca="false">IF($AJ182=Constants!$B$7,IF(Z182="",Constants!$B$13,Z182),"")</f>
        <v/>
      </c>
      <c r="AM182" s="59" t="str">
        <f aca="false">IF($AJ182=Constants!$B$7,IF(AB182="",Constants!$B$13,AB182),"")</f>
        <v/>
      </c>
      <c r="AN182" s="59" t="str">
        <f aca="false">IF($AJ182=Constants!$B$7,IF(AD182="",Constants!$B$13,AD182),"")</f>
        <v/>
      </c>
      <c r="AO182" s="59" t="str">
        <f aca="false">IF($AJ182=Constants!$B$7,IF(AF182="",Constants!$B$13,AF182),"")</f>
        <v/>
      </c>
      <c r="AP182" s="59" t="str">
        <f aca="false">IF($AJ182=Constants!$B$7,IF(AH182="",Constants!$B$13,AH182),"")</f>
        <v/>
      </c>
      <c r="AQ182" s="59" t="str">
        <f aca="false">IF($AJ182=Constants!$B$7,IF(SUMPRODUCT(--($AL182:$AP182&gt;AL182))+SUMPRODUCT(--($AL182:AL182=AL182))=1,1,IF(SUMPRODUCT(--($AL182:$AP182&gt;AM182))+SUMPRODUCT(--($AL182:AM182=AM182))=1,2,IF(SUMPRODUCT(--($AL182:$AP182&gt;AN182))+SUMPRODUCT(--($AL182:AN182=AN182))=1,3,IF(SUMPRODUCT(--($AL182:$AP182&gt;AO182))+SUMPRODUCT(--($AL182:AO182=AO182))=1,4,5)))),"")</f>
        <v/>
      </c>
      <c r="AR182" s="59" t="str">
        <f aca="false">IF($AJ182=Constants!$B$7,IF(SUMPRODUCT(--($AL182:$AP182&gt;AL182))+SUMPRODUCT(--($AL182:AL182=AL182))=2,1,IF(SUMPRODUCT(--($AL182:$AP182&gt;AM182))+SUMPRODUCT(--($AL182:AM182=AM182))=2,2,IF(SUMPRODUCT(--($AL182:$AP182&gt;AN182))+SUMPRODUCT(--($AL182:AN182=AN182))=2,3,IF(SUMPRODUCT(--($AL182:$AP182&gt;AO182))+SUMPRODUCT(--($AL182:AO182=AO182))=2,4,5)))),"")</f>
        <v/>
      </c>
      <c r="AS182" s="59" t="str">
        <f aca="false">IF($AJ182=Constants!$B$7,IF(SUMPRODUCT(--($AL182:$AP182&gt;AL182))+SUMPRODUCT(--($AL182:AL182=AL182))=3,1,IF(SUMPRODUCT(--($AL182:$AP182&gt;AM182))+SUMPRODUCT(--($AL182:AM182=AM182))=3,2,IF(SUMPRODUCT(--($AL182:$AP182&gt;AN182))+SUMPRODUCT(--($AL182:AN182=AN182))=3,3,IF(SUMPRODUCT(--($AL182:$AP182&gt;AO182))+SUMPRODUCT(--($AL182:AO182=AO182))=3,4,5)))),"")</f>
        <v/>
      </c>
      <c r="AT182" s="59" t="str">
        <f aca="false">IF($AJ182=Constants!$B$7,LARGE(AL182:AP182,1)+LARGE(AL182:AP182,2)+LARGE(AL182:AP182,3),"")</f>
        <v/>
      </c>
      <c r="AU182" s="59" t="str">
        <f aca="false">IF(ISBLANK($C182),"",IF($AJ182&lt;&gt;Constants!$B$7,$AJ182,AT182*W182))</f>
        <v/>
      </c>
      <c r="AV182" s="59" t="str">
        <f aca="false">IF(ISBLANK($C182),"",IF($AJ182=Constants!$B$7,IF(ISNUMBER(AU182),RANK(AU182,$AU$8:$AU$507),Constants!$B$14),$AJ182))</f>
        <v/>
      </c>
      <c r="AW182" s="59" t="str">
        <f aca="false">IF(ISBLANK($C182),"",IF($AJ182=Constants!$B$7,IF(ISNUMBER(AV182),COUNTIFS($AK$8:$AK$507,"&lt;"&amp;$AK182)+COUNTIFS($AK$8:$AK$507,$AK182,$AV$8:$AV$507,"&lt;"&amp;$AV182)+1,Constants!$B$14),$AJ182))</f>
        <v/>
      </c>
      <c r="AX182" s="59" t="str">
        <f aca="false">IF(ISBLANK($C182),"",IF($AJ182=Constants!$B$7,LARGE(AL182:AP182,4)*W182,""))</f>
        <v/>
      </c>
      <c r="AY182" s="59" t="str">
        <f aca="false">IF(ISBLANK($C182),"",IF($AJ182=Constants!$B$7,RANK(AX182,$AX$8:$AX$507),$AJ182))</f>
        <v/>
      </c>
      <c r="AZ182" s="59" t="str">
        <f aca="false">IF(ISBLANK($C182),"",IF($AJ182=Constants!$B$7,IF(ISNUMBER(AV182),COUNTIFS($AK$8:$AK$507,"&lt;"&amp;$AK182)+COUNTIFS($AK$8:$AK$507,$AK182,$AV$8:$AV$507,"&lt;"&amp;$AV182)+COUNTIFS($AK$8:$AK$507,$AK182,$AV$8:$AV$507,$AV182,$AY$8:$AY$507,"&lt;"&amp;$AY182)+1,Constants!$B$14),$AJ182))</f>
        <v/>
      </c>
      <c r="BA182" s="59" t="str">
        <f aca="false">IF(ISBLANK($C182),"",IF($AJ182=Constants!$B$7,IF(ISNUMBER(AW182),AW182-AZ182,Constants!$B$14),$AJ182))</f>
        <v/>
      </c>
      <c r="BB182" s="61"/>
      <c r="BC182" s="62" t="str">
        <f aca="false">IF(ISBLANK($C182),"",IF($AJ182&lt;&gt;Constants!$B$7,$AJ182,SMALL(AQ182:AS182,1)&amp;", "&amp;SMALL(AQ182:AS182,2)&amp;", "&amp;SMALL(AQ182:AS182,3)))</f>
        <v/>
      </c>
      <c r="BD182" s="63" t="str">
        <f aca="false">IF(ISBLANK($C182),"",IF($AJ182&lt;&gt;Constants!$B$7,$AJ182,W182))</f>
        <v/>
      </c>
      <c r="BE182" s="64" t="str">
        <f aca="false">IF(ISBLANK($C182),"",IF($AJ182&lt;&gt;Constants!$B$7,$AJ182,AU182))</f>
        <v/>
      </c>
      <c r="BF182" s="65" t="str">
        <f aca="false">IF(ISBLANK($C182),"",IF($AJ182&lt;&gt;Constants!$B$7,$AJ182,AK182))</f>
        <v/>
      </c>
      <c r="BG182" s="63" t="str">
        <f aca="false">IF(ISBLANK($C182),"",BA182)</f>
        <v/>
      </c>
      <c r="BH182" s="63" t="str">
        <f aca="false">IF(ISBLANK($C182),"",AZ182)</f>
        <v/>
      </c>
      <c r="BI182" s="66" t="str">
        <f aca="false">IF(ISBLANK($C182),"",IF(BH182=Constants!$B$4,COUNTA($C$8:$C$507)+2,IF(BH182=Constants!$B$5,COUNTA($C$8:$C$507)+1,IF(BH182=Constants!$B$6,COUNTA($C$8:$C$507),BH182))))</f>
        <v/>
      </c>
      <c r="BJ182" s="5"/>
      <c r="BK182" s="67" t="n">
        <f aca="false">IF(OR(ISNUMBER(BH182),BH182=Constants!$B$4,BH182=Constants!$B$6,BH182=Constants!$B$5),1,0)</f>
        <v>0</v>
      </c>
      <c r="BL182" s="67" t="n">
        <v>175</v>
      </c>
      <c r="BM182" s="67" t="str">
        <f aca="false">IF(ISBLANK($C182),"",IF(ISNUMBER(BI182),BI182+ROW($B182)/1000,""))</f>
        <v/>
      </c>
      <c r="BN182" s="67" t="str">
        <f aca="false">IF(ISNUMBER(BM182),RANK(BM182,$BM$8:$BM$507,1),"")</f>
        <v/>
      </c>
      <c r="BO182" s="67" t="str">
        <f aca="false">IF(ISBLANK($C182),"",$B182)</f>
        <v/>
      </c>
      <c r="BP182" s="67" t="str">
        <f aca="false">IF(ISBLANK($C182),"",$C182)</f>
        <v/>
      </c>
      <c r="BQ182" s="67" t="str">
        <f aca="false">IF(ISBLANK($C182),"",$D182)</f>
        <v/>
      </c>
      <c r="BR182" s="68" t="str">
        <f aca="false">BF182</f>
        <v/>
      </c>
      <c r="BS182" s="69" t="str">
        <f aca="false">BE182</f>
        <v/>
      </c>
      <c r="BT182" s="67" t="str">
        <f aca="false">IF(ISBLANK($C182),"",BH182)</f>
        <v/>
      </c>
      <c r="BU182" s="70" t="str">
        <f aca="false">IF($BL182&gt;$BK$7,"",VLOOKUP($BL182,$BN$8:$BT$507,7,FALSE()))</f>
        <v/>
      </c>
      <c r="BV182" s="71" t="str">
        <f aca="false">IF($BL182&gt;$BK$7,"",VLOOKUP($BL182,$BN$8:$BT$507,2,FALSE()))</f>
        <v/>
      </c>
      <c r="BW182" s="71" t="str">
        <f aca="false">IF($BL182&gt;$BK$7,"",VLOOKUP($BL182,$BN$8:$BT$507,3,FALSE()))</f>
        <v/>
      </c>
      <c r="BX182" s="71" t="str">
        <f aca="false">IF($BL182&gt;$BK$7,"",VLOOKUP($BL182,$BN$8:$BT$507,4,FALSE()))</f>
        <v/>
      </c>
      <c r="BY182" s="71" t="str">
        <f aca="false">IF($BL182&gt;$BK$7,"",VLOOKUP($BL182,$BN$8:$BT$507,5,FALSE()))</f>
        <v/>
      </c>
      <c r="BZ182" s="72" t="str">
        <f aca="false">IF($BL182&gt;$BK$7,"",VLOOKUP($BL182,$BN$8:$BT$507,6,FALSE()))</f>
        <v/>
      </c>
      <c r="CA182" s="48"/>
    </row>
    <row r="183" customFormat="false" ht="15.75" hidden="false" customHeight="false" outlineLevel="0" collapsed="false">
      <c r="A183" s="5"/>
      <c r="B183" s="121"/>
      <c r="C183" s="50"/>
      <c r="D183" s="51"/>
      <c r="E183" s="74"/>
      <c r="F183" s="122"/>
      <c r="G183" s="54"/>
      <c r="H183" s="123"/>
      <c r="I183" s="124"/>
      <c r="J183" s="54"/>
      <c r="K183" s="123"/>
      <c r="L183" s="54"/>
      <c r="M183" s="123"/>
      <c r="N183" s="54"/>
      <c r="O183" s="123"/>
      <c r="P183" s="54"/>
      <c r="Q183" s="123"/>
      <c r="R183" s="54"/>
      <c r="S183" s="74"/>
      <c r="T183" s="58"/>
      <c r="U183" s="59" t="str">
        <f aca="false">IF(ISBLANK($C183),"",IF(E183=Constants!$B$2, TRUE(), IF(E183=Constants!$B$3, FALSE(), TRUE())))</f>
        <v/>
      </c>
      <c r="V183" s="59" t="str">
        <f aca="false">IF(ISBLANK($C183),"",IF(F183=Constants!$B$2, TRUE(), IF(F183=Constants!$B$3, FALSE(), TRUE())))</f>
        <v/>
      </c>
      <c r="W183" s="59" t="str">
        <f aca="false">IF(ISBLANK($C183),"",IF(G183=Constants!$B$15,Constants!$B$8,IF(G183=Constants!$B$16,Constants!$B$9,Constants!$B$10)))</f>
        <v/>
      </c>
      <c r="X183" s="59" t="str">
        <f aca="false">IF(ISBLANK($C183),"",IF(H183=Constants!$B$2, TRUE(), IF(H183=Constants!$B$3, FALSE(), TRUE())))</f>
        <v/>
      </c>
      <c r="Y183" s="59" t="str">
        <f aca="false">IF(ISBLANK($C183),"",IF(I183=Constants!$B$19,Constants!$B$19,Constants!$B$18))</f>
        <v/>
      </c>
      <c r="Z183" s="59" t="str">
        <f aca="false">IF(ISBLANK($C183),"",IF(ISNUMBER(J183),IF(J183&gt;=0,J183,""),""))</f>
        <v/>
      </c>
      <c r="AA183" s="59" t="str">
        <f aca="false">IF(ISBLANK($C183),"",IF(K183=Constants!$B$19,Constants!$B$19,Constants!$B$18))</f>
        <v/>
      </c>
      <c r="AB183" s="59" t="str">
        <f aca="false">IF(ISBLANK($C183),"",IF(ISNUMBER(L183),IF(L183&gt;=0,L183,""),""))</f>
        <v/>
      </c>
      <c r="AC183" s="59" t="str">
        <f aca="false">IF(ISBLANK($C183),"",IF(M183=Constants!$B$19,Constants!$B$19,Constants!$B$18))</f>
        <v/>
      </c>
      <c r="AD183" s="59" t="str">
        <f aca="false">IF(ISBLANK($C183),"",IF(ISNUMBER(N183),IF(N183&gt;=0,N183,""),""))</f>
        <v/>
      </c>
      <c r="AE183" s="59" t="str">
        <f aca="false">IF(ISBLANK($C183),"",IF(O183=Constants!$B$19,Constants!$B$19,Constants!$B$18))</f>
        <v/>
      </c>
      <c r="AF183" s="59" t="str">
        <f aca="false">IF(ISBLANK($C183),"",IF(ISNUMBER(P183),IF(P183&gt;=0,P183,""),""))</f>
        <v/>
      </c>
      <c r="AG183" s="59" t="str">
        <f aca="false">IF(ISBLANK($C183),"",IF(Q183=Constants!$B$19,Constants!$B$19,Constants!$B$18))</f>
        <v/>
      </c>
      <c r="AH183" s="59" t="str">
        <f aca="false">IF(ISBLANK($C183),"",IF(ISNUMBER(R183),IF(R183&gt;=0,R183,""),""))</f>
        <v/>
      </c>
      <c r="AI183" s="59" t="str">
        <f aca="false">IF(ISBLANK($C183),"",IF(S183=Constants!$B$2, TRUE(), IF(S183=Constants!$B$3, FALSE(), FALSE())))</f>
        <v/>
      </c>
      <c r="AJ183" s="59" t="str">
        <f aca="false">IF(ISBLANK($C183),"",IF(AI183,Constants!$B$4,IF(COUNTA(E183:R183)=0,Constants!$B$5,IF(COUNTA(J183,L183,N183,P183,R183)=0,Constants!$B$6,Constants!$B$7))))</f>
        <v/>
      </c>
      <c r="AK183" s="59" t="str">
        <f aca="false">IF(ISBLANK($C183),"",IF($AJ183&lt;&gt;Constants!$B$7,$AJ183,IF(OR(NOT(X183),AND(NOT(U183),COUNTIFS(Y183:AG183,Constants!$B$18,Z183:AH183,"&gt;=0")&gt;0),AND(NOT(V183),COUNTIFS(Y183:AG183,Constants!$B$19,Z183:AH183,"&gt;=0")&gt;0)),Constants!$B$12,Constants!$B$11)))</f>
        <v/>
      </c>
      <c r="AL183" s="59" t="str">
        <f aca="false">IF($AJ183=Constants!$B$7,IF(Z183="",Constants!$B$13,Z183),"")</f>
        <v/>
      </c>
      <c r="AM183" s="59" t="str">
        <f aca="false">IF($AJ183=Constants!$B$7,IF(AB183="",Constants!$B$13,AB183),"")</f>
        <v/>
      </c>
      <c r="AN183" s="59" t="str">
        <f aca="false">IF($AJ183=Constants!$B$7,IF(AD183="",Constants!$B$13,AD183),"")</f>
        <v/>
      </c>
      <c r="AO183" s="59" t="str">
        <f aca="false">IF($AJ183=Constants!$B$7,IF(AF183="",Constants!$B$13,AF183),"")</f>
        <v/>
      </c>
      <c r="AP183" s="59" t="str">
        <f aca="false">IF($AJ183=Constants!$B$7,IF(AH183="",Constants!$B$13,AH183),"")</f>
        <v/>
      </c>
      <c r="AQ183" s="59" t="str">
        <f aca="false">IF($AJ183=Constants!$B$7,IF(SUMPRODUCT(--($AL183:$AP183&gt;AL183))+SUMPRODUCT(--($AL183:AL183=AL183))=1,1,IF(SUMPRODUCT(--($AL183:$AP183&gt;AM183))+SUMPRODUCT(--($AL183:AM183=AM183))=1,2,IF(SUMPRODUCT(--($AL183:$AP183&gt;AN183))+SUMPRODUCT(--($AL183:AN183=AN183))=1,3,IF(SUMPRODUCT(--($AL183:$AP183&gt;AO183))+SUMPRODUCT(--($AL183:AO183=AO183))=1,4,5)))),"")</f>
        <v/>
      </c>
      <c r="AR183" s="59" t="str">
        <f aca="false">IF($AJ183=Constants!$B$7,IF(SUMPRODUCT(--($AL183:$AP183&gt;AL183))+SUMPRODUCT(--($AL183:AL183=AL183))=2,1,IF(SUMPRODUCT(--($AL183:$AP183&gt;AM183))+SUMPRODUCT(--($AL183:AM183=AM183))=2,2,IF(SUMPRODUCT(--($AL183:$AP183&gt;AN183))+SUMPRODUCT(--($AL183:AN183=AN183))=2,3,IF(SUMPRODUCT(--($AL183:$AP183&gt;AO183))+SUMPRODUCT(--($AL183:AO183=AO183))=2,4,5)))),"")</f>
        <v/>
      </c>
      <c r="AS183" s="59" t="str">
        <f aca="false">IF($AJ183=Constants!$B$7,IF(SUMPRODUCT(--($AL183:$AP183&gt;AL183))+SUMPRODUCT(--($AL183:AL183=AL183))=3,1,IF(SUMPRODUCT(--($AL183:$AP183&gt;AM183))+SUMPRODUCT(--($AL183:AM183=AM183))=3,2,IF(SUMPRODUCT(--($AL183:$AP183&gt;AN183))+SUMPRODUCT(--($AL183:AN183=AN183))=3,3,IF(SUMPRODUCT(--($AL183:$AP183&gt;AO183))+SUMPRODUCT(--($AL183:AO183=AO183))=3,4,5)))),"")</f>
        <v/>
      </c>
      <c r="AT183" s="59" t="str">
        <f aca="false">IF($AJ183=Constants!$B$7,LARGE(AL183:AP183,1)+LARGE(AL183:AP183,2)+LARGE(AL183:AP183,3),"")</f>
        <v/>
      </c>
      <c r="AU183" s="59" t="str">
        <f aca="false">IF(ISBLANK($C183),"",IF($AJ183&lt;&gt;Constants!$B$7,$AJ183,AT183*W183))</f>
        <v/>
      </c>
      <c r="AV183" s="59" t="str">
        <f aca="false">IF(ISBLANK($C183),"",IF($AJ183=Constants!$B$7,IF(ISNUMBER(AU183),RANK(AU183,$AU$8:$AU$507),Constants!$B$14),$AJ183))</f>
        <v/>
      </c>
      <c r="AW183" s="59" t="str">
        <f aca="false">IF(ISBLANK($C183),"",IF($AJ183=Constants!$B$7,IF(ISNUMBER(AV183),COUNTIFS($AK$8:$AK$507,"&lt;"&amp;$AK183)+COUNTIFS($AK$8:$AK$507,$AK183,$AV$8:$AV$507,"&lt;"&amp;$AV183)+1,Constants!$B$14),$AJ183))</f>
        <v/>
      </c>
      <c r="AX183" s="59" t="str">
        <f aca="false">IF(ISBLANK($C183),"",IF($AJ183=Constants!$B$7,LARGE(AL183:AP183,4)*W183,""))</f>
        <v/>
      </c>
      <c r="AY183" s="59" t="str">
        <f aca="false">IF(ISBLANK($C183),"",IF($AJ183=Constants!$B$7,RANK(AX183,$AX$8:$AX$507),$AJ183))</f>
        <v/>
      </c>
      <c r="AZ183" s="59" t="str">
        <f aca="false">IF(ISBLANK($C183),"",IF($AJ183=Constants!$B$7,IF(ISNUMBER(AV183),COUNTIFS($AK$8:$AK$507,"&lt;"&amp;$AK183)+COUNTIFS($AK$8:$AK$507,$AK183,$AV$8:$AV$507,"&lt;"&amp;$AV183)+COUNTIFS($AK$8:$AK$507,$AK183,$AV$8:$AV$507,$AV183,$AY$8:$AY$507,"&lt;"&amp;$AY183)+1,Constants!$B$14),$AJ183))</f>
        <v/>
      </c>
      <c r="BA183" s="59" t="str">
        <f aca="false">IF(ISBLANK($C183),"",IF($AJ183=Constants!$B$7,IF(ISNUMBER(AW183),AW183-AZ183,Constants!$B$14),$AJ183))</f>
        <v/>
      </c>
      <c r="BB183" s="61"/>
      <c r="BC183" s="62" t="str">
        <f aca="false">IF(ISBLANK($C183),"",IF($AJ183&lt;&gt;Constants!$B$7,$AJ183,SMALL(AQ183:AS183,1)&amp;", "&amp;SMALL(AQ183:AS183,2)&amp;", "&amp;SMALL(AQ183:AS183,3)))</f>
        <v/>
      </c>
      <c r="BD183" s="63" t="str">
        <f aca="false">IF(ISBLANK($C183),"",IF($AJ183&lt;&gt;Constants!$B$7,$AJ183,W183))</f>
        <v/>
      </c>
      <c r="BE183" s="64" t="str">
        <f aca="false">IF(ISBLANK($C183),"",IF($AJ183&lt;&gt;Constants!$B$7,$AJ183,AU183))</f>
        <v/>
      </c>
      <c r="BF183" s="65" t="str">
        <f aca="false">IF(ISBLANK($C183),"",IF($AJ183&lt;&gt;Constants!$B$7,$AJ183,AK183))</f>
        <v/>
      </c>
      <c r="BG183" s="63" t="str">
        <f aca="false">IF(ISBLANK($C183),"",BA183)</f>
        <v/>
      </c>
      <c r="BH183" s="63" t="str">
        <f aca="false">IF(ISBLANK($C183),"",AZ183)</f>
        <v/>
      </c>
      <c r="BI183" s="66" t="str">
        <f aca="false">IF(ISBLANK($C183),"",IF(BH183=Constants!$B$4,COUNTA($C$8:$C$507)+2,IF(BH183=Constants!$B$5,COUNTA($C$8:$C$507)+1,IF(BH183=Constants!$B$6,COUNTA($C$8:$C$507),BH183))))</f>
        <v/>
      </c>
      <c r="BJ183" s="5"/>
      <c r="BK183" s="67" t="n">
        <f aca="false">IF(OR(ISNUMBER(BH183),BH183=Constants!$B$4,BH183=Constants!$B$6,BH183=Constants!$B$5),1,0)</f>
        <v>0</v>
      </c>
      <c r="BL183" s="67" t="n">
        <v>176</v>
      </c>
      <c r="BM183" s="67" t="str">
        <f aca="false">IF(ISBLANK($C183),"",IF(ISNUMBER(BI183),BI183+ROW($B183)/1000,""))</f>
        <v/>
      </c>
      <c r="BN183" s="67" t="str">
        <f aca="false">IF(ISNUMBER(BM183),RANK(BM183,$BM$8:$BM$507,1),"")</f>
        <v/>
      </c>
      <c r="BO183" s="67" t="str">
        <f aca="false">IF(ISBLANK($C183),"",$B183)</f>
        <v/>
      </c>
      <c r="BP183" s="67" t="str">
        <f aca="false">IF(ISBLANK($C183),"",$C183)</f>
        <v/>
      </c>
      <c r="BQ183" s="67" t="str">
        <f aca="false">IF(ISBLANK($C183),"",$D183)</f>
        <v/>
      </c>
      <c r="BR183" s="68" t="str">
        <f aca="false">BF183</f>
        <v/>
      </c>
      <c r="BS183" s="69" t="str">
        <f aca="false">BE183</f>
        <v/>
      </c>
      <c r="BT183" s="67" t="str">
        <f aca="false">IF(ISBLANK($C183),"",BH183)</f>
        <v/>
      </c>
      <c r="BU183" s="70" t="str">
        <f aca="false">IF($BL183&gt;$BK$7,"",VLOOKUP($BL183,$BN$8:$BT$507,7,FALSE()))</f>
        <v/>
      </c>
      <c r="BV183" s="71" t="str">
        <f aca="false">IF($BL183&gt;$BK$7,"",VLOOKUP($BL183,$BN$8:$BT$507,2,FALSE()))</f>
        <v/>
      </c>
      <c r="BW183" s="71" t="str">
        <f aca="false">IF($BL183&gt;$BK$7,"",VLOOKUP($BL183,$BN$8:$BT$507,3,FALSE()))</f>
        <v/>
      </c>
      <c r="BX183" s="71" t="str">
        <f aca="false">IF($BL183&gt;$BK$7,"",VLOOKUP($BL183,$BN$8:$BT$507,4,FALSE()))</f>
        <v/>
      </c>
      <c r="BY183" s="71" t="str">
        <f aca="false">IF($BL183&gt;$BK$7,"",VLOOKUP($BL183,$BN$8:$BT$507,5,FALSE()))</f>
        <v/>
      </c>
      <c r="BZ183" s="72" t="str">
        <f aca="false">IF($BL183&gt;$BK$7,"",VLOOKUP($BL183,$BN$8:$BT$507,6,FALSE()))</f>
        <v/>
      </c>
      <c r="CA183" s="48"/>
    </row>
    <row r="184" customFormat="false" ht="15.75" hidden="false" customHeight="false" outlineLevel="0" collapsed="false">
      <c r="A184" s="5"/>
      <c r="B184" s="121"/>
      <c r="C184" s="50"/>
      <c r="D184" s="51"/>
      <c r="E184" s="74"/>
      <c r="F184" s="122"/>
      <c r="G184" s="54"/>
      <c r="H184" s="123"/>
      <c r="I184" s="124"/>
      <c r="J184" s="54"/>
      <c r="K184" s="123"/>
      <c r="L184" s="54"/>
      <c r="M184" s="123"/>
      <c r="N184" s="54"/>
      <c r="O184" s="123"/>
      <c r="P184" s="54"/>
      <c r="Q184" s="123"/>
      <c r="R184" s="54"/>
      <c r="S184" s="74"/>
      <c r="T184" s="58"/>
      <c r="U184" s="59" t="str">
        <f aca="false">IF(ISBLANK($C184),"",IF(E184=Constants!$B$2, TRUE(), IF(E184=Constants!$B$3, FALSE(), TRUE())))</f>
        <v/>
      </c>
      <c r="V184" s="59" t="str">
        <f aca="false">IF(ISBLANK($C184),"",IF(F184=Constants!$B$2, TRUE(), IF(F184=Constants!$B$3, FALSE(), TRUE())))</f>
        <v/>
      </c>
      <c r="W184" s="59" t="str">
        <f aca="false">IF(ISBLANK($C184),"",IF(G184=Constants!$B$15,Constants!$B$8,IF(G184=Constants!$B$16,Constants!$B$9,Constants!$B$10)))</f>
        <v/>
      </c>
      <c r="X184" s="59" t="str">
        <f aca="false">IF(ISBLANK($C184),"",IF(H184=Constants!$B$2, TRUE(), IF(H184=Constants!$B$3, FALSE(), TRUE())))</f>
        <v/>
      </c>
      <c r="Y184" s="59" t="str">
        <f aca="false">IF(ISBLANK($C184),"",IF(I184=Constants!$B$19,Constants!$B$19,Constants!$B$18))</f>
        <v/>
      </c>
      <c r="Z184" s="59" t="str">
        <f aca="false">IF(ISBLANK($C184),"",IF(ISNUMBER(J184),IF(J184&gt;=0,J184,""),""))</f>
        <v/>
      </c>
      <c r="AA184" s="59" t="str">
        <f aca="false">IF(ISBLANK($C184),"",IF(K184=Constants!$B$19,Constants!$B$19,Constants!$B$18))</f>
        <v/>
      </c>
      <c r="AB184" s="59" t="str">
        <f aca="false">IF(ISBLANK($C184),"",IF(ISNUMBER(L184),IF(L184&gt;=0,L184,""),""))</f>
        <v/>
      </c>
      <c r="AC184" s="59" t="str">
        <f aca="false">IF(ISBLANK($C184),"",IF(M184=Constants!$B$19,Constants!$B$19,Constants!$B$18))</f>
        <v/>
      </c>
      <c r="AD184" s="59" t="str">
        <f aca="false">IF(ISBLANK($C184),"",IF(ISNUMBER(N184),IF(N184&gt;=0,N184,""),""))</f>
        <v/>
      </c>
      <c r="AE184" s="59" t="str">
        <f aca="false">IF(ISBLANK($C184),"",IF(O184=Constants!$B$19,Constants!$B$19,Constants!$B$18))</f>
        <v/>
      </c>
      <c r="AF184" s="59" t="str">
        <f aca="false">IF(ISBLANK($C184),"",IF(ISNUMBER(P184),IF(P184&gt;=0,P184,""),""))</f>
        <v/>
      </c>
      <c r="AG184" s="59" t="str">
        <f aca="false">IF(ISBLANK($C184),"",IF(Q184=Constants!$B$19,Constants!$B$19,Constants!$B$18))</f>
        <v/>
      </c>
      <c r="AH184" s="59" t="str">
        <f aca="false">IF(ISBLANK($C184),"",IF(ISNUMBER(R184),IF(R184&gt;=0,R184,""),""))</f>
        <v/>
      </c>
      <c r="AI184" s="59" t="str">
        <f aca="false">IF(ISBLANK($C184),"",IF(S184=Constants!$B$2, TRUE(), IF(S184=Constants!$B$3, FALSE(), FALSE())))</f>
        <v/>
      </c>
      <c r="AJ184" s="59" t="str">
        <f aca="false">IF(ISBLANK($C184),"",IF(AI184,Constants!$B$4,IF(COUNTA(E184:R184)=0,Constants!$B$5,IF(COUNTA(J184,L184,N184,P184,R184)=0,Constants!$B$6,Constants!$B$7))))</f>
        <v/>
      </c>
      <c r="AK184" s="59" t="str">
        <f aca="false">IF(ISBLANK($C184),"",IF($AJ184&lt;&gt;Constants!$B$7,$AJ184,IF(OR(NOT(X184),AND(NOT(U184),COUNTIFS(Y184:AG184,Constants!$B$18,Z184:AH184,"&gt;=0")&gt;0),AND(NOT(V184),COUNTIFS(Y184:AG184,Constants!$B$19,Z184:AH184,"&gt;=0")&gt;0)),Constants!$B$12,Constants!$B$11)))</f>
        <v/>
      </c>
      <c r="AL184" s="59" t="str">
        <f aca="false">IF($AJ184=Constants!$B$7,IF(Z184="",Constants!$B$13,Z184),"")</f>
        <v/>
      </c>
      <c r="AM184" s="59" t="str">
        <f aca="false">IF($AJ184=Constants!$B$7,IF(AB184="",Constants!$B$13,AB184),"")</f>
        <v/>
      </c>
      <c r="AN184" s="59" t="str">
        <f aca="false">IF($AJ184=Constants!$B$7,IF(AD184="",Constants!$B$13,AD184),"")</f>
        <v/>
      </c>
      <c r="AO184" s="59" t="str">
        <f aca="false">IF($AJ184=Constants!$B$7,IF(AF184="",Constants!$B$13,AF184),"")</f>
        <v/>
      </c>
      <c r="AP184" s="59" t="str">
        <f aca="false">IF($AJ184=Constants!$B$7,IF(AH184="",Constants!$B$13,AH184),"")</f>
        <v/>
      </c>
      <c r="AQ184" s="59" t="str">
        <f aca="false">IF($AJ184=Constants!$B$7,IF(SUMPRODUCT(--($AL184:$AP184&gt;AL184))+SUMPRODUCT(--($AL184:AL184=AL184))=1,1,IF(SUMPRODUCT(--($AL184:$AP184&gt;AM184))+SUMPRODUCT(--($AL184:AM184=AM184))=1,2,IF(SUMPRODUCT(--($AL184:$AP184&gt;AN184))+SUMPRODUCT(--($AL184:AN184=AN184))=1,3,IF(SUMPRODUCT(--($AL184:$AP184&gt;AO184))+SUMPRODUCT(--($AL184:AO184=AO184))=1,4,5)))),"")</f>
        <v/>
      </c>
      <c r="AR184" s="59" t="str">
        <f aca="false">IF($AJ184=Constants!$B$7,IF(SUMPRODUCT(--($AL184:$AP184&gt;AL184))+SUMPRODUCT(--($AL184:AL184=AL184))=2,1,IF(SUMPRODUCT(--($AL184:$AP184&gt;AM184))+SUMPRODUCT(--($AL184:AM184=AM184))=2,2,IF(SUMPRODUCT(--($AL184:$AP184&gt;AN184))+SUMPRODUCT(--($AL184:AN184=AN184))=2,3,IF(SUMPRODUCT(--($AL184:$AP184&gt;AO184))+SUMPRODUCT(--($AL184:AO184=AO184))=2,4,5)))),"")</f>
        <v/>
      </c>
      <c r="AS184" s="59" t="str">
        <f aca="false">IF($AJ184=Constants!$B$7,IF(SUMPRODUCT(--($AL184:$AP184&gt;AL184))+SUMPRODUCT(--($AL184:AL184=AL184))=3,1,IF(SUMPRODUCT(--($AL184:$AP184&gt;AM184))+SUMPRODUCT(--($AL184:AM184=AM184))=3,2,IF(SUMPRODUCT(--($AL184:$AP184&gt;AN184))+SUMPRODUCT(--($AL184:AN184=AN184))=3,3,IF(SUMPRODUCT(--($AL184:$AP184&gt;AO184))+SUMPRODUCT(--($AL184:AO184=AO184))=3,4,5)))),"")</f>
        <v/>
      </c>
      <c r="AT184" s="59" t="str">
        <f aca="false">IF($AJ184=Constants!$B$7,LARGE(AL184:AP184,1)+LARGE(AL184:AP184,2)+LARGE(AL184:AP184,3),"")</f>
        <v/>
      </c>
      <c r="AU184" s="59" t="str">
        <f aca="false">IF(ISBLANK($C184),"",IF($AJ184&lt;&gt;Constants!$B$7,$AJ184,AT184*W184))</f>
        <v/>
      </c>
      <c r="AV184" s="59" t="str">
        <f aca="false">IF(ISBLANK($C184),"",IF($AJ184=Constants!$B$7,IF(ISNUMBER(AU184),RANK(AU184,$AU$8:$AU$507),Constants!$B$14),$AJ184))</f>
        <v/>
      </c>
      <c r="AW184" s="59" t="str">
        <f aca="false">IF(ISBLANK($C184),"",IF($AJ184=Constants!$B$7,IF(ISNUMBER(AV184),COUNTIFS($AK$8:$AK$507,"&lt;"&amp;$AK184)+COUNTIFS($AK$8:$AK$507,$AK184,$AV$8:$AV$507,"&lt;"&amp;$AV184)+1,Constants!$B$14),$AJ184))</f>
        <v/>
      </c>
      <c r="AX184" s="59" t="str">
        <f aca="false">IF(ISBLANK($C184),"",IF($AJ184=Constants!$B$7,LARGE(AL184:AP184,4)*W184,""))</f>
        <v/>
      </c>
      <c r="AY184" s="59" t="str">
        <f aca="false">IF(ISBLANK($C184),"",IF($AJ184=Constants!$B$7,RANK(AX184,$AX$8:$AX$507),$AJ184))</f>
        <v/>
      </c>
      <c r="AZ184" s="59" t="str">
        <f aca="false">IF(ISBLANK($C184),"",IF($AJ184=Constants!$B$7,IF(ISNUMBER(AV184),COUNTIFS($AK$8:$AK$507,"&lt;"&amp;$AK184)+COUNTIFS($AK$8:$AK$507,$AK184,$AV$8:$AV$507,"&lt;"&amp;$AV184)+COUNTIFS($AK$8:$AK$507,$AK184,$AV$8:$AV$507,$AV184,$AY$8:$AY$507,"&lt;"&amp;$AY184)+1,Constants!$B$14),$AJ184))</f>
        <v/>
      </c>
      <c r="BA184" s="59" t="str">
        <f aca="false">IF(ISBLANK($C184),"",IF($AJ184=Constants!$B$7,IF(ISNUMBER(AW184),AW184-AZ184,Constants!$B$14),$AJ184))</f>
        <v/>
      </c>
      <c r="BB184" s="61"/>
      <c r="BC184" s="62" t="str">
        <f aca="false">IF(ISBLANK($C184),"",IF($AJ184&lt;&gt;Constants!$B$7,$AJ184,SMALL(AQ184:AS184,1)&amp;", "&amp;SMALL(AQ184:AS184,2)&amp;", "&amp;SMALL(AQ184:AS184,3)))</f>
        <v/>
      </c>
      <c r="BD184" s="63" t="str">
        <f aca="false">IF(ISBLANK($C184),"",IF($AJ184&lt;&gt;Constants!$B$7,$AJ184,W184))</f>
        <v/>
      </c>
      <c r="BE184" s="64" t="str">
        <f aca="false">IF(ISBLANK($C184),"",IF($AJ184&lt;&gt;Constants!$B$7,$AJ184,AU184))</f>
        <v/>
      </c>
      <c r="BF184" s="65" t="str">
        <f aca="false">IF(ISBLANK($C184),"",IF($AJ184&lt;&gt;Constants!$B$7,$AJ184,AK184))</f>
        <v/>
      </c>
      <c r="BG184" s="63" t="str">
        <f aca="false">IF(ISBLANK($C184),"",BA184)</f>
        <v/>
      </c>
      <c r="BH184" s="63" t="str">
        <f aca="false">IF(ISBLANK($C184),"",AZ184)</f>
        <v/>
      </c>
      <c r="BI184" s="66" t="str">
        <f aca="false">IF(ISBLANK($C184),"",IF(BH184=Constants!$B$4,COUNTA($C$8:$C$507)+2,IF(BH184=Constants!$B$5,COUNTA($C$8:$C$507)+1,IF(BH184=Constants!$B$6,COUNTA($C$8:$C$507),BH184))))</f>
        <v/>
      </c>
      <c r="BJ184" s="5"/>
      <c r="BK184" s="67" t="n">
        <f aca="false">IF(OR(ISNUMBER(BH184),BH184=Constants!$B$4,BH184=Constants!$B$6,BH184=Constants!$B$5),1,0)</f>
        <v>0</v>
      </c>
      <c r="BL184" s="67" t="n">
        <v>177</v>
      </c>
      <c r="BM184" s="67" t="str">
        <f aca="false">IF(ISBLANK($C184),"",IF(ISNUMBER(BI184),BI184+ROW($B184)/1000,""))</f>
        <v/>
      </c>
      <c r="BN184" s="67" t="str">
        <f aca="false">IF(ISNUMBER(BM184),RANK(BM184,$BM$8:$BM$507,1),"")</f>
        <v/>
      </c>
      <c r="BO184" s="67" t="str">
        <f aca="false">IF(ISBLANK($C184),"",$B184)</f>
        <v/>
      </c>
      <c r="BP184" s="67" t="str">
        <f aca="false">IF(ISBLANK($C184),"",$C184)</f>
        <v/>
      </c>
      <c r="BQ184" s="67" t="str">
        <f aca="false">IF(ISBLANK($C184),"",$D184)</f>
        <v/>
      </c>
      <c r="BR184" s="68" t="str">
        <f aca="false">BF184</f>
        <v/>
      </c>
      <c r="BS184" s="69" t="str">
        <f aca="false">BE184</f>
        <v/>
      </c>
      <c r="BT184" s="67" t="str">
        <f aca="false">IF(ISBLANK($C184),"",BH184)</f>
        <v/>
      </c>
      <c r="BU184" s="70" t="str">
        <f aca="false">IF($BL184&gt;$BK$7,"",VLOOKUP($BL184,$BN$8:$BT$507,7,FALSE()))</f>
        <v/>
      </c>
      <c r="BV184" s="71" t="str">
        <f aca="false">IF($BL184&gt;$BK$7,"",VLOOKUP($BL184,$BN$8:$BT$507,2,FALSE()))</f>
        <v/>
      </c>
      <c r="BW184" s="71" t="str">
        <f aca="false">IF($BL184&gt;$BK$7,"",VLOOKUP($BL184,$BN$8:$BT$507,3,FALSE()))</f>
        <v/>
      </c>
      <c r="BX184" s="71" t="str">
        <f aca="false">IF($BL184&gt;$BK$7,"",VLOOKUP($BL184,$BN$8:$BT$507,4,FALSE()))</f>
        <v/>
      </c>
      <c r="BY184" s="71" t="str">
        <f aca="false">IF($BL184&gt;$BK$7,"",VLOOKUP($BL184,$BN$8:$BT$507,5,FALSE()))</f>
        <v/>
      </c>
      <c r="BZ184" s="72" t="str">
        <f aca="false">IF($BL184&gt;$BK$7,"",VLOOKUP($BL184,$BN$8:$BT$507,6,FALSE()))</f>
        <v/>
      </c>
      <c r="CA184" s="48"/>
    </row>
    <row r="185" customFormat="false" ht="15.75" hidden="false" customHeight="false" outlineLevel="0" collapsed="false">
      <c r="A185" s="5"/>
      <c r="B185" s="114"/>
      <c r="C185" s="115"/>
      <c r="D185" s="100"/>
      <c r="E185" s="120"/>
      <c r="F185" s="125"/>
      <c r="G185" s="82"/>
      <c r="H185" s="126"/>
      <c r="I185" s="127"/>
      <c r="J185" s="82"/>
      <c r="K185" s="126"/>
      <c r="L185" s="82"/>
      <c r="M185" s="126"/>
      <c r="N185" s="82"/>
      <c r="O185" s="126"/>
      <c r="P185" s="82"/>
      <c r="Q185" s="126"/>
      <c r="R185" s="82"/>
      <c r="S185" s="120"/>
      <c r="T185" s="86"/>
      <c r="U185" s="87" t="str">
        <f aca="false">IF(ISBLANK($C185),"",IF(E185=Constants!$B$2, TRUE(), IF(E185=Constants!$B$3, FALSE(), TRUE())))</f>
        <v/>
      </c>
      <c r="V185" s="87" t="str">
        <f aca="false">IF(ISBLANK($C185),"",IF(F185=Constants!$B$2, TRUE(), IF(F185=Constants!$B$3, FALSE(), TRUE())))</f>
        <v/>
      </c>
      <c r="W185" s="87" t="str">
        <f aca="false">IF(ISBLANK($C185),"",IF(G185=Constants!$B$15,Constants!$B$8,IF(G185=Constants!$B$16,Constants!$B$9,Constants!$B$10)))</f>
        <v/>
      </c>
      <c r="X185" s="87" t="str">
        <f aca="false">IF(ISBLANK($C185),"",IF(H185=Constants!$B$2, TRUE(), IF(H185=Constants!$B$3, FALSE(), TRUE())))</f>
        <v/>
      </c>
      <c r="Y185" s="87" t="str">
        <f aca="false">IF(ISBLANK($C185),"",IF(I185=Constants!$B$19,Constants!$B$19,Constants!$B$18))</f>
        <v/>
      </c>
      <c r="Z185" s="87" t="str">
        <f aca="false">IF(ISBLANK($C185),"",IF(ISNUMBER(J185),IF(J185&gt;=0,J185,""),""))</f>
        <v/>
      </c>
      <c r="AA185" s="87" t="str">
        <f aca="false">IF(ISBLANK($C185),"",IF(K185=Constants!$B$19,Constants!$B$19,Constants!$B$18))</f>
        <v/>
      </c>
      <c r="AB185" s="87" t="str">
        <f aca="false">IF(ISBLANK($C185),"",IF(ISNUMBER(L185),IF(L185&gt;=0,L185,""),""))</f>
        <v/>
      </c>
      <c r="AC185" s="87" t="str">
        <f aca="false">IF(ISBLANK($C185),"",IF(M185=Constants!$B$19,Constants!$B$19,Constants!$B$18))</f>
        <v/>
      </c>
      <c r="AD185" s="87" t="str">
        <f aca="false">IF(ISBLANK($C185),"",IF(ISNUMBER(N185),IF(N185&gt;=0,N185,""),""))</f>
        <v/>
      </c>
      <c r="AE185" s="87" t="str">
        <f aca="false">IF(ISBLANK($C185),"",IF(O185=Constants!$B$19,Constants!$B$19,Constants!$B$18))</f>
        <v/>
      </c>
      <c r="AF185" s="87" t="str">
        <f aca="false">IF(ISBLANK($C185),"",IF(ISNUMBER(P185),IF(P185&gt;=0,P185,""),""))</f>
        <v/>
      </c>
      <c r="AG185" s="87" t="str">
        <f aca="false">IF(ISBLANK($C185),"",IF(Q185=Constants!$B$19,Constants!$B$19,Constants!$B$18))</f>
        <v/>
      </c>
      <c r="AH185" s="87" t="str">
        <f aca="false">IF(ISBLANK($C185),"",IF(ISNUMBER(R185),IF(R185&gt;=0,R185,""),""))</f>
        <v/>
      </c>
      <c r="AI185" s="87" t="str">
        <f aca="false">IF(ISBLANK($C185),"",IF(S185=Constants!$B$2, TRUE(), IF(S185=Constants!$B$3, FALSE(), FALSE())))</f>
        <v/>
      </c>
      <c r="AJ185" s="87" t="str">
        <f aca="false">IF(ISBLANK($C185),"",IF(AI185,Constants!$B$4,IF(COUNTA(E185:R185)=0,Constants!$B$5,IF(COUNTA(J185,L185,N185,P185,R185)=0,Constants!$B$6,Constants!$B$7))))</f>
        <v/>
      </c>
      <c r="AK185" s="87" t="str">
        <f aca="false">IF(ISBLANK($C185),"",IF($AJ185&lt;&gt;Constants!$B$7,$AJ185,IF(OR(NOT(X185),AND(NOT(U185),COUNTIFS(Y185:AG185,Constants!$B$18,Z185:AH185,"&gt;=0")&gt;0),AND(NOT(V185),COUNTIFS(Y185:AG185,Constants!$B$19,Z185:AH185,"&gt;=0")&gt;0)),Constants!$B$12,Constants!$B$11)))</f>
        <v/>
      </c>
      <c r="AL185" s="87" t="str">
        <f aca="false">IF($AJ185=Constants!$B$7,IF(Z185="",Constants!$B$13,Z185),"")</f>
        <v/>
      </c>
      <c r="AM185" s="87" t="str">
        <f aca="false">IF($AJ185=Constants!$B$7,IF(AB185="",Constants!$B$13,AB185),"")</f>
        <v/>
      </c>
      <c r="AN185" s="87" t="str">
        <f aca="false">IF($AJ185=Constants!$B$7,IF(AD185="",Constants!$B$13,AD185),"")</f>
        <v/>
      </c>
      <c r="AO185" s="87" t="str">
        <f aca="false">IF($AJ185=Constants!$B$7,IF(AF185="",Constants!$B$13,AF185),"")</f>
        <v/>
      </c>
      <c r="AP185" s="87" t="str">
        <f aca="false">IF($AJ185=Constants!$B$7,IF(AH185="",Constants!$B$13,AH185),"")</f>
        <v/>
      </c>
      <c r="AQ185" s="87" t="str">
        <f aca="false">IF($AJ185=Constants!$B$7,IF(SUMPRODUCT(--($AL185:$AP185&gt;AL185))+SUMPRODUCT(--($AL185:AL185=AL185))=1,1,IF(SUMPRODUCT(--($AL185:$AP185&gt;AM185))+SUMPRODUCT(--($AL185:AM185=AM185))=1,2,IF(SUMPRODUCT(--($AL185:$AP185&gt;AN185))+SUMPRODUCT(--($AL185:AN185=AN185))=1,3,IF(SUMPRODUCT(--($AL185:$AP185&gt;AO185))+SUMPRODUCT(--($AL185:AO185=AO185))=1,4,5)))),"")</f>
        <v/>
      </c>
      <c r="AR185" s="87" t="str">
        <f aca="false">IF($AJ185=Constants!$B$7,IF(SUMPRODUCT(--($AL185:$AP185&gt;AL185))+SUMPRODUCT(--($AL185:AL185=AL185))=2,1,IF(SUMPRODUCT(--($AL185:$AP185&gt;AM185))+SUMPRODUCT(--($AL185:AM185=AM185))=2,2,IF(SUMPRODUCT(--($AL185:$AP185&gt;AN185))+SUMPRODUCT(--($AL185:AN185=AN185))=2,3,IF(SUMPRODUCT(--($AL185:$AP185&gt;AO185))+SUMPRODUCT(--($AL185:AO185=AO185))=2,4,5)))),"")</f>
        <v/>
      </c>
      <c r="AS185" s="87" t="str">
        <f aca="false">IF($AJ185=Constants!$B$7,IF(SUMPRODUCT(--($AL185:$AP185&gt;AL185))+SUMPRODUCT(--($AL185:AL185=AL185))=3,1,IF(SUMPRODUCT(--($AL185:$AP185&gt;AM185))+SUMPRODUCT(--($AL185:AM185=AM185))=3,2,IF(SUMPRODUCT(--($AL185:$AP185&gt;AN185))+SUMPRODUCT(--($AL185:AN185=AN185))=3,3,IF(SUMPRODUCT(--($AL185:$AP185&gt;AO185))+SUMPRODUCT(--($AL185:AO185=AO185))=3,4,5)))),"")</f>
        <v/>
      </c>
      <c r="AT185" s="87" t="str">
        <f aca="false">IF($AJ185=Constants!$B$7,LARGE(AL185:AP185,1)+LARGE(AL185:AP185,2)+LARGE(AL185:AP185,3),"")</f>
        <v/>
      </c>
      <c r="AU185" s="87" t="str">
        <f aca="false">IF(ISBLANK($C185),"",IF($AJ185&lt;&gt;Constants!$B$7,$AJ185,AT185*W185))</f>
        <v/>
      </c>
      <c r="AV185" s="87" t="str">
        <f aca="false">IF(ISBLANK($C185),"",IF($AJ185=Constants!$B$7,IF(ISNUMBER(AU185),RANK(AU185,$AU$8:$AU$507),Constants!$B$14),$AJ185))</f>
        <v/>
      </c>
      <c r="AW185" s="87" t="str">
        <f aca="false">IF(ISBLANK($C185),"",IF($AJ185=Constants!$B$7,IF(ISNUMBER(AV185),COUNTIFS($AK$8:$AK$507,"&lt;"&amp;$AK185)+COUNTIFS($AK$8:$AK$507,$AK185,$AV$8:$AV$507,"&lt;"&amp;$AV185)+1,Constants!$B$14),$AJ185))</f>
        <v/>
      </c>
      <c r="AX185" s="87" t="str">
        <f aca="false">IF(ISBLANK($C185),"",IF($AJ185=Constants!$B$7,LARGE(AL185:AP185,4)*W185,""))</f>
        <v/>
      </c>
      <c r="AY185" s="87" t="str">
        <f aca="false">IF(ISBLANK($C185),"",IF($AJ185=Constants!$B$7,RANK(AX185,$AX$8:$AX$507),$AJ185))</f>
        <v/>
      </c>
      <c r="AZ185" s="87" t="str">
        <f aca="false">IF(ISBLANK($C185),"",IF($AJ185=Constants!$B$7,IF(ISNUMBER(AV185),COUNTIFS($AK$8:$AK$507,"&lt;"&amp;$AK185)+COUNTIFS($AK$8:$AK$507,$AK185,$AV$8:$AV$507,"&lt;"&amp;$AV185)+COUNTIFS($AK$8:$AK$507,$AK185,$AV$8:$AV$507,$AV185,$AY$8:$AY$507,"&lt;"&amp;$AY185)+1,Constants!$B$14),$AJ185))</f>
        <v/>
      </c>
      <c r="BA185" s="87" t="str">
        <f aca="false">IF(ISBLANK($C185),"",IF($AJ185=Constants!$B$7,IF(ISNUMBER(AW185),AW185-AZ185,Constants!$B$14),$AJ185))</f>
        <v/>
      </c>
      <c r="BB185" s="88"/>
      <c r="BC185" s="89" t="str">
        <f aca="false">IF(ISBLANK($C185),"",IF($AJ185&lt;&gt;Constants!$B$7,$AJ185,SMALL(AQ185:AS185,1)&amp;", "&amp;SMALL(AQ185:AS185,2)&amp;", "&amp;SMALL(AQ185:AS185,3)))</f>
        <v/>
      </c>
      <c r="BD185" s="90" t="str">
        <f aca="false">IF(ISBLANK($C185),"",IF($AJ185&lt;&gt;Constants!$B$7,$AJ185,W185))</f>
        <v/>
      </c>
      <c r="BE185" s="91" t="str">
        <f aca="false">IF(ISBLANK($C185),"",IF($AJ185&lt;&gt;Constants!$B$7,$AJ185,AU185))</f>
        <v/>
      </c>
      <c r="BF185" s="92" t="str">
        <f aca="false">IF(ISBLANK($C185),"",IF($AJ185&lt;&gt;Constants!$B$7,$AJ185,AK185))</f>
        <v/>
      </c>
      <c r="BG185" s="90" t="str">
        <f aca="false">IF(ISBLANK($C185),"",BA185)</f>
        <v/>
      </c>
      <c r="BH185" s="90" t="str">
        <f aca="false">IF(ISBLANK($C185),"",AZ185)</f>
        <v/>
      </c>
      <c r="BI185" s="93" t="str">
        <f aca="false">IF(ISBLANK($C185),"",IF(BH185=Constants!$B$4,COUNTA($C$8:$C$507)+2,IF(BH185=Constants!$B$5,COUNTA($C$8:$C$507)+1,IF(BH185=Constants!$B$6,COUNTA($C$8:$C$507),BH185))))</f>
        <v/>
      </c>
      <c r="BJ185" s="5"/>
      <c r="BK185" s="94" t="n">
        <f aca="false">IF(OR(ISNUMBER(BH185),BH185=Constants!$B$4,BH185=Constants!$B$6,BH185=Constants!$B$5),1,0)</f>
        <v>0</v>
      </c>
      <c r="BL185" s="94" t="n">
        <v>178</v>
      </c>
      <c r="BM185" s="94" t="str">
        <f aca="false">IF(ISBLANK($C185),"",IF(ISNUMBER(BI185),BI185+ROW($B185)/1000,""))</f>
        <v/>
      </c>
      <c r="BN185" s="94" t="str">
        <f aca="false">IF(ISNUMBER(BM185),RANK(BM185,$BM$8:$BM$507,1),"")</f>
        <v/>
      </c>
      <c r="BO185" s="94" t="str">
        <f aca="false">IF(ISBLANK($C185),"",$B185)</f>
        <v/>
      </c>
      <c r="BP185" s="94" t="str">
        <f aca="false">IF(ISBLANK($C185),"",$C185)</f>
        <v/>
      </c>
      <c r="BQ185" s="94" t="str">
        <f aca="false">IF(ISBLANK($C185),"",$D185)</f>
        <v/>
      </c>
      <c r="BR185" s="95" t="str">
        <f aca="false">BF185</f>
        <v/>
      </c>
      <c r="BS185" s="96" t="str">
        <f aca="false">BE185</f>
        <v/>
      </c>
      <c r="BT185" s="94" t="str">
        <f aca="false">IF(ISBLANK($C185),"",BH185)</f>
        <v/>
      </c>
      <c r="BU185" s="97" t="str">
        <f aca="false">IF($BL185&gt;$BK$7,"",VLOOKUP($BL185,$BN$8:$BT$507,7,FALSE()))</f>
        <v/>
      </c>
      <c r="BV185" s="98" t="str">
        <f aca="false">IF($BL185&gt;$BK$7,"",VLOOKUP($BL185,$BN$8:$BT$507,2,FALSE()))</f>
        <v/>
      </c>
      <c r="BW185" s="98" t="str">
        <f aca="false">IF($BL185&gt;$BK$7,"",VLOOKUP($BL185,$BN$8:$BT$507,3,FALSE()))</f>
        <v/>
      </c>
      <c r="BX185" s="98" t="str">
        <f aca="false">IF($BL185&gt;$BK$7,"",VLOOKUP($BL185,$BN$8:$BT$507,4,FALSE()))</f>
        <v/>
      </c>
      <c r="BY185" s="98" t="str">
        <f aca="false">IF($BL185&gt;$BK$7,"",VLOOKUP($BL185,$BN$8:$BT$507,5,FALSE()))</f>
        <v/>
      </c>
      <c r="BZ185" s="99" t="str">
        <f aca="false">IF($BL185&gt;$BK$7,"",VLOOKUP($BL185,$BN$8:$BT$507,6,FALSE()))</f>
        <v/>
      </c>
      <c r="CA185" s="48"/>
    </row>
    <row r="186" customFormat="false" ht="15.75" hidden="false" customHeight="false" outlineLevel="0" collapsed="false">
      <c r="A186" s="5"/>
      <c r="B186" s="114"/>
      <c r="C186" s="115"/>
      <c r="D186" s="100"/>
      <c r="E186" s="120"/>
      <c r="F186" s="125"/>
      <c r="G186" s="82"/>
      <c r="H186" s="126"/>
      <c r="I186" s="127"/>
      <c r="J186" s="82"/>
      <c r="K186" s="126"/>
      <c r="L186" s="82"/>
      <c r="M186" s="126"/>
      <c r="N186" s="82"/>
      <c r="O186" s="126"/>
      <c r="P186" s="82"/>
      <c r="Q186" s="126"/>
      <c r="R186" s="82"/>
      <c r="S186" s="120"/>
      <c r="T186" s="86"/>
      <c r="U186" s="87" t="str">
        <f aca="false">IF(ISBLANK($C186),"",IF(E186=Constants!$B$2, TRUE(), IF(E186=Constants!$B$3, FALSE(), TRUE())))</f>
        <v/>
      </c>
      <c r="V186" s="87" t="str">
        <f aca="false">IF(ISBLANK($C186),"",IF(F186=Constants!$B$2, TRUE(), IF(F186=Constants!$B$3, FALSE(), TRUE())))</f>
        <v/>
      </c>
      <c r="W186" s="87" t="str">
        <f aca="false">IF(ISBLANK($C186),"",IF(G186=Constants!$B$15,Constants!$B$8,IF(G186=Constants!$B$16,Constants!$B$9,Constants!$B$10)))</f>
        <v/>
      </c>
      <c r="X186" s="87" t="str">
        <f aca="false">IF(ISBLANK($C186),"",IF(H186=Constants!$B$2, TRUE(), IF(H186=Constants!$B$3, FALSE(), TRUE())))</f>
        <v/>
      </c>
      <c r="Y186" s="87" t="str">
        <f aca="false">IF(ISBLANK($C186),"",IF(I186=Constants!$B$19,Constants!$B$19,Constants!$B$18))</f>
        <v/>
      </c>
      <c r="Z186" s="87" t="str">
        <f aca="false">IF(ISBLANK($C186),"",IF(ISNUMBER(J186),IF(J186&gt;=0,J186,""),""))</f>
        <v/>
      </c>
      <c r="AA186" s="87" t="str">
        <f aca="false">IF(ISBLANK($C186),"",IF(K186=Constants!$B$19,Constants!$B$19,Constants!$B$18))</f>
        <v/>
      </c>
      <c r="AB186" s="87" t="str">
        <f aca="false">IF(ISBLANK($C186),"",IF(ISNUMBER(L186),IF(L186&gt;=0,L186,""),""))</f>
        <v/>
      </c>
      <c r="AC186" s="87" t="str">
        <f aca="false">IF(ISBLANK($C186),"",IF(M186=Constants!$B$19,Constants!$B$19,Constants!$B$18))</f>
        <v/>
      </c>
      <c r="AD186" s="87" t="str">
        <f aca="false">IF(ISBLANK($C186),"",IF(ISNUMBER(N186),IF(N186&gt;=0,N186,""),""))</f>
        <v/>
      </c>
      <c r="AE186" s="87" t="str">
        <f aca="false">IF(ISBLANK($C186),"",IF(O186=Constants!$B$19,Constants!$B$19,Constants!$B$18))</f>
        <v/>
      </c>
      <c r="AF186" s="87" t="str">
        <f aca="false">IF(ISBLANK($C186),"",IF(ISNUMBER(P186),IF(P186&gt;=0,P186,""),""))</f>
        <v/>
      </c>
      <c r="AG186" s="87" t="str">
        <f aca="false">IF(ISBLANK($C186),"",IF(Q186=Constants!$B$19,Constants!$B$19,Constants!$B$18))</f>
        <v/>
      </c>
      <c r="AH186" s="87" t="str">
        <f aca="false">IF(ISBLANK($C186),"",IF(ISNUMBER(R186),IF(R186&gt;=0,R186,""),""))</f>
        <v/>
      </c>
      <c r="AI186" s="87" t="str">
        <f aca="false">IF(ISBLANK($C186),"",IF(S186=Constants!$B$2, TRUE(), IF(S186=Constants!$B$3, FALSE(), FALSE())))</f>
        <v/>
      </c>
      <c r="AJ186" s="87" t="str">
        <f aca="false">IF(ISBLANK($C186),"",IF(AI186,Constants!$B$4,IF(COUNTA(E186:R186)=0,Constants!$B$5,IF(COUNTA(J186,L186,N186,P186,R186)=0,Constants!$B$6,Constants!$B$7))))</f>
        <v/>
      </c>
      <c r="AK186" s="87" t="str">
        <f aca="false">IF(ISBLANK($C186),"",IF($AJ186&lt;&gt;Constants!$B$7,$AJ186,IF(OR(NOT(X186),AND(NOT(U186),COUNTIFS(Y186:AG186,Constants!$B$18,Z186:AH186,"&gt;=0")&gt;0),AND(NOT(V186),COUNTIFS(Y186:AG186,Constants!$B$19,Z186:AH186,"&gt;=0")&gt;0)),Constants!$B$12,Constants!$B$11)))</f>
        <v/>
      </c>
      <c r="AL186" s="87" t="str">
        <f aca="false">IF($AJ186=Constants!$B$7,IF(Z186="",Constants!$B$13,Z186),"")</f>
        <v/>
      </c>
      <c r="AM186" s="87" t="str">
        <f aca="false">IF($AJ186=Constants!$B$7,IF(AB186="",Constants!$B$13,AB186),"")</f>
        <v/>
      </c>
      <c r="AN186" s="87" t="str">
        <f aca="false">IF($AJ186=Constants!$B$7,IF(AD186="",Constants!$B$13,AD186),"")</f>
        <v/>
      </c>
      <c r="AO186" s="87" t="str">
        <f aca="false">IF($AJ186=Constants!$B$7,IF(AF186="",Constants!$B$13,AF186),"")</f>
        <v/>
      </c>
      <c r="AP186" s="87" t="str">
        <f aca="false">IF($AJ186=Constants!$B$7,IF(AH186="",Constants!$B$13,AH186),"")</f>
        <v/>
      </c>
      <c r="AQ186" s="87" t="str">
        <f aca="false">IF($AJ186=Constants!$B$7,IF(SUMPRODUCT(--($AL186:$AP186&gt;AL186))+SUMPRODUCT(--($AL186:AL186=AL186))=1,1,IF(SUMPRODUCT(--($AL186:$AP186&gt;AM186))+SUMPRODUCT(--($AL186:AM186=AM186))=1,2,IF(SUMPRODUCT(--($AL186:$AP186&gt;AN186))+SUMPRODUCT(--($AL186:AN186=AN186))=1,3,IF(SUMPRODUCT(--($AL186:$AP186&gt;AO186))+SUMPRODUCT(--($AL186:AO186=AO186))=1,4,5)))),"")</f>
        <v/>
      </c>
      <c r="AR186" s="87" t="str">
        <f aca="false">IF($AJ186=Constants!$B$7,IF(SUMPRODUCT(--($AL186:$AP186&gt;AL186))+SUMPRODUCT(--($AL186:AL186=AL186))=2,1,IF(SUMPRODUCT(--($AL186:$AP186&gt;AM186))+SUMPRODUCT(--($AL186:AM186=AM186))=2,2,IF(SUMPRODUCT(--($AL186:$AP186&gt;AN186))+SUMPRODUCT(--($AL186:AN186=AN186))=2,3,IF(SUMPRODUCT(--($AL186:$AP186&gt;AO186))+SUMPRODUCT(--($AL186:AO186=AO186))=2,4,5)))),"")</f>
        <v/>
      </c>
      <c r="AS186" s="87" t="str">
        <f aca="false">IF($AJ186=Constants!$B$7,IF(SUMPRODUCT(--($AL186:$AP186&gt;AL186))+SUMPRODUCT(--($AL186:AL186=AL186))=3,1,IF(SUMPRODUCT(--($AL186:$AP186&gt;AM186))+SUMPRODUCT(--($AL186:AM186=AM186))=3,2,IF(SUMPRODUCT(--($AL186:$AP186&gt;AN186))+SUMPRODUCT(--($AL186:AN186=AN186))=3,3,IF(SUMPRODUCT(--($AL186:$AP186&gt;AO186))+SUMPRODUCT(--($AL186:AO186=AO186))=3,4,5)))),"")</f>
        <v/>
      </c>
      <c r="AT186" s="87" t="str">
        <f aca="false">IF($AJ186=Constants!$B$7,LARGE(AL186:AP186,1)+LARGE(AL186:AP186,2)+LARGE(AL186:AP186,3),"")</f>
        <v/>
      </c>
      <c r="AU186" s="87" t="str">
        <f aca="false">IF(ISBLANK($C186),"",IF($AJ186&lt;&gt;Constants!$B$7,$AJ186,AT186*W186))</f>
        <v/>
      </c>
      <c r="AV186" s="87" t="str">
        <f aca="false">IF(ISBLANK($C186),"",IF($AJ186=Constants!$B$7,IF(ISNUMBER(AU186),RANK(AU186,$AU$8:$AU$507),Constants!$B$14),$AJ186))</f>
        <v/>
      </c>
      <c r="AW186" s="87" t="str">
        <f aca="false">IF(ISBLANK($C186),"",IF($AJ186=Constants!$B$7,IF(ISNUMBER(AV186),COUNTIFS($AK$8:$AK$507,"&lt;"&amp;$AK186)+COUNTIFS($AK$8:$AK$507,$AK186,$AV$8:$AV$507,"&lt;"&amp;$AV186)+1,Constants!$B$14),$AJ186))</f>
        <v/>
      </c>
      <c r="AX186" s="87" t="str">
        <f aca="false">IF(ISBLANK($C186),"",IF($AJ186=Constants!$B$7,LARGE(AL186:AP186,4)*W186,""))</f>
        <v/>
      </c>
      <c r="AY186" s="87" t="str">
        <f aca="false">IF(ISBLANK($C186),"",IF($AJ186=Constants!$B$7,RANK(AX186,$AX$8:$AX$507),$AJ186))</f>
        <v/>
      </c>
      <c r="AZ186" s="87" t="str">
        <f aca="false">IF(ISBLANK($C186),"",IF($AJ186=Constants!$B$7,IF(ISNUMBER(AV186),COUNTIFS($AK$8:$AK$507,"&lt;"&amp;$AK186)+COUNTIFS($AK$8:$AK$507,$AK186,$AV$8:$AV$507,"&lt;"&amp;$AV186)+COUNTIFS($AK$8:$AK$507,$AK186,$AV$8:$AV$507,$AV186,$AY$8:$AY$507,"&lt;"&amp;$AY186)+1,Constants!$B$14),$AJ186))</f>
        <v/>
      </c>
      <c r="BA186" s="87" t="str">
        <f aca="false">IF(ISBLANK($C186),"",IF($AJ186=Constants!$B$7,IF(ISNUMBER(AW186),AW186-AZ186,Constants!$B$14),$AJ186))</f>
        <v/>
      </c>
      <c r="BB186" s="88"/>
      <c r="BC186" s="89" t="str">
        <f aca="false">IF(ISBLANK($C186),"",IF($AJ186&lt;&gt;Constants!$B$7,$AJ186,SMALL(AQ186:AS186,1)&amp;", "&amp;SMALL(AQ186:AS186,2)&amp;", "&amp;SMALL(AQ186:AS186,3)))</f>
        <v/>
      </c>
      <c r="BD186" s="90" t="str">
        <f aca="false">IF(ISBLANK($C186),"",IF($AJ186&lt;&gt;Constants!$B$7,$AJ186,W186))</f>
        <v/>
      </c>
      <c r="BE186" s="91" t="str">
        <f aca="false">IF(ISBLANK($C186),"",IF($AJ186&lt;&gt;Constants!$B$7,$AJ186,AU186))</f>
        <v/>
      </c>
      <c r="BF186" s="92" t="str">
        <f aca="false">IF(ISBLANK($C186),"",IF($AJ186&lt;&gt;Constants!$B$7,$AJ186,AK186))</f>
        <v/>
      </c>
      <c r="BG186" s="90" t="str">
        <f aca="false">IF(ISBLANK($C186),"",BA186)</f>
        <v/>
      </c>
      <c r="BH186" s="90" t="str">
        <f aca="false">IF(ISBLANK($C186),"",AZ186)</f>
        <v/>
      </c>
      <c r="BI186" s="93" t="str">
        <f aca="false">IF(ISBLANK($C186),"",IF(BH186=Constants!$B$4,COUNTA($C$8:$C$507)+2,IF(BH186=Constants!$B$5,COUNTA($C$8:$C$507)+1,IF(BH186=Constants!$B$6,COUNTA($C$8:$C$507),BH186))))</f>
        <v/>
      </c>
      <c r="BJ186" s="5"/>
      <c r="BK186" s="94" t="n">
        <f aca="false">IF(OR(ISNUMBER(BH186),BH186=Constants!$B$4,BH186=Constants!$B$6,BH186=Constants!$B$5),1,0)</f>
        <v>0</v>
      </c>
      <c r="BL186" s="94" t="n">
        <v>179</v>
      </c>
      <c r="BM186" s="94" t="str">
        <f aca="false">IF(ISBLANK($C186),"",IF(ISNUMBER(BI186),BI186+ROW($B186)/1000,""))</f>
        <v/>
      </c>
      <c r="BN186" s="94" t="str">
        <f aca="false">IF(ISNUMBER(BM186),RANK(BM186,$BM$8:$BM$507,1),"")</f>
        <v/>
      </c>
      <c r="BO186" s="94" t="str">
        <f aca="false">IF(ISBLANK($C186),"",$B186)</f>
        <v/>
      </c>
      <c r="BP186" s="94" t="str">
        <f aca="false">IF(ISBLANK($C186),"",$C186)</f>
        <v/>
      </c>
      <c r="BQ186" s="94" t="str">
        <f aca="false">IF(ISBLANK($C186),"",$D186)</f>
        <v/>
      </c>
      <c r="BR186" s="95" t="str">
        <f aca="false">BF186</f>
        <v/>
      </c>
      <c r="BS186" s="96" t="str">
        <f aca="false">BE186</f>
        <v/>
      </c>
      <c r="BT186" s="94" t="str">
        <f aca="false">IF(ISBLANK($C186),"",BH186)</f>
        <v/>
      </c>
      <c r="BU186" s="97" t="str">
        <f aca="false">IF($BL186&gt;$BK$7,"",VLOOKUP($BL186,$BN$8:$BT$507,7,FALSE()))</f>
        <v/>
      </c>
      <c r="BV186" s="98" t="str">
        <f aca="false">IF($BL186&gt;$BK$7,"",VLOOKUP($BL186,$BN$8:$BT$507,2,FALSE()))</f>
        <v/>
      </c>
      <c r="BW186" s="98" t="str">
        <f aca="false">IF($BL186&gt;$BK$7,"",VLOOKUP($BL186,$BN$8:$BT$507,3,FALSE()))</f>
        <v/>
      </c>
      <c r="BX186" s="98" t="str">
        <f aca="false">IF($BL186&gt;$BK$7,"",VLOOKUP($BL186,$BN$8:$BT$507,4,FALSE()))</f>
        <v/>
      </c>
      <c r="BY186" s="98" t="str">
        <f aca="false">IF($BL186&gt;$BK$7,"",VLOOKUP($BL186,$BN$8:$BT$507,5,FALSE()))</f>
        <v/>
      </c>
      <c r="BZ186" s="99" t="str">
        <f aca="false">IF($BL186&gt;$BK$7,"",VLOOKUP($BL186,$BN$8:$BT$507,6,FALSE()))</f>
        <v/>
      </c>
      <c r="CA186" s="48"/>
    </row>
    <row r="187" customFormat="false" ht="15.75" hidden="false" customHeight="false" outlineLevel="0" collapsed="false">
      <c r="A187" s="5"/>
      <c r="B187" s="114"/>
      <c r="C187" s="115"/>
      <c r="D187" s="100"/>
      <c r="E187" s="120"/>
      <c r="F187" s="125"/>
      <c r="G187" s="82"/>
      <c r="H187" s="126"/>
      <c r="I187" s="127"/>
      <c r="J187" s="82"/>
      <c r="K187" s="126"/>
      <c r="L187" s="82"/>
      <c r="M187" s="126"/>
      <c r="N187" s="82"/>
      <c r="O187" s="126"/>
      <c r="P187" s="82"/>
      <c r="Q187" s="126"/>
      <c r="R187" s="82"/>
      <c r="S187" s="120"/>
      <c r="T187" s="86"/>
      <c r="U187" s="87" t="str">
        <f aca="false">IF(ISBLANK($C187),"",IF(E187=Constants!$B$2, TRUE(), IF(E187=Constants!$B$3, FALSE(), TRUE())))</f>
        <v/>
      </c>
      <c r="V187" s="87" t="str">
        <f aca="false">IF(ISBLANK($C187),"",IF(F187=Constants!$B$2, TRUE(), IF(F187=Constants!$B$3, FALSE(), TRUE())))</f>
        <v/>
      </c>
      <c r="W187" s="87" t="str">
        <f aca="false">IF(ISBLANK($C187),"",IF(G187=Constants!$B$15,Constants!$B$8,IF(G187=Constants!$B$16,Constants!$B$9,Constants!$B$10)))</f>
        <v/>
      </c>
      <c r="X187" s="87" t="str">
        <f aca="false">IF(ISBLANK($C187),"",IF(H187=Constants!$B$2, TRUE(), IF(H187=Constants!$B$3, FALSE(), TRUE())))</f>
        <v/>
      </c>
      <c r="Y187" s="87" t="str">
        <f aca="false">IF(ISBLANK($C187),"",IF(I187=Constants!$B$19,Constants!$B$19,Constants!$B$18))</f>
        <v/>
      </c>
      <c r="Z187" s="87" t="str">
        <f aca="false">IF(ISBLANK($C187),"",IF(ISNUMBER(J187),IF(J187&gt;=0,J187,""),""))</f>
        <v/>
      </c>
      <c r="AA187" s="87" t="str">
        <f aca="false">IF(ISBLANK($C187),"",IF(K187=Constants!$B$19,Constants!$B$19,Constants!$B$18))</f>
        <v/>
      </c>
      <c r="AB187" s="87" t="str">
        <f aca="false">IF(ISBLANK($C187),"",IF(ISNUMBER(L187),IF(L187&gt;=0,L187,""),""))</f>
        <v/>
      </c>
      <c r="AC187" s="87" t="str">
        <f aca="false">IF(ISBLANK($C187),"",IF(M187=Constants!$B$19,Constants!$B$19,Constants!$B$18))</f>
        <v/>
      </c>
      <c r="AD187" s="87" t="str">
        <f aca="false">IF(ISBLANK($C187),"",IF(ISNUMBER(N187),IF(N187&gt;=0,N187,""),""))</f>
        <v/>
      </c>
      <c r="AE187" s="87" t="str">
        <f aca="false">IF(ISBLANK($C187),"",IF(O187=Constants!$B$19,Constants!$B$19,Constants!$B$18))</f>
        <v/>
      </c>
      <c r="AF187" s="87" t="str">
        <f aca="false">IF(ISBLANK($C187),"",IF(ISNUMBER(P187),IF(P187&gt;=0,P187,""),""))</f>
        <v/>
      </c>
      <c r="AG187" s="87" t="str">
        <f aca="false">IF(ISBLANK($C187),"",IF(Q187=Constants!$B$19,Constants!$B$19,Constants!$B$18))</f>
        <v/>
      </c>
      <c r="AH187" s="87" t="str">
        <f aca="false">IF(ISBLANK($C187),"",IF(ISNUMBER(R187),IF(R187&gt;=0,R187,""),""))</f>
        <v/>
      </c>
      <c r="AI187" s="87" t="str">
        <f aca="false">IF(ISBLANK($C187),"",IF(S187=Constants!$B$2, TRUE(), IF(S187=Constants!$B$3, FALSE(), FALSE())))</f>
        <v/>
      </c>
      <c r="AJ187" s="87" t="str">
        <f aca="false">IF(ISBLANK($C187),"",IF(AI187,Constants!$B$4,IF(COUNTA(E187:R187)=0,Constants!$B$5,IF(COUNTA(J187,L187,N187,P187,R187)=0,Constants!$B$6,Constants!$B$7))))</f>
        <v/>
      </c>
      <c r="AK187" s="87" t="str">
        <f aca="false">IF(ISBLANK($C187),"",IF($AJ187&lt;&gt;Constants!$B$7,$AJ187,IF(OR(NOT(X187),AND(NOT(U187),COUNTIFS(Y187:AG187,Constants!$B$18,Z187:AH187,"&gt;=0")&gt;0),AND(NOT(V187),COUNTIFS(Y187:AG187,Constants!$B$19,Z187:AH187,"&gt;=0")&gt;0)),Constants!$B$12,Constants!$B$11)))</f>
        <v/>
      </c>
      <c r="AL187" s="87" t="str">
        <f aca="false">IF($AJ187=Constants!$B$7,IF(Z187="",Constants!$B$13,Z187),"")</f>
        <v/>
      </c>
      <c r="AM187" s="87" t="str">
        <f aca="false">IF($AJ187=Constants!$B$7,IF(AB187="",Constants!$B$13,AB187),"")</f>
        <v/>
      </c>
      <c r="AN187" s="87" t="str">
        <f aca="false">IF($AJ187=Constants!$B$7,IF(AD187="",Constants!$B$13,AD187),"")</f>
        <v/>
      </c>
      <c r="AO187" s="87" t="str">
        <f aca="false">IF($AJ187=Constants!$B$7,IF(AF187="",Constants!$B$13,AF187),"")</f>
        <v/>
      </c>
      <c r="AP187" s="87" t="str">
        <f aca="false">IF($AJ187=Constants!$B$7,IF(AH187="",Constants!$B$13,AH187),"")</f>
        <v/>
      </c>
      <c r="AQ187" s="87" t="str">
        <f aca="false">IF($AJ187=Constants!$B$7,IF(SUMPRODUCT(--($AL187:$AP187&gt;AL187))+SUMPRODUCT(--($AL187:AL187=AL187))=1,1,IF(SUMPRODUCT(--($AL187:$AP187&gt;AM187))+SUMPRODUCT(--($AL187:AM187=AM187))=1,2,IF(SUMPRODUCT(--($AL187:$AP187&gt;AN187))+SUMPRODUCT(--($AL187:AN187=AN187))=1,3,IF(SUMPRODUCT(--($AL187:$AP187&gt;AO187))+SUMPRODUCT(--($AL187:AO187=AO187))=1,4,5)))),"")</f>
        <v/>
      </c>
      <c r="AR187" s="87" t="str">
        <f aca="false">IF($AJ187=Constants!$B$7,IF(SUMPRODUCT(--($AL187:$AP187&gt;AL187))+SUMPRODUCT(--($AL187:AL187=AL187))=2,1,IF(SUMPRODUCT(--($AL187:$AP187&gt;AM187))+SUMPRODUCT(--($AL187:AM187=AM187))=2,2,IF(SUMPRODUCT(--($AL187:$AP187&gt;AN187))+SUMPRODUCT(--($AL187:AN187=AN187))=2,3,IF(SUMPRODUCT(--($AL187:$AP187&gt;AO187))+SUMPRODUCT(--($AL187:AO187=AO187))=2,4,5)))),"")</f>
        <v/>
      </c>
      <c r="AS187" s="87" t="str">
        <f aca="false">IF($AJ187=Constants!$B$7,IF(SUMPRODUCT(--($AL187:$AP187&gt;AL187))+SUMPRODUCT(--($AL187:AL187=AL187))=3,1,IF(SUMPRODUCT(--($AL187:$AP187&gt;AM187))+SUMPRODUCT(--($AL187:AM187=AM187))=3,2,IF(SUMPRODUCT(--($AL187:$AP187&gt;AN187))+SUMPRODUCT(--($AL187:AN187=AN187))=3,3,IF(SUMPRODUCT(--($AL187:$AP187&gt;AO187))+SUMPRODUCT(--($AL187:AO187=AO187))=3,4,5)))),"")</f>
        <v/>
      </c>
      <c r="AT187" s="87" t="str">
        <f aca="false">IF($AJ187=Constants!$B$7,LARGE(AL187:AP187,1)+LARGE(AL187:AP187,2)+LARGE(AL187:AP187,3),"")</f>
        <v/>
      </c>
      <c r="AU187" s="87" t="str">
        <f aca="false">IF(ISBLANK($C187),"",IF($AJ187&lt;&gt;Constants!$B$7,$AJ187,AT187*W187))</f>
        <v/>
      </c>
      <c r="AV187" s="87" t="str">
        <f aca="false">IF(ISBLANK($C187),"",IF($AJ187=Constants!$B$7,IF(ISNUMBER(AU187),RANK(AU187,$AU$8:$AU$507),Constants!$B$14),$AJ187))</f>
        <v/>
      </c>
      <c r="AW187" s="87" t="str">
        <f aca="false">IF(ISBLANK($C187),"",IF($AJ187=Constants!$B$7,IF(ISNUMBER(AV187),COUNTIFS($AK$8:$AK$507,"&lt;"&amp;$AK187)+COUNTIFS($AK$8:$AK$507,$AK187,$AV$8:$AV$507,"&lt;"&amp;$AV187)+1,Constants!$B$14),$AJ187))</f>
        <v/>
      </c>
      <c r="AX187" s="87" t="str">
        <f aca="false">IF(ISBLANK($C187),"",IF($AJ187=Constants!$B$7,LARGE(AL187:AP187,4)*W187,""))</f>
        <v/>
      </c>
      <c r="AY187" s="87" t="str">
        <f aca="false">IF(ISBLANK($C187),"",IF($AJ187=Constants!$B$7,RANK(AX187,$AX$8:$AX$507),$AJ187))</f>
        <v/>
      </c>
      <c r="AZ187" s="87" t="str">
        <f aca="false">IF(ISBLANK($C187),"",IF($AJ187=Constants!$B$7,IF(ISNUMBER(AV187),COUNTIFS($AK$8:$AK$507,"&lt;"&amp;$AK187)+COUNTIFS($AK$8:$AK$507,$AK187,$AV$8:$AV$507,"&lt;"&amp;$AV187)+COUNTIFS($AK$8:$AK$507,$AK187,$AV$8:$AV$507,$AV187,$AY$8:$AY$507,"&lt;"&amp;$AY187)+1,Constants!$B$14),$AJ187))</f>
        <v/>
      </c>
      <c r="BA187" s="87" t="str">
        <f aca="false">IF(ISBLANK($C187),"",IF($AJ187=Constants!$B$7,IF(ISNUMBER(AW187),AW187-AZ187,Constants!$B$14),$AJ187))</f>
        <v/>
      </c>
      <c r="BB187" s="88"/>
      <c r="BC187" s="89" t="str">
        <f aca="false">IF(ISBLANK($C187),"",IF($AJ187&lt;&gt;Constants!$B$7,$AJ187,SMALL(AQ187:AS187,1)&amp;", "&amp;SMALL(AQ187:AS187,2)&amp;", "&amp;SMALL(AQ187:AS187,3)))</f>
        <v/>
      </c>
      <c r="BD187" s="90" t="str">
        <f aca="false">IF(ISBLANK($C187),"",IF($AJ187&lt;&gt;Constants!$B$7,$AJ187,W187))</f>
        <v/>
      </c>
      <c r="BE187" s="91" t="str">
        <f aca="false">IF(ISBLANK($C187),"",IF($AJ187&lt;&gt;Constants!$B$7,$AJ187,AU187))</f>
        <v/>
      </c>
      <c r="BF187" s="92" t="str">
        <f aca="false">IF(ISBLANK($C187),"",IF($AJ187&lt;&gt;Constants!$B$7,$AJ187,AK187))</f>
        <v/>
      </c>
      <c r="BG187" s="90" t="str">
        <f aca="false">IF(ISBLANK($C187),"",BA187)</f>
        <v/>
      </c>
      <c r="BH187" s="90" t="str">
        <f aca="false">IF(ISBLANK($C187),"",AZ187)</f>
        <v/>
      </c>
      <c r="BI187" s="93" t="str">
        <f aca="false">IF(ISBLANK($C187),"",IF(BH187=Constants!$B$4,COUNTA($C$8:$C$507)+2,IF(BH187=Constants!$B$5,COUNTA($C$8:$C$507)+1,IF(BH187=Constants!$B$6,COUNTA($C$8:$C$507),BH187))))</f>
        <v/>
      </c>
      <c r="BJ187" s="5"/>
      <c r="BK187" s="94" t="n">
        <f aca="false">IF(OR(ISNUMBER(BH187),BH187=Constants!$B$4,BH187=Constants!$B$6,BH187=Constants!$B$5),1,0)</f>
        <v>0</v>
      </c>
      <c r="BL187" s="94" t="n">
        <v>180</v>
      </c>
      <c r="BM187" s="94" t="str">
        <f aca="false">IF(ISBLANK($C187),"",IF(ISNUMBER(BI187),BI187+ROW($B187)/1000,""))</f>
        <v/>
      </c>
      <c r="BN187" s="94" t="str">
        <f aca="false">IF(ISNUMBER(BM187),RANK(BM187,$BM$8:$BM$507,1),"")</f>
        <v/>
      </c>
      <c r="BO187" s="94" t="str">
        <f aca="false">IF(ISBLANK($C187),"",$B187)</f>
        <v/>
      </c>
      <c r="BP187" s="94" t="str">
        <f aca="false">IF(ISBLANK($C187),"",$C187)</f>
        <v/>
      </c>
      <c r="BQ187" s="94" t="str">
        <f aca="false">IF(ISBLANK($C187),"",$D187)</f>
        <v/>
      </c>
      <c r="BR187" s="95" t="str">
        <f aca="false">BF187</f>
        <v/>
      </c>
      <c r="BS187" s="96" t="str">
        <f aca="false">BE187</f>
        <v/>
      </c>
      <c r="BT187" s="94" t="str">
        <f aca="false">IF(ISBLANK($C187),"",BH187)</f>
        <v/>
      </c>
      <c r="BU187" s="97" t="str">
        <f aca="false">IF($BL187&gt;$BK$7,"",VLOOKUP($BL187,$BN$8:$BT$507,7,FALSE()))</f>
        <v/>
      </c>
      <c r="BV187" s="98" t="str">
        <f aca="false">IF($BL187&gt;$BK$7,"",VLOOKUP($BL187,$BN$8:$BT$507,2,FALSE()))</f>
        <v/>
      </c>
      <c r="BW187" s="98" t="str">
        <f aca="false">IF($BL187&gt;$BK$7,"",VLOOKUP($BL187,$BN$8:$BT$507,3,FALSE()))</f>
        <v/>
      </c>
      <c r="BX187" s="98" t="str">
        <f aca="false">IF($BL187&gt;$BK$7,"",VLOOKUP($BL187,$BN$8:$BT$507,4,FALSE()))</f>
        <v/>
      </c>
      <c r="BY187" s="98" t="str">
        <f aca="false">IF($BL187&gt;$BK$7,"",VLOOKUP($BL187,$BN$8:$BT$507,5,FALSE()))</f>
        <v/>
      </c>
      <c r="BZ187" s="99" t="str">
        <f aca="false">IF($BL187&gt;$BK$7,"",VLOOKUP($BL187,$BN$8:$BT$507,6,FALSE()))</f>
        <v/>
      </c>
      <c r="CA187" s="48"/>
    </row>
    <row r="188" customFormat="false" ht="15.75" hidden="false" customHeight="false" outlineLevel="0" collapsed="false">
      <c r="A188" s="5"/>
      <c r="B188" s="121"/>
      <c r="C188" s="50"/>
      <c r="D188" s="51"/>
      <c r="E188" s="74"/>
      <c r="F188" s="122"/>
      <c r="G188" s="54"/>
      <c r="H188" s="123"/>
      <c r="I188" s="124"/>
      <c r="J188" s="54"/>
      <c r="K188" s="123"/>
      <c r="L188" s="54"/>
      <c r="M188" s="123"/>
      <c r="N188" s="54"/>
      <c r="O188" s="123"/>
      <c r="P188" s="54"/>
      <c r="Q188" s="123"/>
      <c r="R188" s="54"/>
      <c r="S188" s="74"/>
      <c r="T188" s="58"/>
      <c r="U188" s="59" t="str">
        <f aca="false">IF(ISBLANK($C188),"",IF(E188=Constants!$B$2, TRUE(), IF(E188=Constants!$B$3, FALSE(), TRUE())))</f>
        <v/>
      </c>
      <c r="V188" s="59" t="str">
        <f aca="false">IF(ISBLANK($C188),"",IF(F188=Constants!$B$2, TRUE(), IF(F188=Constants!$B$3, FALSE(), TRUE())))</f>
        <v/>
      </c>
      <c r="W188" s="59" t="str">
        <f aca="false">IF(ISBLANK($C188),"",IF(G188=Constants!$B$15,Constants!$B$8,IF(G188=Constants!$B$16,Constants!$B$9,Constants!$B$10)))</f>
        <v/>
      </c>
      <c r="X188" s="59" t="str">
        <f aca="false">IF(ISBLANK($C188),"",IF(H188=Constants!$B$2, TRUE(), IF(H188=Constants!$B$3, FALSE(), TRUE())))</f>
        <v/>
      </c>
      <c r="Y188" s="59" t="str">
        <f aca="false">IF(ISBLANK($C188),"",IF(I188=Constants!$B$19,Constants!$B$19,Constants!$B$18))</f>
        <v/>
      </c>
      <c r="Z188" s="59" t="str">
        <f aca="false">IF(ISBLANK($C188),"",IF(ISNUMBER(J188),IF(J188&gt;=0,J188,""),""))</f>
        <v/>
      </c>
      <c r="AA188" s="59" t="str">
        <f aca="false">IF(ISBLANK($C188),"",IF(K188=Constants!$B$19,Constants!$B$19,Constants!$B$18))</f>
        <v/>
      </c>
      <c r="AB188" s="59" t="str">
        <f aca="false">IF(ISBLANK($C188),"",IF(ISNUMBER(L188),IF(L188&gt;=0,L188,""),""))</f>
        <v/>
      </c>
      <c r="AC188" s="59" t="str">
        <f aca="false">IF(ISBLANK($C188),"",IF(M188=Constants!$B$19,Constants!$B$19,Constants!$B$18))</f>
        <v/>
      </c>
      <c r="AD188" s="59" t="str">
        <f aca="false">IF(ISBLANK($C188),"",IF(ISNUMBER(N188),IF(N188&gt;=0,N188,""),""))</f>
        <v/>
      </c>
      <c r="AE188" s="59" t="str">
        <f aca="false">IF(ISBLANK($C188),"",IF(O188=Constants!$B$19,Constants!$B$19,Constants!$B$18))</f>
        <v/>
      </c>
      <c r="AF188" s="59" t="str">
        <f aca="false">IF(ISBLANK($C188),"",IF(ISNUMBER(P188),IF(P188&gt;=0,P188,""),""))</f>
        <v/>
      </c>
      <c r="AG188" s="59" t="str">
        <f aca="false">IF(ISBLANK($C188),"",IF(Q188=Constants!$B$19,Constants!$B$19,Constants!$B$18))</f>
        <v/>
      </c>
      <c r="AH188" s="59" t="str">
        <f aca="false">IF(ISBLANK($C188),"",IF(ISNUMBER(R188),IF(R188&gt;=0,R188,""),""))</f>
        <v/>
      </c>
      <c r="AI188" s="59" t="str">
        <f aca="false">IF(ISBLANK($C188),"",IF(S188=Constants!$B$2, TRUE(), IF(S188=Constants!$B$3, FALSE(), FALSE())))</f>
        <v/>
      </c>
      <c r="AJ188" s="59" t="str">
        <f aca="false">IF(ISBLANK($C188),"",IF(AI188,Constants!$B$4,IF(COUNTA(E188:R188)=0,Constants!$B$5,IF(COUNTA(J188,L188,N188,P188,R188)=0,Constants!$B$6,Constants!$B$7))))</f>
        <v/>
      </c>
      <c r="AK188" s="59" t="str">
        <f aca="false">IF(ISBLANK($C188),"",IF($AJ188&lt;&gt;Constants!$B$7,$AJ188,IF(OR(NOT(X188),AND(NOT(U188),COUNTIFS(Y188:AG188,Constants!$B$18,Z188:AH188,"&gt;=0")&gt;0),AND(NOT(V188),COUNTIFS(Y188:AG188,Constants!$B$19,Z188:AH188,"&gt;=0")&gt;0)),Constants!$B$12,Constants!$B$11)))</f>
        <v/>
      </c>
      <c r="AL188" s="59" t="str">
        <f aca="false">IF($AJ188=Constants!$B$7,IF(Z188="",Constants!$B$13,Z188),"")</f>
        <v/>
      </c>
      <c r="AM188" s="59" t="str">
        <f aca="false">IF($AJ188=Constants!$B$7,IF(AB188="",Constants!$B$13,AB188),"")</f>
        <v/>
      </c>
      <c r="AN188" s="59" t="str">
        <f aca="false">IF($AJ188=Constants!$B$7,IF(AD188="",Constants!$B$13,AD188),"")</f>
        <v/>
      </c>
      <c r="AO188" s="59" t="str">
        <f aca="false">IF($AJ188=Constants!$B$7,IF(AF188="",Constants!$B$13,AF188),"")</f>
        <v/>
      </c>
      <c r="AP188" s="59" t="str">
        <f aca="false">IF($AJ188=Constants!$B$7,IF(AH188="",Constants!$B$13,AH188),"")</f>
        <v/>
      </c>
      <c r="AQ188" s="59" t="str">
        <f aca="false">IF($AJ188=Constants!$B$7,IF(SUMPRODUCT(--($AL188:$AP188&gt;AL188))+SUMPRODUCT(--($AL188:AL188=AL188))=1,1,IF(SUMPRODUCT(--($AL188:$AP188&gt;AM188))+SUMPRODUCT(--($AL188:AM188=AM188))=1,2,IF(SUMPRODUCT(--($AL188:$AP188&gt;AN188))+SUMPRODUCT(--($AL188:AN188=AN188))=1,3,IF(SUMPRODUCT(--($AL188:$AP188&gt;AO188))+SUMPRODUCT(--($AL188:AO188=AO188))=1,4,5)))),"")</f>
        <v/>
      </c>
      <c r="AR188" s="59" t="str">
        <f aca="false">IF($AJ188=Constants!$B$7,IF(SUMPRODUCT(--($AL188:$AP188&gt;AL188))+SUMPRODUCT(--($AL188:AL188=AL188))=2,1,IF(SUMPRODUCT(--($AL188:$AP188&gt;AM188))+SUMPRODUCT(--($AL188:AM188=AM188))=2,2,IF(SUMPRODUCT(--($AL188:$AP188&gt;AN188))+SUMPRODUCT(--($AL188:AN188=AN188))=2,3,IF(SUMPRODUCT(--($AL188:$AP188&gt;AO188))+SUMPRODUCT(--($AL188:AO188=AO188))=2,4,5)))),"")</f>
        <v/>
      </c>
      <c r="AS188" s="59" t="str">
        <f aca="false">IF($AJ188=Constants!$B$7,IF(SUMPRODUCT(--($AL188:$AP188&gt;AL188))+SUMPRODUCT(--($AL188:AL188=AL188))=3,1,IF(SUMPRODUCT(--($AL188:$AP188&gt;AM188))+SUMPRODUCT(--($AL188:AM188=AM188))=3,2,IF(SUMPRODUCT(--($AL188:$AP188&gt;AN188))+SUMPRODUCT(--($AL188:AN188=AN188))=3,3,IF(SUMPRODUCT(--($AL188:$AP188&gt;AO188))+SUMPRODUCT(--($AL188:AO188=AO188))=3,4,5)))),"")</f>
        <v/>
      </c>
      <c r="AT188" s="59" t="str">
        <f aca="false">IF($AJ188=Constants!$B$7,LARGE(AL188:AP188,1)+LARGE(AL188:AP188,2)+LARGE(AL188:AP188,3),"")</f>
        <v/>
      </c>
      <c r="AU188" s="59" t="str">
        <f aca="false">IF(ISBLANK($C188),"",IF($AJ188&lt;&gt;Constants!$B$7,$AJ188,AT188*W188))</f>
        <v/>
      </c>
      <c r="AV188" s="59" t="str">
        <f aca="false">IF(ISBLANK($C188),"",IF($AJ188=Constants!$B$7,IF(ISNUMBER(AU188),RANK(AU188,$AU$8:$AU$507),Constants!$B$14),$AJ188))</f>
        <v/>
      </c>
      <c r="AW188" s="59" t="str">
        <f aca="false">IF(ISBLANK($C188),"",IF($AJ188=Constants!$B$7,IF(ISNUMBER(AV188),COUNTIFS($AK$8:$AK$507,"&lt;"&amp;$AK188)+COUNTIFS($AK$8:$AK$507,$AK188,$AV$8:$AV$507,"&lt;"&amp;$AV188)+1,Constants!$B$14),$AJ188))</f>
        <v/>
      </c>
      <c r="AX188" s="59" t="str">
        <f aca="false">IF(ISBLANK($C188),"",IF($AJ188=Constants!$B$7,LARGE(AL188:AP188,4)*W188,""))</f>
        <v/>
      </c>
      <c r="AY188" s="59" t="str">
        <f aca="false">IF(ISBLANK($C188),"",IF($AJ188=Constants!$B$7,RANK(AX188,$AX$8:$AX$507),$AJ188))</f>
        <v/>
      </c>
      <c r="AZ188" s="59" t="str">
        <f aca="false">IF(ISBLANK($C188),"",IF($AJ188=Constants!$B$7,IF(ISNUMBER(AV188),COUNTIFS($AK$8:$AK$507,"&lt;"&amp;$AK188)+COUNTIFS($AK$8:$AK$507,$AK188,$AV$8:$AV$507,"&lt;"&amp;$AV188)+COUNTIFS($AK$8:$AK$507,$AK188,$AV$8:$AV$507,$AV188,$AY$8:$AY$507,"&lt;"&amp;$AY188)+1,Constants!$B$14),$AJ188))</f>
        <v/>
      </c>
      <c r="BA188" s="59" t="str">
        <f aca="false">IF(ISBLANK($C188),"",IF($AJ188=Constants!$B$7,IF(ISNUMBER(AW188),AW188-AZ188,Constants!$B$14),$AJ188))</f>
        <v/>
      </c>
      <c r="BB188" s="61"/>
      <c r="BC188" s="62" t="str">
        <f aca="false">IF(ISBLANK($C188),"",IF($AJ188&lt;&gt;Constants!$B$7,$AJ188,SMALL(AQ188:AS188,1)&amp;", "&amp;SMALL(AQ188:AS188,2)&amp;", "&amp;SMALL(AQ188:AS188,3)))</f>
        <v/>
      </c>
      <c r="BD188" s="63" t="str">
        <f aca="false">IF(ISBLANK($C188),"",IF($AJ188&lt;&gt;Constants!$B$7,$AJ188,W188))</f>
        <v/>
      </c>
      <c r="BE188" s="64" t="str">
        <f aca="false">IF(ISBLANK($C188),"",IF($AJ188&lt;&gt;Constants!$B$7,$AJ188,AU188))</f>
        <v/>
      </c>
      <c r="BF188" s="65" t="str">
        <f aca="false">IF(ISBLANK($C188),"",IF($AJ188&lt;&gt;Constants!$B$7,$AJ188,AK188))</f>
        <v/>
      </c>
      <c r="BG188" s="63" t="str">
        <f aca="false">IF(ISBLANK($C188),"",BA188)</f>
        <v/>
      </c>
      <c r="BH188" s="63" t="str">
        <f aca="false">IF(ISBLANK($C188),"",AZ188)</f>
        <v/>
      </c>
      <c r="BI188" s="66" t="str">
        <f aca="false">IF(ISBLANK($C188),"",IF(BH188=Constants!$B$4,COUNTA($C$8:$C$507)+2,IF(BH188=Constants!$B$5,COUNTA($C$8:$C$507)+1,IF(BH188=Constants!$B$6,COUNTA($C$8:$C$507),BH188))))</f>
        <v/>
      </c>
      <c r="BJ188" s="5"/>
      <c r="BK188" s="67" t="n">
        <f aca="false">IF(OR(ISNUMBER(BH188),BH188=Constants!$B$4,BH188=Constants!$B$6,BH188=Constants!$B$5),1,0)</f>
        <v>0</v>
      </c>
      <c r="BL188" s="67" t="n">
        <v>181</v>
      </c>
      <c r="BM188" s="67" t="str">
        <f aca="false">IF(ISBLANK($C188),"",IF(ISNUMBER(BI188),BI188+ROW($B188)/1000,""))</f>
        <v/>
      </c>
      <c r="BN188" s="67" t="str">
        <f aca="false">IF(ISNUMBER(BM188),RANK(BM188,$BM$8:$BM$507,1),"")</f>
        <v/>
      </c>
      <c r="BO188" s="67" t="str">
        <f aca="false">IF(ISBLANK($C188),"",$B188)</f>
        <v/>
      </c>
      <c r="BP188" s="67" t="str">
        <f aca="false">IF(ISBLANK($C188),"",$C188)</f>
        <v/>
      </c>
      <c r="BQ188" s="67" t="str">
        <f aca="false">IF(ISBLANK($C188),"",$D188)</f>
        <v/>
      </c>
      <c r="BR188" s="68" t="str">
        <f aca="false">BF188</f>
        <v/>
      </c>
      <c r="BS188" s="69" t="str">
        <f aca="false">BE188</f>
        <v/>
      </c>
      <c r="BT188" s="67" t="str">
        <f aca="false">IF(ISBLANK($C188),"",BH188)</f>
        <v/>
      </c>
      <c r="BU188" s="70" t="str">
        <f aca="false">IF($BL188&gt;$BK$7,"",VLOOKUP($BL188,$BN$8:$BT$507,7,FALSE()))</f>
        <v/>
      </c>
      <c r="BV188" s="71" t="str">
        <f aca="false">IF($BL188&gt;$BK$7,"",VLOOKUP($BL188,$BN$8:$BT$507,2,FALSE()))</f>
        <v/>
      </c>
      <c r="BW188" s="71" t="str">
        <f aca="false">IF($BL188&gt;$BK$7,"",VLOOKUP($BL188,$BN$8:$BT$507,3,FALSE()))</f>
        <v/>
      </c>
      <c r="BX188" s="71" t="str">
        <f aca="false">IF($BL188&gt;$BK$7,"",VLOOKUP($BL188,$BN$8:$BT$507,4,FALSE()))</f>
        <v/>
      </c>
      <c r="BY188" s="71" t="str">
        <f aca="false">IF($BL188&gt;$BK$7,"",VLOOKUP($BL188,$BN$8:$BT$507,5,FALSE()))</f>
        <v/>
      </c>
      <c r="BZ188" s="72" t="str">
        <f aca="false">IF($BL188&gt;$BK$7,"",VLOOKUP($BL188,$BN$8:$BT$507,6,FALSE()))</f>
        <v/>
      </c>
      <c r="CA188" s="48"/>
    </row>
    <row r="189" customFormat="false" ht="15.75" hidden="false" customHeight="false" outlineLevel="0" collapsed="false">
      <c r="A189" s="5"/>
      <c r="B189" s="121"/>
      <c r="C189" s="50"/>
      <c r="D189" s="51"/>
      <c r="E189" s="74"/>
      <c r="F189" s="122"/>
      <c r="G189" s="54"/>
      <c r="H189" s="123"/>
      <c r="I189" s="124"/>
      <c r="J189" s="54"/>
      <c r="K189" s="123"/>
      <c r="L189" s="54"/>
      <c r="M189" s="123"/>
      <c r="N189" s="54"/>
      <c r="O189" s="123"/>
      <c r="P189" s="54"/>
      <c r="Q189" s="123"/>
      <c r="R189" s="54"/>
      <c r="S189" s="74"/>
      <c r="T189" s="58"/>
      <c r="U189" s="59" t="str">
        <f aca="false">IF(ISBLANK($C189),"",IF(E189=Constants!$B$2, TRUE(), IF(E189=Constants!$B$3, FALSE(), TRUE())))</f>
        <v/>
      </c>
      <c r="V189" s="59" t="str">
        <f aca="false">IF(ISBLANK($C189),"",IF(F189=Constants!$B$2, TRUE(), IF(F189=Constants!$B$3, FALSE(), TRUE())))</f>
        <v/>
      </c>
      <c r="W189" s="59" t="str">
        <f aca="false">IF(ISBLANK($C189),"",IF(G189=Constants!$B$15,Constants!$B$8,IF(G189=Constants!$B$16,Constants!$B$9,Constants!$B$10)))</f>
        <v/>
      </c>
      <c r="X189" s="59" t="str">
        <f aca="false">IF(ISBLANK($C189),"",IF(H189=Constants!$B$2, TRUE(), IF(H189=Constants!$B$3, FALSE(), TRUE())))</f>
        <v/>
      </c>
      <c r="Y189" s="59" t="str">
        <f aca="false">IF(ISBLANK($C189),"",IF(I189=Constants!$B$19,Constants!$B$19,Constants!$B$18))</f>
        <v/>
      </c>
      <c r="Z189" s="59" t="str">
        <f aca="false">IF(ISBLANK($C189),"",IF(ISNUMBER(J189),IF(J189&gt;=0,J189,""),""))</f>
        <v/>
      </c>
      <c r="AA189" s="59" t="str">
        <f aca="false">IF(ISBLANK($C189),"",IF(K189=Constants!$B$19,Constants!$B$19,Constants!$B$18))</f>
        <v/>
      </c>
      <c r="AB189" s="59" t="str">
        <f aca="false">IF(ISBLANK($C189),"",IF(ISNUMBER(L189),IF(L189&gt;=0,L189,""),""))</f>
        <v/>
      </c>
      <c r="AC189" s="59" t="str">
        <f aca="false">IF(ISBLANK($C189),"",IF(M189=Constants!$B$19,Constants!$B$19,Constants!$B$18))</f>
        <v/>
      </c>
      <c r="AD189" s="59" t="str">
        <f aca="false">IF(ISBLANK($C189),"",IF(ISNUMBER(N189),IF(N189&gt;=0,N189,""),""))</f>
        <v/>
      </c>
      <c r="AE189" s="59" t="str">
        <f aca="false">IF(ISBLANK($C189),"",IF(O189=Constants!$B$19,Constants!$B$19,Constants!$B$18))</f>
        <v/>
      </c>
      <c r="AF189" s="59" t="str">
        <f aca="false">IF(ISBLANK($C189),"",IF(ISNUMBER(P189),IF(P189&gt;=0,P189,""),""))</f>
        <v/>
      </c>
      <c r="AG189" s="59" t="str">
        <f aca="false">IF(ISBLANK($C189),"",IF(Q189=Constants!$B$19,Constants!$B$19,Constants!$B$18))</f>
        <v/>
      </c>
      <c r="AH189" s="59" t="str">
        <f aca="false">IF(ISBLANK($C189),"",IF(ISNUMBER(R189),IF(R189&gt;=0,R189,""),""))</f>
        <v/>
      </c>
      <c r="AI189" s="59" t="str">
        <f aca="false">IF(ISBLANK($C189),"",IF(S189=Constants!$B$2, TRUE(), IF(S189=Constants!$B$3, FALSE(), FALSE())))</f>
        <v/>
      </c>
      <c r="AJ189" s="59" t="str">
        <f aca="false">IF(ISBLANK($C189),"",IF(AI189,Constants!$B$4,IF(COUNTA(E189:R189)=0,Constants!$B$5,IF(COUNTA(J189,L189,N189,P189,R189)=0,Constants!$B$6,Constants!$B$7))))</f>
        <v/>
      </c>
      <c r="AK189" s="59" t="str">
        <f aca="false">IF(ISBLANK($C189),"",IF($AJ189&lt;&gt;Constants!$B$7,$AJ189,IF(OR(NOT(X189),AND(NOT(U189),COUNTIFS(Y189:AG189,Constants!$B$18,Z189:AH189,"&gt;=0")&gt;0),AND(NOT(V189),COUNTIFS(Y189:AG189,Constants!$B$19,Z189:AH189,"&gt;=0")&gt;0)),Constants!$B$12,Constants!$B$11)))</f>
        <v/>
      </c>
      <c r="AL189" s="59" t="str">
        <f aca="false">IF($AJ189=Constants!$B$7,IF(Z189="",Constants!$B$13,Z189),"")</f>
        <v/>
      </c>
      <c r="AM189" s="59" t="str">
        <f aca="false">IF($AJ189=Constants!$B$7,IF(AB189="",Constants!$B$13,AB189),"")</f>
        <v/>
      </c>
      <c r="AN189" s="59" t="str">
        <f aca="false">IF($AJ189=Constants!$B$7,IF(AD189="",Constants!$B$13,AD189),"")</f>
        <v/>
      </c>
      <c r="AO189" s="59" t="str">
        <f aca="false">IF($AJ189=Constants!$B$7,IF(AF189="",Constants!$B$13,AF189),"")</f>
        <v/>
      </c>
      <c r="AP189" s="59" t="str">
        <f aca="false">IF($AJ189=Constants!$B$7,IF(AH189="",Constants!$B$13,AH189),"")</f>
        <v/>
      </c>
      <c r="AQ189" s="59" t="str">
        <f aca="false">IF($AJ189=Constants!$B$7,IF(SUMPRODUCT(--($AL189:$AP189&gt;AL189))+SUMPRODUCT(--($AL189:AL189=AL189))=1,1,IF(SUMPRODUCT(--($AL189:$AP189&gt;AM189))+SUMPRODUCT(--($AL189:AM189=AM189))=1,2,IF(SUMPRODUCT(--($AL189:$AP189&gt;AN189))+SUMPRODUCT(--($AL189:AN189=AN189))=1,3,IF(SUMPRODUCT(--($AL189:$AP189&gt;AO189))+SUMPRODUCT(--($AL189:AO189=AO189))=1,4,5)))),"")</f>
        <v/>
      </c>
      <c r="AR189" s="59" t="str">
        <f aca="false">IF($AJ189=Constants!$B$7,IF(SUMPRODUCT(--($AL189:$AP189&gt;AL189))+SUMPRODUCT(--($AL189:AL189=AL189))=2,1,IF(SUMPRODUCT(--($AL189:$AP189&gt;AM189))+SUMPRODUCT(--($AL189:AM189=AM189))=2,2,IF(SUMPRODUCT(--($AL189:$AP189&gt;AN189))+SUMPRODUCT(--($AL189:AN189=AN189))=2,3,IF(SUMPRODUCT(--($AL189:$AP189&gt;AO189))+SUMPRODUCT(--($AL189:AO189=AO189))=2,4,5)))),"")</f>
        <v/>
      </c>
      <c r="AS189" s="59" t="str">
        <f aca="false">IF($AJ189=Constants!$B$7,IF(SUMPRODUCT(--($AL189:$AP189&gt;AL189))+SUMPRODUCT(--($AL189:AL189=AL189))=3,1,IF(SUMPRODUCT(--($AL189:$AP189&gt;AM189))+SUMPRODUCT(--($AL189:AM189=AM189))=3,2,IF(SUMPRODUCT(--($AL189:$AP189&gt;AN189))+SUMPRODUCT(--($AL189:AN189=AN189))=3,3,IF(SUMPRODUCT(--($AL189:$AP189&gt;AO189))+SUMPRODUCT(--($AL189:AO189=AO189))=3,4,5)))),"")</f>
        <v/>
      </c>
      <c r="AT189" s="59" t="str">
        <f aca="false">IF($AJ189=Constants!$B$7,LARGE(AL189:AP189,1)+LARGE(AL189:AP189,2)+LARGE(AL189:AP189,3),"")</f>
        <v/>
      </c>
      <c r="AU189" s="59" t="str">
        <f aca="false">IF(ISBLANK($C189),"",IF($AJ189&lt;&gt;Constants!$B$7,$AJ189,AT189*W189))</f>
        <v/>
      </c>
      <c r="AV189" s="59" t="str">
        <f aca="false">IF(ISBLANK($C189),"",IF($AJ189=Constants!$B$7,IF(ISNUMBER(AU189),RANK(AU189,$AU$8:$AU$507),Constants!$B$14),$AJ189))</f>
        <v/>
      </c>
      <c r="AW189" s="59" t="str">
        <f aca="false">IF(ISBLANK($C189),"",IF($AJ189=Constants!$B$7,IF(ISNUMBER(AV189),COUNTIFS($AK$8:$AK$507,"&lt;"&amp;$AK189)+COUNTIFS($AK$8:$AK$507,$AK189,$AV$8:$AV$507,"&lt;"&amp;$AV189)+1,Constants!$B$14),$AJ189))</f>
        <v/>
      </c>
      <c r="AX189" s="59" t="str">
        <f aca="false">IF(ISBLANK($C189),"",IF($AJ189=Constants!$B$7,LARGE(AL189:AP189,4)*W189,""))</f>
        <v/>
      </c>
      <c r="AY189" s="59" t="str">
        <f aca="false">IF(ISBLANK($C189),"",IF($AJ189=Constants!$B$7,RANK(AX189,$AX$8:$AX$507),$AJ189))</f>
        <v/>
      </c>
      <c r="AZ189" s="59" t="str">
        <f aca="false">IF(ISBLANK($C189),"",IF($AJ189=Constants!$B$7,IF(ISNUMBER(AV189),COUNTIFS($AK$8:$AK$507,"&lt;"&amp;$AK189)+COUNTIFS($AK$8:$AK$507,$AK189,$AV$8:$AV$507,"&lt;"&amp;$AV189)+COUNTIFS($AK$8:$AK$507,$AK189,$AV$8:$AV$507,$AV189,$AY$8:$AY$507,"&lt;"&amp;$AY189)+1,Constants!$B$14),$AJ189))</f>
        <v/>
      </c>
      <c r="BA189" s="59" t="str">
        <f aca="false">IF(ISBLANK($C189),"",IF($AJ189=Constants!$B$7,IF(ISNUMBER(AW189),AW189-AZ189,Constants!$B$14),$AJ189))</f>
        <v/>
      </c>
      <c r="BB189" s="61"/>
      <c r="BC189" s="62" t="str">
        <f aca="false">IF(ISBLANK($C189),"",IF($AJ189&lt;&gt;Constants!$B$7,$AJ189,SMALL(AQ189:AS189,1)&amp;", "&amp;SMALL(AQ189:AS189,2)&amp;", "&amp;SMALL(AQ189:AS189,3)))</f>
        <v/>
      </c>
      <c r="BD189" s="63" t="str">
        <f aca="false">IF(ISBLANK($C189),"",IF($AJ189&lt;&gt;Constants!$B$7,$AJ189,W189))</f>
        <v/>
      </c>
      <c r="BE189" s="64" t="str">
        <f aca="false">IF(ISBLANK($C189),"",IF($AJ189&lt;&gt;Constants!$B$7,$AJ189,AU189))</f>
        <v/>
      </c>
      <c r="BF189" s="65" t="str">
        <f aca="false">IF(ISBLANK($C189),"",IF($AJ189&lt;&gt;Constants!$B$7,$AJ189,AK189))</f>
        <v/>
      </c>
      <c r="BG189" s="63" t="str">
        <f aca="false">IF(ISBLANK($C189),"",BA189)</f>
        <v/>
      </c>
      <c r="BH189" s="63" t="str">
        <f aca="false">IF(ISBLANK($C189),"",AZ189)</f>
        <v/>
      </c>
      <c r="BI189" s="66" t="str">
        <f aca="false">IF(ISBLANK($C189),"",IF(BH189=Constants!$B$4,COUNTA($C$8:$C$507)+2,IF(BH189=Constants!$B$5,COUNTA($C$8:$C$507)+1,IF(BH189=Constants!$B$6,COUNTA($C$8:$C$507),BH189))))</f>
        <v/>
      </c>
      <c r="BJ189" s="5"/>
      <c r="BK189" s="67" t="n">
        <f aca="false">IF(OR(ISNUMBER(BH189),BH189=Constants!$B$4,BH189=Constants!$B$6,BH189=Constants!$B$5),1,0)</f>
        <v>0</v>
      </c>
      <c r="BL189" s="67" t="n">
        <v>182</v>
      </c>
      <c r="BM189" s="67" t="str">
        <f aca="false">IF(ISBLANK($C189),"",IF(ISNUMBER(BI189),BI189+ROW($B189)/1000,""))</f>
        <v/>
      </c>
      <c r="BN189" s="67" t="str">
        <f aca="false">IF(ISNUMBER(BM189),RANK(BM189,$BM$8:$BM$507,1),"")</f>
        <v/>
      </c>
      <c r="BO189" s="67" t="str">
        <f aca="false">IF(ISBLANK($C189),"",$B189)</f>
        <v/>
      </c>
      <c r="BP189" s="67" t="str">
        <f aca="false">IF(ISBLANK($C189),"",$C189)</f>
        <v/>
      </c>
      <c r="BQ189" s="67" t="str">
        <f aca="false">IF(ISBLANK($C189),"",$D189)</f>
        <v/>
      </c>
      <c r="BR189" s="68" t="str">
        <f aca="false">BF189</f>
        <v/>
      </c>
      <c r="BS189" s="69" t="str">
        <f aca="false">BE189</f>
        <v/>
      </c>
      <c r="BT189" s="67" t="str">
        <f aca="false">IF(ISBLANK($C189),"",BH189)</f>
        <v/>
      </c>
      <c r="BU189" s="70" t="str">
        <f aca="false">IF($BL189&gt;$BK$7,"",VLOOKUP($BL189,$BN$8:$BT$507,7,FALSE()))</f>
        <v/>
      </c>
      <c r="BV189" s="71" t="str">
        <f aca="false">IF($BL189&gt;$BK$7,"",VLOOKUP($BL189,$BN$8:$BT$507,2,FALSE()))</f>
        <v/>
      </c>
      <c r="BW189" s="71" t="str">
        <f aca="false">IF($BL189&gt;$BK$7,"",VLOOKUP($BL189,$BN$8:$BT$507,3,FALSE()))</f>
        <v/>
      </c>
      <c r="BX189" s="71" t="str">
        <f aca="false">IF($BL189&gt;$BK$7,"",VLOOKUP($BL189,$BN$8:$BT$507,4,FALSE()))</f>
        <v/>
      </c>
      <c r="BY189" s="71" t="str">
        <f aca="false">IF($BL189&gt;$BK$7,"",VLOOKUP($BL189,$BN$8:$BT$507,5,FALSE()))</f>
        <v/>
      </c>
      <c r="BZ189" s="72" t="str">
        <f aca="false">IF($BL189&gt;$BK$7,"",VLOOKUP($BL189,$BN$8:$BT$507,6,FALSE()))</f>
        <v/>
      </c>
      <c r="CA189" s="48"/>
    </row>
    <row r="190" customFormat="false" ht="15.75" hidden="false" customHeight="false" outlineLevel="0" collapsed="false">
      <c r="A190" s="5"/>
      <c r="B190" s="121"/>
      <c r="C190" s="50"/>
      <c r="D190" s="51"/>
      <c r="E190" s="74"/>
      <c r="F190" s="122"/>
      <c r="G190" s="54"/>
      <c r="H190" s="123"/>
      <c r="I190" s="124"/>
      <c r="J190" s="54"/>
      <c r="K190" s="123"/>
      <c r="L190" s="54"/>
      <c r="M190" s="123"/>
      <c r="N190" s="54"/>
      <c r="O190" s="123"/>
      <c r="P190" s="54"/>
      <c r="Q190" s="123"/>
      <c r="R190" s="54"/>
      <c r="S190" s="74"/>
      <c r="T190" s="58"/>
      <c r="U190" s="59" t="str">
        <f aca="false">IF(ISBLANK($C190),"",IF(E190=Constants!$B$2, TRUE(), IF(E190=Constants!$B$3, FALSE(), TRUE())))</f>
        <v/>
      </c>
      <c r="V190" s="59" t="str">
        <f aca="false">IF(ISBLANK($C190),"",IF(F190=Constants!$B$2, TRUE(), IF(F190=Constants!$B$3, FALSE(), TRUE())))</f>
        <v/>
      </c>
      <c r="W190" s="59" t="str">
        <f aca="false">IF(ISBLANK($C190),"",IF(G190=Constants!$B$15,Constants!$B$8,IF(G190=Constants!$B$16,Constants!$B$9,Constants!$B$10)))</f>
        <v/>
      </c>
      <c r="X190" s="59" t="str">
        <f aca="false">IF(ISBLANK($C190),"",IF(H190=Constants!$B$2, TRUE(), IF(H190=Constants!$B$3, FALSE(), TRUE())))</f>
        <v/>
      </c>
      <c r="Y190" s="59" t="str">
        <f aca="false">IF(ISBLANK($C190),"",IF(I190=Constants!$B$19,Constants!$B$19,Constants!$B$18))</f>
        <v/>
      </c>
      <c r="Z190" s="59" t="str">
        <f aca="false">IF(ISBLANK($C190),"",IF(ISNUMBER(J190),IF(J190&gt;=0,J190,""),""))</f>
        <v/>
      </c>
      <c r="AA190" s="59" t="str">
        <f aca="false">IF(ISBLANK($C190),"",IF(K190=Constants!$B$19,Constants!$B$19,Constants!$B$18))</f>
        <v/>
      </c>
      <c r="AB190" s="59" t="str">
        <f aca="false">IF(ISBLANK($C190),"",IF(ISNUMBER(L190),IF(L190&gt;=0,L190,""),""))</f>
        <v/>
      </c>
      <c r="AC190" s="59" t="str">
        <f aca="false">IF(ISBLANK($C190),"",IF(M190=Constants!$B$19,Constants!$B$19,Constants!$B$18))</f>
        <v/>
      </c>
      <c r="AD190" s="59" t="str">
        <f aca="false">IF(ISBLANK($C190),"",IF(ISNUMBER(N190),IF(N190&gt;=0,N190,""),""))</f>
        <v/>
      </c>
      <c r="AE190" s="59" t="str">
        <f aca="false">IF(ISBLANK($C190),"",IF(O190=Constants!$B$19,Constants!$B$19,Constants!$B$18))</f>
        <v/>
      </c>
      <c r="AF190" s="59" t="str">
        <f aca="false">IF(ISBLANK($C190),"",IF(ISNUMBER(P190),IF(P190&gt;=0,P190,""),""))</f>
        <v/>
      </c>
      <c r="AG190" s="59" t="str">
        <f aca="false">IF(ISBLANK($C190),"",IF(Q190=Constants!$B$19,Constants!$B$19,Constants!$B$18))</f>
        <v/>
      </c>
      <c r="AH190" s="59" t="str">
        <f aca="false">IF(ISBLANK($C190),"",IF(ISNUMBER(R190),IF(R190&gt;=0,R190,""),""))</f>
        <v/>
      </c>
      <c r="AI190" s="59" t="str">
        <f aca="false">IF(ISBLANK($C190),"",IF(S190=Constants!$B$2, TRUE(), IF(S190=Constants!$B$3, FALSE(), FALSE())))</f>
        <v/>
      </c>
      <c r="AJ190" s="59" t="str">
        <f aca="false">IF(ISBLANK($C190),"",IF(AI190,Constants!$B$4,IF(COUNTA(E190:R190)=0,Constants!$B$5,IF(COUNTA(J190,L190,N190,P190,R190)=0,Constants!$B$6,Constants!$B$7))))</f>
        <v/>
      </c>
      <c r="AK190" s="59" t="str">
        <f aca="false">IF(ISBLANK($C190),"",IF($AJ190&lt;&gt;Constants!$B$7,$AJ190,IF(OR(NOT(X190),AND(NOT(U190),COUNTIFS(Y190:AG190,Constants!$B$18,Z190:AH190,"&gt;=0")&gt;0),AND(NOT(V190),COUNTIFS(Y190:AG190,Constants!$B$19,Z190:AH190,"&gt;=0")&gt;0)),Constants!$B$12,Constants!$B$11)))</f>
        <v/>
      </c>
      <c r="AL190" s="59" t="str">
        <f aca="false">IF($AJ190=Constants!$B$7,IF(Z190="",Constants!$B$13,Z190),"")</f>
        <v/>
      </c>
      <c r="AM190" s="59" t="str">
        <f aca="false">IF($AJ190=Constants!$B$7,IF(AB190="",Constants!$B$13,AB190),"")</f>
        <v/>
      </c>
      <c r="AN190" s="59" t="str">
        <f aca="false">IF($AJ190=Constants!$B$7,IF(AD190="",Constants!$B$13,AD190),"")</f>
        <v/>
      </c>
      <c r="AO190" s="59" t="str">
        <f aca="false">IF($AJ190=Constants!$B$7,IF(AF190="",Constants!$B$13,AF190),"")</f>
        <v/>
      </c>
      <c r="AP190" s="59" t="str">
        <f aca="false">IF($AJ190=Constants!$B$7,IF(AH190="",Constants!$B$13,AH190),"")</f>
        <v/>
      </c>
      <c r="AQ190" s="59" t="str">
        <f aca="false">IF($AJ190=Constants!$B$7,IF(SUMPRODUCT(--($AL190:$AP190&gt;AL190))+SUMPRODUCT(--($AL190:AL190=AL190))=1,1,IF(SUMPRODUCT(--($AL190:$AP190&gt;AM190))+SUMPRODUCT(--($AL190:AM190=AM190))=1,2,IF(SUMPRODUCT(--($AL190:$AP190&gt;AN190))+SUMPRODUCT(--($AL190:AN190=AN190))=1,3,IF(SUMPRODUCT(--($AL190:$AP190&gt;AO190))+SUMPRODUCT(--($AL190:AO190=AO190))=1,4,5)))),"")</f>
        <v/>
      </c>
      <c r="AR190" s="59" t="str">
        <f aca="false">IF($AJ190=Constants!$B$7,IF(SUMPRODUCT(--($AL190:$AP190&gt;AL190))+SUMPRODUCT(--($AL190:AL190=AL190))=2,1,IF(SUMPRODUCT(--($AL190:$AP190&gt;AM190))+SUMPRODUCT(--($AL190:AM190=AM190))=2,2,IF(SUMPRODUCT(--($AL190:$AP190&gt;AN190))+SUMPRODUCT(--($AL190:AN190=AN190))=2,3,IF(SUMPRODUCT(--($AL190:$AP190&gt;AO190))+SUMPRODUCT(--($AL190:AO190=AO190))=2,4,5)))),"")</f>
        <v/>
      </c>
      <c r="AS190" s="59" t="str">
        <f aca="false">IF($AJ190=Constants!$B$7,IF(SUMPRODUCT(--($AL190:$AP190&gt;AL190))+SUMPRODUCT(--($AL190:AL190=AL190))=3,1,IF(SUMPRODUCT(--($AL190:$AP190&gt;AM190))+SUMPRODUCT(--($AL190:AM190=AM190))=3,2,IF(SUMPRODUCT(--($AL190:$AP190&gt;AN190))+SUMPRODUCT(--($AL190:AN190=AN190))=3,3,IF(SUMPRODUCT(--($AL190:$AP190&gt;AO190))+SUMPRODUCT(--($AL190:AO190=AO190))=3,4,5)))),"")</f>
        <v/>
      </c>
      <c r="AT190" s="59" t="str">
        <f aca="false">IF($AJ190=Constants!$B$7,LARGE(AL190:AP190,1)+LARGE(AL190:AP190,2)+LARGE(AL190:AP190,3),"")</f>
        <v/>
      </c>
      <c r="AU190" s="59" t="str">
        <f aca="false">IF(ISBLANK($C190),"",IF($AJ190&lt;&gt;Constants!$B$7,$AJ190,AT190*W190))</f>
        <v/>
      </c>
      <c r="AV190" s="59" t="str">
        <f aca="false">IF(ISBLANK($C190),"",IF($AJ190=Constants!$B$7,IF(ISNUMBER(AU190),RANK(AU190,$AU$8:$AU$507),Constants!$B$14),$AJ190))</f>
        <v/>
      </c>
      <c r="AW190" s="59" t="str">
        <f aca="false">IF(ISBLANK($C190),"",IF($AJ190=Constants!$B$7,IF(ISNUMBER(AV190),COUNTIFS($AK$8:$AK$507,"&lt;"&amp;$AK190)+COUNTIFS($AK$8:$AK$507,$AK190,$AV$8:$AV$507,"&lt;"&amp;$AV190)+1,Constants!$B$14),$AJ190))</f>
        <v/>
      </c>
      <c r="AX190" s="59" t="str">
        <f aca="false">IF(ISBLANK($C190),"",IF($AJ190=Constants!$B$7,LARGE(AL190:AP190,4)*W190,""))</f>
        <v/>
      </c>
      <c r="AY190" s="59" t="str">
        <f aca="false">IF(ISBLANK($C190),"",IF($AJ190=Constants!$B$7,RANK(AX190,$AX$8:$AX$507),$AJ190))</f>
        <v/>
      </c>
      <c r="AZ190" s="59" t="str">
        <f aca="false">IF(ISBLANK($C190),"",IF($AJ190=Constants!$B$7,IF(ISNUMBER(AV190),COUNTIFS($AK$8:$AK$507,"&lt;"&amp;$AK190)+COUNTIFS($AK$8:$AK$507,$AK190,$AV$8:$AV$507,"&lt;"&amp;$AV190)+COUNTIFS($AK$8:$AK$507,$AK190,$AV$8:$AV$507,$AV190,$AY$8:$AY$507,"&lt;"&amp;$AY190)+1,Constants!$B$14),$AJ190))</f>
        <v/>
      </c>
      <c r="BA190" s="59" t="str">
        <f aca="false">IF(ISBLANK($C190),"",IF($AJ190=Constants!$B$7,IF(ISNUMBER(AW190),AW190-AZ190,Constants!$B$14),$AJ190))</f>
        <v/>
      </c>
      <c r="BB190" s="61"/>
      <c r="BC190" s="62" t="str">
        <f aca="false">IF(ISBLANK($C190),"",IF($AJ190&lt;&gt;Constants!$B$7,$AJ190,SMALL(AQ190:AS190,1)&amp;", "&amp;SMALL(AQ190:AS190,2)&amp;", "&amp;SMALL(AQ190:AS190,3)))</f>
        <v/>
      </c>
      <c r="BD190" s="63" t="str">
        <f aca="false">IF(ISBLANK($C190),"",IF($AJ190&lt;&gt;Constants!$B$7,$AJ190,W190))</f>
        <v/>
      </c>
      <c r="BE190" s="64" t="str">
        <f aca="false">IF(ISBLANK($C190),"",IF($AJ190&lt;&gt;Constants!$B$7,$AJ190,AU190))</f>
        <v/>
      </c>
      <c r="BF190" s="65" t="str">
        <f aca="false">IF(ISBLANK($C190),"",IF($AJ190&lt;&gt;Constants!$B$7,$AJ190,AK190))</f>
        <v/>
      </c>
      <c r="BG190" s="63" t="str">
        <f aca="false">IF(ISBLANK($C190),"",BA190)</f>
        <v/>
      </c>
      <c r="BH190" s="63" t="str">
        <f aca="false">IF(ISBLANK($C190),"",AZ190)</f>
        <v/>
      </c>
      <c r="BI190" s="66" t="str">
        <f aca="false">IF(ISBLANK($C190),"",IF(BH190=Constants!$B$4,COUNTA($C$8:$C$507)+2,IF(BH190=Constants!$B$5,COUNTA($C$8:$C$507)+1,IF(BH190=Constants!$B$6,COUNTA($C$8:$C$507),BH190))))</f>
        <v/>
      </c>
      <c r="BJ190" s="5"/>
      <c r="BK190" s="67" t="n">
        <f aca="false">IF(OR(ISNUMBER(BH190),BH190=Constants!$B$4,BH190=Constants!$B$6,BH190=Constants!$B$5),1,0)</f>
        <v>0</v>
      </c>
      <c r="BL190" s="67" t="n">
        <v>183</v>
      </c>
      <c r="BM190" s="67" t="str">
        <f aca="false">IF(ISBLANK($C190),"",IF(ISNUMBER(BI190),BI190+ROW($B190)/1000,""))</f>
        <v/>
      </c>
      <c r="BN190" s="67" t="str">
        <f aca="false">IF(ISNUMBER(BM190),RANK(BM190,$BM$8:$BM$507,1),"")</f>
        <v/>
      </c>
      <c r="BO190" s="67" t="str">
        <f aca="false">IF(ISBLANK($C190),"",$B190)</f>
        <v/>
      </c>
      <c r="BP190" s="67" t="str">
        <f aca="false">IF(ISBLANK($C190),"",$C190)</f>
        <v/>
      </c>
      <c r="BQ190" s="67" t="str">
        <f aca="false">IF(ISBLANK($C190),"",$D190)</f>
        <v/>
      </c>
      <c r="BR190" s="68" t="str">
        <f aca="false">BF190</f>
        <v/>
      </c>
      <c r="BS190" s="69" t="str">
        <f aca="false">BE190</f>
        <v/>
      </c>
      <c r="BT190" s="67" t="str">
        <f aca="false">IF(ISBLANK($C190),"",BH190)</f>
        <v/>
      </c>
      <c r="BU190" s="70" t="str">
        <f aca="false">IF($BL190&gt;$BK$7,"",VLOOKUP($BL190,$BN$8:$BT$507,7,FALSE()))</f>
        <v/>
      </c>
      <c r="BV190" s="71" t="str">
        <f aca="false">IF($BL190&gt;$BK$7,"",VLOOKUP($BL190,$BN$8:$BT$507,2,FALSE()))</f>
        <v/>
      </c>
      <c r="BW190" s="71" t="str">
        <f aca="false">IF($BL190&gt;$BK$7,"",VLOOKUP($BL190,$BN$8:$BT$507,3,FALSE()))</f>
        <v/>
      </c>
      <c r="BX190" s="71" t="str">
        <f aca="false">IF($BL190&gt;$BK$7,"",VLOOKUP($BL190,$BN$8:$BT$507,4,FALSE()))</f>
        <v/>
      </c>
      <c r="BY190" s="71" t="str">
        <f aca="false">IF($BL190&gt;$BK$7,"",VLOOKUP($BL190,$BN$8:$BT$507,5,FALSE()))</f>
        <v/>
      </c>
      <c r="BZ190" s="72" t="str">
        <f aca="false">IF($BL190&gt;$BK$7,"",VLOOKUP($BL190,$BN$8:$BT$507,6,FALSE()))</f>
        <v/>
      </c>
      <c r="CA190" s="48"/>
    </row>
    <row r="191" customFormat="false" ht="15.75" hidden="false" customHeight="false" outlineLevel="0" collapsed="false">
      <c r="A191" s="5"/>
      <c r="B191" s="114"/>
      <c r="C191" s="115"/>
      <c r="D191" s="100"/>
      <c r="E191" s="120"/>
      <c r="F191" s="125"/>
      <c r="G191" s="82"/>
      <c r="H191" s="126"/>
      <c r="I191" s="127"/>
      <c r="J191" s="82"/>
      <c r="K191" s="126"/>
      <c r="L191" s="82"/>
      <c r="M191" s="126"/>
      <c r="N191" s="82"/>
      <c r="O191" s="126"/>
      <c r="P191" s="82"/>
      <c r="Q191" s="126"/>
      <c r="R191" s="82"/>
      <c r="S191" s="120"/>
      <c r="T191" s="86"/>
      <c r="U191" s="87" t="str">
        <f aca="false">IF(ISBLANK($C191),"",IF(E191=Constants!$B$2, TRUE(), IF(E191=Constants!$B$3, FALSE(), TRUE())))</f>
        <v/>
      </c>
      <c r="V191" s="87" t="str">
        <f aca="false">IF(ISBLANK($C191),"",IF(F191=Constants!$B$2, TRUE(), IF(F191=Constants!$B$3, FALSE(), TRUE())))</f>
        <v/>
      </c>
      <c r="W191" s="87" t="str">
        <f aca="false">IF(ISBLANK($C191),"",IF(G191=Constants!$B$15,Constants!$B$8,IF(G191=Constants!$B$16,Constants!$B$9,Constants!$B$10)))</f>
        <v/>
      </c>
      <c r="X191" s="87" t="str">
        <f aca="false">IF(ISBLANK($C191),"",IF(H191=Constants!$B$2, TRUE(), IF(H191=Constants!$B$3, FALSE(), TRUE())))</f>
        <v/>
      </c>
      <c r="Y191" s="87" t="str">
        <f aca="false">IF(ISBLANK($C191),"",IF(I191=Constants!$B$19,Constants!$B$19,Constants!$B$18))</f>
        <v/>
      </c>
      <c r="Z191" s="87" t="str">
        <f aca="false">IF(ISBLANK($C191),"",IF(ISNUMBER(J191),IF(J191&gt;=0,J191,""),""))</f>
        <v/>
      </c>
      <c r="AA191" s="87" t="str">
        <f aca="false">IF(ISBLANK($C191),"",IF(K191=Constants!$B$19,Constants!$B$19,Constants!$B$18))</f>
        <v/>
      </c>
      <c r="AB191" s="87" t="str">
        <f aca="false">IF(ISBLANK($C191),"",IF(ISNUMBER(L191),IF(L191&gt;=0,L191,""),""))</f>
        <v/>
      </c>
      <c r="AC191" s="87" t="str">
        <f aca="false">IF(ISBLANK($C191),"",IF(M191=Constants!$B$19,Constants!$B$19,Constants!$B$18))</f>
        <v/>
      </c>
      <c r="AD191" s="87" t="str">
        <f aca="false">IF(ISBLANK($C191),"",IF(ISNUMBER(N191),IF(N191&gt;=0,N191,""),""))</f>
        <v/>
      </c>
      <c r="AE191" s="87" t="str">
        <f aca="false">IF(ISBLANK($C191),"",IF(O191=Constants!$B$19,Constants!$B$19,Constants!$B$18))</f>
        <v/>
      </c>
      <c r="AF191" s="87" t="str">
        <f aca="false">IF(ISBLANK($C191),"",IF(ISNUMBER(P191),IF(P191&gt;=0,P191,""),""))</f>
        <v/>
      </c>
      <c r="AG191" s="87" t="str">
        <f aca="false">IF(ISBLANK($C191),"",IF(Q191=Constants!$B$19,Constants!$B$19,Constants!$B$18))</f>
        <v/>
      </c>
      <c r="AH191" s="87" t="str">
        <f aca="false">IF(ISBLANK($C191),"",IF(ISNUMBER(R191),IF(R191&gt;=0,R191,""),""))</f>
        <v/>
      </c>
      <c r="AI191" s="87" t="str">
        <f aca="false">IF(ISBLANK($C191),"",IF(S191=Constants!$B$2, TRUE(), IF(S191=Constants!$B$3, FALSE(), FALSE())))</f>
        <v/>
      </c>
      <c r="AJ191" s="87" t="str">
        <f aca="false">IF(ISBLANK($C191),"",IF(AI191,Constants!$B$4,IF(COUNTA(E191:R191)=0,Constants!$B$5,IF(COUNTA(J191,L191,N191,P191,R191)=0,Constants!$B$6,Constants!$B$7))))</f>
        <v/>
      </c>
      <c r="AK191" s="87" t="str">
        <f aca="false">IF(ISBLANK($C191),"",IF($AJ191&lt;&gt;Constants!$B$7,$AJ191,IF(OR(NOT(X191),AND(NOT(U191),COUNTIFS(Y191:AG191,Constants!$B$18,Z191:AH191,"&gt;=0")&gt;0),AND(NOT(V191),COUNTIFS(Y191:AG191,Constants!$B$19,Z191:AH191,"&gt;=0")&gt;0)),Constants!$B$12,Constants!$B$11)))</f>
        <v/>
      </c>
      <c r="AL191" s="87" t="str">
        <f aca="false">IF($AJ191=Constants!$B$7,IF(Z191="",Constants!$B$13,Z191),"")</f>
        <v/>
      </c>
      <c r="AM191" s="87" t="str">
        <f aca="false">IF($AJ191=Constants!$B$7,IF(AB191="",Constants!$B$13,AB191),"")</f>
        <v/>
      </c>
      <c r="AN191" s="87" t="str">
        <f aca="false">IF($AJ191=Constants!$B$7,IF(AD191="",Constants!$B$13,AD191),"")</f>
        <v/>
      </c>
      <c r="AO191" s="87" t="str">
        <f aca="false">IF($AJ191=Constants!$B$7,IF(AF191="",Constants!$B$13,AF191),"")</f>
        <v/>
      </c>
      <c r="AP191" s="87" t="str">
        <f aca="false">IF($AJ191=Constants!$B$7,IF(AH191="",Constants!$B$13,AH191),"")</f>
        <v/>
      </c>
      <c r="AQ191" s="87" t="str">
        <f aca="false">IF($AJ191=Constants!$B$7,IF(SUMPRODUCT(--($AL191:$AP191&gt;AL191))+SUMPRODUCT(--($AL191:AL191=AL191))=1,1,IF(SUMPRODUCT(--($AL191:$AP191&gt;AM191))+SUMPRODUCT(--($AL191:AM191=AM191))=1,2,IF(SUMPRODUCT(--($AL191:$AP191&gt;AN191))+SUMPRODUCT(--($AL191:AN191=AN191))=1,3,IF(SUMPRODUCT(--($AL191:$AP191&gt;AO191))+SUMPRODUCT(--($AL191:AO191=AO191))=1,4,5)))),"")</f>
        <v/>
      </c>
      <c r="AR191" s="87" t="str">
        <f aca="false">IF($AJ191=Constants!$B$7,IF(SUMPRODUCT(--($AL191:$AP191&gt;AL191))+SUMPRODUCT(--($AL191:AL191=AL191))=2,1,IF(SUMPRODUCT(--($AL191:$AP191&gt;AM191))+SUMPRODUCT(--($AL191:AM191=AM191))=2,2,IF(SUMPRODUCT(--($AL191:$AP191&gt;AN191))+SUMPRODUCT(--($AL191:AN191=AN191))=2,3,IF(SUMPRODUCT(--($AL191:$AP191&gt;AO191))+SUMPRODUCT(--($AL191:AO191=AO191))=2,4,5)))),"")</f>
        <v/>
      </c>
      <c r="AS191" s="87" t="str">
        <f aca="false">IF($AJ191=Constants!$B$7,IF(SUMPRODUCT(--($AL191:$AP191&gt;AL191))+SUMPRODUCT(--($AL191:AL191=AL191))=3,1,IF(SUMPRODUCT(--($AL191:$AP191&gt;AM191))+SUMPRODUCT(--($AL191:AM191=AM191))=3,2,IF(SUMPRODUCT(--($AL191:$AP191&gt;AN191))+SUMPRODUCT(--($AL191:AN191=AN191))=3,3,IF(SUMPRODUCT(--($AL191:$AP191&gt;AO191))+SUMPRODUCT(--($AL191:AO191=AO191))=3,4,5)))),"")</f>
        <v/>
      </c>
      <c r="AT191" s="87" t="str">
        <f aca="false">IF($AJ191=Constants!$B$7,LARGE(AL191:AP191,1)+LARGE(AL191:AP191,2)+LARGE(AL191:AP191,3),"")</f>
        <v/>
      </c>
      <c r="AU191" s="87" t="str">
        <f aca="false">IF(ISBLANK($C191),"",IF($AJ191&lt;&gt;Constants!$B$7,$AJ191,AT191*W191))</f>
        <v/>
      </c>
      <c r="AV191" s="87" t="str">
        <f aca="false">IF(ISBLANK($C191),"",IF($AJ191=Constants!$B$7,IF(ISNUMBER(AU191),RANK(AU191,$AU$8:$AU$507),Constants!$B$14),$AJ191))</f>
        <v/>
      </c>
      <c r="AW191" s="87" t="str">
        <f aca="false">IF(ISBLANK($C191),"",IF($AJ191=Constants!$B$7,IF(ISNUMBER(AV191),COUNTIFS($AK$8:$AK$507,"&lt;"&amp;$AK191)+COUNTIFS($AK$8:$AK$507,$AK191,$AV$8:$AV$507,"&lt;"&amp;$AV191)+1,Constants!$B$14),$AJ191))</f>
        <v/>
      </c>
      <c r="AX191" s="87" t="str">
        <f aca="false">IF(ISBLANK($C191),"",IF($AJ191=Constants!$B$7,LARGE(AL191:AP191,4)*W191,""))</f>
        <v/>
      </c>
      <c r="AY191" s="87" t="str">
        <f aca="false">IF(ISBLANK($C191),"",IF($AJ191=Constants!$B$7,RANK(AX191,$AX$8:$AX$507),$AJ191))</f>
        <v/>
      </c>
      <c r="AZ191" s="87" t="str">
        <f aca="false">IF(ISBLANK($C191),"",IF($AJ191=Constants!$B$7,IF(ISNUMBER(AV191),COUNTIFS($AK$8:$AK$507,"&lt;"&amp;$AK191)+COUNTIFS($AK$8:$AK$507,$AK191,$AV$8:$AV$507,"&lt;"&amp;$AV191)+COUNTIFS($AK$8:$AK$507,$AK191,$AV$8:$AV$507,$AV191,$AY$8:$AY$507,"&lt;"&amp;$AY191)+1,Constants!$B$14),$AJ191))</f>
        <v/>
      </c>
      <c r="BA191" s="87" t="str">
        <f aca="false">IF(ISBLANK($C191),"",IF($AJ191=Constants!$B$7,IF(ISNUMBER(AW191),AW191-AZ191,Constants!$B$14),$AJ191))</f>
        <v/>
      </c>
      <c r="BB191" s="88"/>
      <c r="BC191" s="89" t="str">
        <f aca="false">IF(ISBLANK($C191),"",IF($AJ191&lt;&gt;Constants!$B$7,$AJ191,SMALL(AQ191:AS191,1)&amp;", "&amp;SMALL(AQ191:AS191,2)&amp;", "&amp;SMALL(AQ191:AS191,3)))</f>
        <v/>
      </c>
      <c r="BD191" s="90" t="str">
        <f aca="false">IF(ISBLANK($C191),"",IF($AJ191&lt;&gt;Constants!$B$7,$AJ191,W191))</f>
        <v/>
      </c>
      <c r="BE191" s="91" t="str">
        <f aca="false">IF(ISBLANK($C191),"",IF($AJ191&lt;&gt;Constants!$B$7,$AJ191,AU191))</f>
        <v/>
      </c>
      <c r="BF191" s="92" t="str">
        <f aca="false">IF(ISBLANK($C191),"",IF($AJ191&lt;&gt;Constants!$B$7,$AJ191,AK191))</f>
        <v/>
      </c>
      <c r="BG191" s="90" t="str">
        <f aca="false">IF(ISBLANK($C191),"",BA191)</f>
        <v/>
      </c>
      <c r="BH191" s="90" t="str">
        <f aca="false">IF(ISBLANK($C191),"",AZ191)</f>
        <v/>
      </c>
      <c r="BI191" s="93" t="str">
        <f aca="false">IF(ISBLANK($C191),"",IF(BH191=Constants!$B$4,COUNTA($C$8:$C$507)+2,IF(BH191=Constants!$B$5,COUNTA($C$8:$C$507)+1,IF(BH191=Constants!$B$6,COUNTA($C$8:$C$507),BH191))))</f>
        <v/>
      </c>
      <c r="BJ191" s="5"/>
      <c r="BK191" s="94" t="n">
        <f aca="false">IF(OR(ISNUMBER(BH191),BH191=Constants!$B$4,BH191=Constants!$B$6,BH191=Constants!$B$5),1,0)</f>
        <v>0</v>
      </c>
      <c r="BL191" s="94" t="n">
        <v>184</v>
      </c>
      <c r="BM191" s="94" t="str">
        <f aca="false">IF(ISBLANK($C191),"",IF(ISNUMBER(BI191),BI191+ROW($B191)/1000,""))</f>
        <v/>
      </c>
      <c r="BN191" s="94" t="str">
        <f aca="false">IF(ISNUMBER(BM191),RANK(BM191,$BM$8:$BM$507,1),"")</f>
        <v/>
      </c>
      <c r="BO191" s="94" t="str">
        <f aca="false">IF(ISBLANK($C191),"",$B191)</f>
        <v/>
      </c>
      <c r="BP191" s="94" t="str">
        <f aca="false">IF(ISBLANK($C191),"",$C191)</f>
        <v/>
      </c>
      <c r="BQ191" s="94" t="str">
        <f aca="false">IF(ISBLANK($C191),"",$D191)</f>
        <v/>
      </c>
      <c r="BR191" s="95" t="str">
        <f aca="false">BF191</f>
        <v/>
      </c>
      <c r="BS191" s="96" t="str">
        <f aca="false">BE191</f>
        <v/>
      </c>
      <c r="BT191" s="94" t="str">
        <f aca="false">IF(ISBLANK($C191),"",BH191)</f>
        <v/>
      </c>
      <c r="BU191" s="97" t="str">
        <f aca="false">IF($BL191&gt;$BK$7,"",VLOOKUP($BL191,$BN$8:$BT$507,7,FALSE()))</f>
        <v/>
      </c>
      <c r="BV191" s="98" t="str">
        <f aca="false">IF($BL191&gt;$BK$7,"",VLOOKUP($BL191,$BN$8:$BT$507,2,FALSE()))</f>
        <v/>
      </c>
      <c r="BW191" s="98" t="str">
        <f aca="false">IF($BL191&gt;$BK$7,"",VLOOKUP($BL191,$BN$8:$BT$507,3,FALSE()))</f>
        <v/>
      </c>
      <c r="BX191" s="98" t="str">
        <f aca="false">IF($BL191&gt;$BK$7,"",VLOOKUP($BL191,$BN$8:$BT$507,4,FALSE()))</f>
        <v/>
      </c>
      <c r="BY191" s="98" t="str">
        <f aca="false">IF($BL191&gt;$BK$7,"",VLOOKUP($BL191,$BN$8:$BT$507,5,FALSE()))</f>
        <v/>
      </c>
      <c r="BZ191" s="99" t="str">
        <f aca="false">IF($BL191&gt;$BK$7,"",VLOOKUP($BL191,$BN$8:$BT$507,6,FALSE()))</f>
        <v/>
      </c>
      <c r="CA191" s="48"/>
    </row>
    <row r="192" customFormat="false" ht="15.75" hidden="false" customHeight="false" outlineLevel="0" collapsed="false">
      <c r="A192" s="5"/>
      <c r="B192" s="114"/>
      <c r="C192" s="115"/>
      <c r="D192" s="100"/>
      <c r="E192" s="120"/>
      <c r="F192" s="125"/>
      <c r="G192" s="82"/>
      <c r="H192" s="126"/>
      <c r="I192" s="127"/>
      <c r="J192" s="82"/>
      <c r="K192" s="126"/>
      <c r="L192" s="82"/>
      <c r="M192" s="126"/>
      <c r="N192" s="82"/>
      <c r="O192" s="126"/>
      <c r="P192" s="82"/>
      <c r="Q192" s="126"/>
      <c r="R192" s="82"/>
      <c r="S192" s="120"/>
      <c r="T192" s="86"/>
      <c r="U192" s="87" t="str">
        <f aca="false">IF(ISBLANK($C192),"",IF(E192=Constants!$B$2, TRUE(), IF(E192=Constants!$B$3, FALSE(), TRUE())))</f>
        <v/>
      </c>
      <c r="V192" s="87" t="str">
        <f aca="false">IF(ISBLANK($C192),"",IF(F192=Constants!$B$2, TRUE(), IF(F192=Constants!$B$3, FALSE(), TRUE())))</f>
        <v/>
      </c>
      <c r="W192" s="87" t="str">
        <f aca="false">IF(ISBLANK($C192),"",IF(G192=Constants!$B$15,Constants!$B$8,IF(G192=Constants!$B$16,Constants!$B$9,Constants!$B$10)))</f>
        <v/>
      </c>
      <c r="X192" s="87" t="str">
        <f aca="false">IF(ISBLANK($C192),"",IF(H192=Constants!$B$2, TRUE(), IF(H192=Constants!$B$3, FALSE(), TRUE())))</f>
        <v/>
      </c>
      <c r="Y192" s="87" t="str">
        <f aca="false">IF(ISBLANK($C192),"",IF(I192=Constants!$B$19,Constants!$B$19,Constants!$B$18))</f>
        <v/>
      </c>
      <c r="Z192" s="87" t="str">
        <f aca="false">IF(ISBLANK($C192),"",IF(ISNUMBER(J192),IF(J192&gt;=0,J192,""),""))</f>
        <v/>
      </c>
      <c r="AA192" s="87" t="str">
        <f aca="false">IF(ISBLANK($C192),"",IF(K192=Constants!$B$19,Constants!$B$19,Constants!$B$18))</f>
        <v/>
      </c>
      <c r="AB192" s="87" t="str">
        <f aca="false">IF(ISBLANK($C192),"",IF(ISNUMBER(L192),IF(L192&gt;=0,L192,""),""))</f>
        <v/>
      </c>
      <c r="AC192" s="87" t="str">
        <f aca="false">IF(ISBLANK($C192),"",IF(M192=Constants!$B$19,Constants!$B$19,Constants!$B$18))</f>
        <v/>
      </c>
      <c r="AD192" s="87" t="str">
        <f aca="false">IF(ISBLANK($C192),"",IF(ISNUMBER(N192),IF(N192&gt;=0,N192,""),""))</f>
        <v/>
      </c>
      <c r="AE192" s="87" t="str">
        <f aca="false">IF(ISBLANK($C192),"",IF(O192=Constants!$B$19,Constants!$B$19,Constants!$B$18))</f>
        <v/>
      </c>
      <c r="AF192" s="87" t="str">
        <f aca="false">IF(ISBLANK($C192),"",IF(ISNUMBER(P192),IF(P192&gt;=0,P192,""),""))</f>
        <v/>
      </c>
      <c r="AG192" s="87" t="str">
        <f aca="false">IF(ISBLANK($C192),"",IF(Q192=Constants!$B$19,Constants!$B$19,Constants!$B$18))</f>
        <v/>
      </c>
      <c r="AH192" s="87" t="str">
        <f aca="false">IF(ISBLANK($C192),"",IF(ISNUMBER(R192),IF(R192&gt;=0,R192,""),""))</f>
        <v/>
      </c>
      <c r="AI192" s="87" t="str">
        <f aca="false">IF(ISBLANK($C192),"",IF(S192=Constants!$B$2, TRUE(), IF(S192=Constants!$B$3, FALSE(), FALSE())))</f>
        <v/>
      </c>
      <c r="AJ192" s="87" t="str">
        <f aca="false">IF(ISBLANK($C192),"",IF(AI192,Constants!$B$4,IF(COUNTA(E192:R192)=0,Constants!$B$5,IF(COUNTA(J192,L192,N192,P192,R192)=0,Constants!$B$6,Constants!$B$7))))</f>
        <v/>
      </c>
      <c r="AK192" s="87" t="str">
        <f aca="false">IF(ISBLANK($C192),"",IF($AJ192&lt;&gt;Constants!$B$7,$AJ192,IF(OR(NOT(X192),AND(NOT(U192),COUNTIFS(Y192:AG192,Constants!$B$18,Z192:AH192,"&gt;=0")&gt;0),AND(NOT(V192),COUNTIFS(Y192:AG192,Constants!$B$19,Z192:AH192,"&gt;=0")&gt;0)),Constants!$B$12,Constants!$B$11)))</f>
        <v/>
      </c>
      <c r="AL192" s="87" t="str">
        <f aca="false">IF($AJ192=Constants!$B$7,IF(Z192="",Constants!$B$13,Z192),"")</f>
        <v/>
      </c>
      <c r="AM192" s="87" t="str">
        <f aca="false">IF($AJ192=Constants!$B$7,IF(AB192="",Constants!$B$13,AB192),"")</f>
        <v/>
      </c>
      <c r="AN192" s="87" t="str">
        <f aca="false">IF($AJ192=Constants!$B$7,IF(AD192="",Constants!$B$13,AD192),"")</f>
        <v/>
      </c>
      <c r="AO192" s="87" t="str">
        <f aca="false">IF($AJ192=Constants!$B$7,IF(AF192="",Constants!$B$13,AF192),"")</f>
        <v/>
      </c>
      <c r="AP192" s="87" t="str">
        <f aca="false">IF($AJ192=Constants!$B$7,IF(AH192="",Constants!$B$13,AH192),"")</f>
        <v/>
      </c>
      <c r="AQ192" s="87" t="str">
        <f aca="false">IF($AJ192=Constants!$B$7,IF(SUMPRODUCT(--($AL192:$AP192&gt;AL192))+SUMPRODUCT(--($AL192:AL192=AL192))=1,1,IF(SUMPRODUCT(--($AL192:$AP192&gt;AM192))+SUMPRODUCT(--($AL192:AM192=AM192))=1,2,IF(SUMPRODUCT(--($AL192:$AP192&gt;AN192))+SUMPRODUCT(--($AL192:AN192=AN192))=1,3,IF(SUMPRODUCT(--($AL192:$AP192&gt;AO192))+SUMPRODUCT(--($AL192:AO192=AO192))=1,4,5)))),"")</f>
        <v/>
      </c>
      <c r="AR192" s="87" t="str">
        <f aca="false">IF($AJ192=Constants!$B$7,IF(SUMPRODUCT(--($AL192:$AP192&gt;AL192))+SUMPRODUCT(--($AL192:AL192=AL192))=2,1,IF(SUMPRODUCT(--($AL192:$AP192&gt;AM192))+SUMPRODUCT(--($AL192:AM192=AM192))=2,2,IF(SUMPRODUCT(--($AL192:$AP192&gt;AN192))+SUMPRODUCT(--($AL192:AN192=AN192))=2,3,IF(SUMPRODUCT(--($AL192:$AP192&gt;AO192))+SUMPRODUCT(--($AL192:AO192=AO192))=2,4,5)))),"")</f>
        <v/>
      </c>
      <c r="AS192" s="87" t="str">
        <f aca="false">IF($AJ192=Constants!$B$7,IF(SUMPRODUCT(--($AL192:$AP192&gt;AL192))+SUMPRODUCT(--($AL192:AL192=AL192))=3,1,IF(SUMPRODUCT(--($AL192:$AP192&gt;AM192))+SUMPRODUCT(--($AL192:AM192=AM192))=3,2,IF(SUMPRODUCT(--($AL192:$AP192&gt;AN192))+SUMPRODUCT(--($AL192:AN192=AN192))=3,3,IF(SUMPRODUCT(--($AL192:$AP192&gt;AO192))+SUMPRODUCT(--($AL192:AO192=AO192))=3,4,5)))),"")</f>
        <v/>
      </c>
      <c r="AT192" s="87" t="str">
        <f aca="false">IF($AJ192=Constants!$B$7,LARGE(AL192:AP192,1)+LARGE(AL192:AP192,2)+LARGE(AL192:AP192,3),"")</f>
        <v/>
      </c>
      <c r="AU192" s="87" t="str">
        <f aca="false">IF(ISBLANK($C192),"",IF($AJ192&lt;&gt;Constants!$B$7,$AJ192,AT192*W192))</f>
        <v/>
      </c>
      <c r="AV192" s="87" t="str">
        <f aca="false">IF(ISBLANK($C192),"",IF($AJ192=Constants!$B$7,IF(ISNUMBER(AU192),RANK(AU192,$AU$8:$AU$507),Constants!$B$14),$AJ192))</f>
        <v/>
      </c>
      <c r="AW192" s="87" t="str">
        <f aca="false">IF(ISBLANK($C192),"",IF($AJ192=Constants!$B$7,IF(ISNUMBER(AV192),COUNTIFS($AK$8:$AK$507,"&lt;"&amp;$AK192)+COUNTIFS($AK$8:$AK$507,$AK192,$AV$8:$AV$507,"&lt;"&amp;$AV192)+1,Constants!$B$14),$AJ192))</f>
        <v/>
      </c>
      <c r="AX192" s="87" t="str">
        <f aca="false">IF(ISBLANK($C192),"",IF($AJ192=Constants!$B$7,LARGE(AL192:AP192,4)*W192,""))</f>
        <v/>
      </c>
      <c r="AY192" s="87" t="str">
        <f aca="false">IF(ISBLANK($C192),"",IF($AJ192=Constants!$B$7,RANK(AX192,$AX$8:$AX$507),$AJ192))</f>
        <v/>
      </c>
      <c r="AZ192" s="87" t="str">
        <f aca="false">IF(ISBLANK($C192),"",IF($AJ192=Constants!$B$7,IF(ISNUMBER(AV192),COUNTIFS($AK$8:$AK$507,"&lt;"&amp;$AK192)+COUNTIFS($AK$8:$AK$507,$AK192,$AV$8:$AV$507,"&lt;"&amp;$AV192)+COUNTIFS($AK$8:$AK$507,$AK192,$AV$8:$AV$507,$AV192,$AY$8:$AY$507,"&lt;"&amp;$AY192)+1,Constants!$B$14),$AJ192))</f>
        <v/>
      </c>
      <c r="BA192" s="87" t="str">
        <f aca="false">IF(ISBLANK($C192),"",IF($AJ192=Constants!$B$7,IF(ISNUMBER(AW192),AW192-AZ192,Constants!$B$14),$AJ192))</f>
        <v/>
      </c>
      <c r="BB192" s="88"/>
      <c r="BC192" s="89" t="str">
        <f aca="false">IF(ISBLANK($C192),"",IF($AJ192&lt;&gt;Constants!$B$7,$AJ192,SMALL(AQ192:AS192,1)&amp;", "&amp;SMALL(AQ192:AS192,2)&amp;", "&amp;SMALL(AQ192:AS192,3)))</f>
        <v/>
      </c>
      <c r="BD192" s="90" t="str">
        <f aca="false">IF(ISBLANK($C192),"",IF($AJ192&lt;&gt;Constants!$B$7,$AJ192,W192))</f>
        <v/>
      </c>
      <c r="BE192" s="91" t="str">
        <f aca="false">IF(ISBLANK($C192),"",IF($AJ192&lt;&gt;Constants!$B$7,$AJ192,AU192))</f>
        <v/>
      </c>
      <c r="BF192" s="92" t="str">
        <f aca="false">IF(ISBLANK($C192),"",IF($AJ192&lt;&gt;Constants!$B$7,$AJ192,AK192))</f>
        <v/>
      </c>
      <c r="BG192" s="90" t="str">
        <f aca="false">IF(ISBLANK($C192),"",BA192)</f>
        <v/>
      </c>
      <c r="BH192" s="90" t="str">
        <f aca="false">IF(ISBLANK($C192),"",AZ192)</f>
        <v/>
      </c>
      <c r="BI192" s="93" t="str">
        <f aca="false">IF(ISBLANK($C192),"",IF(BH192=Constants!$B$4,COUNTA($C$8:$C$507)+2,IF(BH192=Constants!$B$5,COUNTA($C$8:$C$507)+1,IF(BH192=Constants!$B$6,COUNTA($C$8:$C$507),BH192))))</f>
        <v/>
      </c>
      <c r="BJ192" s="5"/>
      <c r="BK192" s="94" t="n">
        <f aca="false">IF(OR(ISNUMBER(BH192),BH192=Constants!$B$4,BH192=Constants!$B$6,BH192=Constants!$B$5),1,0)</f>
        <v>0</v>
      </c>
      <c r="BL192" s="94" t="n">
        <v>185</v>
      </c>
      <c r="BM192" s="94" t="str">
        <f aca="false">IF(ISBLANK($C192),"",IF(ISNUMBER(BI192),BI192+ROW($B192)/1000,""))</f>
        <v/>
      </c>
      <c r="BN192" s="94" t="str">
        <f aca="false">IF(ISNUMBER(BM192),RANK(BM192,$BM$8:$BM$507,1),"")</f>
        <v/>
      </c>
      <c r="BO192" s="94" t="str">
        <f aca="false">IF(ISBLANK($C192),"",$B192)</f>
        <v/>
      </c>
      <c r="BP192" s="94" t="str">
        <f aca="false">IF(ISBLANK($C192),"",$C192)</f>
        <v/>
      </c>
      <c r="BQ192" s="94" t="str">
        <f aca="false">IF(ISBLANK($C192),"",$D192)</f>
        <v/>
      </c>
      <c r="BR192" s="95" t="str">
        <f aca="false">BF192</f>
        <v/>
      </c>
      <c r="BS192" s="96" t="str">
        <f aca="false">BE192</f>
        <v/>
      </c>
      <c r="BT192" s="94" t="str">
        <f aca="false">IF(ISBLANK($C192),"",BH192)</f>
        <v/>
      </c>
      <c r="BU192" s="97" t="str">
        <f aca="false">IF($BL192&gt;$BK$7,"",VLOOKUP($BL192,$BN$8:$BT$507,7,FALSE()))</f>
        <v/>
      </c>
      <c r="BV192" s="98" t="str">
        <f aca="false">IF($BL192&gt;$BK$7,"",VLOOKUP($BL192,$BN$8:$BT$507,2,FALSE()))</f>
        <v/>
      </c>
      <c r="BW192" s="98" t="str">
        <f aca="false">IF($BL192&gt;$BK$7,"",VLOOKUP($BL192,$BN$8:$BT$507,3,FALSE()))</f>
        <v/>
      </c>
      <c r="BX192" s="98" t="str">
        <f aca="false">IF($BL192&gt;$BK$7,"",VLOOKUP($BL192,$BN$8:$BT$507,4,FALSE()))</f>
        <v/>
      </c>
      <c r="BY192" s="98" t="str">
        <f aca="false">IF($BL192&gt;$BK$7,"",VLOOKUP($BL192,$BN$8:$BT$507,5,FALSE()))</f>
        <v/>
      </c>
      <c r="BZ192" s="99" t="str">
        <f aca="false">IF($BL192&gt;$BK$7,"",VLOOKUP($BL192,$BN$8:$BT$507,6,FALSE()))</f>
        <v/>
      </c>
      <c r="CA192" s="48"/>
    </row>
    <row r="193" customFormat="false" ht="15.75" hidden="false" customHeight="false" outlineLevel="0" collapsed="false">
      <c r="A193" s="5"/>
      <c r="B193" s="114"/>
      <c r="C193" s="115"/>
      <c r="D193" s="100"/>
      <c r="E193" s="120"/>
      <c r="F193" s="125"/>
      <c r="G193" s="82"/>
      <c r="H193" s="126"/>
      <c r="I193" s="127"/>
      <c r="J193" s="82"/>
      <c r="K193" s="126"/>
      <c r="L193" s="82"/>
      <c r="M193" s="126"/>
      <c r="N193" s="82"/>
      <c r="O193" s="126"/>
      <c r="P193" s="82"/>
      <c r="Q193" s="126"/>
      <c r="R193" s="82"/>
      <c r="S193" s="120"/>
      <c r="T193" s="86"/>
      <c r="U193" s="87" t="str">
        <f aca="false">IF(ISBLANK($C193),"",IF(E193=Constants!$B$2, TRUE(), IF(E193=Constants!$B$3, FALSE(), TRUE())))</f>
        <v/>
      </c>
      <c r="V193" s="87" t="str">
        <f aca="false">IF(ISBLANK($C193),"",IF(F193=Constants!$B$2, TRUE(), IF(F193=Constants!$B$3, FALSE(), TRUE())))</f>
        <v/>
      </c>
      <c r="W193" s="87" t="str">
        <f aca="false">IF(ISBLANK($C193),"",IF(G193=Constants!$B$15,Constants!$B$8,IF(G193=Constants!$B$16,Constants!$B$9,Constants!$B$10)))</f>
        <v/>
      </c>
      <c r="X193" s="87" t="str">
        <f aca="false">IF(ISBLANK($C193),"",IF(H193=Constants!$B$2, TRUE(), IF(H193=Constants!$B$3, FALSE(), TRUE())))</f>
        <v/>
      </c>
      <c r="Y193" s="87" t="str">
        <f aca="false">IF(ISBLANK($C193),"",IF(I193=Constants!$B$19,Constants!$B$19,Constants!$B$18))</f>
        <v/>
      </c>
      <c r="Z193" s="87" t="str">
        <f aca="false">IF(ISBLANK($C193),"",IF(ISNUMBER(J193),IF(J193&gt;=0,J193,""),""))</f>
        <v/>
      </c>
      <c r="AA193" s="87" t="str">
        <f aca="false">IF(ISBLANK($C193),"",IF(K193=Constants!$B$19,Constants!$B$19,Constants!$B$18))</f>
        <v/>
      </c>
      <c r="AB193" s="87" t="str">
        <f aca="false">IF(ISBLANK($C193),"",IF(ISNUMBER(L193),IF(L193&gt;=0,L193,""),""))</f>
        <v/>
      </c>
      <c r="AC193" s="87" t="str">
        <f aca="false">IF(ISBLANK($C193),"",IF(M193=Constants!$B$19,Constants!$B$19,Constants!$B$18))</f>
        <v/>
      </c>
      <c r="AD193" s="87" t="str">
        <f aca="false">IF(ISBLANK($C193),"",IF(ISNUMBER(N193),IF(N193&gt;=0,N193,""),""))</f>
        <v/>
      </c>
      <c r="AE193" s="87" t="str">
        <f aca="false">IF(ISBLANK($C193),"",IF(O193=Constants!$B$19,Constants!$B$19,Constants!$B$18))</f>
        <v/>
      </c>
      <c r="AF193" s="87" t="str">
        <f aca="false">IF(ISBLANK($C193),"",IF(ISNUMBER(P193),IF(P193&gt;=0,P193,""),""))</f>
        <v/>
      </c>
      <c r="AG193" s="87" t="str">
        <f aca="false">IF(ISBLANK($C193),"",IF(Q193=Constants!$B$19,Constants!$B$19,Constants!$B$18))</f>
        <v/>
      </c>
      <c r="AH193" s="87" t="str">
        <f aca="false">IF(ISBLANK($C193),"",IF(ISNUMBER(R193),IF(R193&gt;=0,R193,""),""))</f>
        <v/>
      </c>
      <c r="AI193" s="87" t="str">
        <f aca="false">IF(ISBLANK($C193),"",IF(S193=Constants!$B$2, TRUE(), IF(S193=Constants!$B$3, FALSE(), FALSE())))</f>
        <v/>
      </c>
      <c r="AJ193" s="87" t="str">
        <f aca="false">IF(ISBLANK($C193),"",IF(AI193,Constants!$B$4,IF(COUNTA(E193:R193)=0,Constants!$B$5,IF(COUNTA(J193,L193,N193,P193,R193)=0,Constants!$B$6,Constants!$B$7))))</f>
        <v/>
      </c>
      <c r="AK193" s="87" t="str">
        <f aca="false">IF(ISBLANK($C193),"",IF($AJ193&lt;&gt;Constants!$B$7,$AJ193,IF(OR(NOT(X193),AND(NOT(U193),COUNTIFS(Y193:AG193,Constants!$B$18,Z193:AH193,"&gt;=0")&gt;0),AND(NOT(V193),COUNTIFS(Y193:AG193,Constants!$B$19,Z193:AH193,"&gt;=0")&gt;0)),Constants!$B$12,Constants!$B$11)))</f>
        <v/>
      </c>
      <c r="AL193" s="87" t="str">
        <f aca="false">IF($AJ193=Constants!$B$7,IF(Z193="",Constants!$B$13,Z193),"")</f>
        <v/>
      </c>
      <c r="AM193" s="87" t="str">
        <f aca="false">IF($AJ193=Constants!$B$7,IF(AB193="",Constants!$B$13,AB193),"")</f>
        <v/>
      </c>
      <c r="AN193" s="87" t="str">
        <f aca="false">IF($AJ193=Constants!$B$7,IF(AD193="",Constants!$B$13,AD193),"")</f>
        <v/>
      </c>
      <c r="AO193" s="87" t="str">
        <f aca="false">IF($AJ193=Constants!$B$7,IF(AF193="",Constants!$B$13,AF193),"")</f>
        <v/>
      </c>
      <c r="AP193" s="87" t="str">
        <f aca="false">IF($AJ193=Constants!$B$7,IF(AH193="",Constants!$B$13,AH193),"")</f>
        <v/>
      </c>
      <c r="AQ193" s="87" t="str">
        <f aca="false">IF($AJ193=Constants!$B$7,IF(SUMPRODUCT(--($AL193:$AP193&gt;AL193))+SUMPRODUCT(--($AL193:AL193=AL193))=1,1,IF(SUMPRODUCT(--($AL193:$AP193&gt;AM193))+SUMPRODUCT(--($AL193:AM193=AM193))=1,2,IF(SUMPRODUCT(--($AL193:$AP193&gt;AN193))+SUMPRODUCT(--($AL193:AN193=AN193))=1,3,IF(SUMPRODUCT(--($AL193:$AP193&gt;AO193))+SUMPRODUCT(--($AL193:AO193=AO193))=1,4,5)))),"")</f>
        <v/>
      </c>
      <c r="AR193" s="87" t="str">
        <f aca="false">IF($AJ193=Constants!$B$7,IF(SUMPRODUCT(--($AL193:$AP193&gt;AL193))+SUMPRODUCT(--($AL193:AL193=AL193))=2,1,IF(SUMPRODUCT(--($AL193:$AP193&gt;AM193))+SUMPRODUCT(--($AL193:AM193=AM193))=2,2,IF(SUMPRODUCT(--($AL193:$AP193&gt;AN193))+SUMPRODUCT(--($AL193:AN193=AN193))=2,3,IF(SUMPRODUCT(--($AL193:$AP193&gt;AO193))+SUMPRODUCT(--($AL193:AO193=AO193))=2,4,5)))),"")</f>
        <v/>
      </c>
      <c r="AS193" s="87" t="str">
        <f aca="false">IF($AJ193=Constants!$B$7,IF(SUMPRODUCT(--($AL193:$AP193&gt;AL193))+SUMPRODUCT(--($AL193:AL193=AL193))=3,1,IF(SUMPRODUCT(--($AL193:$AP193&gt;AM193))+SUMPRODUCT(--($AL193:AM193=AM193))=3,2,IF(SUMPRODUCT(--($AL193:$AP193&gt;AN193))+SUMPRODUCT(--($AL193:AN193=AN193))=3,3,IF(SUMPRODUCT(--($AL193:$AP193&gt;AO193))+SUMPRODUCT(--($AL193:AO193=AO193))=3,4,5)))),"")</f>
        <v/>
      </c>
      <c r="AT193" s="87" t="str">
        <f aca="false">IF($AJ193=Constants!$B$7,LARGE(AL193:AP193,1)+LARGE(AL193:AP193,2)+LARGE(AL193:AP193,3),"")</f>
        <v/>
      </c>
      <c r="AU193" s="87" t="str">
        <f aca="false">IF(ISBLANK($C193),"",IF($AJ193&lt;&gt;Constants!$B$7,$AJ193,AT193*W193))</f>
        <v/>
      </c>
      <c r="AV193" s="87" t="str">
        <f aca="false">IF(ISBLANK($C193),"",IF($AJ193=Constants!$B$7,IF(ISNUMBER(AU193),RANK(AU193,$AU$8:$AU$507),Constants!$B$14),$AJ193))</f>
        <v/>
      </c>
      <c r="AW193" s="87" t="str">
        <f aca="false">IF(ISBLANK($C193),"",IF($AJ193=Constants!$B$7,IF(ISNUMBER(AV193),COUNTIFS($AK$8:$AK$507,"&lt;"&amp;$AK193)+COUNTIFS($AK$8:$AK$507,$AK193,$AV$8:$AV$507,"&lt;"&amp;$AV193)+1,Constants!$B$14),$AJ193))</f>
        <v/>
      </c>
      <c r="AX193" s="87" t="str">
        <f aca="false">IF(ISBLANK($C193),"",IF($AJ193=Constants!$B$7,LARGE(AL193:AP193,4)*W193,""))</f>
        <v/>
      </c>
      <c r="AY193" s="87" t="str">
        <f aca="false">IF(ISBLANK($C193),"",IF($AJ193=Constants!$B$7,RANK(AX193,$AX$8:$AX$507),$AJ193))</f>
        <v/>
      </c>
      <c r="AZ193" s="87" t="str">
        <f aca="false">IF(ISBLANK($C193),"",IF($AJ193=Constants!$B$7,IF(ISNUMBER(AV193),COUNTIFS($AK$8:$AK$507,"&lt;"&amp;$AK193)+COUNTIFS($AK$8:$AK$507,$AK193,$AV$8:$AV$507,"&lt;"&amp;$AV193)+COUNTIFS($AK$8:$AK$507,$AK193,$AV$8:$AV$507,$AV193,$AY$8:$AY$507,"&lt;"&amp;$AY193)+1,Constants!$B$14),$AJ193))</f>
        <v/>
      </c>
      <c r="BA193" s="87" t="str">
        <f aca="false">IF(ISBLANK($C193),"",IF($AJ193=Constants!$B$7,IF(ISNUMBER(AW193),AW193-AZ193,Constants!$B$14),$AJ193))</f>
        <v/>
      </c>
      <c r="BB193" s="88"/>
      <c r="BC193" s="89" t="str">
        <f aca="false">IF(ISBLANK($C193),"",IF($AJ193&lt;&gt;Constants!$B$7,$AJ193,SMALL(AQ193:AS193,1)&amp;", "&amp;SMALL(AQ193:AS193,2)&amp;", "&amp;SMALL(AQ193:AS193,3)))</f>
        <v/>
      </c>
      <c r="BD193" s="90" t="str">
        <f aca="false">IF(ISBLANK($C193),"",IF($AJ193&lt;&gt;Constants!$B$7,$AJ193,W193))</f>
        <v/>
      </c>
      <c r="BE193" s="91" t="str">
        <f aca="false">IF(ISBLANK($C193),"",IF($AJ193&lt;&gt;Constants!$B$7,$AJ193,AU193))</f>
        <v/>
      </c>
      <c r="BF193" s="92" t="str">
        <f aca="false">IF(ISBLANK($C193),"",IF($AJ193&lt;&gt;Constants!$B$7,$AJ193,AK193))</f>
        <v/>
      </c>
      <c r="BG193" s="90" t="str">
        <f aca="false">IF(ISBLANK($C193),"",BA193)</f>
        <v/>
      </c>
      <c r="BH193" s="90" t="str">
        <f aca="false">IF(ISBLANK($C193),"",AZ193)</f>
        <v/>
      </c>
      <c r="BI193" s="93" t="str">
        <f aca="false">IF(ISBLANK($C193),"",IF(BH193=Constants!$B$4,COUNTA($C$8:$C$507)+2,IF(BH193=Constants!$B$5,COUNTA($C$8:$C$507)+1,IF(BH193=Constants!$B$6,COUNTA($C$8:$C$507),BH193))))</f>
        <v/>
      </c>
      <c r="BJ193" s="5"/>
      <c r="BK193" s="94" t="n">
        <f aca="false">IF(OR(ISNUMBER(BH193),BH193=Constants!$B$4,BH193=Constants!$B$6,BH193=Constants!$B$5),1,0)</f>
        <v>0</v>
      </c>
      <c r="BL193" s="94" t="n">
        <v>186</v>
      </c>
      <c r="BM193" s="94" t="str">
        <f aca="false">IF(ISBLANK($C193),"",IF(ISNUMBER(BI193),BI193+ROW($B193)/1000,""))</f>
        <v/>
      </c>
      <c r="BN193" s="94" t="str">
        <f aca="false">IF(ISNUMBER(BM193),RANK(BM193,$BM$8:$BM$507,1),"")</f>
        <v/>
      </c>
      <c r="BO193" s="94" t="str">
        <f aca="false">IF(ISBLANK($C193),"",$B193)</f>
        <v/>
      </c>
      <c r="BP193" s="94" t="str">
        <f aca="false">IF(ISBLANK($C193),"",$C193)</f>
        <v/>
      </c>
      <c r="BQ193" s="94" t="str">
        <f aca="false">IF(ISBLANK($C193),"",$D193)</f>
        <v/>
      </c>
      <c r="BR193" s="95" t="str">
        <f aca="false">BF193</f>
        <v/>
      </c>
      <c r="BS193" s="96" t="str">
        <f aca="false">BE193</f>
        <v/>
      </c>
      <c r="BT193" s="94" t="str">
        <f aca="false">IF(ISBLANK($C193),"",BH193)</f>
        <v/>
      </c>
      <c r="BU193" s="97" t="str">
        <f aca="false">IF($BL193&gt;$BK$7,"",VLOOKUP($BL193,$BN$8:$BT$507,7,FALSE()))</f>
        <v/>
      </c>
      <c r="BV193" s="98" t="str">
        <f aca="false">IF($BL193&gt;$BK$7,"",VLOOKUP($BL193,$BN$8:$BT$507,2,FALSE()))</f>
        <v/>
      </c>
      <c r="BW193" s="98" t="str">
        <f aca="false">IF($BL193&gt;$BK$7,"",VLOOKUP($BL193,$BN$8:$BT$507,3,FALSE()))</f>
        <v/>
      </c>
      <c r="BX193" s="98" t="str">
        <f aca="false">IF($BL193&gt;$BK$7,"",VLOOKUP($BL193,$BN$8:$BT$507,4,FALSE()))</f>
        <v/>
      </c>
      <c r="BY193" s="98" t="str">
        <f aca="false">IF($BL193&gt;$BK$7,"",VLOOKUP($BL193,$BN$8:$BT$507,5,FALSE()))</f>
        <v/>
      </c>
      <c r="BZ193" s="99" t="str">
        <f aca="false">IF($BL193&gt;$BK$7,"",VLOOKUP($BL193,$BN$8:$BT$507,6,FALSE()))</f>
        <v/>
      </c>
      <c r="CA193" s="48"/>
    </row>
    <row r="194" customFormat="false" ht="15.75" hidden="false" customHeight="false" outlineLevel="0" collapsed="false">
      <c r="A194" s="5"/>
      <c r="B194" s="121"/>
      <c r="C194" s="50"/>
      <c r="D194" s="51"/>
      <c r="E194" s="74"/>
      <c r="F194" s="122"/>
      <c r="G194" s="54"/>
      <c r="H194" s="123"/>
      <c r="I194" s="124"/>
      <c r="J194" s="54"/>
      <c r="K194" s="123"/>
      <c r="L194" s="54"/>
      <c r="M194" s="123"/>
      <c r="N194" s="54"/>
      <c r="O194" s="123"/>
      <c r="P194" s="54"/>
      <c r="Q194" s="123"/>
      <c r="R194" s="54"/>
      <c r="S194" s="74"/>
      <c r="T194" s="58"/>
      <c r="U194" s="59" t="str">
        <f aca="false">IF(ISBLANK($C194),"",IF(E194=Constants!$B$2, TRUE(), IF(E194=Constants!$B$3, FALSE(), TRUE())))</f>
        <v/>
      </c>
      <c r="V194" s="59" t="str">
        <f aca="false">IF(ISBLANK($C194),"",IF(F194=Constants!$B$2, TRUE(), IF(F194=Constants!$B$3, FALSE(), TRUE())))</f>
        <v/>
      </c>
      <c r="W194" s="59" t="str">
        <f aca="false">IF(ISBLANK($C194),"",IF(G194=Constants!$B$15,Constants!$B$8,IF(G194=Constants!$B$16,Constants!$B$9,Constants!$B$10)))</f>
        <v/>
      </c>
      <c r="X194" s="59" t="str">
        <f aca="false">IF(ISBLANK($C194),"",IF(H194=Constants!$B$2, TRUE(), IF(H194=Constants!$B$3, FALSE(), TRUE())))</f>
        <v/>
      </c>
      <c r="Y194" s="59" t="str">
        <f aca="false">IF(ISBLANK($C194),"",IF(I194=Constants!$B$19,Constants!$B$19,Constants!$B$18))</f>
        <v/>
      </c>
      <c r="Z194" s="59" t="str">
        <f aca="false">IF(ISBLANK($C194),"",IF(ISNUMBER(J194),IF(J194&gt;=0,J194,""),""))</f>
        <v/>
      </c>
      <c r="AA194" s="59" t="str">
        <f aca="false">IF(ISBLANK($C194),"",IF(K194=Constants!$B$19,Constants!$B$19,Constants!$B$18))</f>
        <v/>
      </c>
      <c r="AB194" s="59" t="str">
        <f aca="false">IF(ISBLANK($C194),"",IF(ISNUMBER(L194),IF(L194&gt;=0,L194,""),""))</f>
        <v/>
      </c>
      <c r="AC194" s="59" t="str">
        <f aca="false">IF(ISBLANK($C194),"",IF(M194=Constants!$B$19,Constants!$B$19,Constants!$B$18))</f>
        <v/>
      </c>
      <c r="AD194" s="59" t="str">
        <f aca="false">IF(ISBLANK($C194),"",IF(ISNUMBER(N194),IF(N194&gt;=0,N194,""),""))</f>
        <v/>
      </c>
      <c r="AE194" s="59" t="str">
        <f aca="false">IF(ISBLANK($C194),"",IF(O194=Constants!$B$19,Constants!$B$19,Constants!$B$18))</f>
        <v/>
      </c>
      <c r="AF194" s="59" t="str">
        <f aca="false">IF(ISBLANK($C194),"",IF(ISNUMBER(P194),IF(P194&gt;=0,P194,""),""))</f>
        <v/>
      </c>
      <c r="AG194" s="59" t="str">
        <f aca="false">IF(ISBLANK($C194),"",IF(Q194=Constants!$B$19,Constants!$B$19,Constants!$B$18))</f>
        <v/>
      </c>
      <c r="AH194" s="59" t="str">
        <f aca="false">IF(ISBLANK($C194),"",IF(ISNUMBER(R194),IF(R194&gt;=0,R194,""),""))</f>
        <v/>
      </c>
      <c r="AI194" s="59" t="str">
        <f aca="false">IF(ISBLANK($C194),"",IF(S194=Constants!$B$2, TRUE(), IF(S194=Constants!$B$3, FALSE(), FALSE())))</f>
        <v/>
      </c>
      <c r="AJ194" s="59" t="str">
        <f aca="false">IF(ISBLANK($C194),"",IF(AI194,Constants!$B$4,IF(COUNTA(E194:R194)=0,Constants!$B$5,IF(COUNTA(J194,L194,N194,P194,R194)=0,Constants!$B$6,Constants!$B$7))))</f>
        <v/>
      </c>
      <c r="AK194" s="59" t="str">
        <f aca="false">IF(ISBLANK($C194),"",IF($AJ194&lt;&gt;Constants!$B$7,$AJ194,IF(OR(NOT(X194),AND(NOT(U194),COUNTIFS(Y194:AG194,Constants!$B$18,Z194:AH194,"&gt;=0")&gt;0),AND(NOT(V194),COUNTIFS(Y194:AG194,Constants!$B$19,Z194:AH194,"&gt;=0")&gt;0)),Constants!$B$12,Constants!$B$11)))</f>
        <v/>
      </c>
      <c r="AL194" s="59" t="str">
        <f aca="false">IF($AJ194=Constants!$B$7,IF(Z194="",Constants!$B$13,Z194),"")</f>
        <v/>
      </c>
      <c r="AM194" s="59" t="str">
        <f aca="false">IF($AJ194=Constants!$B$7,IF(AB194="",Constants!$B$13,AB194),"")</f>
        <v/>
      </c>
      <c r="AN194" s="59" t="str">
        <f aca="false">IF($AJ194=Constants!$B$7,IF(AD194="",Constants!$B$13,AD194),"")</f>
        <v/>
      </c>
      <c r="AO194" s="59" t="str">
        <f aca="false">IF($AJ194=Constants!$B$7,IF(AF194="",Constants!$B$13,AF194),"")</f>
        <v/>
      </c>
      <c r="AP194" s="59" t="str">
        <f aca="false">IF($AJ194=Constants!$B$7,IF(AH194="",Constants!$B$13,AH194),"")</f>
        <v/>
      </c>
      <c r="AQ194" s="59" t="str">
        <f aca="false">IF($AJ194=Constants!$B$7,IF(SUMPRODUCT(--($AL194:$AP194&gt;AL194))+SUMPRODUCT(--($AL194:AL194=AL194))=1,1,IF(SUMPRODUCT(--($AL194:$AP194&gt;AM194))+SUMPRODUCT(--($AL194:AM194=AM194))=1,2,IF(SUMPRODUCT(--($AL194:$AP194&gt;AN194))+SUMPRODUCT(--($AL194:AN194=AN194))=1,3,IF(SUMPRODUCT(--($AL194:$AP194&gt;AO194))+SUMPRODUCT(--($AL194:AO194=AO194))=1,4,5)))),"")</f>
        <v/>
      </c>
      <c r="AR194" s="59" t="str">
        <f aca="false">IF($AJ194=Constants!$B$7,IF(SUMPRODUCT(--($AL194:$AP194&gt;AL194))+SUMPRODUCT(--($AL194:AL194=AL194))=2,1,IF(SUMPRODUCT(--($AL194:$AP194&gt;AM194))+SUMPRODUCT(--($AL194:AM194=AM194))=2,2,IF(SUMPRODUCT(--($AL194:$AP194&gt;AN194))+SUMPRODUCT(--($AL194:AN194=AN194))=2,3,IF(SUMPRODUCT(--($AL194:$AP194&gt;AO194))+SUMPRODUCT(--($AL194:AO194=AO194))=2,4,5)))),"")</f>
        <v/>
      </c>
      <c r="AS194" s="59" t="str">
        <f aca="false">IF($AJ194=Constants!$B$7,IF(SUMPRODUCT(--($AL194:$AP194&gt;AL194))+SUMPRODUCT(--($AL194:AL194=AL194))=3,1,IF(SUMPRODUCT(--($AL194:$AP194&gt;AM194))+SUMPRODUCT(--($AL194:AM194=AM194))=3,2,IF(SUMPRODUCT(--($AL194:$AP194&gt;AN194))+SUMPRODUCT(--($AL194:AN194=AN194))=3,3,IF(SUMPRODUCT(--($AL194:$AP194&gt;AO194))+SUMPRODUCT(--($AL194:AO194=AO194))=3,4,5)))),"")</f>
        <v/>
      </c>
      <c r="AT194" s="59" t="str">
        <f aca="false">IF($AJ194=Constants!$B$7,LARGE(AL194:AP194,1)+LARGE(AL194:AP194,2)+LARGE(AL194:AP194,3),"")</f>
        <v/>
      </c>
      <c r="AU194" s="59" t="str">
        <f aca="false">IF(ISBLANK($C194),"",IF($AJ194&lt;&gt;Constants!$B$7,$AJ194,AT194*W194))</f>
        <v/>
      </c>
      <c r="AV194" s="59" t="str">
        <f aca="false">IF(ISBLANK($C194),"",IF($AJ194=Constants!$B$7,IF(ISNUMBER(AU194),RANK(AU194,$AU$8:$AU$507),Constants!$B$14),$AJ194))</f>
        <v/>
      </c>
      <c r="AW194" s="59" t="str">
        <f aca="false">IF(ISBLANK($C194),"",IF($AJ194=Constants!$B$7,IF(ISNUMBER(AV194),COUNTIFS($AK$8:$AK$507,"&lt;"&amp;$AK194)+COUNTIFS($AK$8:$AK$507,$AK194,$AV$8:$AV$507,"&lt;"&amp;$AV194)+1,Constants!$B$14),$AJ194))</f>
        <v/>
      </c>
      <c r="AX194" s="59" t="str">
        <f aca="false">IF(ISBLANK($C194),"",IF($AJ194=Constants!$B$7,LARGE(AL194:AP194,4)*W194,""))</f>
        <v/>
      </c>
      <c r="AY194" s="59" t="str">
        <f aca="false">IF(ISBLANK($C194),"",IF($AJ194=Constants!$B$7,RANK(AX194,$AX$8:$AX$507),$AJ194))</f>
        <v/>
      </c>
      <c r="AZ194" s="59" t="str">
        <f aca="false">IF(ISBLANK($C194),"",IF($AJ194=Constants!$B$7,IF(ISNUMBER(AV194),COUNTIFS($AK$8:$AK$507,"&lt;"&amp;$AK194)+COUNTIFS($AK$8:$AK$507,$AK194,$AV$8:$AV$507,"&lt;"&amp;$AV194)+COUNTIFS($AK$8:$AK$507,$AK194,$AV$8:$AV$507,$AV194,$AY$8:$AY$507,"&lt;"&amp;$AY194)+1,Constants!$B$14),$AJ194))</f>
        <v/>
      </c>
      <c r="BA194" s="59" t="str">
        <f aca="false">IF(ISBLANK($C194),"",IF($AJ194=Constants!$B$7,IF(ISNUMBER(AW194),AW194-AZ194,Constants!$B$14),$AJ194))</f>
        <v/>
      </c>
      <c r="BB194" s="61"/>
      <c r="BC194" s="62" t="str">
        <f aca="false">IF(ISBLANK($C194),"",IF($AJ194&lt;&gt;Constants!$B$7,$AJ194,SMALL(AQ194:AS194,1)&amp;", "&amp;SMALL(AQ194:AS194,2)&amp;", "&amp;SMALL(AQ194:AS194,3)))</f>
        <v/>
      </c>
      <c r="BD194" s="63" t="str">
        <f aca="false">IF(ISBLANK($C194),"",IF($AJ194&lt;&gt;Constants!$B$7,$AJ194,W194))</f>
        <v/>
      </c>
      <c r="BE194" s="64" t="str">
        <f aca="false">IF(ISBLANK($C194),"",IF($AJ194&lt;&gt;Constants!$B$7,$AJ194,AU194))</f>
        <v/>
      </c>
      <c r="BF194" s="65" t="str">
        <f aca="false">IF(ISBLANK($C194),"",IF($AJ194&lt;&gt;Constants!$B$7,$AJ194,AK194))</f>
        <v/>
      </c>
      <c r="BG194" s="63" t="str">
        <f aca="false">IF(ISBLANK($C194),"",BA194)</f>
        <v/>
      </c>
      <c r="BH194" s="63" t="str">
        <f aca="false">IF(ISBLANK($C194),"",AZ194)</f>
        <v/>
      </c>
      <c r="BI194" s="66" t="str">
        <f aca="false">IF(ISBLANK($C194),"",IF(BH194=Constants!$B$4,COUNTA($C$8:$C$507)+2,IF(BH194=Constants!$B$5,COUNTA($C$8:$C$507)+1,IF(BH194=Constants!$B$6,COUNTA($C$8:$C$507),BH194))))</f>
        <v/>
      </c>
      <c r="BJ194" s="5"/>
      <c r="BK194" s="67" t="n">
        <f aca="false">IF(OR(ISNUMBER(BH194),BH194=Constants!$B$4,BH194=Constants!$B$6,BH194=Constants!$B$5),1,0)</f>
        <v>0</v>
      </c>
      <c r="BL194" s="67" t="n">
        <v>187</v>
      </c>
      <c r="BM194" s="67" t="str">
        <f aca="false">IF(ISBLANK($C194),"",IF(ISNUMBER(BI194),BI194+ROW($B194)/1000,""))</f>
        <v/>
      </c>
      <c r="BN194" s="67" t="str">
        <f aca="false">IF(ISNUMBER(BM194),RANK(BM194,$BM$8:$BM$507,1),"")</f>
        <v/>
      </c>
      <c r="BO194" s="67" t="str">
        <f aca="false">IF(ISBLANK($C194),"",$B194)</f>
        <v/>
      </c>
      <c r="BP194" s="67" t="str">
        <f aca="false">IF(ISBLANK($C194),"",$C194)</f>
        <v/>
      </c>
      <c r="BQ194" s="67" t="str">
        <f aca="false">IF(ISBLANK($C194),"",$D194)</f>
        <v/>
      </c>
      <c r="BR194" s="68" t="str">
        <f aca="false">BF194</f>
        <v/>
      </c>
      <c r="BS194" s="69" t="str">
        <f aca="false">BE194</f>
        <v/>
      </c>
      <c r="BT194" s="67" t="str">
        <f aca="false">IF(ISBLANK($C194),"",BH194)</f>
        <v/>
      </c>
      <c r="BU194" s="70" t="str">
        <f aca="false">IF($BL194&gt;$BK$7,"",VLOOKUP($BL194,$BN$8:$BT$507,7,FALSE()))</f>
        <v/>
      </c>
      <c r="BV194" s="71" t="str">
        <f aca="false">IF($BL194&gt;$BK$7,"",VLOOKUP($BL194,$BN$8:$BT$507,2,FALSE()))</f>
        <v/>
      </c>
      <c r="BW194" s="71" t="str">
        <f aca="false">IF($BL194&gt;$BK$7,"",VLOOKUP($BL194,$BN$8:$BT$507,3,FALSE()))</f>
        <v/>
      </c>
      <c r="BX194" s="71" t="str">
        <f aca="false">IF($BL194&gt;$BK$7,"",VLOOKUP($BL194,$BN$8:$BT$507,4,FALSE()))</f>
        <v/>
      </c>
      <c r="BY194" s="71" t="str">
        <f aca="false">IF($BL194&gt;$BK$7,"",VLOOKUP($BL194,$BN$8:$BT$507,5,FALSE()))</f>
        <v/>
      </c>
      <c r="BZ194" s="72" t="str">
        <f aca="false">IF($BL194&gt;$BK$7,"",VLOOKUP($BL194,$BN$8:$BT$507,6,FALSE()))</f>
        <v/>
      </c>
      <c r="CA194" s="48"/>
    </row>
    <row r="195" customFormat="false" ht="15.75" hidden="false" customHeight="false" outlineLevel="0" collapsed="false">
      <c r="A195" s="5"/>
      <c r="B195" s="121"/>
      <c r="C195" s="50"/>
      <c r="D195" s="51"/>
      <c r="E195" s="74"/>
      <c r="F195" s="122"/>
      <c r="G195" s="54"/>
      <c r="H195" s="123"/>
      <c r="I195" s="124"/>
      <c r="J195" s="54"/>
      <c r="K195" s="123"/>
      <c r="L195" s="54"/>
      <c r="M195" s="123"/>
      <c r="N195" s="54"/>
      <c r="O195" s="123"/>
      <c r="P195" s="54"/>
      <c r="Q195" s="123"/>
      <c r="R195" s="54"/>
      <c r="S195" s="74"/>
      <c r="T195" s="58"/>
      <c r="U195" s="59" t="str">
        <f aca="false">IF(ISBLANK($C195),"",IF(E195=Constants!$B$2, TRUE(), IF(E195=Constants!$B$3, FALSE(), TRUE())))</f>
        <v/>
      </c>
      <c r="V195" s="59" t="str">
        <f aca="false">IF(ISBLANK($C195),"",IF(F195=Constants!$B$2, TRUE(), IF(F195=Constants!$B$3, FALSE(), TRUE())))</f>
        <v/>
      </c>
      <c r="W195" s="59" t="str">
        <f aca="false">IF(ISBLANK($C195),"",IF(G195=Constants!$B$15,Constants!$B$8,IF(G195=Constants!$B$16,Constants!$B$9,Constants!$B$10)))</f>
        <v/>
      </c>
      <c r="X195" s="59" t="str">
        <f aca="false">IF(ISBLANK($C195),"",IF(H195=Constants!$B$2, TRUE(), IF(H195=Constants!$B$3, FALSE(), TRUE())))</f>
        <v/>
      </c>
      <c r="Y195" s="59" t="str">
        <f aca="false">IF(ISBLANK($C195),"",IF(I195=Constants!$B$19,Constants!$B$19,Constants!$B$18))</f>
        <v/>
      </c>
      <c r="Z195" s="59" t="str">
        <f aca="false">IF(ISBLANK($C195),"",IF(ISNUMBER(J195),IF(J195&gt;=0,J195,""),""))</f>
        <v/>
      </c>
      <c r="AA195" s="59" t="str">
        <f aca="false">IF(ISBLANK($C195),"",IF(K195=Constants!$B$19,Constants!$B$19,Constants!$B$18))</f>
        <v/>
      </c>
      <c r="AB195" s="59" t="str">
        <f aca="false">IF(ISBLANK($C195),"",IF(ISNUMBER(L195),IF(L195&gt;=0,L195,""),""))</f>
        <v/>
      </c>
      <c r="AC195" s="59" t="str">
        <f aca="false">IF(ISBLANK($C195),"",IF(M195=Constants!$B$19,Constants!$B$19,Constants!$B$18))</f>
        <v/>
      </c>
      <c r="AD195" s="59" t="str">
        <f aca="false">IF(ISBLANK($C195),"",IF(ISNUMBER(N195),IF(N195&gt;=0,N195,""),""))</f>
        <v/>
      </c>
      <c r="AE195" s="59" t="str">
        <f aca="false">IF(ISBLANK($C195),"",IF(O195=Constants!$B$19,Constants!$B$19,Constants!$B$18))</f>
        <v/>
      </c>
      <c r="AF195" s="59" t="str">
        <f aca="false">IF(ISBLANK($C195),"",IF(ISNUMBER(P195),IF(P195&gt;=0,P195,""),""))</f>
        <v/>
      </c>
      <c r="AG195" s="59" t="str">
        <f aca="false">IF(ISBLANK($C195),"",IF(Q195=Constants!$B$19,Constants!$B$19,Constants!$B$18))</f>
        <v/>
      </c>
      <c r="AH195" s="59" t="str">
        <f aca="false">IF(ISBLANK($C195),"",IF(ISNUMBER(R195),IF(R195&gt;=0,R195,""),""))</f>
        <v/>
      </c>
      <c r="AI195" s="59" t="str">
        <f aca="false">IF(ISBLANK($C195),"",IF(S195=Constants!$B$2, TRUE(), IF(S195=Constants!$B$3, FALSE(), FALSE())))</f>
        <v/>
      </c>
      <c r="AJ195" s="59" t="str">
        <f aca="false">IF(ISBLANK($C195),"",IF(AI195,Constants!$B$4,IF(COUNTA(E195:R195)=0,Constants!$B$5,IF(COUNTA(J195,L195,N195,P195,R195)=0,Constants!$B$6,Constants!$B$7))))</f>
        <v/>
      </c>
      <c r="AK195" s="59" t="str">
        <f aca="false">IF(ISBLANK($C195),"",IF($AJ195&lt;&gt;Constants!$B$7,$AJ195,IF(OR(NOT(X195),AND(NOT(U195),COUNTIFS(Y195:AG195,Constants!$B$18,Z195:AH195,"&gt;=0")&gt;0),AND(NOT(V195),COUNTIFS(Y195:AG195,Constants!$B$19,Z195:AH195,"&gt;=0")&gt;0)),Constants!$B$12,Constants!$B$11)))</f>
        <v/>
      </c>
      <c r="AL195" s="59" t="str">
        <f aca="false">IF($AJ195=Constants!$B$7,IF(Z195="",Constants!$B$13,Z195),"")</f>
        <v/>
      </c>
      <c r="AM195" s="59" t="str">
        <f aca="false">IF($AJ195=Constants!$B$7,IF(AB195="",Constants!$B$13,AB195),"")</f>
        <v/>
      </c>
      <c r="AN195" s="59" t="str">
        <f aca="false">IF($AJ195=Constants!$B$7,IF(AD195="",Constants!$B$13,AD195),"")</f>
        <v/>
      </c>
      <c r="AO195" s="59" t="str">
        <f aca="false">IF($AJ195=Constants!$B$7,IF(AF195="",Constants!$B$13,AF195),"")</f>
        <v/>
      </c>
      <c r="AP195" s="59" t="str">
        <f aca="false">IF($AJ195=Constants!$B$7,IF(AH195="",Constants!$B$13,AH195),"")</f>
        <v/>
      </c>
      <c r="AQ195" s="59" t="str">
        <f aca="false">IF($AJ195=Constants!$B$7,IF(SUMPRODUCT(--($AL195:$AP195&gt;AL195))+SUMPRODUCT(--($AL195:AL195=AL195))=1,1,IF(SUMPRODUCT(--($AL195:$AP195&gt;AM195))+SUMPRODUCT(--($AL195:AM195=AM195))=1,2,IF(SUMPRODUCT(--($AL195:$AP195&gt;AN195))+SUMPRODUCT(--($AL195:AN195=AN195))=1,3,IF(SUMPRODUCT(--($AL195:$AP195&gt;AO195))+SUMPRODUCT(--($AL195:AO195=AO195))=1,4,5)))),"")</f>
        <v/>
      </c>
      <c r="AR195" s="59" t="str">
        <f aca="false">IF($AJ195=Constants!$B$7,IF(SUMPRODUCT(--($AL195:$AP195&gt;AL195))+SUMPRODUCT(--($AL195:AL195=AL195))=2,1,IF(SUMPRODUCT(--($AL195:$AP195&gt;AM195))+SUMPRODUCT(--($AL195:AM195=AM195))=2,2,IF(SUMPRODUCT(--($AL195:$AP195&gt;AN195))+SUMPRODUCT(--($AL195:AN195=AN195))=2,3,IF(SUMPRODUCT(--($AL195:$AP195&gt;AO195))+SUMPRODUCT(--($AL195:AO195=AO195))=2,4,5)))),"")</f>
        <v/>
      </c>
      <c r="AS195" s="59" t="str">
        <f aca="false">IF($AJ195=Constants!$B$7,IF(SUMPRODUCT(--($AL195:$AP195&gt;AL195))+SUMPRODUCT(--($AL195:AL195=AL195))=3,1,IF(SUMPRODUCT(--($AL195:$AP195&gt;AM195))+SUMPRODUCT(--($AL195:AM195=AM195))=3,2,IF(SUMPRODUCT(--($AL195:$AP195&gt;AN195))+SUMPRODUCT(--($AL195:AN195=AN195))=3,3,IF(SUMPRODUCT(--($AL195:$AP195&gt;AO195))+SUMPRODUCT(--($AL195:AO195=AO195))=3,4,5)))),"")</f>
        <v/>
      </c>
      <c r="AT195" s="59" t="str">
        <f aca="false">IF($AJ195=Constants!$B$7,LARGE(AL195:AP195,1)+LARGE(AL195:AP195,2)+LARGE(AL195:AP195,3),"")</f>
        <v/>
      </c>
      <c r="AU195" s="59" t="str">
        <f aca="false">IF(ISBLANK($C195),"",IF($AJ195&lt;&gt;Constants!$B$7,$AJ195,AT195*W195))</f>
        <v/>
      </c>
      <c r="AV195" s="59" t="str">
        <f aca="false">IF(ISBLANK($C195),"",IF($AJ195=Constants!$B$7,IF(ISNUMBER(AU195),RANK(AU195,$AU$8:$AU$507),Constants!$B$14),$AJ195))</f>
        <v/>
      </c>
      <c r="AW195" s="59" t="str">
        <f aca="false">IF(ISBLANK($C195),"",IF($AJ195=Constants!$B$7,IF(ISNUMBER(AV195),COUNTIFS($AK$8:$AK$507,"&lt;"&amp;$AK195)+COUNTIFS($AK$8:$AK$507,$AK195,$AV$8:$AV$507,"&lt;"&amp;$AV195)+1,Constants!$B$14),$AJ195))</f>
        <v/>
      </c>
      <c r="AX195" s="59" t="str">
        <f aca="false">IF(ISBLANK($C195),"",IF($AJ195=Constants!$B$7,LARGE(AL195:AP195,4)*W195,""))</f>
        <v/>
      </c>
      <c r="AY195" s="59" t="str">
        <f aca="false">IF(ISBLANK($C195),"",IF($AJ195=Constants!$B$7,RANK(AX195,$AX$8:$AX$507),$AJ195))</f>
        <v/>
      </c>
      <c r="AZ195" s="59" t="str">
        <f aca="false">IF(ISBLANK($C195),"",IF($AJ195=Constants!$B$7,IF(ISNUMBER(AV195),COUNTIFS($AK$8:$AK$507,"&lt;"&amp;$AK195)+COUNTIFS($AK$8:$AK$507,$AK195,$AV$8:$AV$507,"&lt;"&amp;$AV195)+COUNTIFS($AK$8:$AK$507,$AK195,$AV$8:$AV$507,$AV195,$AY$8:$AY$507,"&lt;"&amp;$AY195)+1,Constants!$B$14),$AJ195))</f>
        <v/>
      </c>
      <c r="BA195" s="59" t="str">
        <f aca="false">IF(ISBLANK($C195),"",IF($AJ195=Constants!$B$7,IF(ISNUMBER(AW195),AW195-AZ195,Constants!$B$14),$AJ195))</f>
        <v/>
      </c>
      <c r="BB195" s="61"/>
      <c r="BC195" s="62" t="str">
        <f aca="false">IF(ISBLANK($C195),"",IF($AJ195&lt;&gt;Constants!$B$7,$AJ195,SMALL(AQ195:AS195,1)&amp;", "&amp;SMALL(AQ195:AS195,2)&amp;", "&amp;SMALL(AQ195:AS195,3)))</f>
        <v/>
      </c>
      <c r="BD195" s="63" t="str">
        <f aca="false">IF(ISBLANK($C195),"",IF($AJ195&lt;&gt;Constants!$B$7,$AJ195,W195))</f>
        <v/>
      </c>
      <c r="BE195" s="64" t="str">
        <f aca="false">IF(ISBLANK($C195),"",IF($AJ195&lt;&gt;Constants!$B$7,$AJ195,AU195))</f>
        <v/>
      </c>
      <c r="BF195" s="65" t="str">
        <f aca="false">IF(ISBLANK($C195),"",IF($AJ195&lt;&gt;Constants!$B$7,$AJ195,AK195))</f>
        <v/>
      </c>
      <c r="BG195" s="63" t="str">
        <f aca="false">IF(ISBLANK($C195),"",BA195)</f>
        <v/>
      </c>
      <c r="BH195" s="63" t="str">
        <f aca="false">IF(ISBLANK($C195),"",AZ195)</f>
        <v/>
      </c>
      <c r="BI195" s="66" t="str">
        <f aca="false">IF(ISBLANK($C195),"",IF(BH195=Constants!$B$4,COUNTA($C$8:$C$507)+2,IF(BH195=Constants!$B$5,COUNTA($C$8:$C$507)+1,IF(BH195=Constants!$B$6,COUNTA($C$8:$C$507),BH195))))</f>
        <v/>
      </c>
      <c r="BJ195" s="5"/>
      <c r="BK195" s="67" t="n">
        <f aca="false">IF(OR(ISNUMBER(BH195),BH195=Constants!$B$4,BH195=Constants!$B$6,BH195=Constants!$B$5),1,0)</f>
        <v>0</v>
      </c>
      <c r="BL195" s="67" t="n">
        <v>188</v>
      </c>
      <c r="BM195" s="67" t="str">
        <f aca="false">IF(ISBLANK($C195),"",IF(ISNUMBER(BI195),BI195+ROW($B195)/1000,""))</f>
        <v/>
      </c>
      <c r="BN195" s="67" t="str">
        <f aca="false">IF(ISNUMBER(BM195),RANK(BM195,$BM$8:$BM$507,1),"")</f>
        <v/>
      </c>
      <c r="BO195" s="67" t="str">
        <f aca="false">IF(ISBLANK($C195),"",$B195)</f>
        <v/>
      </c>
      <c r="BP195" s="67" t="str">
        <f aca="false">IF(ISBLANK($C195),"",$C195)</f>
        <v/>
      </c>
      <c r="BQ195" s="67" t="str">
        <f aca="false">IF(ISBLANK($C195),"",$D195)</f>
        <v/>
      </c>
      <c r="BR195" s="68" t="str">
        <f aca="false">BF195</f>
        <v/>
      </c>
      <c r="BS195" s="69" t="str">
        <f aca="false">BE195</f>
        <v/>
      </c>
      <c r="BT195" s="67" t="str">
        <f aca="false">IF(ISBLANK($C195),"",BH195)</f>
        <v/>
      </c>
      <c r="BU195" s="70" t="str">
        <f aca="false">IF($BL195&gt;$BK$7,"",VLOOKUP($BL195,$BN$8:$BT$507,7,FALSE()))</f>
        <v/>
      </c>
      <c r="BV195" s="71" t="str">
        <f aca="false">IF($BL195&gt;$BK$7,"",VLOOKUP($BL195,$BN$8:$BT$507,2,FALSE()))</f>
        <v/>
      </c>
      <c r="BW195" s="71" t="str">
        <f aca="false">IF($BL195&gt;$BK$7,"",VLOOKUP($BL195,$BN$8:$BT$507,3,FALSE()))</f>
        <v/>
      </c>
      <c r="BX195" s="71" t="str">
        <f aca="false">IF($BL195&gt;$BK$7,"",VLOOKUP($BL195,$BN$8:$BT$507,4,FALSE()))</f>
        <v/>
      </c>
      <c r="BY195" s="71" t="str">
        <f aca="false">IF($BL195&gt;$BK$7,"",VLOOKUP($BL195,$BN$8:$BT$507,5,FALSE()))</f>
        <v/>
      </c>
      <c r="BZ195" s="72" t="str">
        <f aca="false">IF($BL195&gt;$BK$7,"",VLOOKUP($BL195,$BN$8:$BT$507,6,FALSE()))</f>
        <v/>
      </c>
      <c r="CA195" s="48"/>
    </row>
    <row r="196" customFormat="false" ht="15.75" hidden="false" customHeight="false" outlineLevel="0" collapsed="false">
      <c r="A196" s="5"/>
      <c r="B196" s="121"/>
      <c r="C196" s="50"/>
      <c r="D196" s="51"/>
      <c r="E196" s="74"/>
      <c r="F196" s="122"/>
      <c r="G196" s="54"/>
      <c r="H196" s="123"/>
      <c r="I196" s="124"/>
      <c r="J196" s="54"/>
      <c r="K196" s="123"/>
      <c r="L196" s="54"/>
      <c r="M196" s="123"/>
      <c r="N196" s="54"/>
      <c r="O196" s="123"/>
      <c r="P196" s="54"/>
      <c r="Q196" s="123"/>
      <c r="R196" s="54"/>
      <c r="S196" s="74"/>
      <c r="T196" s="58"/>
      <c r="U196" s="59" t="str">
        <f aca="false">IF(ISBLANK($C196),"",IF(E196=Constants!$B$2, TRUE(), IF(E196=Constants!$B$3, FALSE(), TRUE())))</f>
        <v/>
      </c>
      <c r="V196" s="59" t="str">
        <f aca="false">IF(ISBLANK($C196),"",IF(F196=Constants!$B$2, TRUE(), IF(F196=Constants!$B$3, FALSE(), TRUE())))</f>
        <v/>
      </c>
      <c r="W196" s="59" t="str">
        <f aca="false">IF(ISBLANK($C196),"",IF(G196=Constants!$B$15,Constants!$B$8,IF(G196=Constants!$B$16,Constants!$B$9,Constants!$B$10)))</f>
        <v/>
      </c>
      <c r="X196" s="59" t="str">
        <f aca="false">IF(ISBLANK($C196),"",IF(H196=Constants!$B$2, TRUE(), IF(H196=Constants!$B$3, FALSE(), TRUE())))</f>
        <v/>
      </c>
      <c r="Y196" s="59" t="str">
        <f aca="false">IF(ISBLANK($C196),"",IF(I196=Constants!$B$19,Constants!$B$19,Constants!$B$18))</f>
        <v/>
      </c>
      <c r="Z196" s="59" t="str">
        <f aca="false">IF(ISBLANK($C196),"",IF(ISNUMBER(J196),IF(J196&gt;=0,J196,""),""))</f>
        <v/>
      </c>
      <c r="AA196" s="59" t="str">
        <f aca="false">IF(ISBLANK($C196),"",IF(K196=Constants!$B$19,Constants!$B$19,Constants!$B$18))</f>
        <v/>
      </c>
      <c r="AB196" s="59" t="str">
        <f aca="false">IF(ISBLANK($C196),"",IF(ISNUMBER(L196),IF(L196&gt;=0,L196,""),""))</f>
        <v/>
      </c>
      <c r="AC196" s="59" t="str">
        <f aca="false">IF(ISBLANK($C196),"",IF(M196=Constants!$B$19,Constants!$B$19,Constants!$B$18))</f>
        <v/>
      </c>
      <c r="AD196" s="59" t="str">
        <f aca="false">IF(ISBLANK($C196),"",IF(ISNUMBER(N196),IF(N196&gt;=0,N196,""),""))</f>
        <v/>
      </c>
      <c r="AE196" s="59" t="str">
        <f aca="false">IF(ISBLANK($C196),"",IF(O196=Constants!$B$19,Constants!$B$19,Constants!$B$18))</f>
        <v/>
      </c>
      <c r="AF196" s="59" t="str">
        <f aca="false">IF(ISBLANK($C196),"",IF(ISNUMBER(P196),IF(P196&gt;=0,P196,""),""))</f>
        <v/>
      </c>
      <c r="AG196" s="59" t="str">
        <f aca="false">IF(ISBLANK($C196),"",IF(Q196=Constants!$B$19,Constants!$B$19,Constants!$B$18))</f>
        <v/>
      </c>
      <c r="AH196" s="59" t="str">
        <f aca="false">IF(ISBLANK($C196),"",IF(ISNUMBER(R196),IF(R196&gt;=0,R196,""),""))</f>
        <v/>
      </c>
      <c r="AI196" s="59" t="str">
        <f aca="false">IF(ISBLANK($C196),"",IF(S196=Constants!$B$2, TRUE(), IF(S196=Constants!$B$3, FALSE(), FALSE())))</f>
        <v/>
      </c>
      <c r="AJ196" s="59" t="str">
        <f aca="false">IF(ISBLANK($C196),"",IF(AI196,Constants!$B$4,IF(COUNTA(E196:R196)=0,Constants!$B$5,IF(COUNTA(J196,L196,N196,P196,R196)=0,Constants!$B$6,Constants!$B$7))))</f>
        <v/>
      </c>
      <c r="AK196" s="59" t="str">
        <f aca="false">IF(ISBLANK($C196),"",IF($AJ196&lt;&gt;Constants!$B$7,$AJ196,IF(OR(NOT(X196),AND(NOT(U196),COUNTIFS(Y196:AG196,Constants!$B$18,Z196:AH196,"&gt;=0")&gt;0),AND(NOT(V196),COUNTIFS(Y196:AG196,Constants!$B$19,Z196:AH196,"&gt;=0")&gt;0)),Constants!$B$12,Constants!$B$11)))</f>
        <v/>
      </c>
      <c r="AL196" s="59" t="str">
        <f aca="false">IF($AJ196=Constants!$B$7,IF(Z196="",Constants!$B$13,Z196),"")</f>
        <v/>
      </c>
      <c r="AM196" s="59" t="str">
        <f aca="false">IF($AJ196=Constants!$B$7,IF(AB196="",Constants!$B$13,AB196),"")</f>
        <v/>
      </c>
      <c r="AN196" s="59" t="str">
        <f aca="false">IF($AJ196=Constants!$B$7,IF(AD196="",Constants!$B$13,AD196),"")</f>
        <v/>
      </c>
      <c r="AO196" s="59" t="str">
        <f aca="false">IF($AJ196=Constants!$B$7,IF(AF196="",Constants!$B$13,AF196),"")</f>
        <v/>
      </c>
      <c r="AP196" s="59" t="str">
        <f aca="false">IF($AJ196=Constants!$B$7,IF(AH196="",Constants!$B$13,AH196),"")</f>
        <v/>
      </c>
      <c r="AQ196" s="59" t="str">
        <f aca="false">IF($AJ196=Constants!$B$7,IF(SUMPRODUCT(--($AL196:$AP196&gt;AL196))+SUMPRODUCT(--($AL196:AL196=AL196))=1,1,IF(SUMPRODUCT(--($AL196:$AP196&gt;AM196))+SUMPRODUCT(--($AL196:AM196=AM196))=1,2,IF(SUMPRODUCT(--($AL196:$AP196&gt;AN196))+SUMPRODUCT(--($AL196:AN196=AN196))=1,3,IF(SUMPRODUCT(--($AL196:$AP196&gt;AO196))+SUMPRODUCT(--($AL196:AO196=AO196))=1,4,5)))),"")</f>
        <v/>
      </c>
      <c r="AR196" s="59" t="str">
        <f aca="false">IF($AJ196=Constants!$B$7,IF(SUMPRODUCT(--($AL196:$AP196&gt;AL196))+SUMPRODUCT(--($AL196:AL196=AL196))=2,1,IF(SUMPRODUCT(--($AL196:$AP196&gt;AM196))+SUMPRODUCT(--($AL196:AM196=AM196))=2,2,IF(SUMPRODUCT(--($AL196:$AP196&gt;AN196))+SUMPRODUCT(--($AL196:AN196=AN196))=2,3,IF(SUMPRODUCT(--($AL196:$AP196&gt;AO196))+SUMPRODUCT(--($AL196:AO196=AO196))=2,4,5)))),"")</f>
        <v/>
      </c>
      <c r="AS196" s="59" t="str">
        <f aca="false">IF($AJ196=Constants!$B$7,IF(SUMPRODUCT(--($AL196:$AP196&gt;AL196))+SUMPRODUCT(--($AL196:AL196=AL196))=3,1,IF(SUMPRODUCT(--($AL196:$AP196&gt;AM196))+SUMPRODUCT(--($AL196:AM196=AM196))=3,2,IF(SUMPRODUCT(--($AL196:$AP196&gt;AN196))+SUMPRODUCT(--($AL196:AN196=AN196))=3,3,IF(SUMPRODUCT(--($AL196:$AP196&gt;AO196))+SUMPRODUCT(--($AL196:AO196=AO196))=3,4,5)))),"")</f>
        <v/>
      </c>
      <c r="AT196" s="59" t="str">
        <f aca="false">IF($AJ196=Constants!$B$7,LARGE(AL196:AP196,1)+LARGE(AL196:AP196,2)+LARGE(AL196:AP196,3),"")</f>
        <v/>
      </c>
      <c r="AU196" s="59" t="str">
        <f aca="false">IF(ISBLANK($C196),"",IF($AJ196&lt;&gt;Constants!$B$7,$AJ196,AT196*W196))</f>
        <v/>
      </c>
      <c r="AV196" s="59" t="str">
        <f aca="false">IF(ISBLANK($C196),"",IF($AJ196=Constants!$B$7,IF(ISNUMBER(AU196),RANK(AU196,$AU$8:$AU$507),Constants!$B$14),$AJ196))</f>
        <v/>
      </c>
      <c r="AW196" s="59" t="str">
        <f aca="false">IF(ISBLANK($C196),"",IF($AJ196=Constants!$B$7,IF(ISNUMBER(AV196),COUNTIFS($AK$8:$AK$507,"&lt;"&amp;$AK196)+COUNTIFS($AK$8:$AK$507,$AK196,$AV$8:$AV$507,"&lt;"&amp;$AV196)+1,Constants!$B$14),$AJ196))</f>
        <v/>
      </c>
      <c r="AX196" s="59" t="str">
        <f aca="false">IF(ISBLANK($C196),"",IF($AJ196=Constants!$B$7,LARGE(AL196:AP196,4)*W196,""))</f>
        <v/>
      </c>
      <c r="AY196" s="59" t="str">
        <f aca="false">IF(ISBLANK($C196),"",IF($AJ196=Constants!$B$7,RANK(AX196,$AX$8:$AX$507),$AJ196))</f>
        <v/>
      </c>
      <c r="AZ196" s="59" t="str">
        <f aca="false">IF(ISBLANK($C196),"",IF($AJ196=Constants!$B$7,IF(ISNUMBER(AV196),COUNTIFS($AK$8:$AK$507,"&lt;"&amp;$AK196)+COUNTIFS($AK$8:$AK$507,$AK196,$AV$8:$AV$507,"&lt;"&amp;$AV196)+COUNTIFS($AK$8:$AK$507,$AK196,$AV$8:$AV$507,$AV196,$AY$8:$AY$507,"&lt;"&amp;$AY196)+1,Constants!$B$14),$AJ196))</f>
        <v/>
      </c>
      <c r="BA196" s="59" t="str">
        <f aca="false">IF(ISBLANK($C196),"",IF($AJ196=Constants!$B$7,IF(ISNUMBER(AW196),AW196-AZ196,Constants!$B$14),$AJ196))</f>
        <v/>
      </c>
      <c r="BB196" s="61"/>
      <c r="BC196" s="62" t="str">
        <f aca="false">IF(ISBLANK($C196),"",IF($AJ196&lt;&gt;Constants!$B$7,$AJ196,SMALL(AQ196:AS196,1)&amp;", "&amp;SMALL(AQ196:AS196,2)&amp;", "&amp;SMALL(AQ196:AS196,3)))</f>
        <v/>
      </c>
      <c r="BD196" s="63" t="str">
        <f aca="false">IF(ISBLANK($C196),"",IF($AJ196&lt;&gt;Constants!$B$7,$AJ196,W196))</f>
        <v/>
      </c>
      <c r="BE196" s="64" t="str">
        <f aca="false">IF(ISBLANK($C196),"",IF($AJ196&lt;&gt;Constants!$B$7,$AJ196,AU196))</f>
        <v/>
      </c>
      <c r="BF196" s="65" t="str">
        <f aca="false">IF(ISBLANK($C196),"",IF($AJ196&lt;&gt;Constants!$B$7,$AJ196,AK196))</f>
        <v/>
      </c>
      <c r="BG196" s="63" t="str">
        <f aca="false">IF(ISBLANK($C196),"",BA196)</f>
        <v/>
      </c>
      <c r="BH196" s="63" t="str">
        <f aca="false">IF(ISBLANK($C196),"",AZ196)</f>
        <v/>
      </c>
      <c r="BI196" s="66" t="str">
        <f aca="false">IF(ISBLANK($C196),"",IF(BH196=Constants!$B$4,COUNTA($C$8:$C$507)+2,IF(BH196=Constants!$B$5,COUNTA($C$8:$C$507)+1,IF(BH196=Constants!$B$6,COUNTA($C$8:$C$507),BH196))))</f>
        <v/>
      </c>
      <c r="BJ196" s="5"/>
      <c r="BK196" s="67" t="n">
        <f aca="false">IF(OR(ISNUMBER(BH196),BH196=Constants!$B$4,BH196=Constants!$B$6,BH196=Constants!$B$5),1,0)</f>
        <v>0</v>
      </c>
      <c r="BL196" s="67" t="n">
        <v>189</v>
      </c>
      <c r="BM196" s="67" t="str">
        <f aca="false">IF(ISBLANK($C196),"",IF(ISNUMBER(BI196),BI196+ROW($B196)/1000,""))</f>
        <v/>
      </c>
      <c r="BN196" s="67" t="str">
        <f aca="false">IF(ISNUMBER(BM196),RANK(BM196,$BM$8:$BM$507,1),"")</f>
        <v/>
      </c>
      <c r="BO196" s="67" t="str">
        <f aca="false">IF(ISBLANK($C196),"",$B196)</f>
        <v/>
      </c>
      <c r="BP196" s="67" t="str">
        <f aca="false">IF(ISBLANK($C196),"",$C196)</f>
        <v/>
      </c>
      <c r="BQ196" s="67" t="str">
        <f aca="false">IF(ISBLANK($C196),"",$D196)</f>
        <v/>
      </c>
      <c r="BR196" s="68" t="str">
        <f aca="false">BF196</f>
        <v/>
      </c>
      <c r="BS196" s="69" t="str">
        <f aca="false">BE196</f>
        <v/>
      </c>
      <c r="BT196" s="67" t="str">
        <f aca="false">IF(ISBLANK($C196),"",BH196)</f>
        <v/>
      </c>
      <c r="BU196" s="70" t="str">
        <f aca="false">IF($BL196&gt;$BK$7,"",VLOOKUP($BL196,$BN$8:$BT$507,7,FALSE()))</f>
        <v/>
      </c>
      <c r="BV196" s="71" t="str">
        <f aca="false">IF($BL196&gt;$BK$7,"",VLOOKUP($BL196,$BN$8:$BT$507,2,FALSE()))</f>
        <v/>
      </c>
      <c r="BW196" s="71" t="str">
        <f aca="false">IF($BL196&gt;$BK$7,"",VLOOKUP($BL196,$BN$8:$BT$507,3,FALSE()))</f>
        <v/>
      </c>
      <c r="BX196" s="71" t="str">
        <f aca="false">IF($BL196&gt;$BK$7,"",VLOOKUP($BL196,$BN$8:$BT$507,4,FALSE()))</f>
        <v/>
      </c>
      <c r="BY196" s="71" t="str">
        <f aca="false">IF($BL196&gt;$BK$7,"",VLOOKUP($BL196,$BN$8:$BT$507,5,FALSE()))</f>
        <v/>
      </c>
      <c r="BZ196" s="72" t="str">
        <f aca="false">IF($BL196&gt;$BK$7,"",VLOOKUP($BL196,$BN$8:$BT$507,6,FALSE()))</f>
        <v/>
      </c>
      <c r="CA196" s="48"/>
    </row>
    <row r="197" customFormat="false" ht="15.75" hidden="false" customHeight="false" outlineLevel="0" collapsed="false">
      <c r="A197" s="5"/>
      <c r="B197" s="114"/>
      <c r="C197" s="115"/>
      <c r="D197" s="100"/>
      <c r="E197" s="120"/>
      <c r="F197" s="125"/>
      <c r="G197" s="82"/>
      <c r="H197" s="126"/>
      <c r="I197" s="127"/>
      <c r="J197" s="82"/>
      <c r="K197" s="126"/>
      <c r="L197" s="82"/>
      <c r="M197" s="126"/>
      <c r="N197" s="82"/>
      <c r="O197" s="126"/>
      <c r="P197" s="82"/>
      <c r="Q197" s="126"/>
      <c r="R197" s="82"/>
      <c r="S197" s="120"/>
      <c r="T197" s="86"/>
      <c r="U197" s="87" t="str">
        <f aca="false">IF(ISBLANK($C197),"",IF(E197=Constants!$B$2, TRUE(), IF(E197=Constants!$B$3, FALSE(), TRUE())))</f>
        <v/>
      </c>
      <c r="V197" s="87" t="str">
        <f aca="false">IF(ISBLANK($C197),"",IF(F197=Constants!$B$2, TRUE(), IF(F197=Constants!$B$3, FALSE(), TRUE())))</f>
        <v/>
      </c>
      <c r="W197" s="87" t="str">
        <f aca="false">IF(ISBLANK($C197),"",IF(G197=Constants!$B$15,Constants!$B$8,IF(G197=Constants!$B$16,Constants!$B$9,Constants!$B$10)))</f>
        <v/>
      </c>
      <c r="X197" s="87" t="str">
        <f aca="false">IF(ISBLANK($C197),"",IF(H197=Constants!$B$2, TRUE(), IF(H197=Constants!$B$3, FALSE(), TRUE())))</f>
        <v/>
      </c>
      <c r="Y197" s="87" t="str">
        <f aca="false">IF(ISBLANK($C197),"",IF(I197=Constants!$B$19,Constants!$B$19,Constants!$B$18))</f>
        <v/>
      </c>
      <c r="Z197" s="87" t="str">
        <f aca="false">IF(ISBLANK($C197),"",IF(ISNUMBER(J197),IF(J197&gt;=0,J197,""),""))</f>
        <v/>
      </c>
      <c r="AA197" s="87" t="str">
        <f aca="false">IF(ISBLANK($C197),"",IF(K197=Constants!$B$19,Constants!$B$19,Constants!$B$18))</f>
        <v/>
      </c>
      <c r="AB197" s="87" t="str">
        <f aca="false">IF(ISBLANK($C197),"",IF(ISNUMBER(L197),IF(L197&gt;=0,L197,""),""))</f>
        <v/>
      </c>
      <c r="AC197" s="87" t="str">
        <f aca="false">IF(ISBLANK($C197),"",IF(M197=Constants!$B$19,Constants!$B$19,Constants!$B$18))</f>
        <v/>
      </c>
      <c r="AD197" s="87" t="str">
        <f aca="false">IF(ISBLANK($C197),"",IF(ISNUMBER(N197),IF(N197&gt;=0,N197,""),""))</f>
        <v/>
      </c>
      <c r="AE197" s="87" t="str">
        <f aca="false">IF(ISBLANK($C197),"",IF(O197=Constants!$B$19,Constants!$B$19,Constants!$B$18))</f>
        <v/>
      </c>
      <c r="AF197" s="87" t="str">
        <f aca="false">IF(ISBLANK($C197),"",IF(ISNUMBER(P197),IF(P197&gt;=0,P197,""),""))</f>
        <v/>
      </c>
      <c r="AG197" s="87" t="str">
        <f aca="false">IF(ISBLANK($C197),"",IF(Q197=Constants!$B$19,Constants!$B$19,Constants!$B$18))</f>
        <v/>
      </c>
      <c r="AH197" s="87" t="str">
        <f aca="false">IF(ISBLANK($C197),"",IF(ISNUMBER(R197),IF(R197&gt;=0,R197,""),""))</f>
        <v/>
      </c>
      <c r="AI197" s="87" t="str">
        <f aca="false">IF(ISBLANK($C197),"",IF(S197=Constants!$B$2, TRUE(), IF(S197=Constants!$B$3, FALSE(), FALSE())))</f>
        <v/>
      </c>
      <c r="AJ197" s="87" t="str">
        <f aca="false">IF(ISBLANK($C197),"",IF(AI197,Constants!$B$4,IF(COUNTA(E197:R197)=0,Constants!$B$5,IF(COUNTA(J197,L197,N197,P197,R197)=0,Constants!$B$6,Constants!$B$7))))</f>
        <v/>
      </c>
      <c r="AK197" s="87" t="str">
        <f aca="false">IF(ISBLANK($C197),"",IF($AJ197&lt;&gt;Constants!$B$7,$AJ197,IF(OR(NOT(X197),AND(NOT(U197),COUNTIFS(Y197:AG197,Constants!$B$18,Z197:AH197,"&gt;=0")&gt;0),AND(NOT(V197),COUNTIFS(Y197:AG197,Constants!$B$19,Z197:AH197,"&gt;=0")&gt;0)),Constants!$B$12,Constants!$B$11)))</f>
        <v/>
      </c>
      <c r="AL197" s="87" t="str">
        <f aca="false">IF($AJ197=Constants!$B$7,IF(Z197="",Constants!$B$13,Z197),"")</f>
        <v/>
      </c>
      <c r="AM197" s="87" t="str">
        <f aca="false">IF($AJ197=Constants!$B$7,IF(AB197="",Constants!$B$13,AB197),"")</f>
        <v/>
      </c>
      <c r="AN197" s="87" t="str">
        <f aca="false">IF($AJ197=Constants!$B$7,IF(AD197="",Constants!$B$13,AD197),"")</f>
        <v/>
      </c>
      <c r="AO197" s="87" t="str">
        <f aca="false">IF($AJ197=Constants!$B$7,IF(AF197="",Constants!$B$13,AF197),"")</f>
        <v/>
      </c>
      <c r="AP197" s="87" t="str">
        <f aca="false">IF($AJ197=Constants!$B$7,IF(AH197="",Constants!$B$13,AH197),"")</f>
        <v/>
      </c>
      <c r="AQ197" s="87" t="str">
        <f aca="false">IF($AJ197=Constants!$B$7,IF(SUMPRODUCT(--($AL197:$AP197&gt;AL197))+SUMPRODUCT(--($AL197:AL197=AL197))=1,1,IF(SUMPRODUCT(--($AL197:$AP197&gt;AM197))+SUMPRODUCT(--($AL197:AM197=AM197))=1,2,IF(SUMPRODUCT(--($AL197:$AP197&gt;AN197))+SUMPRODUCT(--($AL197:AN197=AN197))=1,3,IF(SUMPRODUCT(--($AL197:$AP197&gt;AO197))+SUMPRODUCT(--($AL197:AO197=AO197))=1,4,5)))),"")</f>
        <v/>
      </c>
      <c r="AR197" s="87" t="str">
        <f aca="false">IF($AJ197=Constants!$B$7,IF(SUMPRODUCT(--($AL197:$AP197&gt;AL197))+SUMPRODUCT(--($AL197:AL197=AL197))=2,1,IF(SUMPRODUCT(--($AL197:$AP197&gt;AM197))+SUMPRODUCT(--($AL197:AM197=AM197))=2,2,IF(SUMPRODUCT(--($AL197:$AP197&gt;AN197))+SUMPRODUCT(--($AL197:AN197=AN197))=2,3,IF(SUMPRODUCT(--($AL197:$AP197&gt;AO197))+SUMPRODUCT(--($AL197:AO197=AO197))=2,4,5)))),"")</f>
        <v/>
      </c>
      <c r="AS197" s="87" t="str">
        <f aca="false">IF($AJ197=Constants!$B$7,IF(SUMPRODUCT(--($AL197:$AP197&gt;AL197))+SUMPRODUCT(--($AL197:AL197=AL197))=3,1,IF(SUMPRODUCT(--($AL197:$AP197&gt;AM197))+SUMPRODUCT(--($AL197:AM197=AM197))=3,2,IF(SUMPRODUCT(--($AL197:$AP197&gt;AN197))+SUMPRODUCT(--($AL197:AN197=AN197))=3,3,IF(SUMPRODUCT(--($AL197:$AP197&gt;AO197))+SUMPRODUCT(--($AL197:AO197=AO197))=3,4,5)))),"")</f>
        <v/>
      </c>
      <c r="AT197" s="87" t="str">
        <f aca="false">IF($AJ197=Constants!$B$7,LARGE(AL197:AP197,1)+LARGE(AL197:AP197,2)+LARGE(AL197:AP197,3),"")</f>
        <v/>
      </c>
      <c r="AU197" s="87" t="str">
        <f aca="false">IF(ISBLANK($C197),"",IF($AJ197&lt;&gt;Constants!$B$7,$AJ197,AT197*W197))</f>
        <v/>
      </c>
      <c r="AV197" s="87" t="str">
        <f aca="false">IF(ISBLANK($C197),"",IF($AJ197=Constants!$B$7,IF(ISNUMBER(AU197),RANK(AU197,$AU$8:$AU$507),Constants!$B$14),$AJ197))</f>
        <v/>
      </c>
      <c r="AW197" s="87" t="str">
        <f aca="false">IF(ISBLANK($C197),"",IF($AJ197=Constants!$B$7,IF(ISNUMBER(AV197),COUNTIFS($AK$8:$AK$507,"&lt;"&amp;$AK197)+COUNTIFS($AK$8:$AK$507,$AK197,$AV$8:$AV$507,"&lt;"&amp;$AV197)+1,Constants!$B$14),$AJ197))</f>
        <v/>
      </c>
      <c r="AX197" s="87" t="str">
        <f aca="false">IF(ISBLANK($C197),"",IF($AJ197=Constants!$B$7,LARGE(AL197:AP197,4)*W197,""))</f>
        <v/>
      </c>
      <c r="AY197" s="87" t="str">
        <f aca="false">IF(ISBLANK($C197),"",IF($AJ197=Constants!$B$7,RANK(AX197,$AX$8:$AX$507),$AJ197))</f>
        <v/>
      </c>
      <c r="AZ197" s="87" t="str">
        <f aca="false">IF(ISBLANK($C197),"",IF($AJ197=Constants!$B$7,IF(ISNUMBER(AV197),COUNTIFS($AK$8:$AK$507,"&lt;"&amp;$AK197)+COUNTIFS($AK$8:$AK$507,$AK197,$AV$8:$AV$507,"&lt;"&amp;$AV197)+COUNTIFS($AK$8:$AK$507,$AK197,$AV$8:$AV$507,$AV197,$AY$8:$AY$507,"&lt;"&amp;$AY197)+1,Constants!$B$14),$AJ197))</f>
        <v/>
      </c>
      <c r="BA197" s="87" t="str">
        <f aca="false">IF(ISBLANK($C197),"",IF($AJ197=Constants!$B$7,IF(ISNUMBER(AW197),AW197-AZ197,Constants!$B$14),$AJ197))</f>
        <v/>
      </c>
      <c r="BB197" s="88"/>
      <c r="BC197" s="89" t="str">
        <f aca="false">IF(ISBLANK($C197),"",IF($AJ197&lt;&gt;Constants!$B$7,$AJ197,SMALL(AQ197:AS197,1)&amp;", "&amp;SMALL(AQ197:AS197,2)&amp;", "&amp;SMALL(AQ197:AS197,3)))</f>
        <v/>
      </c>
      <c r="BD197" s="90" t="str">
        <f aca="false">IF(ISBLANK($C197),"",IF($AJ197&lt;&gt;Constants!$B$7,$AJ197,W197))</f>
        <v/>
      </c>
      <c r="BE197" s="91" t="str">
        <f aca="false">IF(ISBLANK($C197),"",IF($AJ197&lt;&gt;Constants!$B$7,$AJ197,AU197))</f>
        <v/>
      </c>
      <c r="BF197" s="92" t="str">
        <f aca="false">IF(ISBLANK($C197),"",IF($AJ197&lt;&gt;Constants!$B$7,$AJ197,AK197))</f>
        <v/>
      </c>
      <c r="BG197" s="90" t="str">
        <f aca="false">IF(ISBLANK($C197),"",BA197)</f>
        <v/>
      </c>
      <c r="BH197" s="90" t="str">
        <f aca="false">IF(ISBLANK($C197),"",AZ197)</f>
        <v/>
      </c>
      <c r="BI197" s="93" t="str">
        <f aca="false">IF(ISBLANK($C197),"",IF(BH197=Constants!$B$4,COUNTA($C$8:$C$507)+2,IF(BH197=Constants!$B$5,COUNTA($C$8:$C$507)+1,IF(BH197=Constants!$B$6,COUNTA($C$8:$C$507),BH197))))</f>
        <v/>
      </c>
      <c r="BJ197" s="5"/>
      <c r="BK197" s="94" t="n">
        <f aca="false">IF(OR(ISNUMBER(BH197),BH197=Constants!$B$4,BH197=Constants!$B$6,BH197=Constants!$B$5),1,0)</f>
        <v>0</v>
      </c>
      <c r="BL197" s="94" t="n">
        <v>190</v>
      </c>
      <c r="BM197" s="94" t="str">
        <f aca="false">IF(ISBLANK($C197),"",IF(ISNUMBER(BI197),BI197+ROW($B197)/1000,""))</f>
        <v/>
      </c>
      <c r="BN197" s="94" t="str">
        <f aca="false">IF(ISNUMBER(BM197),RANK(BM197,$BM$8:$BM$507,1),"")</f>
        <v/>
      </c>
      <c r="BO197" s="94" t="str">
        <f aca="false">IF(ISBLANK($C197),"",$B197)</f>
        <v/>
      </c>
      <c r="BP197" s="94" t="str">
        <f aca="false">IF(ISBLANK($C197),"",$C197)</f>
        <v/>
      </c>
      <c r="BQ197" s="94" t="str">
        <f aca="false">IF(ISBLANK($C197),"",$D197)</f>
        <v/>
      </c>
      <c r="BR197" s="95" t="str">
        <f aca="false">BF197</f>
        <v/>
      </c>
      <c r="BS197" s="96" t="str">
        <f aca="false">BE197</f>
        <v/>
      </c>
      <c r="BT197" s="94" t="str">
        <f aca="false">IF(ISBLANK($C197),"",BH197)</f>
        <v/>
      </c>
      <c r="BU197" s="97" t="str">
        <f aca="false">IF($BL197&gt;$BK$7,"",VLOOKUP($BL197,$BN$8:$BT$507,7,FALSE()))</f>
        <v/>
      </c>
      <c r="BV197" s="98" t="str">
        <f aca="false">IF($BL197&gt;$BK$7,"",VLOOKUP($BL197,$BN$8:$BT$507,2,FALSE()))</f>
        <v/>
      </c>
      <c r="BW197" s="98" t="str">
        <f aca="false">IF($BL197&gt;$BK$7,"",VLOOKUP($BL197,$BN$8:$BT$507,3,FALSE()))</f>
        <v/>
      </c>
      <c r="BX197" s="98" t="str">
        <f aca="false">IF($BL197&gt;$BK$7,"",VLOOKUP($BL197,$BN$8:$BT$507,4,FALSE()))</f>
        <v/>
      </c>
      <c r="BY197" s="98" t="str">
        <f aca="false">IF($BL197&gt;$BK$7,"",VLOOKUP($BL197,$BN$8:$BT$507,5,FALSE()))</f>
        <v/>
      </c>
      <c r="BZ197" s="99" t="str">
        <f aca="false">IF($BL197&gt;$BK$7,"",VLOOKUP($BL197,$BN$8:$BT$507,6,FALSE()))</f>
        <v/>
      </c>
      <c r="CA197" s="48"/>
    </row>
    <row r="198" customFormat="false" ht="15.75" hidden="false" customHeight="false" outlineLevel="0" collapsed="false">
      <c r="A198" s="5"/>
      <c r="B198" s="114"/>
      <c r="C198" s="115"/>
      <c r="D198" s="100"/>
      <c r="E198" s="120"/>
      <c r="F198" s="125"/>
      <c r="G198" s="82"/>
      <c r="H198" s="126"/>
      <c r="I198" s="127"/>
      <c r="J198" s="82"/>
      <c r="K198" s="126"/>
      <c r="L198" s="82"/>
      <c r="M198" s="126"/>
      <c r="N198" s="82"/>
      <c r="O198" s="126"/>
      <c r="P198" s="82"/>
      <c r="Q198" s="126"/>
      <c r="R198" s="82"/>
      <c r="S198" s="120"/>
      <c r="T198" s="86"/>
      <c r="U198" s="87" t="str">
        <f aca="false">IF(ISBLANK($C198),"",IF(E198=Constants!$B$2, TRUE(), IF(E198=Constants!$B$3, FALSE(), TRUE())))</f>
        <v/>
      </c>
      <c r="V198" s="87" t="str">
        <f aca="false">IF(ISBLANK($C198),"",IF(F198=Constants!$B$2, TRUE(), IF(F198=Constants!$B$3, FALSE(), TRUE())))</f>
        <v/>
      </c>
      <c r="W198" s="87" t="str">
        <f aca="false">IF(ISBLANK($C198),"",IF(G198=Constants!$B$15,Constants!$B$8,IF(G198=Constants!$B$16,Constants!$B$9,Constants!$B$10)))</f>
        <v/>
      </c>
      <c r="X198" s="87" t="str">
        <f aca="false">IF(ISBLANK($C198),"",IF(H198=Constants!$B$2, TRUE(), IF(H198=Constants!$B$3, FALSE(), TRUE())))</f>
        <v/>
      </c>
      <c r="Y198" s="87" t="str">
        <f aca="false">IF(ISBLANK($C198),"",IF(I198=Constants!$B$19,Constants!$B$19,Constants!$B$18))</f>
        <v/>
      </c>
      <c r="Z198" s="87" t="str">
        <f aca="false">IF(ISBLANK($C198),"",IF(ISNUMBER(J198),IF(J198&gt;=0,J198,""),""))</f>
        <v/>
      </c>
      <c r="AA198" s="87" t="str">
        <f aca="false">IF(ISBLANK($C198),"",IF(K198=Constants!$B$19,Constants!$B$19,Constants!$B$18))</f>
        <v/>
      </c>
      <c r="AB198" s="87" t="str">
        <f aca="false">IF(ISBLANK($C198),"",IF(ISNUMBER(L198),IF(L198&gt;=0,L198,""),""))</f>
        <v/>
      </c>
      <c r="AC198" s="87" t="str">
        <f aca="false">IF(ISBLANK($C198),"",IF(M198=Constants!$B$19,Constants!$B$19,Constants!$B$18))</f>
        <v/>
      </c>
      <c r="AD198" s="87" t="str">
        <f aca="false">IF(ISBLANK($C198),"",IF(ISNUMBER(N198),IF(N198&gt;=0,N198,""),""))</f>
        <v/>
      </c>
      <c r="AE198" s="87" t="str">
        <f aca="false">IF(ISBLANK($C198),"",IF(O198=Constants!$B$19,Constants!$B$19,Constants!$B$18))</f>
        <v/>
      </c>
      <c r="AF198" s="87" t="str">
        <f aca="false">IF(ISBLANK($C198),"",IF(ISNUMBER(P198),IF(P198&gt;=0,P198,""),""))</f>
        <v/>
      </c>
      <c r="AG198" s="87" t="str">
        <f aca="false">IF(ISBLANK($C198),"",IF(Q198=Constants!$B$19,Constants!$B$19,Constants!$B$18))</f>
        <v/>
      </c>
      <c r="AH198" s="87" t="str">
        <f aca="false">IF(ISBLANK($C198),"",IF(ISNUMBER(R198),IF(R198&gt;=0,R198,""),""))</f>
        <v/>
      </c>
      <c r="AI198" s="87" t="str">
        <f aca="false">IF(ISBLANK($C198),"",IF(S198=Constants!$B$2, TRUE(), IF(S198=Constants!$B$3, FALSE(), FALSE())))</f>
        <v/>
      </c>
      <c r="AJ198" s="87" t="str">
        <f aca="false">IF(ISBLANK($C198),"",IF(AI198,Constants!$B$4,IF(COUNTA(E198:R198)=0,Constants!$B$5,IF(COUNTA(J198,L198,N198,P198,R198)=0,Constants!$B$6,Constants!$B$7))))</f>
        <v/>
      </c>
      <c r="AK198" s="87" t="str">
        <f aca="false">IF(ISBLANK($C198),"",IF($AJ198&lt;&gt;Constants!$B$7,$AJ198,IF(OR(NOT(X198),AND(NOT(U198),COUNTIFS(Y198:AG198,Constants!$B$18,Z198:AH198,"&gt;=0")&gt;0),AND(NOT(V198),COUNTIFS(Y198:AG198,Constants!$B$19,Z198:AH198,"&gt;=0")&gt;0)),Constants!$B$12,Constants!$B$11)))</f>
        <v/>
      </c>
      <c r="AL198" s="87" t="str">
        <f aca="false">IF($AJ198=Constants!$B$7,IF(Z198="",Constants!$B$13,Z198),"")</f>
        <v/>
      </c>
      <c r="AM198" s="87" t="str">
        <f aca="false">IF($AJ198=Constants!$B$7,IF(AB198="",Constants!$B$13,AB198),"")</f>
        <v/>
      </c>
      <c r="AN198" s="87" t="str">
        <f aca="false">IF($AJ198=Constants!$B$7,IF(AD198="",Constants!$B$13,AD198),"")</f>
        <v/>
      </c>
      <c r="AO198" s="87" t="str">
        <f aca="false">IF($AJ198=Constants!$B$7,IF(AF198="",Constants!$B$13,AF198),"")</f>
        <v/>
      </c>
      <c r="AP198" s="87" t="str">
        <f aca="false">IF($AJ198=Constants!$B$7,IF(AH198="",Constants!$B$13,AH198),"")</f>
        <v/>
      </c>
      <c r="AQ198" s="87" t="str">
        <f aca="false">IF($AJ198=Constants!$B$7,IF(SUMPRODUCT(--($AL198:$AP198&gt;AL198))+SUMPRODUCT(--($AL198:AL198=AL198))=1,1,IF(SUMPRODUCT(--($AL198:$AP198&gt;AM198))+SUMPRODUCT(--($AL198:AM198=AM198))=1,2,IF(SUMPRODUCT(--($AL198:$AP198&gt;AN198))+SUMPRODUCT(--($AL198:AN198=AN198))=1,3,IF(SUMPRODUCT(--($AL198:$AP198&gt;AO198))+SUMPRODUCT(--($AL198:AO198=AO198))=1,4,5)))),"")</f>
        <v/>
      </c>
      <c r="AR198" s="87" t="str">
        <f aca="false">IF($AJ198=Constants!$B$7,IF(SUMPRODUCT(--($AL198:$AP198&gt;AL198))+SUMPRODUCT(--($AL198:AL198=AL198))=2,1,IF(SUMPRODUCT(--($AL198:$AP198&gt;AM198))+SUMPRODUCT(--($AL198:AM198=AM198))=2,2,IF(SUMPRODUCT(--($AL198:$AP198&gt;AN198))+SUMPRODUCT(--($AL198:AN198=AN198))=2,3,IF(SUMPRODUCT(--($AL198:$AP198&gt;AO198))+SUMPRODUCT(--($AL198:AO198=AO198))=2,4,5)))),"")</f>
        <v/>
      </c>
      <c r="AS198" s="87" t="str">
        <f aca="false">IF($AJ198=Constants!$B$7,IF(SUMPRODUCT(--($AL198:$AP198&gt;AL198))+SUMPRODUCT(--($AL198:AL198=AL198))=3,1,IF(SUMPRODUCT(--($AL198:$AP198&gt;AM198))+SUMPRODUCT(--($AL198:AM198=AM198))=3,2,IF(SUMPRODUCT(--($AL198:$AP198&gt;AN198))+SUMPRODUCT(--($AL198:AN198=AN198))=3,3,IF(SUMPRODUCT(--($AL198:$AP198&gt;AO198))+SUMPRODUCT(--($AL198:AO198=AO198))=3,4,5)))),"")</f>
        <v/>
      </c>
      <c r="AT198" s="87" t="str">
        <f aca="false">IF($AJ198=Constants!$B$7,LARGE(AL198:AP198,1)+LARGE(AL198:AP198,2)+LARGE(AL198:AP198,3),"")</f>
        <v/>
      </c>
      <c r="AU198" s="87" t="str">
        <f aca="false">IF(ISBLANK($C198),"",IF($AJ198&lt;&gt;Constants!$B$7,$AJ198,AT198*W198))</f>
        <v/>
      </c>
      <c r="AV198" s="87" t="str">
        <f aca="false">IF(ISBLANK($C198),"",IF($AJ198=Constants!$B$7,IF(ISNUMBER(AU198),RANK(AU198,$AU$8:$AU$507),Constants!$B$14),$AJ198))</f>
        <v/>
      </c>
      <c r="AW198" s="87" t="str">
        <f aca="false">IF(ISBLANK($C198),"",IF($AJ198=Constants!$B$7,IF(ISNUMBER(AV198),COUNTIFS($AK$8:$AK$507,"&lt;"&amp;$AK198)+COUNTIFS($AK$8:$AK$507,$AK198,$AV$8:$AV$507,"&lt;"&amp;$AV198)+1,Constants!$B$14),$AJ198))</f>
        <v/>
      </c>
      <c r="AX198" s="87" t="str">
        <f aca="false">IF(ISBLANK($C198),"",IF($AJ198=Constants!$B$7,LARGE(AL198:AP198,4)*W198,""))</f>
        <v/>
      </c>
      <c r="AY198" s="87" t="str">
        <f aca="false">IF(ISBLANK($C198),"",IF($AJ198=Constants!$B$7,RANK(AX198,$AX$8:$AX$507),$AJ198))</f>
        <v/>
      </c>
      <c r="AZ198" s="87" t="str">
        <f aca="false">IF(ISBLANK($C198),"",IF($AJ198=Constants!$B$7,IF(ISNUMBER(AV198),COUNTIFS($AK$8:$AK$507,"&lt;"&amp;$AK198)+COUNTIFS($AK$8:$AK$507,$AK198,$AV$8:$AV$507,"&lt;"&amp;$AV198)+COUNTIFS($AK$8:$AK$507,$AK198,$AV$8:$AV$507,$AV198,$AY$8:$AY$507,"&lt;"&amp;$AY198)+1,Constants!$B$14),$AJ198))</f>
        <v/>
      </c>
      <c r="BA198" s="87" t="str">
        <f aca="false">IF(ISBLANK($C198),"",IF($AJ198=Constants!$B$7,IF(ISNUMBER(AW198),AW198-AZ198,Constants!$B$14),$AJ198))</f>
        <v/>
      </c>
      <c r="BB198" s="88"/>
      <c r="BC198" s="89" t="str">
        <f aca="false">IF(ISBLANK($C198),"",IF($AJ198&lt;&gt;Constants!$B$7,$AJ198,SMALL(AQ198:AS198,1)&amp;", "&amp;SMALL(AQ198:AS198,2)&amp;", "&amp;SMALL(AQ198:AS198,3)))</f>
        <v/>
      </c>
      <c r="BD198" s="90" t="str">
        <f aca="false">IF(ISBLANK($C198),"",IF($AJ198&lt;&gt;Constants!$B$7,$AJ198,W198))</f>
        <v/>
      </c>
      <c r="BE198" s="91" t="str">
        <f aca="false">IF(ISBLANK($C198),"",IF($AJ198&lt;&gt;Constants!$B$7,$AJ198,AU198))</f>
        <v/>
      </c>
      <c r="BF198" s="92" t="str">
        <f aca="false">IF(ISBLANK($C198),"",IF($AJ198&lt;&gt;Constants!$B$7,$AJ198,AK198))</f>
        <v/>
      </c>
      <c r="BG198" s="90" t="str">
        <f aca="false">IF(ISBLANK($C198),"",BA198)</f>
        <v/>
      </c>
      <c r="BH198" s="90" t="str">
        <f aca="false">IF(ISBLANK($C198),"",AZ198)</f>
        <v/>
      </c>
      <c r="BI198" s="93" t="str">
        <f aca="false">IF(ISBLANK($C198),"",IF(BH198=Constants!$B$4,COUNTA($C$8:$C$507)+2,IF(BH198=Constants!$B$5,COUNTA($C$8:$C$507)+1,IF(BH198=Constants!$B$6,COUNTA($C$8:$C$507),BH198))))</f>
        <v/>
      </c>
      <c r="BJ198" s="5"/>
      <c r="BK198" s="94" t="n">
        <f aca="false">IF(OR(ISNUMBER(BH198),BH198=Constants!$B$4,BH198=Constants!$B$6,BH198=Constants!$B$5),1,0)</f>
        <v>0</v>
      </c>
      <c r="BL198" s="94" t="n">
        <v>191</v>
      </c>
      <c r="BM198" s="94" t="str">
        <f aca="false">IF(ISBLANK($C198),"",IF(ISNUMBER(BI198),BI198+ROW($B198)/1000,""))</f>
        <v/>
      </c>
      <c r="BN198" s="94" t="str">
        <f aca="false">IF(ISNUMBER(BM198),RANK(BM198,$BM$8:$BM$507,1),"")</f>
        <v/>
      </c>
      <c r="BO198" s="94" t="str">
        <f aca="false">IF(ISBLANK($C198),"",$B198)</f>
        <v/>
      </c>
      <c r="BP198" s="94" t="str">
        <f aca="false">IF(ISBLANK($C198),"",$C198)</f>
        <v/>
      </c>
      <c r="BQ198" s="94" t="str">
        <f aca="false">IF(ISBLANK($C198),"",$D198)</f>
        <v/>
      </c>
      <c r="BR198" s="95" t="str">
        <f aca="false">BF198</f>
        <v/>
      </c>
      <c r="BS198" s="96" t="str">
        <f aca="false">BE198</f>
        <v/>
      </c>
      <c r="BT198" s="94" t="str">
        <f aca="false">IF(ISBLANK($C198),"",BH198)</f>
        <v/>
      </c>
      <c r="BU198" s="97" t="str">
        <f aca="false">IF($BL198&gt;$BK$7,"",VLOOKUP($BL198,$BN$8:$BT$507,7,FALSE()))</f>
        <v/>
      </c>
      <c r="BV198" s="98" t="str">
        <f aca="false">IF($BL198&gt;$BK$7,"",VLOOKUP($BL198,$BN$8:$BT$507,2,FALSE()))</f>
        <v/>
      </c>
      <c r="BW198" s="98" t="str">
        <f aca="false">IF($BL198&gt;$BK$7,"",VLOOKUP($BL198,$BN$8:$BT$507,3,FALSE()))</f>
        <v/>
      </c>
      <c r="BX198" s="98" t="str">
        <f aca="false">IF($BL198&gt;$BK$7,"",VLOOKUP($BL198,$BN$8:$BT$507,4,FALSE()))</f>
        <v/>
      </c>
      <c r="BY198" s="98" t="str">
        <f aca="false">IF($BL198&gt;$BK$7,"",VLOOKUP($BL198,$BN$8:$BT$507,5,FALSE()))</f>
        <v/>
      </c>
      <c r="BZ198" s="99" t="str">
        <f aca="false">IF($BL198&gt;$BK$7,"",VLOOKUP($BL198,$BN$8:$BT$507,6,FALSE()))</f>
        <v/>
      </c>
      <c r="CA198" s="48"/>
    </row>
    <row r="199" customFormat="false" ht="15.75" hidden="false" customHeight="false" outlineLevel="0" collapsed="false">
      <c r="A199" s="5"/>
      <c r="B199" s="114"/>
      <c r="C199" s="115"/>
      <c r="D199" s="100"/>
      <c r="E199" s="120"/>
      <c r="F199" s="125"/>
      <c r="G199" s="82"/>
      <c r="H199" s="126"/>
      <c r="I199" s="127"/>
      <c r="J199" s="82"/>
      <c r="K199" s="126"/>
      <c r="L199" s="82"/>
      <c r="M199" s="126"/>
      <c r="N199" s="82"/>
      <c r="O199" s="126"/>
      <c r="P199" s="82"/>
      <c r="Q199" s="126"/>
      <c r="R199" s="82"/>
      <c r="S199" s="120"/>
      <c r="T199" s="86"/>
      <c r="U199" s="87" t="str">
        <f aca="false">IF(ISBLANK($C199),"",IF(E199=Constants!$B$2, TRUE(), IF(E199=Constants!$B$3, FALSE(), TRUE())))</f>
        <v/>
      </c>
      <c r="V199" s="87" t="str">
        <f aca="false">IF(ISBLANK($C199),"",IF(F199=Constants!$B$2, TRUE(), IF(F199=Constants!$B$3, FALSE(), TRUE())))</f>
        <v/>
      </c>
      <c r="W199" s="87" t="str">
        <f aca="false">IF(ISBLANK($C199),"",IF(G199=Constants!$B$15,Constants!$B$8,IF(G199=Constants!$B$16,Constants!$B$9,Constants!$B$10)))</f>
        <v/>
      </c>
      <c r="X199" s="87" t="str">
        <f aca="false">IF(ISBLANK($C199),"",IF(H199=Constants!$B$2, TRUE(), IF(H199=Constants!$B$3, FALSE(), TRUE())))</f>
        <v/>
      </c>
      <c r="Y199" s="87" t="str">
        <f aca="false">IF(ISBLANK($C199),"",IF(I199=Constants!$B$19,Constants!$B$19,Constants!$B$18))</f>
        <v/>
      </c>
      <c r="Z199" s="87" t="str">
        <f aca="false">IF(ISBLANK($C199),"",IF(ISNUMBER(J199),IF(J199&gt;=0,J199,""),""))</f>
        <v/>
      </c>
      <c r="AA199" s="87" t="str">
        <f aca="false">IF(ISBLANK($C199),"",IF(K199=Constants!$B$19,Constants!$B$19,Constants!$B$18))</f>
        <v/>
      </c>
      <c r="AB199" s="87" t="str">
        <f aca="false">IF(ISBLANK($C199),"",IF(ISNUMBER(L199),IF(L199&gt;=0,L199,""),""))</f>
        <v/>
      </c>
      <c r="AC199" s="87" t="str">
        <f aca="false">IF(ISBLANK($C199),"",IF(M199=Constants!$B$19,Constants!$B$19,Constants!$B$18))</f>
        <v/>
      </c>
      <c r="AD199" s="87" t="str">
        <f aca="false">IF(ISBLANK($C199),"",IF(ISNUMBER(N199),IF(N199&gt;=0,N199,""),""))</f>
        <v/>
      </c>
      <c r="AE199" s="87" t="str">
        <f aca="false">IF(ISBLANK($C199),"",IF(O199=Constants!$B$19,Constants!$B$19,Constants!$B$18))</f>
        <v/>
      </c>
      <c r="AF199" s="87" t="str">
        <f aca="false">IF(ISBLANK($C199),"",IF(ISNUMBER(P199),IF(P199&gt;=0,P199,""),""))</f>
        <v/>
      </c>
      <c r="AG199" s="87" t="str">
        <f aca="false">IF(ISBLANK($C199),"",IF(Q199=Constants!$B$19,Constants!$B$19,Constants!$B$18))</f>
        <v/>
      </c>
      <c r="AH199" s="87" t="str">
        <f aca="false">IF(ISBLANK($C199),"",IF(ISNUMBER(R199),IF(R199&gt;=0,R199,""),""))</f>
        <v/>
      </c>
      <c r="AI199" s="87" t="str">
        <f aca="false">IF(ISBLANK($C199),"",IF(S199=Constants!$B$2, TRUE(), IF(S199=Constants!$B$3, FALSE(), FALSE())))</f>
        <v/>
      </c>
      <c r="AJ199" s="87" t="str">
        <f aca="false">IF(ISBLANK($C199),"",IF(AI199,Constants!$B$4,IF(COUNTA(E199:R199)=0,Constants!$B$5,IF(COUNTA(J199,L199,N199,P199,R199)=0,Constants!$B$6,Constants!$B$7))))</f>
        <v/>
      </c>
      <c r="AK199" s="87" t="str">
        <f aca="false">IF(ISBLANK($C199),"",IF($AJ199&lt;&gt;Constants!$B$7,$AJ199,IF(OR(NOT(X199),AND(NOT(U199),COUNTIFS(Y199:AG199,Constants!$B$18,Z199:AH199,"&gt;=0")&gt;0),AND(NOT(V199),COUNTIFS(Y199:AG199,Constants!$B$19,Z199:AH199,"&gt;=0")&gt;0)),Constants!$B$12,Constants!$B$11)))</f>
        <v/>
      </c>
      <c r="AL199" s="87" t="str">
        <f aca="false">IF($AJ199=Constants!$B$7,IF(Z199="",Constants!$B$13,Z199),"")</f>
        <v/>
      </c>
      <c r="AM199" s="87" t="str">
        <f aca="false">IF($AJ199=Constants!$B$7,IF(AB199="",Constants!$B$13,AB199),"")</f>
        <v/>
      </c>
      <c r="AN199" s="87" t="str">
        <f aca="false">IF($AJ199=Constants!$B$7,IF(AD199="",Constants!$B$13,AD199),"")</f>
        <v/>
      </c>
      <c r="AO199" s="87" t="str">
        <f aca="false">IF($AJ199=Constants!$B$7,IF(AF199="",Constants!$B$13,AF199),"")</f>
        <v/>
      </c>
      <c r="AP199" s="87" t="str">
        <f aca="false">IF($AJ199=Constants!$B$7,IF(AH199="",Constants!$B$13,AH199),"")</f>
        <v/>
      </c>
      <c r="AQ199" s="87" t="str">
        <f aca="false">IF($AJ199=Constants!$B$7,IF(SUMPRODUCT(--($AL199:$AP199&gt;AL199))+SUMPRODUCT(--($AL199:AL199=AL199))=1,1,IF(SUMPRODUCT(--($AL199:$AP199&gt;AM199))+SUMPRODUCT(--($AL199:AM199=AM199))=1,2,IF(SUMPRODUCT(--($AL199:$AP199&gt;AN199))+SUMPRODUCT(--($AL199:AN199=AN199))=1,3,IF(SUMPRODUCT(--($AL199:$AP199&gt;AO199))+SUMPRODUCT(--($AL199:AO199=AO199))=1,4,5)))),"")</f>
        <v/>
      </c>
      <c r="AR199" s="87" t="str">
        <f aca="false">IF($AJ199=Constants!$B$7,IF(SUMPRODUCT(--($AL199:$AP199&gt;AL199))+SUMPRODUCT(--($AL199:AL199=AL199))=2,1,IF(SUMPRODUCT(--($AL199:$AP199&gt;AM199))+SUMPRODUCT(--($AL199:AM199=AM199))=2,2,IF(SUMPRODUCT(--($AL199:$AP199&gt;AN199))+SUMPRODUCT(--($AL199:AN199=AN199))=2,3,IF(SUMPRODUCT(--($AL199:$AP199&gt;AO199))+SUMPRODUCT(--($AL199:AO199=AO199))=2,4,5)))),"")</f>
        <v/>
      </c>
      <c r="AS199" s="87" t="str">
        <f aca="false">IF($AJ199=Constants!$B$7,IF(SUMPRODUCT(--($AL199:$AP199&gt;AL199))+SUMPRODUCT(--($AL199:AL199=AL199))=3,1,IF(SUMPRODUCT(--($AL199:$AP199&gt;AM199))+SUMPRODUCT(--($AL199:AM199=AM199))=3,2,IF(SUMPRODUCT(--($AL199:$AP199&gt;AN199))+SUMPRODUCT(--($AL199:AN199=AN199))=3,3,IF(SUMPRODUCT(--($AL199:$AP199&gt;AO199))+SUMPRODUCT(--($AL199:AO199=AO199))=3,4,5)))),"")</f>
        <v/>
      </c>
      <c r="AT199" s="87" t="str">
        <f aca="false">IF($AJ199=Constants!$B$7,LARGE(AL199:AP199,1)+LARGE(AL199:AP199,2)+LARGE(AL199:AP199,3),"")</f>
        <v/>
      </c>
      <c r="AU199" s="87" t="str">
        <f aca="false">IF(ISBLANK($C199),"",IF($AJ199&lt;&gt;Constants!$B$7,$AJ199,AT199*W199))</f>
        <v/>
      </c>
      <c r="AV199" s="87" t="str">
        <f aca="false">IF(ISBLANK($C199),"",IF($AJ199=Constants!$B$7,IF(ISNUMBER(AU199),RANK(AU199,$AU$8:$AU$507),Constants!$B$14),$AJ199))</f>
        <v/>
      </c>
      <c r="AW199" s="87" t="str">
        <f aca="false">IF(ISBLANK($C199),"",IF($AJ199=Constants!$B$7,IF(ISNUMBER(AV199),COUNTIFS($AK$8:$AK$507,"&lt;"&amp;$AK199)+COUNTIFS($AK$8:$AK$507,$AK199,$AV$8:$AV$507,"&lt;"&amp;$AV199)+1,Constants!$B$14),$AJ199))</f>
        <v/>
      </c>
      <c r="AX199" s="87" t="str">
        <f aca="false">IF(ISBLANK($C199),"",IF($AJ199=Constants!$B$7,LARGE(AL199:AP199,4)*W199,""))</f>
        <v/>
      </c>
      <c r="AY199" s="87" t="str">
        <f aca="false">IF(ISBLANK($C199),"",IF($AJ199=Constants!$B$7,RANK(AX199,$AX$8:$AX$507),$AJ199))</f>
        <v/>
      </c>
      <c r="AZ199" s="87" t="str">
        <f aca="false">IF(ISBLANK($C199),"",IF($AJ199=Constants!$B$7,IF(ISNUMBER(AV199),COUNTIFS($AK$8:$AK$507,"&lt;"&amp;$AK199)+COUNTIFS($AK$8:$AK$507,$AK199,$AV$8:$AV$507,"&lt;"&amp;$AV199)+COUNTIFS($AK$8:$AK$507,$AK199,$AV$8:$AV$507,$AV199,$AY$8:$AY$507,"&lt;"&amp;$AY199)+1,Constants!$B$14),$AJ199))</f>
        <v/>
      </c>
      <c r="BA199" s="87" t="str">
        <f aca="false">IF(ISBLANK($C199),"",IF($AJ199=Constants!$B$7,IF(ISNUMBER(AW199),AW199-AZ199,Constants!$B$14),$AJ199))</f>
        <v/>
      </c>
      <c r="BB199" s="88"/>
      <c r="BC199" s="89" t="str">
        <f aca="false">IF(ISBLANK($C199),"",IF($AJ199&lt;&gt;Constants!$B$7,$AJ199,SMALL(AQ199:AS199,1)&amp;", "&amp;SMALL(AQ199:AS199,2)&amp;", "&amp;SMALL(AQ199:AS199,3)))</f>
        <v/>
      </c>
      <c r="BD199" s="90" t="str">
        <f aca="false">IF(ISBLANK($C199),"",IF($AJ199&lt;&gt;Constants!$B$7,$AJ199,W199))</f>
        <v/>
      </c>
      <c r="BE199" s="91" t="str">
        <f aca="false">IF(ISBLANK($C199),"",IF($AJ199&lt;&gt;Constants!$B$7,$AJ199,AU199))</f>
        <v/>
      </c>
      <c r="BF199" s="92" t="str">
        <f aca="false">IF(ISBLANK($C199),"",IF($AJ199&lt;&gt;Constants!$B$7,$AJ199,AK199))</f>
        <v/>
      </c>
      <c r="BG199" s="90" t="str">
        <f aca="false">IF(ISBLANK($C199),"",BA199)</f>
        <v/>
      </c>
      <c r="BH199" s="90" t="str">
        <f aca="false">IF(ISBLANK($C199),"",AZ199)</f>
        <v/>
      </c>
      <c r="BI199" s="93" t="str">
        <f aca="false">IF(ISBLANK($C199),"",IF(BH199=Constants!$B$4,COUNTA($C$8:$C$507)+2,IF(BH199=Constants!$B$5,COUNTA($C$8:$C$507)+1,IF(BH199=Constants!$B$6,COUNTA($C$8:$C$507),BH199))))</f>
        <v/>
      </c>
      <c r="BJ199" s="5"/>
      <c r="BK199" s="94" t="n">
        <f aca="false">IF(OR(ISNUMBER(BH199),BH199=Constants!$B$4,BH199=Constants!$B$6,BH199=Constants!$B$5),1,0)</f>
        <v>0</v>
      </c>
      <c r="BL199" s="94" t="n">
        <v>192</v>
      </c>
      <c r="BM199" s="94" t="str">
        <f aca="false">IF(ISBLANK($C199),"",IF(ISNUMBER(BI199),BI199+ROW($B199)/1000,""))</f>
        <v/>
      </c>
      <c r="BN199" s="94" t="str">
        <f aca="false">IF(ISNUMBER(BM199),RANK(BM199,$BM$8:$BM$507,1),"")</f>
        <v/>
      </c>
      <c r="BO199" s="94" t="str">
        <f aca="false">IF(ISBLANK($C199),"",$B199)</f>
        <v/>
      </c>
      <c r="BP199" s="94" t="str">
        <f aca="false">IF(ISBLANK($C199),"",$C199)</f>
        <v/>
      </c>
      <c r="BQ199" s="94" t="str">
        <f aca="false">IF(ISBLANK($C199),"",$D199)</f>
        <v/>
      </c>
      <c r="BR199" s="95" t="str">
        <f aca="false">BF199</f>
        <v/>
      </c>
      <c r="BS199" s="96" t="str">
        <f aca="false">BE199</f>
        <v/>
      </c>
      <c r="BT199" s="94" t="str">
        <f aca="false">IF(ISBLANK($C199),"",BH199)</f>
        <v/>
      </c>
      <c r="BU199" s="97" t="str">
        <f aca="false">IF($BL199&gt;$BK$7,"",VLOOKUP($BL199,$BN$8:$BT$507,7,FALSE()))</f>
        <v/>
      </c>
      <c r="BV199" s="98" t="str">
        <f aca="false">IF($BL199&gt;$BK$7,"",VLOOKUP($BL199,$BN$8:$BT$507,2,FALSE()))</f>
        <v/>
      </c>
      <c r="BW199" s="98" t="str">
        <f aca="false">IF($BL199&gt;$BK$7,"",VLOOKUP($BL199,$BN$8:$BT$507,3,FALSE()))</f>
        <v/>
      </c>
      <c r="BX199" s="98" t="str">
        <f aca="false">IF($BL199&gt;$BK$7,"",VLOOKUP($BL199,$BN$8:$BT$507,4,FALSE()))</f>
        <v/>
      </c>
      <c r="BY199" s="98" t="str">
        <f aca="false">IF($BL199&gt;$BK$7,"",VLOOKUP($BL199,$BN$8:$BT$507,5,FALSE()))</f>
        <v/>
      </c>
      <c r="BZ199" s="99" t="str">
        <f aca="false">IF($BL199&gt;$BK$7,"",VLOOKUP($BL199,$BN$8:$BT$507,6,FALSE()))</f>
        <v/>
      </c>
      <c r="CA199" s="48"/>
    </row>
    <row r="200" customFormat="false" ht="15.75" hidden="false" customHeight="false" outlineLevel="0" collapsed="false">
      <c r="A200" s="5"/>
      <c r="B200" s="121"/>
      <c r="C200" s="50"/>
      <c r="D200" s="51"/>
      <c r="E200" s="74"/>
      <c r="F200" s="122"/>
      <c r="G200" s="54"/>
      <c r="H200" s="123"/>
      <c r="I200" s="124"/>
      <c r="J200" s="54"/>
      <c r="K200" s="123"/>
      <c r="L200" s="54"/>
      <c r="M200" s="123"/>
      <c r="N200" s="54"/>
      <c r="O200" s="123"/>
      <c r="P200" s="54"/>
      <c r="Q200" s="123"/>
      <c r="R200" s="54"/>
      <c r="S200" s="74"/>
      <c r="T200" s="58"/>
      <c r="U200" s="59" t="str">
        <f aca="false">IF(ISBLANK($C200),"",IF(E200=Constants!$B$2, TRUE(), IF(E200=Constants!$B$3, FALSE(), TRUE())))</f>
        <v/>
      </c>
      <c r="V200" s="59" t="str">
        <f aca="false">IF(ISBLANK($C200),"",IF(F200=Constants!$B$2, TRUE(), IF(F200=Constants!$B$3, FALSE(), TRUE())))</f>
        <v/>
      </c>
      <c r="W200" s="59" t="str">
        <f aca="false">IF(ISBLANK($C200),"",IF(G200=Constants!$B$15,Constants!$B$8,IF(G200=Constants!$B$16,Constants!$B$9,Constants!$B$10)))</f>
        <v/>
      </c>
      <c r="X200" s="59" t="str">
        <f aca="false">IF(ISBLANK($C200),"",IF(H200=Constants!$B$2, TRUE(), IF(H200=Constants!$B$3, FALSE(), TRUE())))</f>
        <v/>
      </c>
      <c r="Y200" s="59" t="str">
        <f aca="false">IF(ISBLANK($C200),"",IF(I200=Constants!$B$19,Constants!$B$19,Constants!$B$18))</f>
        <v/>
      </c>
      <c r="Z200" s="59" t="str">
        <f aca="false">IF(ISBLANK($C200),"",IF(ISNUMBER(J200),IF(J200&gt;=0,J200,""),""))</f>
        <v/>
      </c>
      <c r="AA200" s="59" t="str">
        <f aca="false">IF(ISBLANK($C200),"",IF(K200=Constants!$B$19,Constants!$B$19,Constants!$B$18))</f>
        <v/>
      </c>
      <c r="AB200" s="59" t="str">
        <f aca="false">IF(ISBLANK($C200),"",IF(ISNUMBER(L200),IF(L200&gt;=0,L200,""),""))</f>
        <v/>
      </c>
      <c r="AC200" s="59" t="str">
        <f aca="false">IF(ISBLANK($C200),"",IF(M200=Constants!$B$19,Constants!$B$19,Constants!$B$18))</f>
        <v/>
      </c>
      <c r="AD200" s="59" t="str">
        <f aca="false">IF(ISBLANK($C200),"",IF(ISNUMBER(N200),IF(N200&gt;=0,N200,""),""))</f>
        <v/>
      </c>
      <c r="AE200" s="59" t="str">
        <f aca="false">IF(ISBLANK($C200),"",IF(O200=Constants!$B$19,Constants!$B$19,Constants!$B$18))</f>
        <v/>
      </c>
      <c r="AF200" s="59" t="str">
        <f aca="false">IF(ISBLANK($C200),"",IF(ISNUMBER(P200),IF(P200&gt;=0,P200,""),""))</f>
        <v/>
      </c>
      <c r="AG200" s="59" t="str">
        <f aca="false">IF(ISBLANK($C200),"",IF(Q200=Constants!$B$19,Constants!$B$19,Constants!$B$18))</f>
        <v/>
      </c>
      <c r="AH200" s="59" t="str">
        <f aca="false">IF(ISBLANK($C200),"",IF(ISNUMBER(R200),IF(R200&gt;=0,R200,""),""))</f>
        <v/>
      </c>
      <c r="AI200" s="59" t="str">
        <f aca="false">IF(ISBLANK($C200),"",IF(S200=Constants!$B$2, TRUE(), IF(S200=Constants!$B$3, FALSE(), FALSE())))</f>
        <v/>
      </c>
      <c r="AJ200" s="59" t="str">
        <f aca="false">IF(ISBLANK($C200),"",IF(AI200,Constants!$B$4,IF(COUNTA(E200:R200)=0,Constants!$B$5,IF(COUNTA(J200,L200,N200,P200,R200)=0,Constants!$B$6,Constants!$B$7))))</f>
        <v/>
      </c>
      <c r="AK200" s="59" t="str">
        <f aca="false">IF(ISBLANK($C200),"",IF($AJ200&lt;&gt;Constants!$B$7,$AJ200,IF(OR(NOT(X200),AND(NOT(U200),COUNTIFS(Y200:AG200,Constants!$B$18,Z200:AH200,"&gt;=0")&gt;0),AND(NOT(V200),COUNTIFS(Y200:AG200,Constants!$B$19,Z200:AH200,"&gt;=0")&gt;0)),Constants!$B$12,Constants!$B$11)))</f>
        <v/>
      </c>
      <c r="AL200" s="59" t="str">
        <f aca="false">IF($AJ200=Constants!$B$7,IF(Z200="",Constants!$B$13,Z200),"")</f>
        <v/>
      </c>
      <c r="AM200" s="59" t="str">
        <f aca="false">IF($AJ200=Constants!$B$7,IF(AB200="",Constants!$B$13,AB200),"")</f>
        <v/>
      </c>
      <c r="AN200" s="59" t="str">
        <f aca="false">IF($AJ200=Constants!$B$7,IF(AD200="",Constants!$B$13,AD200),"")</f>
        <v/>
      </c>
      <c r="AO200" s="59" t="str">
        <f aca="false">IF($AJ200=Constants!$B$7,IF(AF200="",Constants!$B$13,AF200),"")</f>
        <v/>
      </c>
      <c r="AP200" s="59" t="str">
        <f aca="false">IF($AJ200=Constants!$B$7,IF(AH200="",Constants!$B$13,AH200),"")</f>
        <v/>
      </c>
      <c r="AQ200" s="59" t="str">
        <f aca="false">IF($AJ200=Constants!$B$7,IF(SUMPRODUCT(--($AL200:$AP200&gt;AL200))+SUMPRODUCT(--($AL200:AL200=AL200))=1,1,IF(SUMPRODUCT(--($AL200:$AP200&gt;AM200))+SUMPRODUCT(--($AL200:AM200=AM200))=1,2,IF(SUMPRODUCT(--($AL200:$AP200&gt;AN200))+SUMPRODUCT(--($AL200:AN200=AN200))=1,3,IF(SUMPRODUCT(--($AL200:$AP200&gt;AO200))+SUMPRODUCT(--($AL200:AO200=AO200))=1,4,5)))),"")</f>
        <v/>
      </c>
      <c r="AR200" s="59" t="str">
        <f aca="false">IF($AJ200=Constants!$B$7,IF(SUMPRODUCT(--($AL200:$AP200&gt;AL200))+SUMPRODUCT(--($AL200:AL200=AL200))=2,1,IF(SUMPRODUCT(--($AL200:$AP200&gt;AM200))+SUMPRODUCT(--($AL200:AM200=AM200))=2,2,IF(SUMPRODUCT(--($AL200:$AP200&gt;AN200))+SUMPRODUCT(--($AL200:AN200=AN200))=2,3,IF(SUMPRODUCT(--($AL200:$AP200&gt;AO200))+SUMPRODUCT(--($AL200:AO200=AO200))=2,4,5)))),"")</f>
        <v/>
      </c>
      <c r="AS200" s="59" t="str">
        <f aca="false">IF($AJ200=Constants!$B$7,IF(SUMPRODUCT(--($AL200:$AP200&gt;AL200))+SUMPRODUCT(--($AL200:AL200=AL200))=3,1,IF(SUMPRODUCT(--($AL200:$AP200&gt;AM200))+SUMPRODUCT(--($AL200:AM200=AM200))=3,2,IF(SUMPRODUCT(--($AL200:$AP200&gt;AN200))+SUMPRODUCT(--($AL200:AN200=AN200))=3,3,IF(SUMPRODUCT(--($AL200:$AP200&gt;AO200))+SUMPRODUCT(--($AL200:AO200=AO200))=3,4,5)))),"")</f>
        <v/>
      </c>
      <c r="AT200" s="59" t="str">
        <f aca="false">IF($AJ200=Constants!$B$7,LARGE(AL200:AP200,1)+LARGE(AL200:AP200,2)+LARGE(AL200:AP200,3),"")</f>
        <v/>
      </c>
      <c r="AU200" s="59" t="str">
        <f aca="false">IF(ISBLANK($C200),"",IF($AJ200&lt;&gt;Constants!$B$7,$AJ200,AT200*W200))</f>
        <v/>
      </c>
      <c r="AV200" s="59" t="str">
        <f aca="false">IF(ISBLANK($C200),"",IF($AJ200=Constants!$B$7,IF(ISNUMBER(AU200),RANK(AU200,$AU$8:$AU$507),Constants!$B$14),$AJ200))</f>
        <v/>
      </c>
      <c r="AW200" s="59" t="str">
        <f aca="false">IF(ISBLANK($C200),"",IF($AJ200=Constants!$B$7,IF(ISNUMBER(AV200),COUNTIFS($AK$8:$AK$507,"&lt;"&amp;$AK200)+COUNTIFS($AK$8:$AK$507,$AK200,$AV$8:$AV$507,"&lt;"&amp;$AV200)+1,Constants!$B$14),$AJ200))</f>
        <v/>
      </c>
      <c r="AX200" s="59" t="str">
        <f aca="false">IF(ISBLANK($C200),"",IF($AJ200=Constants!$B$7,LARGE(AL200:AP200,4)*W200,""))</f>
        <v/>
      </c>
      <c r="AY200" s="59" t="str">
        <f aca="false">IF(ISBLANK($C200),"",IF($AJ200=Constants!$B$7,RANK(AX200,$AX$8:$AX$507),$AJ200))</f>
        <v/>
      </c>
      <c r="AZ200" s="59" t="str">
        <f aca="false">IF(ISBLANK($C200),"",IF($AJ200=Constants!$B$7,IF(ISNUMBER(AV200),COUNTIFS($AK$8:$AK$507,"&lt;"&amp;$AK200)+COUNTIFS($AK$8:$AK$507,$AK200,$AV$8:$AV$507,"&lt;"&amp;$AV200)+COUNTIFS($AK$8:$AK$507,$AK200,$AV$8:$AV$507,$AV200,$AY$8:$AY$507,"&lt;"&amp;$AY200)+1,Constants!$B$14),$AJ200))</f>
        <v/>
      </c>
      <c r="BA200" s="59" t="str">
        <f aca="false">IF(ISBLANK($C200),"",IF($AJ200=Constants!$B$7,IF(ISNUMBER(AW200),AW200-AZ200,Constants!$B$14),$AJ200))</f>
        <v/>
      </c>
      <c r="BB200" s="61"/>
      <c r="BC200" s="62" t="str">
        <f aca="false">IF(ISBLANK($C200),"",IF($AJ200&lt;&gt;Constants!$B$7,$AJ200,SMALL(AQ200:AS200,1)&amp;", "&amp;SMALL(AQ200:AS200,2)&amp;", "&amp;SMALL(AQ200:AS200,3)))</f>
        <v/>
      </c>
      <c r="BD200" s="63" t="str">
        <f aca="false">IF(ISBLANK($C200),"",IF($AJ200&lt;&gt;Constants!$B$7,$AJ200,W200))</f>
        <v/>
      </c>
      <c r="BE200" s="64" t="str">
        <f aca="false">IF(ISBLANK($C200),"",IF($AJ200&lt;&gt;Constants!$B$7,$AJ200,AU200))</f>
        <v/>
      </c>
      <c r="BF200" s="65" t="str">
        <f aca="false">IF(ISBLANK($C200),"",IF($AJ200&lt;&gt;Constants!$B$7,$AJ200,AK200))</f>
        <v/>
      </c>
      <c r="BG200" s="63" t="str">
        <f aca="false">IF(ISBLANK($C200),"",BA200)</f>
        <v/>
      </c>
      <c r="BH200" s="63" t="str">
        <f aca="false">IF(ISBLANK($C200),"",AZ200)</f>
        <v/>
      </c>
      <c r="BI200" s="66" t="str">
        <f aca="false">IF(ISBLANK($C200),"",IF(BH200=Constants!$B$4,COUNTA($C$8:$C$507)+2,IF(BH200=Constants!$B$5,COUNTA($C$8:$C$507)+1,IF(BH200=Constants!$B$6,COUNTA($C$8:$C$507),BH200))))</f>
        <v/>
      </c>
      <c r="BJ200" s="5"/>
      <c r="BK200" s="67" t="n">
        <f aca="false">IF(OR(ISNUMBER(BH200),BH200=Constants!$B$4,BH200=Constants!$B$6,BH200=Constants!$B$5),1,0)</f>
        <v>0</v>
      </c>
      <c r="BL200" s="67" t="n">
        <v>193</v>
      </c>
      <c r="BM200" s="67" t="str">
        <f aca="false">IF(ISBLANK($C200),"",IF(ISNUMBER(BI200),BI200+ROW($B200)/1000,""))</f>
        <v/>
      </c>
      <c r="BN200" s="67" t="str">
        <f aca="false">IF(ISNUMBER(BM200),RANK(BM200,$BM$8:$BM$507,1),"")</f>
        <v/>
      </c>
      <c r="BO200" s="67" t="str">
        <f aca="false">IF(ISBLANK($C200),"",$B200)</f>
        <v/>
      </c>
      <c r="BP200" s="67" t="str">
        <f aca="false">IF(ISBLANK($C200),"",$C200)</f>
        <v/>
      </c>
      <c r="BQ200" s="67" t="str">
        <f aca="false">IF(ISBLANK($C200),"",$D200)</f>
        <v/>
      </c>
      <c r="BR200" s="68" t="str">
        <f aca="false">BF200</f>
        <v/>
      </c>
      <c r="BS200" s="69" t="str">
        <f aca="false">BE200</f>
        <v/>
      </c>
      <c r="BT200" s="67" t="str">
        <f aca="false">IF(ISBLANK($C200),"",BH200)</f>
        <v/>
      </c>
      <c r="BU200" s="70" t="str">
        <f aca="false">IF($BL200&gt;$BK$7,"",VLOOKUP($BL200,$BN$8:$BT$507,7,FALSE()))</f>
        <v/>
      </c>
      <c r="BV200" s="71" t="str">
        <f aca="false">IF($BL200&gt;$BK$7,"",VLOOKUP($BL200,$BN$8:$BT$507,2,FALSE()))</f>
        <v/>
      </c>
      <c r="BW200" s="71" t="str">
        <f aca="false">IF($BL200&gt;$BK$7,"",VLOOKUP($BL200,$BN$8:$BT$507,3,FALSE()))</f>
        <v/>
      </c>
      <c r="BX200" s="71" t="str">
        <f aca="false">IF($BL200&gt;$BK$7,"",VLOOKUP($BL200,$BN$8:$BT$507,4,FALSE()))</f>
        <v/>
      </c>
      <c r="BY200" s="71" t="str">
        <f aca="false">IF($BL200&gt;$BK$7,"",VLOOKUP($BL200,$BN$8:$BT$507,5,FALSE()))</f>
        <v/>
      </c>
      <c r="BZ200" s="72" t="str">
        <f aca="false">IF($BL200&gt;$BK$7,"",VLOOKUP($BL200,$BN$8:$BT$507,6,FALSE()))</f>
        <v/>
      </c>
      <c r="CA200" s="48"/>
    </row>
    <row r="201" customFormat="false" ht="15.75" hidden="false" customHeight="false" outlineLevel="0" collapsed="false">
      <c r="A201" s="5"/>
      <c r="B201" s="121"/>
      <c r="C201" s="50"/>
      <c r="D201" s="51"/>
      <c r="E201" s="74"/>
      <c r="F201" s="122"/>
      <c r="G201" s="54"/>
      <c r="H201" s="123"/>
      <c r="I201" s="124"/>
      <c r="J201" s="54"/>
      <c r="K201" s="123"/>
      <c r="L201" s="54"/>
      <c r="M201" s="123"/>
      <c r="N201" s="54"/>
      <c r="O201" s="123"/>
      <c r="P201" s="54"/>
      <c r="Q201" s="123"/>
      <c r="R201" s="54"/>
      <c r="S201" s="74"/>
      <c r="T201" s="58"/>
      <c r="U201" s="59" t="str">
        <f aca="false">IF(ISBLANK($C201),"",IF(E201=Constants!$B$2, TRUE(), IF(E201=Constants!$B$3, FALSE(), TRUE())))</f>
        <v/>
      </c>
      <c r="V201" s="59" t="str">
        <f aca="false">IF(ISBLANK($C201),"",IF(F201=Constants!$B$2, TRUE(), IF(F201=Constants!$B$3, FALSE(), TRUE())))</f>
        <v/>
      </c>
      <c r="W201" s="59" t="str">
        <f aca="false">IF(ISBLANK($C201),"",IF(G201=Constants!$B$15,Constants!$B$8,IF(G201=Constants!$B$16,Constants!$B$9,Constants!$B$10)))</f>
        <v/>
      </c>
      <c r="X201" s="59" t="str">
        <f aca="false">IF(ISBLANK($C201),"",IF(H201=Constants!$B$2, TRUE(), IF(H201=Constants!$B$3, FALSE(), TRUE())))</f>
        <v/>
      </c>
      <c r="Y201" s="59" t="str">
        <f aca="false">IF(ISBLANK($C201),"",IF(I201=Constants!$B$19,Constants!$B$19,Constants!$B$18))</f>
        <v/>
      </c>
      <c r="Z201" s="59" t="str">
        <f aca="false">IF(ISBLANK($C201),"",IF(ISNUMBER(J201),IF(J201&gt;=0,J201,""),""))</f>
        <v/>
      </c>
      <c r="AA201" s="59" t="str">
        <f aca="false">IF(ISBLANK($C201),"",IF(K201=Constants!$B$19,Constants!$B$19,Constants!$B$18))</f>
        <v/>
      </c>
      <c r="AB201" s="59" t="str">
        <f aca="false">IF(ISBLANK($C201),"",IF(ISNUMBER(L201),IF(L201&gt;=0,L201,""),""))</f>
        <v/>
      </c>
      <c r="AC201" s="59" t="str">
        <f aca="false">IF(ISBLANK($C201),"",IF(M201=Constants!$B$19,Constants!$B$19,Constants!$B$18))</f>
        <v/>
      </c>
      <c r="AD201" s="59" t="str">
        <f aca="false">IF(ISBLANK($C201),"",IF(ISNUMBER(N201),IF(N201&gt;=0,N201,""),""))</f>
        <v/>
      </c>
      <c r="AE201" s="59" t="str">
        <f aca="false">IF(ISBLANK($C201),"",IF(O201=Constants!$B$19,Constants!$B$19,Constants!$B$18))</f>
        <v/>
      </c>
      <c r="AF201" s="59" t="str">
        <f aca="false">IF(ISBLANK($C201),"",IF(ISNUMBER(P201),IF(P201&gt;=0,P201,""),""))</f>
        <v/>
      </c>
      <c r="AG201" s="59" t="str">
        <f aca="false">IF(ISBLANK($C201),"",IF(Q201=Constants!$B$19,Constants!$B$19,Constants!$B$18))</f>
        <v/>
      </c>
      <c r="AH201" s="59" t="str">
        <f aca="false">IF(ISBLANK($C201),"",IF(ISNUMBER(R201),IF(R201&gt;=0,R201,""),""))</f>
        <v/>
      </c>
      <c r="AI201" s="59" t="str">
        <f aca="false">IF(ISBLANK($C201),"",IF(S201=Constants!$B$2, TRUE(), IF(S201=Constants!$B$3, FALSE(), FALSE())))</f>
        <v/>
      </c>
      <c r="AJ201" s="59" t="str">
        <f aca="false">IF(ISBLANK($C201),"",IF(AI201,Constants!$B$4,IF(COUNTA(E201:R201)=0,Constants!$B$5,IF(COUNTA(J201,L201,N201,P201,R201)=0,Constants!$B$6,Constants!$B$7))))</f>
        <v/>
      </c>
      <c r="AK201" s="59" t="str">
        <f aca="false">IF(ISBLANK($C201),"",IF($AJ201&lt;&gt;Constants!$B$7,$AJ201,IF(OR(NOT(X201),AND(NOT(U201),COUNTIFS(Y201:AG201,Constants!$B$18,Z201:AH201,"&gt;=0")&gt;0),AND(NOT(V201),COUNTIFS(Y201:AG201,Constants!$B$19,Z201:AH201,"&gt;=0")&gt;0)),Constants!$B$12,Constants!$B$11)))</f>
        <v/>
      </c>
      <c r="AL201" s="59" t="str">
        <f aca="false">IF($AJ201=Constants!$B$7,IF(Z201="",Constants!$B$13,Z201),"")</f>
        <v/>
      </c>
      <c r="AM201" s="59" t="str">
        <f aca="false">IF($AJ201=Constants!$B$7,IF(AB201="",Constants!$B$13,AB201),"")</f>
        <v/>
      </c>
      <c r="AN201" s="59" t="str">
        <f aca="false">IF($AJ201=Constants!$B$7,IF(AD201="",Constants!$B$13,AD201),"")</f>
        <v/>
      </c>
      <c r="AO201" s="59" t="str">
        <f aca="false">IF($AJ201=Constants!$B$7,IF(AF201="",Constants!$B$13,AF201),"")</f>
        <v/>
      </c>
      <c r="AP201" s="59" t="str">
        <f aca="false">IF($AJ201=Constants!$B$7,IF(AH201="",Constants!$B$13,AH201),"")</f>
        <v/>
      </c>
      <c r="AQ201" s="59" t="str">
        <f aca="false">IF($AJ201=Constants!$B$7,IF(SUMPRODUCT(--($AL201:$AP201&gt;AL201))+SUMPRODUCT(--($AL201:AL201=AL201))=1,1,IF(SUMPRODUCT(--($AL201:$AP201&gt;AM201))+SUMPRODUCT(--($AL201:AM201=AM201))=1,2,IF(SUMPRODUCT(--($AL201:$AP201&gt;AN201))+SUMPRODUCT(--($AL201:AN201=AN201))=1,3,IF(SUMPRODUCT(--($AL201:$AP201&gt;AO201))+SUMPRODUCT(--($AL201:AO201=AO201))=1,4,5)))),"")</f>
        <v/>
      </c>
      <c r="AR201" s="59" t="str">
        <f aca="false">IF($AJ201=Constants!$B$7,IF(SUMPRODUCT(--($AL201:$AP201&gt;AL201))+SUMPRODUCT(--($AL201:AL201=AL201))=2,1,IF(SUMPRODUCT(--($AL201:$AP201&gt;AM201))+SUMPRODUCT(--($AL201:AM201=AM201))=2,2,IF(SUMPRODUCT(--($AL201:$AP201&gt;AN201))+SUMPRODUCT(--($AL201:AN201=AN201))=2,3,IF(SUMPRODUCT(--($AL201:$AP201&gt;AO201))+SUMPRODUCT(--($AL201:AO201=AO201))=2,4,5)))),"")</f>
        <v/>
      </c>
      <c r="AS201" s="59" t="str">
        <f aca="false">IF($AJ201=Constants!$B$7,IF(SUMPRODUCT(--($AL201:$AP201&gt;AL201))+SUMPRODUCT(--($AL201:AL201=AL201))=3,1,IF(SUMPRODUCT(--($AL201:$AP201&gt;AM201))+SUMPRODUCT(--($AL201:AM201=AM201))=3,2,IF(SUMPRODUCT(--($AL201:$AP201&gt;AN201))+SUMPRODUCT(--($AL201:AN201=AN201))=3,3,IF(SUMPRODUCT(--($AL201:$AP201&gt;AO201))+SUMPRODUCT(--($AL201:AO201=AO201))=3,4,5)))),"")</f>
        <v/>
      </c>
      <c r="AT201" s="59" t="str">
        <f aca="false">IF($AJ201=Constants!$B$7,LARGE(AL201:AP201,1)+LARGE(AL201:AP201,2)+LARGE(AL201:AP201,3),"")</f>
        <v/>
      </c>
      <c r="AU201" s="59" t="str">
        <f aca="false">IF(ISBLANK($C201),"",IF($AJ201&lt;&gt;Constants!$B$7,$AJ201,AT201*W201))</f>
        <v/>
      </c>
      <c r="AV201" s="59" t="str">
        <f aca="false">IF(ISBLANK($C201),"",IF($AJ201=Constants!$B$7,IF(ISNUMBER(AU201),RANK(AU201,$AU$8:$AU$507),Constants!$B$14),$AJ201))</f>
        <v/>
      </c>
      <c r="AW201" s="59" t="str">
        <f aca="false">IF(ISBLANK($C201),"",IF($AJ201=Constants!$B$7,IF(ISNUMBER(AV201),COUNTIFS($AK$8:$AK$507,"&lt;"&amp;$AK201)+COUNTIFS($AK$8:$AK$507,$AK201,$AV$8:$AV$507,"&lt;"&amp;$AV201)+1,Constants!$B$14),$AJ201))</f>
        <v/>
      </c>
      <c r="AX201" s="59" t="str">
        <f aca="false">IF(ISBLANK($C201),"",IF($AJ201=Constants!$B$7,LARGE(AL201:AP201,4)*W201,""))</f>
        <v/>
      </c>
      <c r="AY201" s="59" t="str">
        <f aca="false">IF(ISBLANK($C201),"",IF($AJ201=Constants!$B$7,RANK(AX201,$AX$8:$AX$507),$AJ201))</f>
        <v/>
      </c>
      <c r="AZ201" s="59" t="str">
        <f aca="false">IF(ISBLANK($C201),"",IF($AJ201=Constants!$B$7,IF(ISNUMBER(AV201),COUNTIFS($AK$8:$AK$507,"&lt;"&amp;$AK201)+COUNTIFS($AK$8:$AK$507,$AK201,$AV$8:$AV$507,"&lt;"&amp;$AV201)+COUNTIFS($AK$8:$AK$507,$AK201,$AV$8:$AV$507,$AV201,$AY$8:$AY$507,"&lt;"&amp;$AY201)+1,Constants!$B$14),$AJ201))</f>
        <v/>
      </c>
      <c r="BA201" s="59" t="str">
        <f aca="false">IF(ISBLANK($C201),"",IF($AJ201=Constants!$B$7,IF(ISNUMBER(AW201),AW201-AZ201,Constants!$B$14),$AJ201))</f>
        <v/>
      </c>
      <c r="BB201" s="61"/>
      <c r="BC201" s="62" t="str">
        <f aca="false">IF(ISBLANK($C201),"",IF($AJ201&lt;&gt;Constants!$B$7,$AJ201,SMALL(AQ201:AS201,1)&amp;", "&amp;SMALL(AQ201:AS201,2)&amp;", "&amp;SMALL(AQ201:AS201,3)))</f>
        <v/>
      </c>
      <c r="BD201" s="63" t="str">
        <f aca="false">IF(ISBLANK($C201),"",IF($AJ201&lt;&gt;Constants!$B$7,$AJ201,W201))</f>
        <v/>
      </c>
      <c r="BE201" s="64" t="str">
        <f aca="false">IF(ISBLANK($C201),"",IF($AJ201&lt;&gt;Constants!$B$7,$AJ201,AU201))</f>
        <v/>
      </c>
      <c r="BF201" s="65" t="str">
        <f aca="false">IF(ISBLANK($C201),"",IF($AJ201&lt;&gt;Constants!$B$7,$AJ201,AK201))</f>
        <v/>
      </c>
      <c r="BG201" s="63" t="str">
        <f aca="false">IF(ISBLANK($C201),"",BA201)</f>
        <v/>
      </c>
      <c r="BH201" s="63" t="str">
        <f aca="false">IF(ISBLANK($C201),"",AZ201)</f>
        <v/>
      </c>
      <c r="BI201" s="66" t="str">
        <f aca="false">IF(ISBLANK($C201),"",IF(BH201=Constants!$B$4,COUNTA($C$8:$C$507)+2,IF(BH201=Constants!$B$5,COUNTA($C$8:$C$507)+1,IF(BH201=Constants!$B$6,COUNTA($C$8:$C$507),BH201))))</f>
        <v/>
      </c>
      <c r="BJ201" s="5"/>
      <c r="BK201" s="67" t="n">
        <f aca="false">IF(OR(ISNUMBER(BH201),BH201=Constants!$B$4,BH201=Constants!$B$6,BH201=Constants!$B$5),1,0)</f>
        <v>0</v>
      </c>
      <c r="BL201" s="67" t="n">
        <v>194</v>
      </c>
      <c r="BM201" s="67" t="str">
        <f aca="false">IF(ISBLANK($C201),"",IF(ISNUMBER(BI201),BI201+ROW($B201)/1000,""))</f>
        <v/>
      </c>
      <c r="BN201" s="67" t="str">
        <f aca="false">IF(ISNUMBER(BM201),RANK(BM201,$BM$8:$BM$507,1),"")</f>
        <v/>
      </c>
      <c r="BO201" s="67" t="str">
        <f aca="false">IF(ISBLANK($C201),"",$B201)</f>
        <v/>
      </c>
      <c r="BP201" s="67" t="str">
        <f aca="false">IF(ISBLANK($C201),"",$C201)</f>
        <v/>
      </c>
      <c r="BQ201" s="67" t="str">
        <f aca="false">IF(ISBLANK($C201),"",$D201)</f>
        <v/>
      </c>
      <c r="BR201" s="68" t="str">
        <f aca="false">BF201</f>
        <v/>
      </c>
      <c r="BS201" s="69" t="str">
        <f aca="false">BE201</f>
        <v/>
      </c>
      <c r="BT201" s="67" t="str">
        <f aca="false">IF(ISBLANK($C201),"",BH201)</f>
        <v/>
      </c>
      <c r="BU201" s="70" t="str">
        <f aca="false">IF($BL201&gt;$BK$7,"",VLOOKUP($BL201,$BN$8:$BT$507,7,FALSE()))</f>
        <v/>
      </c>
      <c r="BV201" s="71" t="str">
        <f aca="false">IF($BL201&gt;$BK$7,"",VLOOKUP($BL201,$BN$8:$BT$507,2,FALSE()))</f>
        <v/>
      </c>
      <c r="BW201" s="71" t="str">
        <f aca="false">IF($BL201&gt;$BK$7,"",VLOOKUP($BL201,$BN$8:$BT$507,3,FALSE()))</f>
        <v/>
      </c>
      <c r="BX201" s="71" t="str">
        <f aca="false">IF($BL201&gt;$BK$7,"",VLOOKUP($BL201,$BN$8:$BT$507,4,FALSE()))</f>
        <v/>
      </c>
      <c r="BY201" s="71" t="str">
        <f aca="false">IF($BL201&gt;$BK$7,"",VLOOKUP($BL201,$BN$8:$BT$507,5,FALSE()))</f>
        <v/>
      </c>
      <c r="BZ201" s="72" t="str">
        <f aca="false">IF($BL201&gt;$BK$7,"",VLOOKUP($BL201,$BN$8:$BT$507,6,FALSE()))</f>
        <v/>
      </c>
      <c r="CA201" s="48"/>
    </row>
    <row r="202" customFormat="false" ht="15.75" hidden="false" customHeight="false" outlineLevel="0" collapsed="false">
      <c r="A202" s="5"/>
      <c r="B202" s="121"/>
      <c r="C202" s="50"/>
      <c r="D202" s="51"/>
      <c r="E202" s="74"/>
      <c r="F202" s="122"/>
      <c r="G202" s="54"/>
      <c r="H202" s="123"/>
      <c r="I202" s="124"/>
      <c r="J202" s="54"/>
      <c r="K202" s="123"/>
      <c r="L202" s="54"/>
      <c r="M202" s="123"/>
      <c r="N202" s="54"/>
      <c r="O202" s="123"/>
      <c r="P202" s="54"/>
      <c r="Q202" s="123"/>
      <c r="R202" s="54"/>
      <c r="S202" s="74"/>
      <c r="T202" s="58"/>
      <c r="U202" s="59" t="str">
        <f aca="false">IF(ISBLANK($C202),"",IF(E202=Constants!$B$2, TRUE(), IF(E202=Constants!$B$3, FALSE(), TRUE())))</f>
        <v/>
      </c>
      <c r="V202" s="59" t="str">
        <f aca="false">IF(ISBLANK($C202),"",IF(F202=Constants!$B$2, TRUE(), IF(F202=Constants!$B$3, FALSE(), TRUE())))</f>
        <v/>
      </c>
      <c r="W202" s="59" t="str">
        <f aca="false">IF(ISBLANK($C202),"",IF(G202=Constants!$B$15,Constants!$B$8,IF(G202=Constants!$B$16,Constants!$B$9,Constants!$B$10)))</f>
        <v/>
      </c>
      <c r="X202" s="59" t="str">
        <f aca="false">IF(ISBLANK($C202),"",IF(H202=Constants!$B$2, TRUE(), IF(H202=Constants!$B$3, FALSE(), TRUE())))</f>
        <v/>
      </c>
      <c r="Y202" s="59" t="str">
        <f aca="false">IF(ISBLANK($C202),"",IF(I202=Constants!$B$19,Constants!$B$19,Constants!$B$18))</f>
        <v/>
      </c>
      <c r="Z202" s="59" t="str">
        <f aca="false">IF(ISBLANK($C202),"",IF(ISNUMBER(J202),IF(J202&gt;=0,J202,""),""))</f>
        <v/>
      </c>
      <c r="AA202" s="59" t="str">
        <f aca="false">IF(ISBLANK($C202),"",IF(K202=Constants!$B$19,Constants!$B$19,Constants!$B$18))</f>
        <v/>
      </c>
      <c r="AB202" s="59" t="str">
        <f aca="false">IF(ISBLANK($C202),"",IF(ISNUMBER(L202),IF(L202&gt;=0,L202,""),""))</f>
        <v/>
      </c>
      <c r="AC202" s="59" t="str">
        <f aca="false">IF(ISBLANK($C202),"",IF(M202=Constants!$B$19,Constants!$B$19,Constants!$B$18))</f>
        <v/>
      </c>
      <c r="AD202" s="59" t="str">
        <f aca="false">IF(ISBLANK($C202),"",IF(ISNUMBER(N202),IF(N202&gt;=0,N202,""),""))</f>
        <v/>
      </c>
      <c r="AE202" s="59" t="str">
        <f aca="false">IF(ISBLANK($C202),"",IF(O202=Constants!$B$19,Constants!$B$19,Constants!$B$18))</f>
        <v/>
      </c>
      <c r="AF202" s="59" t="str">
        <f aca="false">IF(ISBLANK($C202),"",IF(ISNUMBER(P202),IF(P202&gt;=0,P202,""),""))</f>
        <v/>
      </c>
      <c r="AG202" s="59" t="str">
        <f aca="false">IF(ISBLANK($C202),"",IF(Q202=Constants!$B$19,Constants!$B$19,Constants!$B$18))</f>
        <v/>
      </c>
      <c r="AH202" s="59" t="str">
        <f aca="false">IF(ISBLANK($C202),"",IF(ISNUMBER(R202),IF(R202&gt;=0,R202,""),""))</f>
        <v/>
      </c>
      <c r="AI202" s="59" t="str">
        <f aca="false">IF(ISBLANK($C202),"",IF(S202=Constants!$B$2, TRUE(), IF(S202=Constants!$B$3, FALSE(), FALSE())))</f>
        <v/>
      </c>
      <c r="AJ202" s="59" t="str">
        <f aca="false">IF(ISBLANK($C202),"",IF(AI202,Constants!$B$4,IF(COUNTA(E202:R202)=0,Constants!$B$5,IF(COUNTA(J202,L202,N202,P202,R202)=0,Constants!$B$6,Constants!$B$7))))</f>
        <v/>
      </c>
      <c r="AK202" s="59" t="str">
        <f aca="false">IF(ISBLANK($C202),"",IF($AJ202&lt;&gt;Constants!$B$7,$AJ202,IF(OR(NOT(X202),AND(NOT(U202),COUNTIFS(Y202:AG202,Constants!$B$18,Z202:AH202,"&gt;=0")&gt;0),AND(NOT(V202),COUNTIFS(Y202:AG202,Constants!$B$19,Z202:AH202,"&gt;=0")&gt;0)),Constants!$B$12,Constants!$B$11)))</f>
        <v/>
      </c>
      <c r="AL202" s="59" t="str">
        <f aca="false">IF($AJ202=Constants!$B$7,IF(Z202="",Constants!$B$13,Z202),"")</f>
        <v/>
      </c>
      <c r="AM202" s="59" t="str">
        <f aca="false">IF($AJ202=Constants!$B$7,IF(AB202="",Constants!$B$13,AB202),"")</f>
        <v/>
      </c>
      <c r="AN202" s="59" t="str">
        <f aca="false">IF($AJ202=Constants!$B$7,IF(AD202="",Constants!$B$13,AD202),"")</f>
        <v/>
      </c>
      <c r="AO202" s="59" t="str">
        <f aca="false">IF($AJ202=Constants!$B$7,IF(AF202="",Constants!$B$13,AF202),"")</f>
        <v/>
      </c>
      <c r="AP202" s="59" t="str">
        <f aca="false">IF($AJ202=Constants!$B$7,IF(AH202="",Constants!$B$13,AH202),"")</f>
        <v/>
      </c>
      <c r="AQ202" s="59" t="str">
        <f aca="false">IF($AJ202=Constants!$B$7,IF(SUMPRODUCT(--($AL202:$AP202&gt;AL202))+SUMPRODUCT(--($AL202:AL202=AL202))=1,1,IF(SUMPRODUCT(--($AL202:$AP202&gt;AM202))+SUMPRODUCT(--($AL202:AM202=AM202))=1,2,IF(SUMPRODUCT(--($AL202:$AP202&gt;AN202))+SUMPRODUCT(--($AL202:AN202=AN202))=1,3,IF(SUMPRODUCT(--($AL202:$AP202&gt;AO202))+SUMPRODUCT(--($AL202:AO202=AO202))=1,4,5)))),"")</f>
        <v/>
      </c>
      <c r="AR202" s="59" t="str">
        <f aca="false">IF($AJ202=Constants!$B$7,IF(SUMPRODUCT(--($AL202:$AP202&gt;AL202))+SUMPRODUCT(--($AL202:AL202=AL202))=2,1,IF(SUMPRODUCT(--($AL202:$AP202&gt;AM202))+SUMPRODUCT(--($AL202:AM202=AM202))=2,2,IF(SUMPRODUCT(--($AL202:$AP202&gt;AN202))+SUMPRODUCT(--($AL202:AN202=AN202))=2,3,IF(SUMPRODUCT(--($AL202:$AP202&gt;AO202))+SUMPRODUCT(--($AL202:AO202=AO202))=2,4,5)))),"")</f>
        <v/>
      </c>
      <c r="AS202" s="59" t="str">
        <f aca="false">IF($AJ202=Constants!$B$7,IF(SUMPRODUCT(--($AL202:$AP202&gt;AL202))+SUMPRODUCT(--($AL202:AL202=AL202))=3,1,IF(SUMPRODUCT(--($AL202:$AP202&gt;AM202))+SUMPRODUCT(--($AL202:AM202=AM202))=3,2,IF(SUMPRODUCT(--($AL202:$AP202&gt;AN202))+SUMPRODUCT(--($AL202:AN202=AN202))=3,3,IF(SUMPRODUCT(--($AL202:$AP202&gt;AO202))+SUMPRODUCT(--($AL202:AO202=AO202))=3,4,5)))),"")</f>
        <v/>
      </c>
      <c r="AT202" s="59" t="str">
        <f aca="false">IF($AJ202=Constants!$B$7,LARGE(AL202:AP202,1)+LARGE(AL202:AP202,2)+LARGE(AL202:AP202,3),"")</f>
        <v/>
      </c>
      <c r="AU202" s="59" t="str">
        <f aca="false">IF(ISBLANK($C202),"",IF($AJ202&lt;&gt;Constants!$B$7,$AJ202,AT202*W202))</f>
        <v/>
      </c>
      <c r="AV202" s="59" t="str">
        <f aca="false">IF(ISBLANK($C202),"",IF($AJ202=Constants!$B$7,IF(ISNUMBER(AU202),RANK(AU202,$AU$8:$AU$507),Constants!$B$14),$AJ202))</f>
        <v/>
      </c>
      <c r="AW202" s="59" t="str">
        <f aca="false">IF(ISBLANK($C202),"",IF($AJ202=Constants!$B$7,IF(ISNUMBER(AV202),COUNTIFS($AK$8:$AK$507,"&lt;"&amp;$AK202)+COUNTIFS($AK$8:$AK$507,$AK202,$AV$8:$AV$507,"&lt;"&amp;$AV202)+1,Constants!$B$14),$AJ202))</f>
        <v/>
      </c>
      <c r="AX202" s="59" t="str">
        <f aca="false">IF(ISBLANK($C202),"",IF($AJ202=Constants!$B$7,LARGE(AL202:AP202,4)*W202,""))</f>
        <v/>
      </c>
      <c r="AY202" s="59" t="str">
        <f aca="false">IF(ISBLANK($C202),"",IF($AJ202=Constants!$B$7,RANK(AX202,$AX$8:$AX$507),$AJ202))</f>
        <v/>
      </c>
      <c r="AZ202" s="59" t="str">
        <f aca="false">IF(ISBLANK($C202),"",IF($AJ202=Constants!$B$7,IF(ISNUMBER(AV202),COUNTIFS($AK$8:$AK$507,"&lt;"&amp;$AK202)+COUNTIFS($AK$8:$AK$507,$AK202,$AV$8:$AV$507,"&lt;"&amp;$AV202)+COUNTIFS($AK$8:$AK$507,$AK202,$AV$8:$AV$507,$AV202,$AY$8:$AY$507,"&lt;"&amp;$AY202)+1,Constants!$B$14),$AJ202))</f>
        <v/>
      </c>
      <c r="BA202" s="59" t="str">
        <f aca="false">IF(ISBLANK($C202),"",IF($AJ202=Constants!$B$7,IF(ISNUMBER(AW202),AW202-AZ202,Constants!$B$14),$AJ202))</f>
        <v/>
      </c>
      <c r="BB202" s="61"/>
      <c r="BC202" s="62" t="str">
        <f aca="false">IF(ISBLANK($C202),"",IF($AJ202&lt;&gt;Constants!$B$7,$AJ202,SMALL(AQ202:AS202,1)&amp;", "&amp;SMALL(AQ202:AS202,2)&amp;", "&amp;SMALL(AQ202:AS202,3)))</f>
        <v/>
      </c>
      <c r="BD202" s="63" t="str">
        <f aca="false">IF(ISBLANK($C202),"",IF($AJ202&lt;&gt;Constants!$B$7,$AJ202,W202))</f>
        <v/>
      </c>
      <c r="BE202" s="64" t="str">
        <f aca="false">IF(ISBLANK($C202),"",IF($AJ202&lt;&gt;Constants!$B$7,$AJ202,AU202))</f>
        <v/>
      </c>
      <c r="BF202" s="65" t="str">
        <f aca="false">IF(ISBLANK($C202),"",IF($AJ202&lt;&gt;Constants!$B$7,$AJ202,AK202))</f>
        <v/>
      </c>
      <c r="BG202" s="63" t="str">
        <f aca="false">IF(ISBLANK($C202),"",BA202)</f>
        <v/>
      </c>
      <c r="BH202" s="63" t="str">
        <f aca="false">IF(ISBLANK($C202),"",AZ202)</f>
        <v/>
      </c>
      <c r="BI202" s="66" t="str">
        <f aca="false">IF(ISBLANK($C202),"",IF(BH202=Constants!$B$4,COUNTA($C$8:$C$507)+2,IF(BH202=Constants!$B$5,COUNTA($C$8:$C$507)+1,IF(BH202=Constants!$B$6,COUNTA($C$8:$C$507),BH202))))</f>
        <v/>
      </c>
      <c r="BJ202" s="5"/>
      <c r="BK202" s="67" t="n">
        <f aca="false">IF(OR(ISNUMBER(BH202),BH202=Constants!$B$4,BH202=Constants!$B$6,BH202=Constants!$B$5),1,0)</f>
        <v>0</v>
      </c>
      <c r="BL202" s="67" t="n">
        <v>195</v>
      </c>
      <c r="BM202" s="67" t="str">
        <f aca="false">IF(ISBLANK($C202),"",IF(ISNUMBER(BI202),BI202+ROW($B202)/1000,""))</f>
        <v/>
      </c>
      <c r="BN202" s="67" t="str">
        <f aca="false">IF(ISNUMBER(BM202),RANK(BM202,$BM$8:$BM$507,1),"")</f>
        <v/>
      </c>
      <c r="BO202" s="67" t="str">
        <f aca="false">IF(ISBLANK($C202),"",$B202)</f>
        <v/>
      </c>
      <c r="BP202" s="67" t="str">
        <f aca="false">IF(ISBLANK($C202),"",$C202)</f>
        <v/>
      </c>
      <c r="BQ202" s="67" t="str">
        <f aca="false">IF(ISBLANK($C202),"",$D202)</f>
        <v/>
      </c>
      <c r="BR202" s="68" t="str">
        <f aca="false">BF202</f>
        <v/>
      </c>
      <c r="BS202" s="69" t="str">
        <f aca="false">BE202</f>
        <v/>
      </c>
      <c r="BT202" s="67" t="str">
        <f aca="false">IF(ISBLANK($C202),"",BH202)</f>
        <v/>
      </c>
      <c r="BU202" s="70" t="str">
        <f aca="false">IF($BL202&gt;$BK$7,"",VLOOKUP($BL202,$BN$8:$BT$507,7,FALSE()))</f>
        <v/>
      </c>
      <c r="BV202" s="71" t="str">
        <f aca="false">IF($BL202&gt;$BK$7,"",VLOOKUP($BL202,$BN$8:$BT$507,2,FALSE()))</f>
        <v/>
      </c>
      <c r="BW202" s="71" t="str">
        <f aca="false">IF($BL202&gt;$BK$7,"",VLOOKUP($BL202,$BN$8:$BT$507,3,FALSE()))</f>
        <v/>
      </c>
      <c r="BX202" s="71" t="str">
        <f aca="false">IF($BL202&gt;$BK$7,"",VLOOKUP($BL202,$BN$8:$BT$507,4,FALSE()))</f>
        <v/>
      </c>
      <c r="BY202" s="71" t="str">
        <f aca="false">IF($BL202&gt;$BK$7,"",VLOOKUP($BL202,$BN$8:$BT$507,5,FALSE()))</f>
        <v/>
      </c>
      <c r="BZ202" s="72" t="str">
        <f aca="false">IF($BL202&gt;$BK$7,"",VLOOKUP($BL202,$BN$8:$BT$507,6,FALSE()))</f>
        <v/>
      </c>
      <c r="CA202" s="48"/>
    </row>
    <row r="203" customFormat="false" ht="15.75" hidden="false" customHeight="false" outlineLevel="0" collapsed="false">
      <c r="A203" s="5"/>
      <c r="B203" s="114"/>
      <c r="C203" s="115"/>
      <c r="D203" s="100"/>
      <c r="E203" s="120"/>
      <c r="F203" s="125"/>
      <c r="G203" s="82"/>
      <c r="H203" s="126"/>
      <c r="I203" s="127"/>
      <c r="J203" s="82"/>
      <c r="K203" s="126"/>
      <c r="L203" s="82"/>
      <c r="M203" s="126"/>
      <c r="N203" s="82"/>
      <c r="O203" s="126"/>
      <c r="P203" s="82"/>
      <c r="Q203" s="126"/>
      <c r="R203" s="82"/>
      <c r="S203" s="120"/>
      <c r="T203" s="86"/>
      <c r="U203" s="87" t="str">
        <f aca="false">IF(ISBLANK($C203),"",IF(E203=Constants!$B$2, TRUE(), IF(E203=Constants!$B$3, FALSE(), TRUE())))</f>
        <v/>
      </c>
      <c r="V203" s="87" t="str">
        <f aca="false">IF(ISBLANK($C203),"",IF(F203=Constants!$B$2, TRUE(), IF(F203=Constants!$B$3, FALSE(), TRUE())))</f>
        <v/>
      </c>
      <c r="W203" s="87" t="str">
        <f aca="false">IF(ISBLANK($C203),"",IF(G203=Constants!$B$15,Constants!$B$8,IF(G203=Constants!$B$16,Constants!$B$9,Constants!$B$10)))</f>
        <v/>
      </c>
      <c r="X203" s="87" t="str">
        <f aca="false">IF(ISBLANK($C203),"",IF(H203=Constants!$B$2, TRUE(), IF(H203=Constants!$B$3, FALSE(), TRUE())))</f>
        <v/>
      </c>
      <c r="Y203" s="87" t="str">
        <f aca="false">IF(ISBLANK($C203),"",IF(I203=Constants!$B$19,Constants!$B$19,Constants!$B$18))</f>
        <v/>
      </c>
      <c r="Z203" s="87" t="str">
        <f aca="false">IF(ISBLANK($C203),"",IF(ISNUMBER(J203),IF(J203&gt;=0,J203,""),""))</f>
        <v/>
      </c>
      <c r="AA203" s="87" t="str">
        <f aca="false">IF(ISBLANK($C203),"",IF(K203=Constants!$B$19,Constants!$B$19,Constants!$B$18))</f>
        <v/>
      </c>
      <c r="AB203" s="87" t="str">
        <f aca="false">IF(ISBLANK($C203),"",IF(ISNUMBER(L203),IF(L203&gt;=0,L203,""),""))</f>
        <v/>
      </c>
      <c r="AC203" s="87" t="str">
        <f aca="false">IF(ISBLANK($C203),"",IF(M203=Constants!$B$19,Constants!$B$19,Constants!$B$18))</f>
        <v/>
      </c>
      <c r="AD203" s="87" t="str">
        <f aca="false">IF(ISBLANK($C203),"",IF(ISNUMBER(N203),IF(N203&gt;=0,N203,""),""))</f>
        <v/>
      </c>
      <c r="AE203" s="87" t="str">
        <f aca="false">IF(ISBLANK($C203),"",IF(O203=Constants!$B$19,Constants!$B$19,Constants!$B$18))</f>
        <v/>
      </c>
      <c r="AF203" s="87" t="str">
        <f aca="false">IF(ISBLANK($C203),"",IF(ISNUMBER(P203),IF(P203&gt;=0,P203,""),""))</f>
        <v/>
      </c>
      <c r="AG203" s="87" t="str">
        <f aca="false">IF(ISBLANK($C203),"",IF(Q203=Constants!$B$19,Constants!$B$19,Constants!$B$18))</f>
        <v/>
      </c>
      <c r="AH203" s="87" t="str">
        <f aca="false">IF(ISBLANK($C203),"",IF(ISNUMBER(R203),IF(R203&gt;=0,R203,""),""))</f>
        <v/>
      </c>
      <c r="AI203" s="87" t="str">
        <f aca="false">IF(ISBLANK($C203),"",IF(S203=Constants!$B$2, TRUE(), IF(S203=Constants!$B$3, FALSE(), FALSE())))</f>
        <v/>
      </c>
      <c r="AJ203" s="87" t="str">
        <f aca="false">IF(ISBLANK($C203),"",IF(AI203,Constants!$B$4,IF(COUNTA(E203:R203)=0,Constants!$B$5,IF(COUNTA(J203,L203,N203,P203,R203)=0,Constants!$B$6,Constants!$B$7))))</f>
        <v/>
      </c>
      <c r="AK203" s="87" t="str">
        <f aca="false">IF(ISBLANK($C203),"",IF($AJ203&lt;&gt;Constants!$B$7,$AJ203,IF(OR(NOT(X203),AND(NOT(U203),COUNTIFS(Y203:AG203,Constants!$B$18,Z203:AH203,"&gt;=0")&gt;0),AND(NOT(V203),COUNTIFS(Y203:AG203,Constants!$B$19,Z203:AH203,"&gt;=0")&gt;0)),Constants!$B$12,Constants!$B$11)))</f>
        <v/>
      </c>
      <c r="AL203" s="87" t="str">
        <f aca="false">IF($AJ203=Constants!$B$7,IF(Z203="",Constants!$B$13,Z203),"")</f>
        <v/>
      </c>
      <c r="AM203" s="87" t="str">
        <f aca="false">IF($AJ203=Constants!$B$7,IF(AB203="",Constants!$B$13,AB203),"")</f>
        <v/>
      </c>
      <c r="AN203" s="87" t="str">
        <f aca="false">IF($AJ203=Constants!$B$7,IF(AD203="",Constants!$B$13,AD203),"")</f>
        <v/>
      </c>
      <c r="AO203" s="87" t="str">
        <f aca="false">IF($AJ203=Constants!$B$7,IF(AF203="",Constants!$B$13,AF203),"")</f>
        <v/>
      </c>
      <c r="AP203" s="87" t="str">
        <f aca="false">IF($AJ203=Constants!$B$7,IF(AH203="",Constants!$B$13,AH203),"")</f>
        <v/>
      </c>
      <c r="AQ203" s="87" t="str">
        <f aca="false">IF($AJ203=Constants!$B$7,IF(SUMPRODUCT(--($AL203:$AP203&gt;AL203))+SUMPRODUCT(--($AL203:AL203=AL203))=1,1,IF(SUMPRODUCT(--($AL203:$AP203&gt;AM203))+SUMPRODUCT(--($AL203:AM203=AM203))=1,2,IF(SUMPRODUCT(--($AL203:$AP203&gt;AN203))+SUMPRODUCT(--($AL203:AN203=AN203))=1,3,IF(SUMPRODUCT(--($AL203:$AP203&gt;AO203))+SUMPRODUCT(--($AL203:AO203=AO203))=1,4,5)))),"")</f>
        <v/>
      </c>
      <c r="AR203" s="87" t="str">
        <f aca="false">IF($AJ203=Constants!$B$7,IF(SUMPRODUCT(--($AL203:$AP203&gt;AL203))+SUMPRODUCT(--($AL203:AL203=AL203))=2,1,IF(SUMPRODUCT(--($AL203:$AP203&gt;AM203))+SUMPRODUCT(--($AL203:AM203=AM203))=2,2,IF(SUMPRODUCT(--($AL203:$AP203&gt;AN203))+SUMPRODUCT(--($AL203:AN203=AN203))=2,3,IF(SUMPRODUCT(--($AL203:$AP203&gt;AO203))+SUMPRODUCT(--($AL203:AO203=AO203))=2,4,5)))),"")</f>
        <v/>
      </c>
      <c r="AS203" s="87" t="str">
        <f aca="false">IF($AJ203=Constants!$B$7,IF(SUMPRODUCT(--($AL203:$AP203&gt;AL203))+SUMPRODUCT(--($AL203:AL203=AL203))=3,1,IF(SUMPRODUCT(--($AL203:$AP203&gt;AM203))+SUMPRODUCT(--($AL203:AM203=AM203))=3,2,IF(SUMPRODUCT(--($AL203:$AP203&gt;AN203))+SUMPRODUCT(--($AL203:AN203=AN203))=3,3,IF(SUMPRODUCT(--($AL203:$AP203&gt;AO203))+SUMPRODUCT(--($AL203:AO203=AO203))=3,4,5)))),"")</f>
        <v/>
      </c>
      <c r="AT203" s="87" t="str">
        <f aca="false">IF($AJ203=Constants!$B$7,LARGE(AL203:AP203,1)+LARGE(AL203:AP203,2)+LARGE(AL203:AP203,3),"")</f>
        <v/>
      </c>
      <c r="AU203" s="87" t="str">
        <f aca="false">IF(ISBLANK($C203),"",IF($AJ203&lt;&gt;Constants!$B$7,$AJ203,AT203*W203))</f>
        <v/>
      </c>
      <c r="AV203" s="87" t="str">
        <f aca="false">IF(ISBLANK($C203),"",IF($AJ203=Constants!$B$7,IF(ISNUMBER(AU203),RANK(AU203,$AU$8:$AU$507),Constants!$B$14),$AJ203))</f>
        <v/>
      </c>
      <c r="AW203" s="87" t="str">
        <f aca="false">IF(ISBLANK($C203),"",IF($AJ203=Constants!$B$7,IF(ISNUMBER(AV203),COUNTIFS($AK$8:$AK$507,"&lt;"&amp;$AK203)+COUNTIFS($AK$8:$AK$507,$AK203,$AV$8:$AV$507,"&lt;"&amp;$AV203)+1,Constants!$B$14),$AJ203))</f>
        <v/>
      </c>
      <c r="AX203" s="87" t="str">
        <f aca="false">IF(ISBLANK($C203),"",IF($AJ203=Constants!$B$7,LARGE(AL203:AP203,4)*W203,""))</f>
        <v/>
      </c>
      <c r="AY203" s="87" t="str">
        <f aca="false">IF(ISBLANK($C203),"",IF($AJ203=Constants!$B$7,RANK(AX203,$AX$8:$AX$507),$AJ203))</f>
        <v/>
      </c>
      <c r="AZ203" s="87" t="str">
        <f aca="false">IF(ISBLANK($C203),"",IF($AJ203=Constants!$B$7,IF(ISNUMBER(AV203),COUNTIFS($AK$8:$AK$507,"&lt;"&amp;$AK203)+COUNTIFS($AK$8:$AK$507,$AK203,$AV$8:$AV$507,"&lt;"&amp;$AV203)+COUNTIFS($AK$8:$AK$507,$AK203,$AV$8:$AV$507,$AV203,$AY$8:$AY$507,"&lt;"&amp;$AY203)+1,Constants!$B$14),$AJ203))</f>
        <v/>
      </c>
      <c r="BA203" s="87" t="str">
        <f aca="false">IF(ISBLANK($C203),"",IF($AJ203=Constants!$B$7,IF(ISNUMBER(AW203),AW203-AZ203,Constants!$B$14),$AJ203))</f>
        <v/>
      </c>
      <c r="BB203" s="88"/>
      <c r="BC203" s="89" t="str">
        <f aca="false">IF(ISBLANK($C203),"",IF($AJ203&lt;&gt;Constants!$B$7,$AJ203,SMALL(AQ203:AS203,1)&amp;", "&amp;SMALL(AQ203:AS203,2)&amp;", "&amp;SMALL(AQ203:AS203,3)))</f>
        <v/>
      </c>
      <c r="BD203" s="90" t="str">
        <f aca="false">IF(ISBLANK($C203),"",IF($AJ203&lt;&gt;Constants!$B$7,$AJ203,W203))</f>
        <v/>
      </c>
      <c r="BE203" s="91" t="str">
        <f aca="false">IF(ISBLANK($C203),"",IF($AJ203&lt;&gt;Constants!$B$7,$AJ203,AU203))</f>
        <v/>
      </c>
      <c r="BF203" s="92" t="str">
        <f aca="false">IF(ISBLANK($C203),"",IF($AJ203&lt;&gt;Constants!$B$7,$AJ203,AK203))</f>
        <v/>
      </c>
      <c r="BG203" s="90" t="str">
        <f aca="false">IF(ISBLANK($C203),"",BA203)</f>
        <v/>
      </c>
      <c r="BH203" s="90" t="str">
        <f aca="false">IF(ISBLANK($C203),"",AZ203)</f>
        <v/>
      </c>
      <c r="BI203" s="93" t="str">
        <f aca="false">IF(ISBLANK($C203),"",IF(BH203=Constants!$B$4,COUNTA($C$8:$C$507)+2,IF(BH203=Constants!$B$5,COUNTA($C$8:$C$507)+1,IF(BH203=Constants!$B$6,COUNTA($C$8:$C$507),BH203))))</f>
        <v/>
      </c>
      <c r="BJ203" s="5"/>
      <c r="BK203" s="94" t="n">
        <f aca="false">IF(OR(ISNUMBER(BH203),BH203=Constants!$B$4,BH203=Constants!$B$6,BH203=Constants!$B$5),1,0)</f>
        <v>0</v>
      </c>
      <c r="BL203" s="94" t="n">
        <v>196</v>
      </c>
      <c r="BM203" s="94" t="str">
        <f aca="false">IF(ISBLANK($C203),"",IF(ISNUMBER(BI203),BI203+ROW($B203)/1000,""))</f>
        <v/>
      </c>
      <c r="BN203" s="94" t="str">
        <f aca="false">IF(ISNUMBER(BM203),RANK(BM203,$BM$8:$BM$507,1),"")</f>
        <v/>
      </c>
      <c r="BO203" s="94" t="str">
        <f aca="false">IF(ISBLANK($C203),"",$B203)</f>
        <v/>
      </c>
      <c r="BP203" s="94" t="str">
        <f aca="false">IF(ISBLANK($C203),"",$C203)</f>
        <v/>
      </c>
      <c r="BQ203" s="94" t="str">
        <f aca="false">IF(ISBLANK($C203),"",$D203)</f>
        <v/>
      </c>
      <c r="BR203" s="95" t="str">
        <f aca="false">BF203</f>
        <v/>
      </c>
      <c r="BS203" s="96" t="str">
        <f aca="false">BE203</f>
        <v/>
      </c>
      <c r="BT203" s="94" t="str">
        <f aca="false">IF(ISBLANK($C203),"",BH203)</f>
        <v/>
      </c>
      <c r="BU203" s="97" t="str">
        <f aca="false">IF($BL203&gt;$BK$7,"",VLOOKUP($BL203,$BN$8:$BT$507,7,FALSE()))</f>
        <v/>
      </c>
      <c r="BV203" s="98" t="str">
        <f aca="false">IF($BL203&gt;$BK$7,"",VLOOKUP($BL203,$BN$8:$BT$507,2,FALSE()))</f>
        <v/>
      </c>
      <c r="BW203" s="98" t="str">
        <f aca="false">IF($BL203&gt;$BK$7,"",VLOOKUP($BL203,$BN$8:$BT$507,3,FALSE()))</f>
        <v/>
      </c>
      <c r="BX203" s="98" t="str">
        <f aca="false">IF($BL203&gt;$BK$7,"",VLOOKUP($BL203,$BN$8:$BT$507,4,FALSE()))</f>
        <v/>
      </c>
      <c r="BY203" s="98" t="str">
        <f aca="false">IF($BL203&gt;$BK$7,"",VLOOKUP($BL203,$BN$8:$BT$507,5,FALSE()))</f>
        <v/>
      </c>
      <c r="BZ203" s="99" t="str">
        <f aca="false">IF($BL203&gt;$BK$7,"",VLOOKUP($BL203,$BN$8:$BT$507,6,FALSE()))</f>
        <v/>
      </c>
      <c r="CA203" s="48"/>
    </row>
    <row r="204" customFormat="false" ht="15.75" hidden="false" customHeight="false" outlineLevel="0" collapsed="false">
      <c r="A204" s="5"/>
      <c r="B204" s="114"/>
      <c r="C204" s="115"/>
      <c r="D204" s="100"/>
      <c r="E204" s="120"/>
      <c r="F204" s="125"/>
      <c r="G204" s="82"/>
      <c r="H204" s="126"/>
      <c r="I204" s="127"/>
      <c r="J204" s="82"/>
      <c r="K204" s="126"/>
      <c r="L204" s="82"/>
      <c r="M204" s="126"/>
      <c r="N204" s="82"/>
      <c r="O204" s="126"/>
      <c r="P204" s="82"/>
      <c r="Q204" s="126"/>
      <c r="R204" s="82"/>
      <c r="S204" s="120"/>
      <c r="T204" s="86"/>
      <c r="U204" s="87" t="str">
        <f aca="false">IF(ISBLANK($C204),"",IF(E204=Constants!$B$2, TRUE(), IF(E204=Constants!$B$3, FALSE(), TRUE())))</f>
        <v/>
      </c>
      <c r="V204" s="87" t="str">
        <f aca="false">IF(ISBLANK($C204),"",IF(F204=Constants!$B$2, TRUE(), IF(F204=Constants!$B$3, FALSE(), TRUE())))</f>
        <v/>
      </c>
      <c r="W204" s="87" t="str">
        <f aca="false">IF(ISBLANK($C204),"",IF(G204=Constants!$B$15,Constants!$B$8,IF(G204=Constants!$B$16,Constants!$B$9,Constants!$B$10)))</f>
        <v/>
      </c>
      <c r="X204" s="87" t="str">
        <f aca="false">IF(ISBLANK($C204),"",IF(H204=Constants!$B$2, TRUE(), IF(H204=Constants!$B$3, FALSE(), TRUE())))</f>
        <v/>
      </c>
      <c r="Y204" s="87" t="str">
        <f aca="false">IF(ISBLANK($C204),"",IF(I204=Constants!$B$19,Constants!$B$19,Constants!$B$18))</f>
        <v/>
      </c>
      <c r="Z204" s="87" t="str">
        <f aca="false">IF(ISBLANK($C204),"",IF(ISNUMBER(J204),IF(J204&gt;=0,J204,""),""))</f>
        <v/>
      </c>
      <c r="AA204" s="87" t="str">
        <f aca="false">IF(ISBLANK($C204),"",IF(K204=Constants!$B$19,Constants!$B$19,Constants!$B$18))</f>
        <v/>
      </c>
      <c r="AB204" s="87" t="str">
        <f aca="false">IF(ISBLANK($C204),"",IF(ISNUMBER(L204),IF(L204&gt;=0,L204,""),""))</f>
        <v/>
      </c>
      <c r="AC204" s="87" t="str">
        <f aca="false">IF(ISBLANK($C204),"",IF(M204=Constants!$B$19,Constants!$B$19,Constants!$B$18))</f>
        <v/>
      </c>
      <c r="AD204" s="87" t="str">
        <f aca="false">IF(ISBLANK($C204),"",IF(ISNUMBER(N204),IF(N204&gt;=0,N204,""),""))</f>
        <v/>
      </c>
      <c r="AE204" s="87" t="str">
        <f aca="false">IF(ISBLANK($C204),"",IF(O204=Constants!$B$19,Constants!$B$19,Constants!$B$18))</f>
        <v/>
      </c>
      <c r="AF204" s="87" t="str">
        <f aca="false">IF(ISBLANK($C204),"",IF(ISNUMBER(P204),IF(P204&gt;=0,P204,""),""))</f>
        <v/>
      </c>
      <c r="AG204" s="87" t="str">
        <f aca="false">IF(ISBLANK($C204),"",IF(Q204=Constants!$B$19,Constants!$B$19,Constants!$B$18))</f>
        <v/>
      </c>
      <c r="AH204" s="87" t="str">
        <f aca="false">IF(ISBLANK($C204),"",IF(ISNUMBER(R204),IF(R204&gt;=0,R204,""),""))</f>
        <v/>
      </c>
      <c r="AI204" s="87" t="str">
        <f aca="false">IF(ISBLANK($C204),"",IF(S204=Constants!$B$2, TRUE(), IF(S204=Constants!$B$3, FALSE(), FALSE())))</f>
        <v/>
      </c>
      <c r="AJ204" s="87" t="str">
        <f aca="false">IF(ISBLANK($C204),"",IF(AI204,Constants!$B$4,IF(COUNTA(E204:R204)=0,Constants!$B$5,IF(COUNTA(J204,L204,N204,P204,R204)=0,Constants!$B$6,Constants!$B$7))))</f>
        <v/>
      </c>
      <c r="AK204" s="87" t="str">
        <f aca="false">IF(ISBLANK($C204),"",IF($AJ204&lt;&gt;Constants!$B$7,$AJ204,IF(OR(NOT(X204),AND(NOT(U204),COUNTIFS(Y204:AG204,Constants!$B$18,Z204:AH204,"&gt;=0")&gt;0),AND(NOT(V204),COUNTIFS(Y204:AG204,Constants!$B$19,Z204:AH204,"&gt;=0")&gt;0)),Constants!$B$12,Constants!$B$11)))</f>
        <v/>
      </c>
      <c r="AL204" s="87" t="str">
        <f aca="false">IF($AJ204=Constants!$B$7,IF(Z204="",Constants!$B$13,Z204),"")</f>
        <v/>
      </c>
      <c r="AM204" s="87" t="str">
        <f aca="false">IF($AJ204=Constants!$B$7,IF(AB204="",Constants!$B$13,AB204),"")</f>
        <v/>
      </c>
      <c r="AN204" s="87" t="str">
        <f aca="false">IF($AJ204=Constants!$B$7,IF(AD204="",Constants!$B$13,AD204),"")</f>
        <v/>
      </c>
      <c r="AO204" s="87" t="str">
        <f aca="false">IF($AJ204=Constants!$B$7,IF(AF204="",Constants!$B$13,AF204),"")</f>
        <v/>
      </c>
      <c r="AP204" s="87" t="str">
        <f aca="false">IF($AJ204=Constants!$B$7,IF(AH204="",Constants!$B$13,AH204),"")</f>
        <v/>
      </c>
      <c r="AQ204" s="87" t="str">
        <f aca="false">IF($AJ204=Constants!$B$7,IF(SUMPRODUCT(--($AL204:$AP204&gt;AL204))+SUMPRODUCT(--($AL204:AL204=AL204))=1,1,IF(SUMPRODUCT(--($AL204:$AP204&gt;AM204))+SUMPRODUCT(--($AL204:AM204=AM204))=1,2,IF(SUMPRODUCT(--($AL204:$AP204&gt;AN204))+SUMPRODUCT(--($AL204:AN204=AN204))=1,3,IF(SUMPRODUCT(--($AL204:$AP204&gt;AO204))+SUMPRODUCT(--($AL204:AO204=AO204))=1,4,5)))),"")</f>
        <v/>
      </c>
      <c r="AR204" s="87" t="str">
        <f aca="false">IF($AJ204=Constants!$B$7,IF(SUMPRODUCT(--($AL204:$AP204&gt;AL204))+SUMPRODUCT(--($AL204:AL204=AL204))=2,1,IF(SUMPRODUCT(--($AL204:$AP204&gt;AM204))+SUMPRODUCT(--($AL204:AM204=AM204))=2,2,IF(SUMPRODUCT(--($AL204:$AP204&gt;AN204))+SUMPRODUCT(--($AL204:AN204=AN204))=2,3,IF(SUMPRODUCT(--($AL204:$AP204&gt;AO204))+SUMPRODUCT(--($AL204:AO204=AO204))=2,4,5)))),"")</f>
        <v/>
      </c>
      <c r="AS204" s="87" t="str">
        <f aca="false">IF($AJ204=Constants!$B$7,IF(SUMPRODUCT(--($AL204:$AP204&gt;AL204))+SUMPRODUCT(--($AL204:AL204=AL204))=3,1,IF(SUMPRODUCT(--($AL204:$AP204&gt;AM204))+SUMPRODUCT(--($AL204:AM204=AM204))=3,2,IF(SUMPRODUCT(--($AL204:$AP204&gt;AN204))+SUMPRODUCT(--($AL204:AN204=AN204))=3,3,IF(SUMPRODUCT(--($AL204:$AP204&gt;AO204))+SUMPRODUCT(--($AL204:AO204=AO204))=3,4,5)))),"")</f>
        <v/>
      </c>
      <c r="AT204" s="87" t="str">
        <f aca="false">IF($AJ204=Constants!$B$7,LARGE(AL204:AP204,1)+LARGE(AL204:AP204,2)+LARGE(AL204:AP204,3),"")</f>
        <v/>
      </c>
      <c r="AU204" s="87" t="str">
        <f aca="false">IF(ISBLANK($C204),"",IF($AJ204&lt;&gt;Constants!$B$7,$AJ204,AT204*W204))</f>
        <v/>
      </c>
      <c r="AV204" s="87" t="str">
        <f aca="false">IF(ISBLANK($C204),"",IF($AJ204=Constants!$B$7,IF(ISNUMBER(AU204),RANK(AU204,$AU$8:$AU$507),Constants!$B$14),$AJ204))</f>
        <v/>
      </c>
      <c r="AW204" s="87" t="str">
        <f aca="false">IF(ISBLANK($C204),"",IF($AJ204=Constants!$B$7,IF(ISNUMBER(AV204),COUNTIFS($AK$8:$AK$507,"&lt;"&amp;$AK204)+COUNTIFS($AK$8:$AK$507,$AK204,$AV$8:$AV$507,"&lt;"&amp;$AV204)+1,Constants!$B$14),$AJ204))</f>
        <v/>
      </c>
      <c r="AX204" s="87" t="str">
        <f aca="false">IF(ISBLANK($C204),"",IF($AJ204=Constants!$B$7,LARGE(AL204:AP204,4)*W204,""))</f>
        <v/>
      </c>
      <c r="AY204" s="87" t="str">
        <f aca="false">IF(ISBLANK($C204),"",IF($AJ204=Constants!$B$7,RANK(AX204,$AX$8:$AX$507),$AJ204))</f>
        <v/>
      </c>
      <c r="AZ204" s="87" t="str">
        <f aca="false">IF(ISBLANK($C204),"",IF($AJ204=Constants!$B$7,IF(ISNUMBER(AV204),COUNTIFS($AK$8:$AK$507,"&lt;"&amp;$AK204)+COUNTIFS($AK$8:$AK$507,$AK204,$AV$8:$AV$507,"&lt;"&amp;$AV204)+COUNTIFS($AK$8:$AK$507,$AK204,$AV$8:$AV$507,$AV204,$AY$8:$AY$507,"&lt;"&amp;$AY204)+1,Constants!$B$14),$AJ204))</f>
        <v/>
      </c>
      <c r="BA204" s="87" t="str">
        <f aca="false">IF(ISBLANK($C204),"",IF($AJ204=Constants!$B$7,IF(ISNUMBER(AW204),AW204-AZ204,Constants!$B$14),$AJ204))</f>
        <v/>
      </c>
      <c r="BB204" s="88"/>
      <c r="BC204" s="89" t="str">
        <f aca="false">IF(ISBLANK($C204),"",IF($AJ204&lt;&gt;Constants!$B$7,$AJ204,SMALL(AQ204:AS204,1)&amp;", "&amp;SMALL(AQ204:AS204,2)&amp;", "&amp;SMALL(AQ204:AS204,3)))</f>
        <v/>
      </c>
      <c r="BD204" s="90" t="str">
        <f aca="false">IF(ISBLANK($C204),"",IF($AJ204&lt;&gt;Constants!$B$7,$AJ204,W204))</f>
        <v/>
      </c>
      <c r="BE204" s="91" t="str">
        <f aca="false">IF(ISBLANK($C204),"",IF($AJ204&lt;&gt;Constants!$B$7,$AJ204,AU204))</f>
        <v/>
      </c>
      <c r="BF204" s="92" t="str">
        <f aca="false">IF(ISBLANK($C204),"",IF($AJ204&lt;&gt;Constants!$B$7,$AJ204,AK204))</f>
        <v/>
      </c>
      <c r="BG204" s="90" t="str">
        <f aca="false">IF(ISBLANK($C204),"",BA204)</f>
        <v/>
      </c>
      <c r="BH204" s="90" t="str">
        <f aca="false">IF(ISBLANK($C204),"",AZ204)</f>
        <v/>
      </c>
      <c r="BI204" s="93" t="str">
        <f aca="false">IF(ISBLANK($C204),"",IF(BH204=Constants!$B$4,COUNTA($C$8:$C$507)+2,IF(BH204=Constants!$B$5,COUNTA($C$8:$C$507)+1,IF(BH204=Constants!$B$6,COUNTA($C$8:$C$507),BH204))))</f>
        <v/>
      </c>
      <c r="BJ204" s="5"/>
      <c r="BK204" s="94" t="n">
        <f aca="false">IF(OR(ISNUMBER(BH204),BH204=Constants!$B$4,BH204=Constants!$B$6,BH204=Constants!$B$5),1,0)</f>
        <v>0</v>
      </c>
      <c r="BL204" s="94" t="n">
        <v>197</v>
      </c>
      <c r="BM204" s="94" t="str">
        <f aca="false">IF(ISBLANK($C204),"",IF(ISNUMBER(BI204),BI204+ROW($B204)/1000,""))</f>
        <v/>
      </c>
      <c r="BN204" s="94" t="str">
        <f aca="false">IF(ISNUMBER(BM204),RANK(BM204,$BM$8:$BM$507,1),"")</f>
        <v/>
      </c>
      <c r="BO204" s="94" t="str">
        <f aca="false">IF(ISBLANK($C204),"",$B204)</f>
        <v/>
      </c>
      <c r="BP204" s="94" t="str">
        <f aca="false">IF(ISBLANK($C204),"",$C204)</f>
        <v/>
      </c>
      <c r="BQ204" s="94" t="str">
        <f aca="false">IF(ISBLANK($C204),"",$D204)</f>
        <v/>
      </c>
      <c r="BR204" s="95" t="str">
        <f aca="false">BF204</f>
        <v/>
      </c>
      <c r="BS204" s="96" t="str">
        <f aca="false">BE204</f>
        <v/>
      </c>
      <c r="BT204" s="94" t="str">
        <f aca="false">IF(ISBLANK($C204),"",BH204)</f>
        <v/>
      </c>
      <c r="BU204" s="97" t="str">
        <f aca="false">IF($BL204&gt;$BK$7,"",VLOOKUP($BL204,$BN$8:$BT$507,7,FALSE()))</f>
        <v/>
      </c>
      <c r="BV204" s="98" t="str">
        <f aca="false">IF($BL204&gt;$BK$7,"",VLOOKUP($BL204,$BN$8:$BT$507,2,FALSE()))</f>
        <v/>
      </c>
      <c r="BW204" s="98" t="str">
        <f aca="false">IF($BL204&gt;$BK$7,"",VLOOKUP($BL204,$BN$8:$BT$507,3,FALSE()))</f>
        <v/>
      </c>
      <c r="BX204" s="98" t="str">
        <f aca="false">IF($BL204&gt;$BK$7,"",VLOOKUP($BL204,$BN$8:$BT$507,4,FALSE()))</f>
        <v/>
      </c>
      <c r="BY204" s="98" t="str">
        <f aca="false">IF($BL204&gt;$BK$7,"",VLOOKUP($BL204,$BN$8:$BT$507,5,FALSE()))</f>
        <v/>
      </c>
      <c r="BZ204" s="99" t="str">
        <f aca="false">IF($BL204&gt;$BK$7,"",VLOOKUP($BL204,$BN$8:$BT$507,6,FALSE()))</f>
        <v/>
      </c>
      <c r="CA204" s="48"/>
    </row>
    <row r="205" customFormat="false" ht="15.75" hidden="false" customHeight="false" outlineLevel="0" collapsed="false">
      <c r="A205" s="5"/>
      <c r="B205" s="114"/>
      <c r="C205" s="115"/>
      <c r="D205" s="100"/>
      <c r="E205" s="120"/>
      <c r="F205" s="125"/>
      <c r="G205" s="82"/>
      <c r="H205" s="126"/>
      <c r="I205" s="127"/>
      <c r="J205" s="82"/>
      <c r="K205" s="126"/>
      <c r="L205" s="82"/>
      <c r="M205" s="126"/>
      <c r="N205" s="82"/>
      <c r="O205" s="126"/>
      <c r="P205" s="82"/>
      <c r="Q205" s="126"/>
      <c r="R205" s="82"/>
      <c r="S205" s="120"/>
      <c r="T205" s="86"/>
      <c r="U205" s="87" t="str">
        <f aca="false">IF(ISBLANK($C205),"",IF(E205=Constants!$B$2, TRUE(), IF(E205=Constants!$B$3, FALSE(), TRUE())))</f>
        <v/>
      </c>
      <c r="V205" s="87" t="str">
        <f aca="false">IF(ISBLANK($C205),"",IF(F205=Constants!$B$2, TRUE(), IF(F205=Constants!$B$3, FALSE(), TRUE())))</f>
        <v/>
      </c>
      <c r="W205" s="87" t="str">
        <f aca="false">IF(ISBLANK($C205),"",IF(G205=Constants!$B$15,Constants!$B$8,IF(G205=Constants!$B$16,Constants!$B$9,Constants!$B$10)))</f>
        <v/>
      </c>
      <c r="X205" s="87" t="str">
        <f aca="false">IF(ISBLANK($C205),"",IF(H205=Constants!$B$2, TRUE(), IF(H205=Constants!$B$3, FALSE(), TRUE())))</f>
        <v/>
      </c>
      <c r="Y205" s="87" t="str">
        <f aca="false">IF(ISBLANK($C205),"",IF(I205=Constants!$B$19,Constants!$B$19,Constants!$B$18))</f>
        <v/>
      </c>
      <c r="Z205" s="87" t="str">
        <f aca="false">IF(ISBLANK($C205),"",IF(ISNUMBER(J205),IF(J205&gt;=0,J205,""),""))</f>
        <v/>
      </c>
      <c r="AA205" s="87" t="str">
        <f aca="false">IF(ISBLANK($C205),"",IF(K205=Constants!$B$19,Constants!$B$19,Constants!$B$18))</f>
        <v/>
      </c>
      <c r="AB205" s="87" t="str">
        <f aca="false">IF(ISBLANK($C205),"",IF(ISNUMBER(L205),IF(L205&gt;=0,L205,""),""))</f>
        <v/>
      </c>
      <c r="AC205" s="87" t="str">
        <f aca="false">IF(ISBLANK($C205),"",IF(M205=Constants!$B$19,Constants!$B$19,Constants!$B$18))</f>
        <v/>
      </c>
      <c r="AD205" s="87" t="str">
        <f aca="false">IF(ISBLANK($C205),"",IF(ISNUMBER(N205),IF(N205&gt;=0,N205,""),""))</f>
        <v/>
      </c>
      <c r="AE205" s="87" t="str">
        <f aca="false">IF(ISBLANK($C205),"",IF(O205=Constants!$B$19,Constants!$B$19,Constants!$B$18))</f>
        <v/>
      </c>
      <c r="AF205" s="87" t="str">
        <f aca="false">IF(ISBLANK($C205),"",IF(ISNUMBER(P205),IF(P205&gt;=0,P205,""),""))</f>
        <v/>
      </c>
      <c r="AG205" s="87" t="str">
        <f aca="false">IF(ISBLANK($C205),"",IF(Q205=Constants!$B$19,Constants!$B$19,Constants!$B$18))</f>
        <v/>
      </c>
      <c r="AH205" s="87" t="str">
        <f aca="false">IF(ISBLANK($C205),"",IF(ISNUMBER(R205),IF(R205&gt;=0,R205,""),""))</f>
        <v/>
      </c>
      <c r="AI205" s="87" t="str">
        <f aca="false">IF(ISBLANK($C205),"",IF(S205=Constants!$B$2, TRUE(), IF(S205=Constants!$B$3, FALSE(), FALSE())))</f>
        <v/>
      </c>
      <c r="AJ205" s="87" t="str">
        <f aca="false">IF(ISBLANK($C205),"",IF(AI205,Constants!$B$4,IF(COUNTA(E205:R205)=0,Constants!$B$5,IF(COUNTA(J205,L205,N205,P205,R205)=0,Constants!$B$6,Constants!$B$7))))</f>
        <v/>
      </c>
      <c r="AK205" s="87" t="str">
        <f aca="false">IF(ISBLANK($C205),"",IF($AJ205&lt;&gt;Constants!$B$7,$AJ205,IF(OR(NOT(X205),AND(NOT(U205),COUNTIFS(Y205:AG205,Constants!$B$18,Z205:AH205,"&gt;=0")&gt;0),AND(NOT(V205),COUNTIFS(Y205:AG205,Constants!$B$19,Z205:AH205,"&gt;=0")&gt;0)),Constants!$B$12,Constants!$B$11)))</f>
        <v/>
      </c>
      <c r="AL205" s="87" t="str">
        <f aca="false">IF($AJ205=Constants!$B$7,IF(Z205="",Constants!$B$13,Z205),"")</f>
        <v/>
      </c>
      <c r="AM205" s="87" t="str">
        <f aca="false">IF($AJ205=Constants!$B$7,IF(AB205="",Constants!$B$13,AB205),"")</f>
        <v/>
      </c>
      <c r="AN205" s="87" t="str">
        <f aca="false">IF($AJ205=Constants!$B$7,IF(AD205="",Constants!$B$13,AD205),"")</f>
        <v/>
      </c>
      <c r="AO205" s="87" t="str">
        <f aca="false">IF($AJ205=Constants!$B$7,IF(AF205="",Constants!$B$13,AF205),"")</f>
        <v/>
      </c>
      <c r="AP205" s="87" t="str">
        <f aca="false">IF($AJ205=Constants!$B$7,IF(AH205="",Constants!$B$13,AH205),"")</f>
        <v/>
      </c>
      <c r="AQ205" s="87" t="str">
        <f aca="false">IF($AJ205=Constants!$B$7,IF(SUMPRODUCT(--($AL205:$AP205&gt;AL205))+SUMPRODUCT(--($AL205:AL205=AL205))=1,1,IF(SUMPRODUCT(--($AL205:$AP205&gt;AM205))+SUMPRODUCT(--($AL205:AM205=AM205))=1,2,IF(SUMPRODUCT(--($AL205:$AP205&gt;AN205))+SUMPRODUCT(--($AL205:AN205=AN205))=1,3,IF(SUMPRODUCT(--($AL205:$AP205&gt;AO205))+SUMPRODUCT(--($AL205:AO205=AO205))=1,4,5)))),"")</f>
        <v/>
      </c>
      <c r="AR205" s="87" t="str">
        <f aca="false">IF($AJ205=Constants!$B$7,IF(SUMPRODUCT(--($AL205:$AP205&gt;AL205))+SUMPRODUCT(--($AL205:AL205=AL205))=2,1,IF(SUMPRODUCT(--($AL205:$AP205&gt;AM205))+SUMPRODUCT(--($AL205:AM205=AM205))=2,2,IF(SUMPRODUCT(--($AL205:$AP205&gt;AN205))+SUMPRODUCT(--($AL205:AN205=AN205))=2,3,IF(SUMPRODUCT(--($AL205:$AP205&gt;AO205))+SUMPRODUCT(--($AL205:AO205=AO205))=2,4,5)))),"")</f>
        <v/>
      </c>
      <c r="AS205" s="87" t="str">
        <f aca="false">IF($AJ205=Constants!$B$7,IF(SUMPRODUCT(--($AL205:$AP205&gt;AL205))+SUMPRODUCT(--($AL205:AL205=AL205))=3,1,IF(SUMPRODUCT(--($AL205:$AP205&gt;AM205))+SUMPRODUCT(--($AL205:AM205=AM205))=3,2,IF(SUMPRODUCT(--($AL205:$AP205&gt;AN205))+SUMPRODUCT(--($AL205:AN205=AN205))=3,3,IF(SUMPRODUCT(--($AL205:$AP205&gt;AO205))+SUMPRODUCT(--($AL205:AO205=AO205))=3,4,5)))),"")</f>
        <v/>
      </c>
      <c r="AT205" s="87" t="str">
        <f aca="false">IF($AJ205=Constants!$B$7,LARGE(AL205:AP205,1)+LARGE(AL205:AP205,2)+LARGE(AL205:AP205,3),"")</f>
        <v/>
      </c>
      <c r="AU205" s="87" t="str">
        <f aca="false">IF(ISBLANK($C205),"",IF($AJ205&lt;&gt;Constants!$B$7,$AJ205,AT205*W205))</f>
        <v/>
      </c>
      <c r="AV205" s="87" t="str">
        <f aca="false">IF(ISBLANK($C205),"",IF($AJ205=Constants!$B$7,IF(ISNUMBER(AU205),RANK(AU205,$AU$8:$AU$507),Constants!$B$14),$AJ205))</f>
        <v/>
      </c>
      <c r="AW205" s="87" t="str">
        <f aca="false">IF(ISBLANK($C205),"",IF($AJ205=Constants!$B$7,IF(ISNUMBER(AV205),COUNTIFS($AK$8:$AK$507,"&lt;"&amp;$AK205)+COUNTIFS($AK$8:$AK$507,$AK205,$AV$8:$AV$507,"&lt;"&amp;$AV205)+1,Constants!$B$14),$AJ205))</f>
        <v/>
      </c>
      <c r="AX205" s="87" t="str">
        <f aca="false">IF(ISBLANK($C205),"",IF($AJ205=Constants!$B$7,LARGE(AL205:AP205,4)*W205,""))</f>
        <v/>
      </c>
      <c r="AY205" s="87" t="str">
        <f aca="false">IF(ISBLANK($C205),"",IF($AJ205=Constants!$B$7,RANK(AX205,$AX$8:$AX$507),$AJ205))</f>
        <v/>
      </c>
      <c r="AZ205" s="87" t="str">
        <f aca="false">IF(ISBLANK($C205),"",IF($AJ205=Constants!$B$7,IF(ISNUMBER(AV205),COUNTIFS($AK$8:$AK$507,"&lt;"&amp;$AK205)+COUNTIFS($AK$8:$AK$507,$AK205,$AV$8:$AV$507,"&lt;"&amp;$AV205)+COUNTIFS($AK$8:$AK$507,$AK205,$AV$8:$AV$507,$AV205,$AY$8:$AY$507,"&lt;"&amp;$AY205)+1,Constants!$B$14),$AJ205))</f>
        <v/>
      </c>
      <c r="BA205" s="87" t="str">
        <f aca="false">IF(ISBLANK($C205),"",IF($AJ205=Constants!$B$7,IF(ISNUMBER(AW205),AW205-AZ205,Constants!$B$14),$AJ205))</f>
        <v/>
      </c>
      <c r="BB205" s="88"/>
      <c r="BC205" s="89" t="str">
        <f aca="false">IF(ISBLANK($C205),"",IF($AJ205&lt;&gt;Constants!$B$7,$AJ205,SMALL(AQ205:AS205,1)&amp;", "&amp;SMALL(AQ205:AS205,2)&amp;", "&amp;SMALL(AQ205:AS205,3)))</f>
        <v/>
      </c>
      <c r="BD205" s="90" t="str">
        <f aca="false">IF(ISBLANK($C205),"",IF($AJ205&lt;&gt;Constants!$B$7,$AJ205,W205))</f>
        <v/>
      </c>
      <c r="BE205" s="91" t="str">
        <f aca="false">IF(ISBLANK($C205),"",IF($AJ205&lt;&gt;Constants!$B$7,$AJ205,AU205))</f>
        <v/>
      </c>
      <c r="BF205" s="92" t="str">
        <f aca="false">IF(ISBLANK($C205),"",IF($AJ205&lt;&gt;Constants!$B$7,$AJ205,AK205))</f>
        <v/>
      </c>
      <c r="BG205" s="90" t="str">
        <f aca="false">IF(ISBLANK($C205),"",BA205)</f>
        <v/>
      </c>
      <c r="BH205" s="90" t="str">
        <f aca="false">IF(ISBLANK($C205),"",AZ205)</f>
        <v/>
      </c>
      <c r="BI205" s="93" t="str">
        <f aca="false">IF(ISBLANK($C205),"",IF(BH205=Constants!$B$4,COUNTA($C$8:$C$507)+2,IF(BH205=Constants!$B$5,COUNTA($C$8:$C$507)+1,IF(BH205=Constants!$B$6,COUNTA($C$8:$C$507),BH205))))</f>
        <v/>
      </c>
      <c r="BJ205" s="5"/>
      <c r="BK205" s="94" t="n">
        <f aca="false">IF(OR(ISNUMBER(BH205),BH205=Constants!$B$4,BH205=Constants!$B$6,BH205=Constants!$B$5),1,0)</f>
        <v>0</v>
      </c>
      <c r="BL205" s="94" t="n">
        <v>198</v>
      </c>
      <c r="BM205" s="94" t="str">
        <f aca="false">IF(ISBLANK($C205),"",IF(ISNUMBER(BI205),BI205+ROW($B205)/1000,""))</f>
        <v/>
      </c>
      <c r="BN205" s="94" t="str">
        <f aca="false">IF(ISNUMBER(BM205),RANK(BM205,$BM$8:$BM$507,1),"")</f>
        <v/>
      </c>
      <c r="BO205" s="94" t="str">
        <f aca="false">IF(ISBLANK($C205),"",$B205)</f>
        <v/>
      </c>
      <c r="BP205" s="94" t="str">
        <f aca="false">IF(ISBLANK($C205),"",$C205)</f>
        <v/>
      </c>
      <c r="BQ205" s="94" t="str">
        <f aca="false">IF(ISBLANK($C205),"",$D205)</f>
        <v/>
      </c>
      <c r="BR205" s="95" t="str">
        <f aca="false">BF205</f>
        <v/>
      </c>
      <c r="BS205" s="96" t="str">
        <f aca="false">BE205</f>
        <v/>
      </c>
      <c r="BT205" s="94" t="str">
        <f aca="false">IF(ISBLANK($C205),"",BH205)</f>
        <v/>
      </c>
      <c r="BU205" s="97" t="str">
        <f aca="false">IF($BL205&gt;$BK$7,"",VLOOKUP($BL205,$BN$8:$BT$507,7,FALSE()))</f>
        <v/>
      </c>
      <c r="BV205" s="98" t="str">
        <f aca="false">IF($BL205&gt;$BK$7,"",VLOOKUP($BL205,$BN$8:$BT$507,2,FALSE()))</f>
        <v/>
      </c>
      <c r="BW205" s="98" t="str">
        <f aca="false">IF($BL205&gt;$BK$7,"",VLOOKUP($BL205,$BN$8:$BT$507,3,FALSE()))</f>
        <v/>
      </c>
      <c r="BX205" s="98" t="str">
        <f aca="false">IF($BL205&gt;$BK$7,"",VLOOKUP($BL205,$BN$8:$BT$507,4,FALSE()))</f>
        <v/>
      </c>
      <c r="BY205" s="98" t="str">
        <f aca="false">IF($BL205&gt;$BK$7,"",VLOOKUP($BL205,$BN$8:$BT$507,5,FALSE()))</f>
        <v/>
      </c>
      <c r="BZ205" s="99" t="str">
        <f aca="false">IF($BL205&gt;$BK$7,"",VLOOKUP($BL205,$BN$8:$BT$507,6,FALSE()))</f>
        <v/>
      </c>
      <c r="CA205" s="48"/>
    </row>
    <row r="206" customFormat="false" ht="15.75" hidden="false" customHeight="false" outlineLevel="0" collapsed="false">
      <c r="A206" s="5"/>
      <c r="B206" s="121"/>
      <c r="C206" s="50"/>
      <c r="D206" s="51"/>
      <c r="E206" s="74"/>
      <c r="F206" s="122"/>
      <c r="G206" s="54"/>
      <c r="H206" s="123"/>
      <c r="I206" s="124"/>
      <c r="J206" s="54"/>
      <c r="K206" s="123"/>
      <c r="L206" s="54"/>
      <c r="M206" s="123"/>
      <c r="N206" s="54"/>
      <c r="O206" s="123"/>
      <c r="P206" s="54"/>
      <c r="Q206" s="123"/>
      <c r="R206" s="54"/>
      <c r="S206" s="74"/>
      <c r="T206" s="58"/>
      <c r="U206" s="59" t="str">
        <f aca="false">IF(ISBLANK($C206),"",IF(E206=Constants!$B$2, TRUE(), IF(E206=Constants!$B$3, FALSE(), TRUE())))</f>
        <v/>
      </c>
      <c r="V206" s="59" t="str">
        <f aca="false">IF(ISBLANK($C206),"",IF(F206=Constants!$B$2, TRUE(), IF(F206=Constants!$B$3, FALSE(), TRUE())))</f>
        <v/>
      </c>
      <c r="W206" s="59" t="str">
        <f aca="false">IF(ISBLANK($C206),"",IF(G206=Constants!$B$15,Constants!$B$8,IF(G206=Constants!$B$16,Constants!$B$9,Constants!$B$10)))</f>
        <v/>
      </c>
      <c r="X206" s="59" t="str">
        <f aca="false">IF(ISBLANK($C206),"",IF(H206=Constants!$B$2, TRUE(), IF(H206=Constants!$B$3, FALSE(), TRUE())))</f>
        <v/>
      </c>
      <c r="Y206" s="59" t="str">
        <f aca="false">IF(ISBLANK($C206),"",IF(I206=Constants!$B$19,Constants!$B$19,Constants!$B$18))</f>
        <v/>
      </c>
      <c r="Z206" s="59" t="str">
        <f aca="false">IF(ISBLANK($C206),"",IF(ISNUMBER(J206),IF(J206&gt;=0,J206,""),""))</f>
        <v/>
      </c>
      <c r="AA206" s="59" t="str">
        <f aca="false">IF(ISBLANK($C206),"",IF(K206=Constants!$B$19,Constants!$B$19,Constants!$B$18))</f>
        <v/>
      </c>
      <c r="AB206" s="59" t="str">
        <f aca="false">IF(ISBLANK($C206),"",IF(ISNUMBER(L206),IF(L206&gt;=0,L206,""),""))</f>
        <v/>
      </c>
      <c r="AC206" s="59" t="str">
        <f aca="false">IF(ISBLANK($C206),"",IF(M206=Constants!$B$19,Constants!$B$19,Constants!$B$18))</f>
        <v/>
      </c>
      <c r="AD206" s="59" t="str">
        <f aca="false">IF(ISBLANK($C206),"",IF(ISNUMBER(N206),IF(N206&gt;=0,N206,""),""))</f>
        <v/>
      </c>
      <c r="AE206" s="59" t="str">
        <f aca="false">IF(ISBLANK($C206),"",IF(O206=Constants!$B$19,Constants!$B$19,Constants!$B$18))</f>
        <v/>
      </c>
      <c r="AF206" s="59" t="str">
        <f aca="false">IF(ISBLANK($C206),"",IF(ISNUMBER(P206),IF(P206&gt;=0,P206,""),""))</f>
        <v/>
      </c>
      <c r="AG206" s="59" t="str">
        <f aca="false">IF(ISBLANK($C206),"",IF(Q206=Constants!$B$19,Constants!$B$19,Constants!$B$18))</f>
        <v/>
      </c>
      <c r="AH206" s="59" t="str">
        <f aca="false">IF(ISBLANK($C206),"",IF(ISNUMBER(R206),IF(R206&gt;=0,R206,""),""))</f>
        <v/>
      </c>
      <c r="AI206" s="59" t="str">
        <f aca="false">IF(ISBLANK($C206),"",IF(S206=Constants!$B$2, TRUE(), IF(S206=Constants!$B$3, FALSE(), FALSE())))</f>
        <v/>
      </c>
      <c r="AJ206" s="59" t="str">
        <f aca="false">IF(ISBLANK($C206),"",IF(AI206,Constants!$B$4,IF(COUNTA(E206:R206)=0,Constants!$B$5,IF(COUNTA(J206,L206,N206,P206,R206)=0,Constants!$B$6,Constants!$B$7))))</f>
        <v/>
      </c>
      <c r="AK206" s="59" t="str">
        <f aca="false">IF(ISBLANK($C206),"",IF($AJ206&lt;&gt;Constants!$B$7,$AJ206,IF(OR(NOT(X206),AND(NOT(U206),COUNTIFS(Y206:AG206,Constants!$B$18,Z206:AH206,"&gt;=0")&gt;0),AND(NOT(V206),COUNTIFS(Y206:AG206,Constants!$B$19,Z206:AH206,"&gt;=0")&gt;0)),Constants!$B$12,Constants!$B$11)))</f>
        <v/>
      </c>
      <c r="AL206" s="59" t="str">
        <f aca="false">IF($AJ206=Constants!$B$7,IF(Z206="",Constants!$B$13,Z206),"")</f>
        <v/>
      </c>
      <c r="AM206" s="59" t="str">
        <f aca="false">IF($AJ206=Constants!$B$7,IF(AB206="",Constants!$B$13,AB206),"")</f>
        <v/>
      </c>
      <c r="AN206" s="59" t="str">
        <f aca="false">IF($AJ206=Constants!$B$7,IF(AD206="",Constants!$B$13,AD206),"")</f>
        <v/>
      </c>
      <c r="AO206" s="59" t="str">
        <f aca="false">IF($AJ206=Constants!$B$7,IF(AF206="",Constants!$B$13,AF206),"")</f>
        <v/>
      </c>
      <c r="AP206" s="59" t="str">
        <f aca="false">IF($AJ206=Constants!$B$7,IF(AH206="",Constants!$B$13,AH206),"")</f>
        <v/>
      </c>
      <c r="AQ206" s="59" t="str">
        <f aca="false">IF($AJ206=Constants!$B$7,IF(SUMPRODUCT(--($AL206:$AP206&gt;AL206))+SUMPRODUCT(--($AL206:AL206=AL206))=1,1,IF(SUMPRODUCT(--($AL206:$AP206&gt;AM206))+SUMPRODUCT(--($AL206:AM206=AM206))=1,2,IF(SUMPRODUCT(--($AL206:$AP206&gt;AN206))+SUMPRODUCT(--($AL206:AN206=AN206))=1,3,IF(SUMPRODUCT(--($AL206:$AP206&gt;AO206))+SUMPRODUCT(--($AL206:AO206=AO206))=1,4,5)))),"")</f>
        <v/>
      </c>
      <c r="AR206" s="59" t="str">
        <f aca="false">IF($AJ206=Constants!$B$7,IF(SUMPRODUCT(--($AL206:$AP206&gt;AL206))+SUMPRODUCT(--($AL206:AL206=AL206))=2,1,IF(SUMPRODUCT(--($AL206:$AP206&gt;AM206))+SUMPRODUCT(--($AL206:AM206=AM206))=2,2,IF(SUMPRODUCT(--($AL206:$AP206&gt;AN206))+SUMPRODUCT(--($AL206:AN206=AN206))=2,3,IF(SUMPRODUCT(--($AL206:$AP206&gt;AO206))+SUMPRODUCT(--($AL206:AO206=AO206))=2,4,5)))),"")</f>
        <v/>
      </c>
      <c r="AS206" s="59" t="str">
        <f aca="false">IF($AJ206=Constants!$B$7,IF(SUMPRODUCT(--($AL206:$AP206&gt;AL206))+SUMPRODUCT(--($AL206:AL206=AL206))=3,1,IF(SUMPRODUCT(--($AL206:$AP206&gt;AM206))+SUMPRODUCT(--($AL206:AM206=AM206))=3,2,IF(SUMPRODUCT(--($AL206:$AP206&gt;AN206))+SUMPRODUCT(--($AL206:AN206=AN206))=3,3,IF(SUMPRODUCT(--($AL206:$AP206&gt;AO206))+SUMPRODUCT(--($AL206:AO206=AO206))=3,4,5)))),"")</f>
        <v/>
      </c>
      <c r="AT206" s="59" t="str">
        <f aca="false">IF($AJ206=Constants!$B$7,LARGE(AL206:AP206,1)+LARGE(AL206:AP206,2)+LARGE(AL206:AP206,3),"")</f>
        <v/>
      </c>
      <c r="AU206" s="59" t="str">
        <f aca="false">IF(ISBLANK($C206),"",IF($AJ206&lt;&gt;Constants!$B$7,$AJ206,AT206*W206))</f>
        <v/>
      </c>
      <c r="AV206" s="59" t="str">
        <f aca="false">IF(ISBLANK($C206),"",IF($AJ206=Constants!$B$7,IF(ISNUMBER(AU206),RANK(AU206,$AU$8:$AU$507),Constants!$B$14),$AJ206))</f>
        <v/>
      </c>
      <c r="AW206" s="59" t="str">
        <f aca="false">IF(ISBLANK($C206),"",IF($AJ206=Constants!$B$7,IF(ISNUMBER(AV206),COUNTIFS($AK$8:$AK$507,"&lt;"&amp;$AK206)+COUNTIFS($AK$8:$AK$507,$AK206,$AV$8:$AV$507,"&lt;"&amp;$AV206)+1,Constants!$B$14),$AJ206))</f>
        <v/>
      </c>
      <c r="AX206" s="59" t="str">
        <f aca="false">IF(ISBLANK($C206),"",IF($AJ206=Constants!$B$7,LARGE(AL206:AP206,4)*W206,""))</f>
        <v/>
      </c>
      <c r="AY206" s="59" t="str">
        <f aca="false">IF(ISBLANK($C206),"",IF($AJ206=Constants!$B$7,RANK(AX206,$AX$8:$AX$507),$AJ206))</f>
        <v/>
      </c>
      <c r="AZ206" s="59" t="str">
        <f aca="false">IF(ISBLANK($C206),"",IF($AJ206=Constants!$B$7,IF(ISNUMBER(AV206),COUNTIFS($AK$8:$AK$507,"&lt;"&amp;$AK206)+COUNTIFS($AK$8:$AK$507,$AK206,$AV$8:$AV$507,"&lt;"&amp;$AV206)+COUNTIFS($AK$8:$AK$507,$AK206,$AV$8:$AV$507,$AV206,$AY$8:$AY$507,"&lt;"&amp;$AY206)+1,Constants!$B$14),$AJ206))</f>
        <v/>
      </c>
      <c r="BA206" s="59" t="str">
        <f aca="false">IF(ISBLANK($C206),"",IF($AJ206=Constants!$B$7,IF(ISNUMBER(AW206),AW206-AZ206,Constants!$B$14),$AJ206))</f>
        <v/>
      </c>
      <c r="BB206" s="61"/>
      <c r="BC206" s="62" t="str">
        <f aca="false">IF(ISBLANK($C206),"",IF($AJ206&lt;&gt;Constants!$B$7,$AJ206,SMALL(AQ206:AS206,1)&amp;", "&amp;SMALL(AQ206:AS206,2)&amp;", "&amp;SMALL(AQ206:AS206,3)))</f>
        <v/>
      </c>
      <c r="BD206" s="63" t="str">
        <f aca="false">IF(ISBLANK($C206),"",IF($AJ206&lt;&gt;Constants!$B$7,$AJ206,W206))</f>
        <v/>
      </c>
      <c r="BE206" s="64" t="str">
        <f aca="false">IF(ISBLANK($C206),"",IF($AJ206&lt;&gt;Constants!$B$7,$AJ206,AU206))</f>
        <v/>
      </c>
      <c r="BF206" s="65" t="str">
        <f aca="false">IF(ISBLANK($C206),"",IF($AJ206&lt;&gt;Constants!$B$7,$AJ206,AK206))</f>
        <v/>
      </c>
      <c r="BG206" s="63" t="str">
        <f aca="false">IF(ISBLANK($C206),"",BA206)</f>
        <v/>
      </c>
      <c r="BH206" s="63" t="str">
        <f aca="false">IF(ISBLANK($C206),"",AZ206)</f>
        <v/>
      </c>
      <c r="BI206" s="66" t="str">
        <f aca="false">IF(ISBLANK($C206),"",IF(BH206=Constants!$B$4,COUNTA($C$8:$C$507)+2,IF(BH206=Constants!$B$5,COUNTA($C$8:$C$507)+1,IF(BH206=Constants!$B$6,COUNTA($C$8:$C$507),BH206))))</f>
        <v/>
      </c>
      <c r="BJ206" s="5"/>
      <c r="BK206" s="67" t="n">
        <f aca="false">IF(OR(ISNUMBER(BH206),BH206=Constants!$B$4,BH206=Constants!$B$6,BH206=Constants!$B$5),1,0)</f>
        <v>0</v>
      </c>
      <c r="BL206" s="67" t="n">
        <v>199</v>
      </c>
      <c r="BM206" s="67" t="str">
        <f aca="false">IF(ISBLANK($C206),"",IF(ISNUMBER(BI206),BI206+ROW($B206)/1000,""))</f>
        <v/>
      </c>
      <c r="BN206" s="67" t="str">
        <f aca="false">IF(ISNUMBER(BM206),RANK(BM206,$BM$8:$BM$507,1),"")</f>
        <v/>
      </c>
      <c r="BO206" s="67" t="str">
        <f aca="false">IF(ISBLANK($C206),"",$B206)</f>
        <v/>
      </c>
      <c r="BP206" s="67" t="str">
        <f aca="false">IF(ISBLANK($C206),"",$C206)</f>
        <v/>
      </c>
      <c r="BQ206" s="67" t="str">
        <f aca="false">IF(ISBLANK($C206),"",$D206)</f>
        <v/>
      </c>
      <c r="BR206" s="68" t="str">
        <f aca="false">BF206</f>
        <v/>
      </c>
      <c r="BS206" s="69" t="str">
        <f aca="false">BE206</f>
        <v/>
      </c>
      <c r="BT206" s="67" t="str">
        <f aca="false">IF(ISBLANK($C206),"",BH206)</f>
        <v/>
      </c>
      <c r="BU206" s="70" t="str">
        <f aca="false">IF($BL206&gt;$BK$7,"",VLOOKUP($BL206,$BN$8:$BT$507,7,FALSE()))</f>
        <v/>
      </c>
      <c r="BV206" s="71" t="str">
        <f aca="false">IF($BL206&gt;$BK$7,"",VLOOKUP($BL206,$BN$8:$BT$507,2,FALSE()))</f>
        <v/>
      </c>
      <c r="BW206" s="71" t="str">
        <f aca="false">IF($BL206&gt;$BK$7,"",VLOOKUP($BL206,$BN$8:$BT$507,3,FALSE()))</f>
        <v/>
      </c>
      <c r="BX206" s="71" t="str">
        <f aca="false">IF($BL206&gt;$BK$7,"",VLOOKUP($BL206,$BN$8:$BT$507,4,FALSE()))</f>
        <v/>
      </c>
      <c r="BY206" s="71" t="str">
        <f aca="false">IF($BL206&gt;$BK$7,"",VLOOKUP($BL206,$BN$8:$BT$507,5,FALSE()))</f>
        <v/>
      </c>
      <c r="BZ206" s="72" t="str">
        <f aca="false">IF($BL206&gt;$BK$7,"",VLOOKUP($BL206,$BN$8:$BT$507,6,FALSE()))</f>
        <v/>
      </c>
      <c r="CA206" s="48"/>
    </row>
    <row r="207" customFormat="false" ht="15.75" hidden="false" customHeight="false" outlineLevel="0" collapsed="false">
      <c r="A207" s="5"/>
      <c r="B207" s="121"/>
      <c r="C207" s="50"/>
      <c r="D207" s="51"/>
      <c r="E207" s="74"/>
      <c r="F207" s="122"/>
      <c r="G207" s="54"/>
      <c r="H207" s="123"/>
      <c r="I207" s="124"/>
      <c r="J207" s="54"/>
      <c r="K207" s="123"/>
      <c r="L207" s="54"/>
      <c r="M207" s="123"/>
      <c r="N207" s="54"/>
      <c r="O207" s="123"/>
      <c r="P207" s="54"/>
      <c r="Q207" s="123"/>
      <c r="R207" s="54"/>
      <c r="S207" s="74"/>
      <c r="T207" s="58"/>
      <c r="U207" s="59" t="str">
        <f aca="false">IF(ISBLANK($C207),"",IF(E207=Constants!$B$2, TRUE(), IF(E207=Constants!$B$3, FALSE(), TRUE())))</f>
        <v/>
      </c>
      <c r="V207" s="59" t="str">
        <f aca="false">IF(ISBLANK($C207),"",IF(F207=Constants!$B$2, TRUE(), IF(F207=Constants!$B$3, FALSE(), TRUE())))</f>
        <v/>
      </c>
      <c r="W207" s="59" t="str">
        <f aca="false">IF(ISBLANK($C207),"",IF(G207=Constants!$B$15,Constants!$B$8,IF(G207=Constants!$B$16,Constants!$B$9,Constants!$B$10)))</f>
        <v/>
      </c>
      <c r="X207" s="59" t="str">
        <f aca="false">IF(ISBLANK($C207),"",IF(H207=Constants!$B$2, TRUE(), IF(H207=Constants!$B$3, FALSE(), TRUE())))</f>
        <v/>
      </c>
      <c r="Y207" s="59" t="str">
        <f aca="false">IF(ISBLANK($C207),"",IF(I207=Constants!$B$19,Constants!$B$19,Constants!$B$18))</f>
        <v/>
      </c>
      <c r="Z207" s="59" t="str">
        <f aca="false">IF(ISBLANK($C207),"",IF(ISNUMBER(J207),IF(J207&gt;=0,J207,""),""))</f>
        <v/>
      </c>
      <c r="AA207" s="59" t="str">
        <f aca="false">IF(ISBLANK($C207),"",IF(K207=Constants!$B$19,Constants!$B$19,Constants!$B$18))</f>
        <v/>
      </c>
      <c r="AB207" s="59" t="str">
        <f aca="false">IF(ISBLANK($C207),"",IF(ISNUMBER(L207),IF(L207&gt;=0,L207,""),""))</f>
        <v/>
      </c>
      <c r="AC207" s="59" t="str">
        <f aca="false">IF(ISBLANK($C207),"",IF(M207=Constants!$B$19,Constants!$B$19,Constants!$B$18))</f>
        <v/>
      </c>
      <c r="AD207" s="59" t="str">
        <f aca="false">IF(ISBLANK($C207),"",IF(ISNUMBER(N207),IF(N207&gt;=0,N207,""),""))</f>
        <v/>
      </c>
      <c r="AE207" s="59" t="str">
        <f aca="false">IF(ISBLANK($C207),"",IF(O207=Constants!$B$19,Constants!$B$19,Constants!$B$18))</f>
        <v/>
      </c>
      <c r="AF207" s="59" t="str">
        <f aca="false">IF(ISBLANK($C207),"",IF(ISNUMBER(P207),IF(P207&gt;=0,P207,""),""))</f>
        <v/>
      </c>
      <c r="AG207" s="59" t="str">
        <f aca="false">IF(ISBLANK($C207),"",IF(Q207=Constants!$B$19,Constants!$B$19,Constants!$B$18))</f>
        <v/>
      </c>
      <c r="AH207" s="59" t="str">
        <f aca="false">IF(ISBLANK($C207),"",IF(ISNUMBER(R207),IF(R207&gt;=0,R207,""),""))</f>
        <v/>
      </c>
      <c r="AI207" s="59" t="str">
        <f aca="false">IF(ISBLANK($C207),"",IF(S207=Constants!$B$2, TRUE(), IF(S207=Constants!$B$3, FALSE(), FALSE())))</f>
        <v/>
      </c>
      <c r="AJ207" s="59" t="str">
        <f aca="false">IF(ISBLANK($C207),"",IF(AI207,Constants!$B$4,IF(COUNTA(E207:R207)=0,Constants!$B$5,IF(COUNTA(J207,L207,N207,P207,R207)=0,Constants!$B$6,Constants!$B$7))))</f>
        <v/>
      </c>
      <c r="AK207" s="59" t="str">
        <f aca="false">IF(ISBLANK($C207),"",IF($AJ207&lt;&gt;Constants!$B$7,$AJ207,IF(OR(NOT(X207),AND(NOT(U207),COUNTIFS(Y207:AG207,Constants!$B$18,Z207:AH207,"&gt;=0")&gt;0),AND(NOT(V207),COUNTIFS(Y207:AG207,Constants!$B$19,Z207:AH207,"&gt;=0")&gt;0)),Constants!$B$12,Constants!$B$11)))</f>
        <v/>
      </c>
      <c r="AL207" s="59" t="str">
        <f aca="false">IF($AJ207=Constants!$B$7,IF(Z207="",Constants!$B$13,Z207),"")</f>
        <v/>
      </c>
      <c r="AM207" s="59" t="str">
        <f aca="false">IF($AJ207=Constants!$B$7,IF(AB207="",Constants!$B$13,AB207),"")</f>
        <v/>
      </c>
      <c r="AN207" s="59" t="str">
        <f aca="false">IF($AJ207=Constants!$B$7,IF(AD207="",Constants!$B$13,AD207),"")</f>
        <v/>
      </c>
      <c r="AO207" s="59" t="str">
        <f aca="false">IF($AJ207=Constants!$B$7,IF(AF207="",Constants!$B$13,AF207),"")</f>
        <v/>
      </c>
      <c r="AP207" s="59" t="str">
        <f aca="false">IF($AJ207=Constants!$B$7,IF(AH207="",Constants!$B$13,AH207),"")</f>
        <v/>
      </c>
      <c r="AQ207" s="59" t="str">
        <f aca="false">IF($AJ207=Constants!$B$7,IF(SUMPRODUCT(--($AL207:$AP207&gt;AL207))+SUMPRODUCT(--($AL207:AL207=AL207))=1,1,IF(SUMPRODUCT(--($AL207:$AP207&gt;AM207))+SUMPRODUCT(--($AL207:AM207=AM207))=1,2,IF(SUMPRODUCT(--($AL207:$AP207&gt;AN207))+SUMPRODUCT(--($AL207:AN207=AN207))=1,3,IF(SUMPRODUCT(--($AL207:$AP207&gt;AO207))+SUMPRODUCT(--($AL207:AO207=AO207))=1,4,5)))),"")</f>
        <v/>
      </c>
      <c r="AR207" s="59" t="str">
        <f aca="false">IF($AJ207=Constants!$B$7,IF(SUMPRODUCT(--($AL207:$AP207&gt;AL207))+SUMPRODUCT(--($AL207:AL207=AL207))=2,1,IF(SUMPRODUCT(--($AL207:$AP207&gt;AM207))+SUMPRODUCT(--($AL207:AM207=AM207))=2,2,IF(SUMPRODUCT(--($AL207:$AP207&gt;AN207))+SUMPRODUCT(--($AL207:AN207=AN207))=2,3,IF(SUMPRODUCT(--($AL207:$AP207&gt;AO207))+SUMPRODUCT(--($AL207:AO207=AO207))=2,4,5)))),"")</f>
        <v/>
      </c>
      <c r="AS207" s="59" t="str">
        <f aca="false">IF($AJ207=Constants!$B$7,IF(SUMPRODUCT(--($AL207:$AP207&gt;AL207))+SUMPRODUCT(--($AL207:AL207=AL207))=3,1,IF(SUMPRODUCT(--($AL207:$AP207&gt;AM207))+SUMPRODUCT(--($AL207:AM207=AM207))=3,2,IF(SUMPRODUCT(--($AL207:$AP207&gt;AN207))+SUMPRODUCT(--($AL207:AN207=AN207))=3,3,IF(SUMPRODUCT(--($AL207:$AP207&gt;AO207))+SUMPRODUCT(--($AL207:AO207=AO207))=3,4,5)))),"")</f>
        <v/>
      </c>
      <c r="AT207" s="59" t="str">
        <f aca="false">IF($AJ207=Constants!$B$7,LARGE(AL207:AP207,1)+LARGE(AL207:AP207,2)+LARGE(AL207:AP207,3),"")</f>
        <v/>
      </c>
      <c r="AU207" s="59" t="str">
        <f aca="false">IF(ISBLANK($C207),"",IF($AJ207&lt;&gt;Constants!$B$7,$AJ207,AT207*W207))</f>
        <v/>
      </c>
      <c r="AV207" s="59" t="str">
        <f aca="false">IF(ISBLANK($C207),"",IF($AJ207=Constants!$B$7,IF(ISNUMBER(AU207),RANK(AU207,$AU$8:$AU$507),Constants!$B$14),$AJ207))</f>
        <v/>
      </c>
      <c r="AW207" s="59" t="str">
        <f aca="false">IF(ISBLANK($C207),"",IF($AJ207=Constants!$B$7,IF(ISNUMBER(AV207),COUNTIFS($AK$8:$AK$507,"&lt;"&amp;$AK207)+COUNTIFS($AK$8:$AK$507,$AK207,$AV$8:$AV$507,"&lt;"&amp;$AV207)+1,Constants!$B$14),$AJ207))</f>
        <v/>
      </c>
      <c r="AX207" s="59" t="str">
        <f aca="false">IF(ISBLANK($C207),"",IF($AJ207=Constants!$B$7,LARGE(AL207:AP207,4)*W207,""))</f>
        <v/>
      </c>
      <c r="AY207" s="59" t="str">
        <f aca="false">IF(ISBLANK($C207),"",IF($AJ207=Constants!$B$7,RANK(AX207,$AX$8:$AX$507),$AJ207))</f>
        <v/>
      </c>
      <c r="AZ207" s="59" t="str">
        <f aca="false">IF(ISBLANK($C207),"",IF($AJ207=Constants!$B$7,IF(ISNUMBER(AV207),COUNTIFS($AK$8:$AK$507,"&lt;"&amp;$AK207)+COUNTIFS($AK$8:$AK$507,$AK207,$AV$8:$AV$507,"&lt;"&amp;$AV207)+COUNTIFS($AK$8:$AK$507,$AK207,$AV$8:$AV$507,$AV207,$AY$8:$AY$507,"&lt;"&amp;$AY207)+1,Constants!$B$14),$AJ207))</f>
        <v/>
      </c>
      <c r="BA207" s="59" t="str">
        <f aca="false">IF(ISBLANK($C207),"",IF($AJ207=Constants!$B$7,IF(ISNUMBER(AW207),AW207-AZ207,Constants!$B$14),$AJ207))</f>
        <v/>
      </c>
      <c r="BB207" s="61"/>
      <c r="BC207" s="62" t="str">
        <f aca="false">IF(ISBLANK($C207),"",IF($AJ207&lt;&gt;Constants!$B$7,$AJ207,SMALL(AQ207:AS207,1)&amp;", "&amp;SMALL(AQ207:AS207,2)&amp;", "&amp;SMALL(AQ207:AS207,3)))</f>
        <v/>
      </c>
      <c r="BD207" s="63" t="str">
        <f aca="false">IF(ISBLANK($C207),"",IF($AJ207&lt;&gt;Constants!$B$7,$AJ207,W207))</f>
        <v/>
      </c>
      <c r="BE207" s="64" t="str">
        <f aca="false">IF(ISBLANK($C207),"",IF($AJ207&lt;&gt;Constants!$B$7,$AJ207,AU207))</f>
        <v/>
      </c>
      <c r="BF207" s="65" t="str">
        <f aca="false">IF(ISBLANK($C207),"",IF($AJ207&lt;&gt;Constants!$B$7,$AJ207,AK207))</f>
        <v/>
      </c>
      <c r="BG207" s="63" t="str">
        <f aca="false">IF(ISBLANK($C207),"",BA207)</f>
        <v/>
      </c>
      <c r="BH207" s="63" t="str">
        <f aca="false">IF(ISBLANK($C207),"",AZ207)</f>
        <v/>
      </c>
      <c r="BI207" s="66" t="str">
        <f aca="false">IF(ISBLANK($C207),"",IF(BH207=Constants!$B$4,COUNTA($C$8:$C$507)+2,IF(BH207=Constants!$B$5,COUNTA($C$8:$C$507)+1,IF(BH207=Constants!$B$6,COUNTA($C$8:$C$507),BH207))))</f>
        <v/>
      </c>
      <c r="BJ207" s="5"/>
      <c r="BK207" s="67" t="n">
        <f aca="false">IF(OR(ISNUMBER(BH207),BH207=Constants!$B$4,BH207=Constants!$B$6,BH207=Constants!$B$5),1,0)</f>
        <v>0</v>
      </c>
      <c r="BL207" s="67" t="n">
        <v>200</v>
      </c>
      <c r="BM207" s="67" t="str">
        <f aca="false">IF(ISBLANK($C207),"",IF(ISNUMBER(BI207),BI207+ROW($B207)/1000,""))</f>
        <v/>
      </c>
      <c r="BN207" s="67" t="str">
        <f aca="false">IF(ISNUMBER(BM207),RANK(BM207,$BM$8:$BM$507,1),"")</f>
        <v/>
      </c>
      <c r="BO207" s="67" t="str">
        <f aca="false">IF(ISBLANK($C207),"",$B207)</f>
        <v/>
      </c>
      <c r="BP207" s="67" t="str">
        <f aca="false">IF(ISBLANK($C207),"",$C207)</f>
        <v/>
      </c>
      <c r="BQ207" s="67" t="str">
        <f aca="false">IF(ISBLANK($C207),"",$D207)</f>
        <v/>
      </c>
      <c r="BR207" s="68" t="str">
        <f aca="false">BF207</f>
        <v/>
      </c>
      <c r="BS207" s="69" t="str">
        <f aca="false">BE207</f>
        <v/>
      </c>
      <c r="BT207" s="67" t="str">
        <f aca="false">IF(ISBLANK($C207),"",BH207)</f>
        <v/>
      </c>
      <c r="BU207" s="70" t="str">
        <f aca="false">IF($BL207&gt;$BK$7,"",VLOOKUP($BL207,$BN$8:$BT$507,7,FALSE()))</f>
        <v/>
      </c>
      <c r="BV207" s="71" t="str">
        <f aca="false">IF($BL207&gt;$BK$7,"",VLOOKUP($BL207,$BN$8:$BT$507,2,FALSE()))</f>
        <v/>
      </c>
      <c r="BW207" s="71" t="str">
        <f aca="false">IF($BL207&gt;$BK$7,"",VLOOKUP($BL207,$BN$8:$BT$507,3,FALSE()))</f>
        <v/>
      </c>
      <c r="BX207" s="71" t="str">
        <f aca="false">IF($BL207&gt;$BK$7,"",VLOOKUP($BL207,$BN$8:$BT$507,4,FALSE()))</f>
        <v/>
      </c>
      <c r="BY207" s="71" t="str">
        <f aca="false">IF($BL207&gt;$BK$7,"",VLOOKUP($BL207,$BN$8:$BT$507,5,FALSE()))</f>
        <v/>
      </c>
      <c r="BZ207" s="72" t="str">
        <f aca="false">IF($BL207&gt;$BK$7,"",VLOOKUP($BL207,$BN$8:$BT$507,6,FALSE()))</f>
        <v/>
      </c>
      <c r="CA207" s="48"/>
    </row>
    <row r="208" customFormat="false" ht="15.75" hidden="false" customHeight="false" outlineLevel="0" collapsed="false">
      <c r="A208" s="5"/>
      <c r="B208" s="121"/>
      <c r="C208" s="50"/>
      <c r="D208" s="51"/>
      <c r="E208" s="74"/>
      <c r="F208" s="122"/>
      <c r="G208" s="54"/>
      <c r="H208" s="123"/>
      <c r="I208" s="124"/>
      <c r="J208" s="54"/>
      <c r="K208" s="123"/>
      <c r="L208" s="54"/>
      <c r="M208" s="123"/>
      <c r="N208" s="54"/>
      <c r="O208" s="123"/>
      <c r="P208" s="54"/>
      <c r="Q208" s="123"/>
      <c r="R208" s="54"/>
      <c r="S208" s="74"/>
      <c r="T208" s="58"/>
      <c r="U208" s="59" t="str">
        <f aca="false">IF(ISBLANK($C208),"",IF(E208=Constants!$B$2, TRUE(), IF(E208=Constants!$B$3, FALSE(), TRUE())))</f>
        <v/>
      </c>
      <c r="V208" s="59" t="str">
        <f aca="false">IF(ISBLANK($C208),"",IF(F208=Constants!$B$2, TRUE(), IF(F208=Constants!$B$3, FALSE(), TRUE())))</f>
        <v/>
      </c>
      <c r="W208" s="59" t="str">
        <f aca="false">IF(ISBLANK($C208),"",IF(G208=Constants!$B$15,Constants!$B$8,IF(G208=Constants!$B$16,Constants!$B$9,Constants!$B$10)))</f>
        <v/>
      </c>
      <c r="X208" s="59" t="str">
        <f aca="false">IF(ISBLANK($C208),"",IF(H208=Constants!$B$2, TRUE(), IF(H208=Constants!$B$3, FALSE(), TRUE())))</f>
        <v/>
      </c>
      <c r="Y208" s="59" t="str">
        <f aca="false">IF(ISBLANK($C208),"",IF(I208=Constants!$B$19,Constants!$B$19,Constants!$B$18))</f>
        <v/>
      </c>
      <c r="Z208" s="59" t="str">
        <f aca="false">IF(ISBLANK($C208),"",IF(ISNUMBER(J208),IF(J208&gt;=0,J208,""),""))</f>
        <v/>
      </c>
      <c r="AA208" s="59" t="str">
        <f aca="false">IF(ISBLANK($C208),"",IF(K208=Constants!$B$19,Constants!$B$19,Constants!$B$18))</f>
        <v/>
      </c>
      <c r="AB208" s="59" t="str">
        <f aca="false">IF(ISBLANK($C208),"",IF(ISNUMBER(L208),IF(L208&gt;=0,L208,""),""))</f>
        <v/>
      </c>
      <c r="AC208" s="59" t="str">
        <f aca="false">IF(ISBLANK($C208),"",IF(M208=Constants!$B$19,Constants!$B$19,Constants!$B$18))</f>
        <v/>
      </c>
      <c r="AD208" s="59" t="str">
        <f aca="false">IF(ISBLANK($C208),"",IF(ISNUMBER(N208),IF(N208&gt;=0,N208,""),""))</f>
        <v/>
      </c>
      <c r="AE208" s="59" t="str">
        <f aca="false">IF(ISBLANK($C208),"",IF(O208=Constants!$B$19,Constants!$B$19,Constants!$B$18))</f>
        <v/>
      </c>
      <c r="AF208" s="59" t="str">
        <f aca="false">IF(ISBLANK($C208),"",IF(ISNUMBER(P208),IF(P208&gt;=0,P208,""),""))</f>
        <v/>
      </c>
      <c r="AG208" s="59" t="str">
        <f aca="false">IF(ISBLANK($C208),"",IF(Q208=Constants!$B$19,Constants!$B$19,Constants!$B$18))</f>
        <v/>
      </c>
      <c r="AH208" s="59" t="str">
        <f aca="false">IF(ISBLANK($C208),"",IF(ISNUMBER(R208),IF(R208&gt;=0,R208,""),""))</f>
        <v/>
      </c>
      <c r="AI208" s="59" t="str">
        <f aca="false">IF(ISBLANK($C208),"",IF(S208=Constants!$B$2, TRUE(), IF(S208=Constants!$B$3, FALSE(), FALSE())))</f>
        <v/>
      </c>
      <c r="AJ208" s="59" t="str">
        <f aca="false">IF(ISBLANK($C208),"",IF(AI208,Constants!$B$4,IF(COUNTA(E208:R208)=0,Constants!$B$5,IF(COUNTA(J208,L208,N208,P208,R208)=0,Constants!$B$6,Constants!$B$7))))</f>
        <v/>
      </c>
      <c r="AK208" s="59" t="str">
        <f aca="false">IF(ISBLANK($C208),"",IF($AJ208&lt;&gt;Constants!$B$7,$AJ208,IF(OR(NOT(X208),AND(NOT(U208),COUNTIFS(Y208:AG208,Constants!$B$18,Z208:AH208,"&gt;=0")&gt;0),AND(NOT(V208),COUNTIFS(Y208:AG208,Constants!$B$19,Z208:AH208,"&gt;=0")&gt;0)),Constants!$B$12,Constants!$B$11)))</f>
        <v/>
      </c>
      <c r="AL208" s="59" t="str">
        <f aca="false">IF($AJ208=Constants!$B$7,IF(Z208="",Constants!$B$13,Z208),"")</f>
        <v/>
      </c>
      <c r="AM208" s="59" t="str">
        <f aca="false">IF($AJ208=Constants!$B$7,IF(AB208="",Constants!$B$13,AB208),"")</f>
        <v/>
      </c>
      <c r="AN208" s="59" t="str">
        <f aca="false">IF($AJ208=Constants!$B$7,IF(AD208="",Constants!$B$13,AD208),"")</f>
        <v/>
      </c>
      <c r="AO208" s="59" t="str">
        <f aca="false">IF($AJ208=Constants!$B$7,IF(AF208="",Constants!$B$13,AF208),"")</f>
        <v/>
      </c>
      <c r="AP208" s="59" t="str">
        <f aca="false">IF($AJ208=Constants!$B$7,IF(AH208="",Constants!$B$13,AH208),"")</f>
        <v/>
      </c>
      <c r="AQ208" s="59" t="str">
        <f aca="false">IF($AJ208=Constants!$B$7,IF(SUMPRODUCT(--($AL208:$AP208&gt;AL208))+SUMPRODUCT(--($AL208:AL208=AL208))=1,1,IF(SUMPRODUCT(--($AL208:$AP208&gt;AM208))+SUMPRODUCT(--($AL208:AM208=AM208))=1,2,IF(SUMPRODUCT(--($AL208:$AP208&gt;AN208))+SUMPRODUCT(--($AL208:AN208=AN208))=1,3,IF(SUMPRODUCT(--($AL208:$AP208&gt;AO208))+SUMPRODUCT(--($AL208:AO208=AO208))=1,4,5)))),"")</f>
        <v/>
      </c>
      <c r="AR208" s="59" t="str">
        <f aca="false">IF($AJ208=Constants!$B$7,IF(SUMPRODUCT(--($AL208:$AP208&gt;AL208))+SUMPRODUCT(--($AL208:AL208=AL208))=2,1,IF(SUMPRODUCT(--($AL208:$AP208&gt;AM208))+SUMPRODUCT(--($AL208:AM208=AM208))=2,2,IF(SUMPRODUCT(--($AL208:$AP208&gt;AN208))+SUMPRODUCT(--($AL208:AN208=AN208))=2,3,IF(SUMPRODUCT(--($AL208:$AP208&gt;AO208))+SUMPRODUCT(--($AL208:AO208=AO208))=2,4,5)))),"")</f>
        <v/>
      </c>
      <c r="AS208" s="59" t="str">
        <f aca="false">IF($AJ208=Constants!$B$7,IF(SUMPRODUCT(--($AL208:$AP208&gt;AL208))+SUMPRODUCT(--($AL208:AL208=AL208))=3,1,IF(SUMPRODUCT(--($AL208:$AP208&gt;AM208))+SUMPRODUCT(--($AL208:AM208=AM208))=3,2,IF(SUMPRODUCT(--($AL208:$AP208&gt;AN208))+SUMPRODUCT(--($AL208:AN208=AN208))=3,3,IF(SUMPRODUCT(--($AL208:$AP208&gt;AO208))+SUMPRODUCT(--($AL208:AO208=AO208))=3,4,5)))),"")</f>
        <v/>
      </c>
      <c r="AT208" s="59" t="str">
        <f aca="false">IF($AJ208=Constants!$B$7,LARGE(AL208:AP208,1)+LARGE(AL208:AP208,2)+LARGE(AL208:AP208,3),"")</f>
        <v/>
      </c>
      <c r="AU208" s="59" t="str">
        <f aca="false">IF(ISBLANK($C208),"",IF($AJ208&lt;&gt;Constants!$B$7,$AJ208,AT208*W208))</f>
        <v/>
      </c>
      <c r="AV208" s="59" t="str">
        <f aca="false">IF(ISBLANK($C208),"",IF($AJ208=Constants!$B$7,IF(ISNUMBER(AU208),RANK(AU208,$AU$8:$AU$507),Constants!$B$14),$AJ208))</f>
        <v/>
      </c>
      <c r="AW208" s="59" t="str">
        <f aca="false">IF(ISBLANK($C208),"",IF($AJ208=Constants!$B$7,IF(ISNUMBER(AV208),COUNTIFS($AK$8:$AK$507,"&lt;"&amp;$AK208)+COUNTIFS($AK$8:$AK$507,$AK208,$AV$8:$AV$507,"&lt;"&amp;$AV208)+1,Constants!$B$14),$AJ208))</f>
        <v/>
      </c>
      <c r="AX208" s="59" t="str">
        <f aca="false">IF(ISBLANK($C208),"",IF($AJ208=Constants!$B$7,LARGE(AL208:AP208,4)*W208,""))</f>
        <v/>
      </c>
      <c r="AY208" s="59" t="str">
        <f aca="false">IF(ISBLANK($C208),"",IF($AJ208=Constants!$B$7,RANK(AX208,$AX$8:$AX$507),$AJ208))</f>
        <v/>
      </c>
      <c r="AZ208" s="59" t="str">
        <f aca="false">IF(ISBLANK($C208),"",IF($AJ208=Constants!$B$7,IF(ISNUMBER(AV208),COUNTIFS($AK$8:$AK$507,"&lt;"&amp;$AK208)+COUNTIFS($AK$8:$AK$507,$AK208,$AV$8:$AV$507,"&lt;"&amp;$AV208)+COUNTIFS($AK$8:$AK$507,$AK208,$AV$8:$AV$507,$AV208,$AY$8:$AY$507,"&lt;"&amp;$AY208)+1,Constants!$B$14),$AJ208))</f>
        <v/>
      </c>
      <c r="BA208" s="59" t="str">
        <f aca="false">IF(ISBLANK($C208),"",IF($AJ208=Constants!$B$7,IF(ISNUMBER(AW208),AW208-AZ208,Constants!$B$14),$AJ208))</f>
        <v/>
      </c>
      <c r="BB208" s="61"/>
      <c r="BC208" s="62" t="str">
        <f aca="false">IF(ISBLANK($C208),"",IF($AJ208&lt;&gt;Constants!$B$7,$AJ208,SMALL(AQ208:AS208,1)&amp;", "&amp;SMALL(AQ208:AS208,2)&amp;", "&amp;SMALL(AQ208:AS208,3)))</f>
        <v/>
      </c>
      <c r="BD208" s="63" t="str">
        <f aca="false">IF(ISBLANK($C208),"",IF($AJ208&lt;&gt;Constants!$B$7,$AJ208,W208))</f>
        <v/>
      </c>
      <c r="BE208" s="64" t="str">
        <f aca="false">IF(ISBLANK($C208),"",IF($AJ208&lt;&gt;Constants!$B$7,$AJ208,AU208))</f>
        <v/>
      </c>
      <c r="BF208" s="65" t="str">
        <f aca="false">IF(ISBLANK($C208),"",IF($AJ208&lt;&gt;Constants!$B$7,$AJ208,AK208))</f>
        <v/>
      </c>
      <c r="BG208" s="63" t="str">
        <f aca="false">IF(ISBLANK($C208),"",BA208)</f>
        <v/>
      </c>
      <c r="BH208" s="63" t="str">
        <f aca="false">IF(ISBLANK($C208),"",AZ208)</f>
        <v/>
      </c>
      <c r="BI208" s="66" t="str">
        <f aca="false">IF(ISBLANK($C208),"",IF(BH208=Constants!$B$4,COUNTA($C$8:$C$507)+2,IF(BH208=Constants!$B$5,COUNTA($C$8:$C$507)+1,IF(BH208=Constants!$B$6,COUNTA($C$8:$C$507),BH208))))</f>
        <v/>
      </c>
      <c r="BJ208" s="5"/>
      <c r="BK208" s="67" t="n">
        <f aca="false">IF(OR(ISNUMBER(BH208),BH208=Constants!$B$4,BH208=Constants!$B$6,BH208=Constants!$B$5),1,0)</f>
        <v>0</v>
      </c>
      <c r="BL208" s="67" t="n">
        <v>201</v>
      </c>
      <c r="BM208" s="67" t="str">
        <f aca="false">IF(ISBLANK($C208),"",IF(ISNUMBER(BI208),BI208+ROW($B208)/1000,""))</f>
        <v/>
      </c>
      <c r="BN208" s="67" t="str">
        <f aca="false">IF(ISNUMBER(BM208),RANK(BM208,$BM$8:$BM$507,1),"")</f>
        <v/>
      </c>
      <c r="BO208" s="67" t="str">
        <f aca="false">IF(ISBLANK($C208),"",$B208)</f>
        <v/>
      </c>
      <c r="BP208" s="67" t="str">
        <f aca="false">IF(ISBLANK($C208),"",$C208)</f>
        <v/>
      </c>
      <c r="BQ208" s="67" t="str">
        <f aca="false">IF(ISBLANK($C208),"",$D208)</f>
        <v/>
      </c>
      <c r="BR208" s="68" t="str">
        <f aca="false">BF208</f>
        <v/>
      </c>
      <c r="BS208" s="69" t="str">
        <f aca="false">BE208</f>
        <v/>
      </c>
      <c r="BT208" s="67" t="str">
        <f aca="false">IF(ISBLANK($C208),"",BH208)</f>
        <v/>
      </c>
      <c r="BU208" s="70" t="str">
        <f aca="false">IF($BL208&gt;$BK$7,"",VLOOKUP($BL208,$BN$8:$BT$507,7,FALSE()))</f>
        <v/>
      </c>
      <c r="BV208" s="71" t="str">
        <f aca="false">IF($BL208&gt;$BK$7,"",VLOOKUP($BL208,$BN$8:$BT$507,2,FALSE()))</f>
        <v/>
      </c>
      <c r="BW208" s="71" t="str">
        <f aca="false">IF($BL208&gt;$BK$7,"",VLOOKUP($BL208,$BN$8:$BT$507,3,FALSE()))</f>
        <v/>
      </c>
      <c r="BX208" s="71" t="str">
        <f aca="false">IF($BL208&gt;$BK$7,"",VLOOKUP($BL208,$BN$8:$BT$507,4,FALSE()))</f>
        <v/>
      </c>
      <c r="BY208" s="71" t="str">
        <f aca="false">IF($BL208&gt;$BK$7,"",VLOOKUP($BL208,$BN$8:$BT$507,5,FALSE()))</f>
        <v/>
      </c>
      <c r="BZ208" s="72" t="str">
        <f aca="false">IF($BL208&gt;$BK$7,"",VLOOKUP($BL208,$BN$8:$BT$507,6,FALSE()))</f>
        <v/>
      </c>
      <c r="CA208" s="48"/>
    </row>
    <row r="209" customFormat="false" ht="15.75" hidden="false" customHeight="false" outlineLevel="0" collapsed="false">
      <c r="A209" s="5"/>
      <c r="B209" s="114"/>
      <c r="C209" s="115"/>
      <c r="D209" s="100"/>
      <c r="E209" s="120"/>
      <c r="F209" s="125"/>
      <c r="G209" s="82"/>
      <c r="H209" s="126"/>
      <c r="I209" s="127"/>
      <c r="J209" s="82"/>
      <c r="K209" s="126"/>
      <c r="L209" s="82"/>
      <c r="M209" s="126"/>
      <c r="N209" s="82"/>
      <c r="O209" s="126"/>
      <c r="P209" s="82"/>
      <c r="Q209" s="126"/>
      <c r="R209" s="82"/>
      <c r="S209" s="120"/>
      <c r="T209" s="86"/>
      <c r="U209" s="87" t="str">
        <f aca="false">IF(ISBLANK($C209),"",IF(E209=Constants!$B$2, TRUE(), IF(E209=Constants!$B$3, FALSE(), TRUE())))</f>
        <v/>
      </c>
      <c r="V209" s="87" t="str">
        <f aca="false">IF(ISBLANK($C209),"",IF(F209=Constants!$B$2, TRUE(), IF(F209=Constants!$B$3, FALSE(), TRUE())))</f>
        <v/>
      </c>
      <c r="W209" s="87" t="str">
        <f aca="false">IF(ISBLANK($C209),"",IF(G209=Constants!$B$15,Constants!$B$8,IF(G209=Constants!$B$16,Constants!$B$9,Constants!$B$10)))</f>
        <v/>
      </c>
      <c r="X209" s="87" t="str">
        <f aca="false">IF(ISBLANK($C209),"",IF(H209=Constants!$B$2, TRUE(), IF(H209=Constants!$B$3, FALSE(), TRUE())))</f>
        <v/>
      </c>
      <c r="Y209" s="87" t="str">
        <f aca="false">IF(ISBLANK($C209),"",IF(I209=Constants!$B$19,Constants!$B$19,Constants!$B$18))</f>
        <v/>
      </c>
      <c r="Z209" s="87" t="str">
        <f aca="false">IF(ISBLANK($C209),"",IF(ISNUMBER(J209),IF(J209&gt;=0,J209,""),""))</f>
        <v/>
      </c>
      <c r="AA209" s="87" t="str">
        <f aca="false">IF(ISBLANK($C209),"",IF(K209=Constants!$B$19,Constants!$B$19,Constants!$B$18))</f>
        <v/>
      </c>
      <c r="AB209" s="87" t="str">
        <f aca="false">IF(ISBLANK($C209),"",IF(ISNUMBER(L209),IF(L209&gt;=0,L209,""),""))</f>
        <v/>
      </c>
      <c r="AC209" s="87" t="str">
        <f aca="false">IF(ISBLANK($C209),"",IF(M209=Constants!$B$19,Constants!$B$19,Constants!$B$18))</f>
        <v/>
      </c>
      <c r="AD209" s="87" t="str">
        <f aca="false">IF(ISBLANK($C209),"",IF(ISNUMBER(N209),IF(N209&gt;=0,N209,""),""))</f>
        <v/>
      </c>
      <c r="AE209" s="87" t="str">
        <f aca="false">IF(ISBLANK($C209),"",IF(O209=Constants!$B$19,Constants!$B$19,Constants!$B$18))</f>
        <v/>
      </c>
      <c r="AF209" s="87" t="str">
        <f aca="false">IF(ISBLANK($C209),"",IF(ISNUMBER(P209),IF(P209&gt;=0,P209,""),""))</f>
        <v/>
      </c>
      <c r="AG209" s="87" t="str">
        <f aca="false">IF(ISBLANK($C209),"",IF(Q209=Constants!$B$19,Constants!$B$19,Constants!$B$18))</f>
        <v/>
      </c>
      <c r="AH209" s="87" t="str">
        <f aca="false">IF(ISBLANK($C209),"",IF(ISNUMBER(R209),IF(R209&gt;=0,R209,""),""))</f>
        <v/>
      </c>
      <c r="AI209" s="87" t="str">
        <f aca="false">IF(ISBLANK($C209),"",IF(S209=Constants!$B$2, TRUE(), IF(S209=Constants!$B$3, FALSE(), FALSE())))</f>
        <v/>
      </c>
      <c r="AJ209" s="87" t="str">
        <f aca="false">IF(ISBLANK($C209),"",IF(AI209,Constants!$B$4,IF(COUNTA(E209:R209)=0,Constants!$B$5,IF(COUNTA(J209,L209,N209,P209,R209)=0,Constants!$B$6,Constants!$B$7))))</f>
        <v/>
      </c>
      <c r="AK209" s="87" t="str">
        <f aca="false">IF(ISBLANK($C209),"",IF($AJ209&lt;&gt;Constants!$B$7,$AJ209,IF(OR(NOT(X209),AND(NOT(U209),COUNTIFS(Y209:AG209,Constants!$B$18,Z209:AH209,"&gt;=0")&gt;0),AND(NOT(V209),COUNTIFS(Y209:AG209,Constants!$B$19,Z209:AH209,"&gt;=0")&gt;0)),Constants!$B$12,Constants!$B$11)))</f>
        <v/>
      </c>
      <c r="AL209" s="87" t="str">
        <f aca="false">IF($AJ209=Constants!$B$7,IF(Z209="",Constants!$B$13,Z209),"")</f>
        <v/>
      </c>
      <c r="AM209" s="87" t="str">
        <f aca="false">IF($AJ209=Constants!$B$7,IF(AB209="",Constants!$B$13,AB209),"")</f>
        <v/>
      </c>
      <c r="AN209" s="87" t="str">
        <f aca="false">IF($AJ209=Constants!$B$7,IF(AD209="",Constants!$B$13,AD209),"")</f>
        <v/>
      </c>
      <c r="AO209" s="87" t="str">
        <f aca="false">IF($AJ209=Constants!$B$7,IF(AF209="",Constants!$B$13,AF209),"")</f>
        <v/>
      </c>
      <c r="AP209" s="87" t="str">
        <f aca="false">IF($AJ209=Constants!$B$7,IF(AH209="",Constants!$B$13,AH209),"")</f>
        <v/>
      </c>
      <c r="AQ209" s="87" t="str">
        <f aca="false">IF($AJ209=Constants!$B$7,IF(SUMPRODUCT(--($AL209:$AP209&gt;AL209))+SUMPRODUCT(--($AL209:AL209=AL209))=1,1,IF(SUMPRODUCT(--($AL209:$AP209&gt;AM209))+SUMPRODUCT(--($AL209:AM209=AM209))=1,2,IF(SUMPRODUCT(--($AL209:$AP209&gt;AN209))+SUMPRODUCT(--($AL209:AN209=AN209))=1,3,IF(SUMPRODUCT(--($AL209:$AP209&gt;AO209))+SUMPRODUCT(--($AL209:AO209=AO209))=1,4,5)))),"")</f>
        <v/>
      </c>
      <c r="AR209" s="87" t="str">
        <f aca="false">IF($AJ209=Constants!$B$7,IF(SUMPRODUCT(--($AL209:$AP209&gt;AL209))+SUMPRODUCT(--($AL209:AL209=AL209))=2,1,IF(SUMPRODUCT(--($AL209:$AP209&gt;AM209))+SUMPRODUCT(--($AL209:AM209=AM209))=2,2,IF(SUMPRODUCT(--($AL209:$AP209&gt;AN209))+SUMPRODUCT(--($AL209:AN209=AN209))=2,3,IF(SUMPRODUCT(--($AL209:$AP209&gt;AO209))+SUMPRODUCT(--($AL209:AO209=AO209))=2,4,5)))),"")</f>
        <v/>
      </c>
      <c r="AS209" s="87" t="str">
        <f aca="false">IF($AJ209=Constants!$B$7,IF(SUMPRODUCT(--($AL209:$AP209&gt;AL209))+SUMPRODUCT(--($AL209:AL209=AL209))=3,1,IF(SUMPRODUCT(--($AL209:$AP209&gt;AM209))+SUMPRODUCT(--($AL209:AM209=AM209))=3,2,IF(SUMPRODUCT(--($AL209:$AP209&gt;AN209))+SUMPRODUCT(--($AL209:AN209=AN209))=3,3,IF(SUMPRODUCT(--($AL209:$AP209&gt;AO209))+SUMPRODUCT(--($AL209:AO209=AO209))=3,4,5)))),"")</f>
        <v/>
      </c>
      <c r="AT209" s="87" t="str">
        <f aca="false">IF($AJ209=Constants!$B$7,LARGE(AL209:AP209,1)+LARGE(AL209:AP209,2)+LARGE(AL209:AP209,3),"")</f>
        <v/>
      </c>
      <c r="AU209" s="87" t="str">
        <f aca="false">IF(ISBLANK($C209),"",IF($AJ209&lt;&gt;Constants!$B$7,$AJ209,AT209*W209))</f>
        <v/>
      </c>
      <c r="AV209" s="87" t="str">
        <f aca="false">IF(ISBLANK($C209),"",IF($AJ209=Constants!$B$7,IF(ISNUMBER(AU209),RANK(AU209,$AU$8:$AU$507),Constants!$B$14),$AJ209))</f>
        <v/>
      </c>
      <c r="AW209" s="87" t="str">
        <f aca="false">IF(ISBLANK($C209),"",IF($AJ209=Constants!$B$7,IF(ISNUMBER(AV209),COUNTIFS($AK$8:$AK$507,"&lt;"&amp;$AK209)+COUNTIFS($AK$8:$AK$507,$AK209,$AV$8:$AV$507,"&lt;"&amp;$AV209)+1,Constants!$B$14),$AJ209))</f>
        <v/>
      </c>
      <c r="AX209" s="87" t="str">
        <f aca="false">IF(ISBLANK($C209),"",IF($AJ209=Constants!$B$7,LARGE(AL209:AP209,4)*W209,""))</f>
        <v/>
      </c>
      <c r="AY209" s="87" t="str">
        <f aca="false">IF(ISBLANK($C209),"",IF($AJ209=Constants!$B$7,RANK(AX209,$AX$8:$AX$507),$AJ209))</f>
        <v/>
      </c>
      <c r="AZ209" s="87" t="str">
        <f aca="false">IF(ISBLANK($C209),"",IF($AJ209=Constants!$B$7,IF(ISNUMBER(AV209),COUNTIFS($AK$8:$AK$507,"&lt;"&amp;$AK209)+COUNTIFS($AK$8:$AK$507,$AK209,$AV$8:$AV$507,"&lt;"&amp;$AV209)+COUNTIFS($AK$8:$AK$507,$AK209,$AV$8:$AV$507,$AV209,$AY$8:$AY$507,"&lt;"&amp;$AY209)+1,Constants!$B$14),$AJ209))</f>
        <v/>
      </c>
      <c r="BA209" s="87" t="str">
        <f aca="false">IF(ISBLANK($C209),"",IF($AJ209=Constants!$B$7,IF(ISNUMBER(AW209),AW209-AZ209,Constants!$B$14),$AJ209))</f>
        <v/>
      </c>
      <c r="BB209" s="88"/>
      <c r="BC209" s="89" t="str">
        <f aca="false">IF(ISBLANK($C209),"",IF($AJ209&lt;&gt;Constants!$B$7,$AJ209,SMALL(AQ209:AS209,1)&amp;", "&amp;SMALL(AQ209:AS209,2)&amp;", "&amp;SMALL(AQ209:AS209,3)))</f>
        <v/>
      </c>
      <c r="BD209" s="90" t="str">
        <f aca="false">IF(ISBLANK($C209),"",IF($AJ209&lt;&gt;Constants!$B$7,$AJ209,W209))</f>
        <v/>
      </c>
      <c r="BE209" s="91" t="str">
        <f aca="false">IF(ISBLANK($C209),"",IF($AJ209&lt;&gt;Constants!$B$7,$AJ209,AU209))</f>
        <v/>
      </c>
      <c r="BF209" s="92" t="str">
        <f aca="false">IF(ISBLANK($C209),"",IF($AJ209&lt;&gt;Constants!$B$7,$AJ209,AK209))</f>
        <v/>
      </c>
      <c r="BG209" s="90" t="str">
        <f aca="false">IF(ISBLANK($C209),"",BA209)</f>
        <v/>
      </c>
      <c r="BH209" s="90" t="str">
        <f aca="false">IF(ISBLANK($C209),"",AZ209)</f>
        <v/>
      </c>
      <c r="BI209" s="93" t="str">
        <f aca="false">IF(ISBLANK($C209),"",IF(BH209=Constants!$B$4,COUNTA($C$8:$C$507)+2,IF(BH209=Constants!$B$5,COUNTA($C$8:$C$507)+1,IF(BH209=Constants!$B$6,COUNTA($C$8:$C$507),BH209))))</f>
        <v/>
      </c>
      <c r="BJ209" s="5"/>
      <c r="BK209" s="94" t="n">
        <f aca="false">IF(OR(ISNUMBER(BH209),BH209=Constants!$B$4,BH209=Constants!$B$6,BH209=Constants!$B$5),1,0)</f>
        <v>0</v>
      </c>
      <c r="BL209" s="94" t="n">
        <v>202</v>
      </c>
      <c r="BM209" s="94" t="str">
        <f aca="false">IF(ISBLANK($C209),"",IF(ISNUMBER(BI209),BI209+ROW($B209)/1000,""))</f>
        <v/>
      </c>
      <c r="BN209" s="94" t="str">
        <f aca="false">IF(ISNUMBER(BM209),RANK(BM209,$BM$8:$BM$507,1),"")</f>
        <v/>
      </c>
      <c r="BO209" s="94" t="str">
        <f aca="false">IF(ISBLANK($C209),"",$B209)</f>
        <v/>
      </c>
      <c r="BP209" s="94" t="str">
        <f aca="false">IF(ISBLANK($C209),"",$C209)</f>
        <v/>
      </c>
      <c r="BQ209" s="94" t="str">
        <f aca="false">IF(ISBLANK($C209),"",$D209)</f>
        <v/>
      </c>
      <c r="BR209" s="95" t="str">
        <f aca="false">BF209</f>
        <v/>
      </c>
      <c r="BS209" s="96" t="str">
        <f aca="false">BE209</f>
        <v/>
      </c>
      <c r="BT209" s="94" t="str">
        <f aca="false">IF(ISBLANK($C209),"",BH209)</f>
        <v/>
      </c>
      <c r="BU209" s="97" t="str">
        <f aca="false">IF($BL209&gt;$BK$7,"",VLOOKUP($BL209,$BN$8:$BT$507,7,FALSE()))</f>
        <v/>
      </c>
      <c r="BV209" s="98" t="str">
        <f aca="false">IF($BL209&gt;$BK$7,"",VLOOKUP($BL209,$BN$8:$BT$507,2,FALSE()))</f>
        <v/>
      </c>
      <c r="BW209" s="98" t="str">
        <f aca="false">IF($BL209&gt;$BK$7,"",VLOOKUP($BL209,$BN$8:$BT$507,3,FALSE()))</f>
        <v/>
      </c>
      <c r="BX209" s="98" t="str">
        <f aca="false">IF($BL209&gt;$BK$7,"",VLOOKUP($BL209,$BN$8:$BT$507,4,FALSE()))</f>
        <v/>
      </c>
      <c r="BY209" s="98" t="str">
        <f aca="false">IF($BL209&gt;$BK$7,"",VLOOKUP($BL209,$BN$8:$BT$507,5,FALSE()))</f>
        <v/>
      </c>
      <c r="BZ209" s="99" t="str">
        <f aca="false">IF($BL209&gt;$BK$7,"",VLOOKUP($BL209,$BN$8:$BT$507,6,FALSE()))</f>
        <v/>
      </c>
      <c r="CA209" s="48"/>
    </row>
    <row r="210" customFormat="false" ht="15.75" hidden="false" customHeight="false" outlineLevel="0" collapsed="false">
      <c r="A210" s="5"/>
      <c r="B210" s="114"/>
      <c r="C210" s="115"/>
      <c r="D210" s="100"/>
      <c r="E210" s="120"/>
      <c r="F210" s="125"/>
      <c r="G210" s="82"/>
      <c r="H210" s="126"/>
      <c r="I210" s="127"/>
      <c r="J210" s="82"/>
      <c r="K210" s="126"/>
      <c r="L210" s="82"/>
      <c r="M210" s="126"/>
      <c r="N210" s="82"/>
      <c r="O210" s="126"/>
      <c r="P210" s="82"/>
      <c r="Q210" s="126"/>
      <c r="R210" s="82"/>
      <c r="S210" s="120"/>
      <c r="T210" s="86"/>
      <c r="U210" s="87" t="str">
        <f aca="false">IF(ISBLANK($C210),"",IF(E210=Constants!$B$2, TRUE(), IF(E210=Constants!$B$3, FALSE(), TRUE())))</f>
        <v/>
      </c>
      <c r="V210" s="87" t="str">
        <f aca="false">IF(ISBLANK($C210),"",IF(F210=Constants!$B$2, TRUE(), IF(F210=Constants!$B$3, FALSE(), TRUE())))</f>
        <v/>
      </c>
      <c r="W210" s="87" t="str">
        <f aca="false">IF(ISBLANK($C210),"",IF(G210=Constants!$B$15,Constants!$B$8,IF(G210=Constants!$B$16,Constants!$B$9,Constants!$B$10)))</f>
        <v/>
      </c>
      <c r="X210" s="87" t="str">
        <f aca="false">IF(ISBLANK($C210),"",IF(H210=Constants!$B$2, TRUE(), IF(H210=Constants!$B$3, FALSE(), TRUE())))</f>
        <v/>
      </c>
      <c r="Y210" s="87" t="str">
        <f aca="false">IF(ISBLANK($C210),"",IF(I210=Constants!$B$19,Constants!$B$19,Constants!$B$18))</f>
        <v/>
      </c>
      <c r="Z210" s="87" t="str">
        <f aca="false">IF(ISBLANK($C210),"",IF(ISNUMBER(J210),IF(J210&gt;=0,J210,""),""))</f>
        <v/>
      </c>
      <c r="AA210" s="87" t="str">
        <f aca="false">IF(ISBLANK($C210),"",IF(K210=Constants!$B$19,Constants!$B$19,Constants!$B$18))</f>
        <v/>
      </c>
      <c r="AB210" s="87" t="str">
        <f aca="false">IF(ISBLANK($C210),"",IF(ISNUMBER(L210),IF(L210&gt;=0,L210,""),""))</f>
        <v/>
      </c>
      <c r="AC210" s="87" t="str">
        <f aca="false">IF(ISBLANK($C210),"",IF(M210=Constants!$B$19,Constants!$B$19,Constants!$B$18))</f>
        <v/>
      </c>
      <c r="AD210" s="87" t="str">
        <f aca="false">IF(ISBLANK($C210),"",IF(ISNUMBER(N210),IF(N210&gt;=0,N210,""),""))</f>
        <v/>
      </c>
      <c r="AE210" s="87" t="str">
        <f aca="false">IF(ISBLANK($C210),"",IF(O210=Constants!$B$19,Constants!$B$19,Constants!$B$18))</f>
        <v/>
      </c>
      <c r="AF210" s="87" t="str">
        <f aca="false">IF(ISBLANK($C210),"",IF(ISNUMBER(P210),IF(P210&gt;=0,P210,""),""))</f>
        <v/>
      </c>
      <c r="AG210" s="87" t="str">
        <f aca="false">IF(ISBLANK($C210),"",IF(Q210=Constants!$B$19,Constants!$B$19,Constants!$B$18))</f>
        <v/>
      </c>
      <c r="AH210" s="87" t="str">
        <f aca="false">IF(ISBLANK($C210),"",IF(ISNUMBER(R210),IF(R210&gt;=0,R210,""),""))</f>
        <v/>
      </c>
      <c r="AI210" s="87" t="str">
        <f aca="false">IF(ISBLANK($C210),"",IF(S210=Constants!$B$2, TRUE(), IF(S210=Constants!$B$3, FALSE(), FALSE())))</f>
        <v/>
      </c>
      <c r="AJ210" s="87" t="str">
        <f aca="false">IF(ISBLANK($C210),"",IF(AI210,Constants!$B$4,IF(COUNTA(E210:R210)=0,Constants!$B$5,IF(COUNTA(J210,L210,N210,P210,R210)=0,Constants!$B$6,Constants!$B$7))))</f>
        <v/>
      </c>
      <c r="AK210" s="87" t="str">
        <f aca="false">IF(ISBLANK($C210),"",IF($AJ210&lt;&gt;Constants!$B$7,$AJ210,IF(OR(NOT(X210),AND(NOT(U210),COUNTIFS(Y210:AG210,Constants!$B$18,Z210:AH210,"&gt;=0")&gt;0),AND(NOT(V210),COUNTIFS(Y210:AG210,Constants!$B$19,Z210:AH210,"&gt;=0")&gt;0)),Constants!$B$12,Constants!$B$11)))</f>
        <v/>
      </c>
      <c r="AL210" s="87" t="str">
        <f aca="false">IF($AJ210=Constants!$B$7,IF(Z210="",Constants!$B$13,Z210),"")</f>
        <v/>
      </c>
      <c r="AM210" s="87" t="str">
        <f aca="false">IF($AJ210=Constants!$B$7,IF(AB210="",Constants!$B$13,AB210),"")</f>
        <v/>
      </c>
      <c r="AN210" s="87" t="str">
        <f aca="false">IF($AJ210=Constants!$B$7,IF(AD210="",Constants!$B$13,AD210),"")</f>
        <v/>
      </c>
      <c r="AO210" s="87" t="str">
        <f aca="false">IF($AJ210=Constants!$B$7,IF(AF210="",Constants!$B$13,AF210),"")</f>
        <v/>
      </c>
      <c r="AP210" s="87" t="str">
        <f aca="false">IF($AJ210=Constants!$B$7,IF(AH210="",Constants!$B$13,AH210),"")</f>
        <v/>
      </c>
      <c r="AQ210" s="87" t="str">
        <f aca="false">IF($AJ210=Constants!$B$7,IF(SUMPRODUCT(--($AL210:$AP210&gt;AL210))+SUMPRODUCT(--($AL210:AL210=AL210))=1,1,IF(SUMPRODUCT(--($AL210:$AP210&gt;AM210))+SUMPRODUCT(--($AL210:AM210=AM210))=1,2,IF(SUMPRODUCT(--($AL210:$AP210&gt;AN210))+SUMPRODUCT(--($AL210:AN210=AN210))=1,3,IF(SUMPRODUCT(--($AL210:$AP210&gt;AO210))+SUMPRODUCT(--($AL210:AO210=AO210))=1,4,5)))),"")</f>
        <v/>
      </c>
      <c r="AR210" s="87" t="str">
        <f aca="false">IF($AJ210=Constants!$B$7,IF(SUMPRODUCT(--($AL210:$AP210&gt;AL210))+SUMPRODUCT(--($AL210:AL210=AL210))=2,1,IF(SUMPRODUCT(--($AL210:$AP210&gt;AM210))+SUMPRODUCT(--($AL210:AM210=AM210))=2,2,IF(SUMPRODUCT(--($AL210:$AP210&gt;AN210))+SUMPRODUCT(--($AL210:AN210=AN210))=2,3,IF(SUMPRODUCT(--($AL210:$AP210&gt;AO210))+SUMPRODUCT(--($AL210:AO210=AO210))=2,4,5)))),"")</f>
        <v/>
      </c>
      <c r="AS210" s="87" t="str">
        <f aca="false">IF($AJ210=Constants!$B$7,IF(SUMPRODUCT(--($AL210:$AP210&gt;AL210))+SUMPRODUCT(--($AL210:AL210=AL210))=3,1,IF(SUMPRODUCT(--($AL210:$AP210&gt;AM210))+SUMPRODUCT(--($AL210:AM210=AM210))=3,2,IF(SUMPRODUCT(--($AL210:$AP210&gt;AN210))+SUMPRODUCT(--($AL210:AN210=AN210))=3,3,IF(SUMPRODUCT(--($AL210:$AP210&gt;AO210))+SUMPRODUCT(--($AL210:AO210=AO210))=3,4,5)))),"")</f>
        <v/>
      </c>
      <c r="AT210" s="87" t="str">
        <f aca="false">IF($AJ210=Constants!$B$7,LARGE(AL210:AP210,1)+LARGE(AL210:AP210,2)+LARGE(AL210:AP210,3),"")</f>
        <v/>
      </c>
      <c r="AU210" s="87" t="str">
        <f aca="false">IF(ISBLANK($C210),"",IF($AJ210&lt;&gt;Constants!$B$7,$AJ210,AT210*W210))</f>
        <v/>
      </c>
      <c r="AV210" s="87" t="str">
        <f aca="false">IF(ISBLANK($C210),"",IF($AJ210=Constants!$B$7,IF(ISNUMBER(AU210),RANK(AU210,$AU$8:$AU$507),Constants!$B$14),$AJ210))</f>
        <v/>
      </c>
      <c r="AW210" s="87" t="str">
        <f aca="false">IF(ISBLANK($C210),"",IF($AJ210=Constants!$B$7,IF(ISNUMBER(AV210),COUNTIFS($AK$8:$AK$507,"&lt;"&amp;$AK210)+COUNTIFS($AK$8:$AK$507,$AK210,$AV$8:$AV$507,"&lt;"&amp;$AV210)+1,Constants!$B$14),$AJ210))</f>
        <v/>
      </c>
      <c r="AX210" s="87" t="str">
        <f aca="false">IF(ISBLANK($C210),"",IF($AJ210=Constants!$B$7,LARGE(AL210:AP210,4)*W210,""))</f>
        <v/>
      </c>
      <c r="AY210" s="87" t="str">
        <f aca="false">IF(ISBLANK($C210),"",IF($AJ210=Constants!$B$7,RANK(AX210,$AX$8:$AX$507),$AJ210))</f>
        <v/>
      </c>
      <c r="AZ210" s="87" t="str">
        <f aca="false">IF(ISBLANK($C210),"",IF($AJ210=Constants!$B$7,IF(ISNUMBER(AV210),COUNTIFS($AK$8:$AK$507,"&lt;"&amp;$AK210)+COUNTIFS($AK$8:$AK$507,$AK210,$AV$8:$AV$507,"&lt;"&amp;$AV210)+COUNTIFS($AK$8:$AK$507,$AK210,$AV$8:$AV$507,$AV210,$AY$8:$AY$507,"&lt;"&amp;$AY210)+1,Constants!$B$14),$AJ210))</f>
        <v/>
      </c>
      <c r="BA210" s="87" t="str">
        <f aca="false">IF(ISBLANK($C210),"",IF($AJ210=Constants!$B$7,IF(ISNUMBER(AW210),AW210-AZ210,Constants!$B$14),$AJ210))</f>
        <v/>
      </c>
      <c r="BB210" s="88"/>
      <c r="BC210" s="89" t="str">
        <f aca="false">IF(ISBLANK($C210),"",IF($AJ210&lt;&gt;Constants!$B$7,$AJ210,SMALL(AQ210:AS210,1)&amp;", "&amp;SMALL(AQ210:AS210,2)&amp;", "&amp;SMALL(AQ210:AS210,3)))</f>
        <v/>
      </c>
      <c r="BD210" s="90" t="str">
        <f aca="false">IF(ISBLANK($C210),"",IF($AJ210&lt;&gt;Constants!$B$7,$AJ210,W210))</f>
        <v/>
      </c>
      <c r="BE210" s="91" t="str">
        <f aca="false">IF(ISBLANK($C210),"",IF($AJ210&lt;&gt;Constants!$B$7,$AJ210,AU210))</f>
        <v/>
      </c>
      <c r="BF210" s="92" t="str">
        <f aca="false">IF(ISBLANK($C210),"",IF($AJ210&lt;&gt;Constants!$B$7,$AJ210,AK210))</f>
        <v/>
      </c>
      <c r="BG210" s="90" t="str">
        <f aca="false">IF(ISBLANK($C210),"",BA210)</f>
        <v/>
      </c>
      <c r="BH210" s="90" t="str">
        <f aca="false">IF(ISBLANK($C210),"",AZ210)</f>
        <v/>
      </c>
      <c r="BI210" s="93" t="str">
        <f aca="false">IF(ISBLANK($C210),"",IF(BH210=Constants!$B$4,COUNTA($C$8:$C$507)+2,IF(BH210=Constants!$B$5,COUNTA($C$8:$C$507)+1,IF(BH210=Constants!$B$6,COUNTA($C$8:$C$507),BH210))))</f>
        <v/>
      </c>
      <c r="BJ210" s="5"/>
      <c r="BK210" s="94" t="n">
        <f aca="false">IF(OR(ISNUMBER(BH210),BH210=Constants!$B$4,BH210=Constants!$B$6,BH210=Constants!$B$5),1,0)</f>
        <v>0</v>
      </c>
      <c r="BL210" s="94" t="n">
        <v>203</v>
      </c>
      <c r="BM210" s="94" t="str">
        <f aca="false">IF(ISBLANK($C210),"",IF(ISNUMBER(BI210),BI210+ROW($B210)/1000,""))</f>
        <v/>
      </c>
      <c r="BN210" s="94" t="str">
        <f aca="false">IF(ISNUMBER(BM210),RANK(BM210,$BM$8:$BM$507,1),"")</f>
        <v/>
      </c>
      <c r="BO210" s="94" t="str">
        <f aca="false">IF(ISBLANK($C210),"",$B210)</f>
        <v/>
      </c>
      <c r="BP210" s="94" t="str">
        <f aca="false">IF(ISBLANK($C210),"",$C210)</f>
        <v/>
      </c>
      <c r="BQ210" s="94" t="str">
        <f aca="false">IF(ISBLANK($C210),"",$D210)</f>
        <v/>
      </c>
      <c r="BR210" s="95" t="str">
        <f aca="false">BF210</f>
        <v/>
      </c>
      <c r="BS210" s="96" t="str">
        <f aca="false">BE210</f>
        <v/>
      </c>
      <c r="BT210" s="94" t="str">
        <f aca="false">IF(ISBLANK($C210),"",BH210)</f>
        <v/>
      </c>
      <c r="BU210" s="97" t="str">
        <f aca="false">IF($BL210&gt;$BK$7,"",VLOOKUP($BL210,$BN$8:$BT$507,7,FALSE()))</f>
        <v/>
      </c>
      <c r="BV210" s="98" t="str">
        <f aca="false">IF($BL210&gt;$BK$7,"",VLOOKUP($BL210,$BN$8:$BT$507,2,FALSE()))</f>
        <v/>
      </c>
      <c r="BW210" s="98" t="str">
        <f aca="false">IF($BL210&gt;$BK$7,"",VLOOKUP($BL210,$BN$8:$BT$507,3,FALSE()))</f>
        <v/>
      </c>
      <c r="BX210" s="98" t="str">
        <f aca="false">IF($BL210&gt;$BK$7,"",VLOOKUP($BL210,$BN$8:$BT$507,4,FALSE()))</f>
        <v/>
      </c>
      <c r="BY210" s="98" t="str">
        <f aca="false">IF($BL210&gt;$BK$7,"",VLOOKUP($BL210,$BN$8:$BT$507,5,FALSE()))</f>
        <v/>
      </c>
      <c r="BZ210" s="99" t="str">
        <f aca="false">IF($BL210&gt;$BK$7,"",VLOOKUP($BL210,$BN$8:$BT$507,6,FALSE()))</f>
        <v/>
      </c>
      <c r="CA210" s="48"/>
    </row>
    <row r="211" customFormat="false" ht="15.75" hidden="false" customHeight="false" outlineLevel="0" collapsed="false">
      <c r="A211" s="5"/>
      <c r="B211" s="114"/>
      <c r="C211" s="115"/>
      <c r="D211" s="100"/>
      <c r="E211" s="120"/>
      <c r="F211" s="125"/>
      <c r="G211" s="82"/>
      <c r="H211" s="126"/>
      <c r="I211" s="127"/>
      <c r="J211" s="82"/>
      <c r="K211" s="126"/>
      <c r="L211" s="82"/>
      <c r="M211" s="126"/>
      <c r="N211" s="82"/>
      <c r="O211" s="126"/>
      <c r="P211" s="82"/>
      <c r="Q211" s="126"/>
      <c r="R211" s="82"/>
      <c r="S211" s="120"/>
      <c r="T211" s="86"/>
      <c r="U211" s="87" t="str">
        <f aca="false">IF(ISBLANK($C211),"",IF(E211=Constants!$B$2, TRUE(), IF(E211=Constants!$B$3, FALSE(), TRUE())))</f>
        <v/>
      </c>
      <c r="V211" s="87" t="str">
        <f aca="false">IF(ISBLANK($C211),"",IF(F211=Constants!$B$2, TRUE(), IF(F211=Constants!$B$3, FALSE(), TRUE())))</f>
        <v/>
      </c>
      <c r="W211" s="87" t="str">
        <f aca="false">IF(ISBLANK($C211),"",IF(G211=Constants!$B$15,Constants!$B$8,IF(G211=Constants!$B$16,Constants!$B$9,Constants!$B$10)))</f>
        <v/>
      </c>
      <c r="X211" s="87" t="str">
        <f aca="false">IF(ISBLANK($C211),"",IF(H211=Constants!$B$2, TRUE(), IF(H211=Constants!$B$3, FALSE(), TRUE())))</f>
        <v/>
      </c>
      <c r="Y211" s="87" t="str">
        <f aca="false">IF(ISBLANK($C211),"",IF(I211=Constants!$B$19,Constants!$B$19,Constants!$B$18))</f>
        <v/>
      </c>
      <c r="Z211" s="87" t="str">
        <f aca="false">IF(ISBLANK($C211),"",IF(ISNUMBER(J211),IF(J211&gt;=0,J211,""),""))</f>
        <v/>
      </c>
      <c r="AA211" s="87" t="str">
        <f aca="false">IF(ISBLANK($C211),"",IF(K211=Constants!$B$19,Constants!$B$19,Constants!$B$18))</f>
        <v/>
      </c>
      <c r="AB211" s="87" t="str">
        <f aca="false">IF(ISBLANK($C211),"",IF(ISNUMBER(L211),IF(L211&gt;=0,L211,""),""))</f>
        <v/>
      </c>
      <c r="AC211" s="87" t="str">
        <f aca="false">IF(ISBLANK($C211),"",IF(M211=Constants!$B$19,Constants!$B$19,Constants!$B$18))</f>
        <v/>
      </c>
      <c r="AD211" s="87" t="str">
        <f aca="false">IF(ISBLANK($C211),"",IF(ISNUMBER(N211),IF(N211&gt;=0,N211,""),""))</f>
        <v/>
      </c>
      <c r="AE211" s="87" t="str">
        <f aca="false">IF(ISBLANK($C211),"",IF(O211=Constants!$B$19,Constants!$B$19,Constants!$B$18))</f>
        <v/>
      </c>
      <c r="AF211" s="87" t="str">
        <f aca="false">IF(ISBLANK($C211),"",IF(ISNUMBER(P211),IF(P211&gt;=0,P211,""),""))</f>
        <v/>
      </c>
      <c r="AG211" s="87" t="str">
        <f aca="false">IF(ISBLANK($C211),"",IF(Q211=Constants!$B$19,Constants!$B$19,Constants!$B$18))</f>
        <v/>
      </c>
      <c r="AH211" s="87" t="str">
        <f aca="false">IF(ISBLANK($C211),"",IF(ISNUMBER(R211),IF(R211&gt;=0,R211,""),""))</f>
        <v/>
      </c>
      <c r="AI211" s="87" t="str">
        <f aca="false">IF(ISBLANK($C211),"",IF(S211=Constants!$B$2, TRUE(), IF(S211=Constants!$B$3, FALSE(), FALSE())))</f>
        <v/>
      </c>
      <c r="AJ211" s="87" t="str">
        <f aca="false">IF(ISBLANK($C211),"",IF(AI211,Constants!$B$4,IF(COUNTA(E211:R211)=0,Constants!$B$5,IF(COUNTA(J211,L211,N211,P211,R211)=0,Constants!$B$6,Constants!$B$7))))</f>
        <v/>
      </c>
      <c r="AK211" s="87" t="str">
        <f aca="false">IF(ISBLANK($C211),"",IF($AJ211&lt;&gt;Constants!$B$7,$AJ211,IF(OR(NOT(X211),AND(NOT(U211),COUNTIFS(Y211:AG211,Constants!$B$18,Z211:AH211,"&gt;=0")&gt;0),AND(NOT(V211),COUNTIFS(Y211:AG211,Constants!$B$19,Z211:AH211,"&gt;=0")&gt;0)),Constants!$B$12,Constants!$B$11)))</f>
        <v/>
      </c>
      <c r="AL211" s="87" t="str">
        <f aca="false">IF($AJ211=Constants!$B$7,IF(Z211="",Constants!$B$13,Z211),"")</f>
        <v/>
      </c>
      <c r="AM211" s="87" t="str">
        <f aca="false">IF($AJ211=Constants!$B$7,IF(AB211="",Constants!$B$13,AB211),"")</f>
        <v/>
      </c>
      <c r="AN211" s="87" t="str">
        <f aca="false">IF($AJ211=Constants!$B$7,IF(AD211="",Constants!$B$13,AD211),"")</f>
        <v/>
      </c>
      <c r="AO211" s="87" t="str">
        <f aca="false">IF($AJ211=Constants!$B$7,IF(AF211="",Constants!$B$13,AF211),"")</f>
        <v/>
      </c>
      <c r="AP211" s="87" t="str">
        <f aca="false">IF($AJ211=Constants!$B$7,IF(AH211="",Constants!$B$13,AH211),"")</f>
        <v/>
      </c>
      <c r="AQ211" s="87" t="str">
        <f aca="false">IF($AJ211=Constants!$B$7,IF(SUMPRODUCT(--($AL211:$AP211&gt;AL211))+SUMPRODUCT(--($AL211:AL211=AL211))=1,1,IF(SUMPRODUCT(--($AL211:$AP211&gt;AM211))+SUMPRODUCT(--($AL211:AM211=AM211))=1,2,IF(SUMPRODUCT(--($AL211:$AP211&gt;AN211))+SUMPRODUCT(--($AL211:AN211=AN211))=1,3,IF(SUMPRODUCT(--($AL211:$AP211&gt;AO211))+SUMPRODUCT(--($AL211:AO211=AO211))=1,4,5)))),"")</f>
        <v/>
      </c>
      <c r="AR211" s="87" t="str">
        <f aca="false">IF($AJ211=Constants!$B$7,IF(SUMPRODUCT(--($AL211:$AP211&gt;AL211))+SUMPRODUCT(--($AL211:AL211=AL211))=2,1,IF(SUMPRODUCT(--($AL211:$AP211&gt;AM211))+SUMPRODUCT(--($AL211:AM211=AM211))=2,2,IF(SUMPRODUCT(--($AL211:$AP211&gt;AN211))+SUMPRODUCT(--($AL211:AN211=AN211))=2,3,IF(SUMPRODUCT(--($AL211:$AP211&gt;AO211))+SUMPRODUCT(--($AL211:AO211=AO211))=2,4,5)))),"")</f>
        <v/>
      </c>
      <c r="AS211" s="87" t="str">
        <f aca="false">IF($AJ211=Constants!$B$7,IF(SUMPRODUCT(--($AL211:$AP211&gt;AL211))+SUMPRODUCT(--($AL211:AL211=AL211))=3,1,IF(SUMPRODUCT(--($AL211:$AP211&gt;AM211))+SUMPRODUCT(--($AL211:AM211=AM211))=3,2,IF(SUMPRODUCT(--($AL211:$AP211&gt;AN211))+SUMPRODUCT(--($AL211:AN211=AN211))=3,3,IF(SUMPRODUCT(--($AL211:$AP211&gt;AO211))+SUMPRODUCT(--($AL211:AO211=AO211))=3,4,5)))),"")</f>
        <v/>
      </c>
      <c r="AT211" s="87" t="str">
        <f aca="false">IF($AJ211=Constants!$B$7,LARGE(AL211:AP211,1)+LARGE(AL211:AP211,2)+LARGE(AL211:AP211,3),"")</f>
        <v/>
      </c>
      <c r="AU211" s="87" t="str">
        <f aca="false">IF(ISBLANK($C211),"",IF($AJ211&lt;&gt;Constants!$B$7,$AJ211,AT211*W211))</f>
        <v/>
      </c>
      <c r="AV211" s="87" t="str">
        <f aca="false">IF(ISBLANK($C211),"",IF($AJ211=Constants!$B$7,IF(ISNUMBER(AU211),RANK(AU211,$AU$8:$AU$507),Constants!$B$14),$AJ211))</f>
        <v/>
      </c>
      <c r="AW211" s="87" t="str">
        <f aca="false">IF(ISBLANK($C211),"",IF($AJ211=Constants!$B$7,IF(ISNUMBER(AV211),COUNTIFS($AK$8:$AK$507,"&lt;"&amp;$AK211)+COUNTIFS($AK$8:$AK$507,$AK211,$AV$8:$AV$507,"&lt;"&amp;$AV211)+1,Constants!$B$14),$AJ211))</f>
        <v/>
      </c>
      <c r="AX211" s="87" t="str">
        <f aca="false">IF(ISBLANK($C211),"",IF($AJ211=Constants!$B$7,LARGE(AL211:AP211,4)*W211,""))</f>
        <v/>
      </c>
      <c r="AY211" s="87" t="str">
        <f aca="false">IF(ISBLANK($C211),"",IF($AJ211=Constants!$B$7,RANK(AX211,$AX$8:$AX$507),$AJ211))</f>
        <v/>
      </c>
      <c r="AZ211" s="87" t="str">
        <f aca="false">IF(ISBLANK($C211),"",IF($AJ211=Constants!$B$7,IF(ISNUMBER(AV211),COUNTIFS($AK$8:$AK$507,"&lt;"&amp;$AK211)+COUNTIFS($AK$8:$AK$507,$AK211,$AV$8:$AV$507,"&lt;"&amp;$AV211)+COUNTIFS($AK$8:$AK$507,$AK211,$AV$8:$AV$507,$AV211,$AY$8:$AY$507,"&lt;"&amp;$AY211)+1,Constants!$B$14),$AJ211))</f>
        <v/>
      </c>
      <c r="BA211" s="87" t="str">
        <f aca="false">IF(ISBLANK($C211),"",IF($AJ211=Constants!$B$7,IF(ISNUMBER(AW211),AW211-AZ211,Constants!$B$14),$AJ211))</f>
        <v/>
      </c>
      <c r="BB211" s="88"/>
      <c r="BC211" s="89" t="str">
        <f aca="false">IF(ISBLANK($C211),"",IF($AJ211&lt;&gt;Constants!$B$7,$AJ211,SMALL(AQ211:AS211,1)&amp;", "&amp;SMALL(AQ211:AS211,2)&amp;", "&amp;SMALL(AQ211:AS211,3)))</f>
        <v/>
      </c>
      <c r="BD211" s="90" t="str">
        <f aca="false">IF(ISBLANK($C211),"",IF($AJ211&lt;&gt;Constants!$B$7,$AJ211,W211))</f>
        <v/>
      </c>
      <c r="BE211" s="91" t="str">
        <f aca="false">IF(ISBLANK($C211),"",IF($AJ211&lt;&gt;Constants!$B$7,$AJ211,AU211))</f>
        <v/>
      </c>
      <c r="BF211" s="92" t="str">
        <f aca="false">IF(ISBLANK($C211),"",IF($AJ211&lt;&gt;Constants!$B$7,$AJ211,AK211))</f>
        <v/>
      </c>
      <c r="BG211" s="90" t="str">
        <f aca="false">IF(ISBLANK($C211),"",BA211)</f>
        <v/>
      </c>
      <c r="BH211" s="90" t="str">
        <f aca="false">IF(ISBLANK($C211),"",AZ211)</f>
        <v/>
      </c>
      <c r="BI211" s="93" t="str">
        <f aca="false">IF(ISBLANK($C211),"",IF(BH211=Constants!$B$4,COUNTA($C$8:$C$507)+2,IF(BH211=Constants!$B$5,COUNTA($C$8:$C$507)+1,IF(BH211=Constants!$B$6,COUNTA($C$8:$C$507),BH211))))</f>
        <v/>
      </c>
      <c r="BJ211" s="5"/>
      <c r="BK211" s="94" t="n">
        <f aca="false">IF(OR(ISNUMBER(BH211),BH211=Constants!$B$4,BH211=Constants!$B$6,BH211=Constants!$B$5),1,0)</f>
        <v>0</v>
      </c>
      <c r="BL211" s="94" t="n">
        <v>204</v>
      </c>
      <c r="BM211" s="94" t="str">
        <f aca="false">IF(ISBLANK($C211),"",IF(ISNUMBER(BI211),BI211+ROW($B211)/1000,""))</f>
        <v/>
      </c>
      <c r="BN211" s="94" t="str">
        <f aca="false">IF(ISNUMBER(BM211),RANK(BM211,$BM$8:$BM$507,1),"")</f>
        <v/>
      </c>
      <c r="BO211" s="94" t="str">
        <f aca="false">IF(ISBLANK($C211),"",$B211)</f>
        <v/>
      </c>
      <c r="BP211" s="94" t="str">
        <f aca="false">IF(ISBLANK($C211),"",$C211)</f>
        <v/>
      </c>
      <c r="BQ211" s="94" t="str">
        <f aca="false">IF(ISBLANK($C211),"",$D211)</f>
        <v/>
      </c>
      <c r="BR211" s="95" t="str">
        <f aca="false">BF211</f>
        <v/>
      </c>
      <c r="BS211" s="96" t="str">
        <f aca="false">BE211</f>
        <v/>
      </c>
      <c r="BT211" s="94" t="str">
        <f aca="false">IF(ISBLANK($C211),"",BH211)</f>
        <v/>
      </c>
      <c r="BU211" s="97" t="str">
        <f aca="false">IF($BL211&gt;$BK$7,"",VLOOKUP($BL211,$BN$8:$BT$507,7,FALSE()))</f>
        <v/>
      </c>
      <c r="BV211" s="98" t="str">
        <f aca="false">IF($BL211&gt;$BK$7,"",VLOOKUP($BL211,$BN$8:$BT$507,2,FALSE()))</f>
        <v/>
      </c>
      <c r="BW211" s="98" t="str">
        <f aca="false">IF($BL211&gt;$BK$7,"",VLOOKUP($BL211,$BN$8:$BT$507,3,FALSE()))</f>
        <v/>
      </c>
      <c r="BX211" s="98" t="str">
        <f aca="false">IF($BL211&gt;$BK$7,"",VLOOKUP($BL211,$BN$8:$BT$507,4,FALSE()))</f>
        <v/>
      </c>
      <c r="BY211" s="98" t="str">
        <f aca="false">IF($BL211&gt;$BK$7,"",VLOOKUP($BL211,$BN$8:$BT$507,5,FALSE()))</f>
        <v/>
      </c>
      <c r="BZ211" s="99" t="str">
        <f aca="false">IF($BL211&gt;$BK$7,"",VLOOKUP($BL211,$BN$8:$BT$507,6,FALSE()))</f>
        <v/>
      </c>
      <c r="CA211" s="48"/>
    </row>
    <row r="212" customFormat="false" ht="15.75" hidden="false" customHeight="false" outlineLevel="0" collapsed="false">
      <c r="A212" s="5"/>
      <c r="B212" s="121"/>
      <c r="C212" s="50"/>
      <c r="D212" s="51"/>
      <c r="E212" s="74"/>
      <c r="F212" s="122"/>
      <c r="G212" s="54"/>
      <c r="H212" s="123"/>
      <c r="I212" s="124"/>
      <c r="J212" s="54"/>
      <c r="K212" s="123"/>
      <c r="L212" s="54"/>
      <c r="M212" s="123"/>
      <c r="N212" s="54"/>
      <c r="O212" s="123"/>
      <c r="P212" s="54"/>
      <c r="Q212" s="123"/>
      <c r="R212" s="54"/>
      <c r="S212" s="74"/>
      <c r="T212" s="58"/>
      <c r="U212" s="59" t="str">
        <f aca="false">IF(ISBLANK($C212),"",IF(E212=Constants!$B$2, TRUE(), IF(E212=Constants!$B$3, FALSE(), TRUE())))</f>
        <v/>
      </c>
      <c r="V212" s="59" t="str">
        <f aca="false">IF(ISBLANK($C212),"",IF(F212=Constants!$B$2, TRUE(), IF(F212=Constants!$B$3, FALSE(), TRUE())))</f>
        <v/>
      </c>
      <c r="W212" s="59" t="str">
        <f aca="false">IF(ISBLANK($C212),"",IF(G212=Constants!$B$15,Constants!$B$8,IF(G212=Constants!$B$16,Constants!$B$9,Constants!$B$10)))</f>
        <v/>
      </c>
      <c r="X212" s="59" t="str">
        <f aca="false">IF(ISBLANK($C212),"",IF(H212=Constants!$B$2, TRUE(), IF(H212=Constants!$B$3, FALSE(), TRUE())))</f>
        <v/>
      </c>
      <c r="Y212" s="59" t="str">
        <f aca="false">IF(ISBLANK($C212),"",IF(I212=Constants!$B$19,Constants!$B$19,Constants!$B$18))</f>
        <v/>
      </c>
      <c r="Z212" s="59" t="str">
        <f aca="false">IF(ISBLANK($C212),"",IF(ISNUMBER(J212),IF(J212&gt;=0,J212,""),""))</f>
        <v/>
      </c>
      <c r="AA212" s="59" t="str">
        <f aca="false">IF(ISBLANK($C212),"",IF(K212=Constants!$B$19,Constants!$B$19,Constants!$B$18))</f>
        <v/>
      </c>
      <c r="AB212" s="59" t="str">
        <f aca="false">IF(ISBLANK($C212),"",IF(ISNUMBER(L212),IF(L212&gt;=0,L212,""),""))</f>
        <v/>
      </c>
      <c r="AC212" s="59" t="str">
        <f aca="false">IF(ISBLANK($C212),"",IF(M212=Constants!$B$19,Constants!$B$19,Constants!$B$18))</f>
        <v/>
      </c>
      <c r="AD212" s="59" t="str">
        <f aca="false">IF(ISBLANK($C212),"",IF(ISNUMBER(N212),IF(N212&gt;=0,N212,""),""))</f>
        <v/>
      </c>
      <c r="AE212" s="59" t="str">
        <f aca="false">IF(ISBLANK($C212),"",IF(O212=Constants!$B$19,Constants!$B$19,Constants!$B$18))</f>
        <v/>
      </c>
      <c r="AF212" s="59" t="str">
        <f aca="false">IF(ISBLANK($C212),"",IF(ISNUMBER(P212),IF(P212&gt;=0,P212,""),""))</f>
        <v/>
      </c>
      <c r="AG212" s="59" t="str">
        <f aca="false">IF(ISBLANK($C212),"",IF(Q212=Constants!$B$19,Constants!$B$19,Constants!$B$18))</f>
        <v/>
      </c>
      <c r="AH212" s="59" t="str">
        <f aca="false">IF(ISBLANK($C212),"",IF(ISNUMBER(R212),IF(R212&gt;=0,R212,""),""))</f>
        <v/>
      </c>
      <c r="AI212" s="59" t="str">
        <f aca="false">IF(ISBLANK($C212),"",IF(S212=Constants!$B$2, TRUE(), IF(S212=Constants!$B$3, FALSE(), FALSE())))</f>
        <v/>
      </c>
      <c r="AJ212" s="59" t="str">
        <f aca="false">IF(ISBLANK($C212),"",IF(AI212,Constants!$B$4,IF(COUNTA(E212:R212)=0,Constants!$B$5,IF(COUNTA(J212,L212,N212,P212,R212)=0,Constants!$B$6,Constants!$B$7))))</f>
        <v/>
      </c>
      <c r="AK212" s="59" t="str">
        <f aca="false">IF(ISBLANK($C212),"",IF($AJ212&lt;&gt;Constants!$B$7,$AJ212,IF(OR(NOT(X212),AND(NOT(U212),COUNTIFS(Y212:AG212,Constants!$B$18,Z212:AH212,"&gt;=0")&gt;0),AND(NOT(V212),COUNTIFS(Y212:AG212,Constants!$B$19,Z212:AH212,"&gt;=0")&gt;0)),Constants!$B$12,Constants!$B$11)))</f>
        <v/>
      </c>
      <c r="AL212" s="59" t="str">
        <f aca="false">IF($AJ212=Constants!$B$7,IF(Z212="",Constants!$B$13,Z212),"")</f>
        <v/>
      </c>
      <c r="AM212" s="59" t="str">
        <f aca="false">IF($AJ212=Constants!$B$7,IF(AB212="",Constants!$B$13,AB212),"")</f>
        <v/>
      </c>
      <c r="AN212" s="59" t="str">
        <f aca="false">IF($AJ212=Constants!$B$7,IF(AD212="",Constants!$B$13,AD212),"")</f>
        <v/>
      </c>
      <c r="AO212" s="59" t="str">
        <f aca="false">IF($AJ212=Constants!$B$7,IF(AF212="",Constants!$B$13,AF212),"")</f>
        <v/>
      </c>
      <c r="AP212" s="59" t="str">
        <f aca="false">IF($AJ212=Constants!$B$7,IF(AH212="",Constants!$B$13,AH212),"")</f>
        <v/>
      </c>
      <c r="AQ212" s="59" t="str">
        <f aca="false">IF($AJ212=Constants!$B$7,IF(SUMPRODUCT(--($AL212:$AP212&gt;AL212))+SUMPRODUCT(--($AL212:AL212=AL212))=1,1,IF(SUMPRODUCT(--($AL212:$AP212&gt;AM212))+SUMPRODUCT(--($AL212:AM212=AM212))=1,2,IF(SUMPRODUCT(--($AL212:$AP212&gt;AN212))+SUMPRODUCT(--($AL212:AN212=AN212))=1,3,IF(SUMPRODUCT(--($AL212:$AP212&gt;AO212))+SUMPRODUCT(--($AL212:AO212=AO212))=1,4,5)))),"")</f>
        <v/>
      </c>
      <c r="AR212" s="59" t="str">
        <f aca="false">IF($AJ212=Constants!$B$7,IF(SUMPRODUCT(--($AL212:$AP212&gt;AL212))+SUMPRODUCT(--($AL212:AL212=AL212))=2,1,IF(SUMPRODUCT(--($AL212:$AP212&gt;AM212))+SUMPRODUCT(--($AL212:AM212=AM212))=2,2,IF(SUMPRODUCT(--($AL212:$AP212&gt;AN212))+SUMPRODUCT(--($AL212:AN212=AN212))=2,3,IF(SUMPRODUCT(--($AL212:$AP212&gt;AO212))+SUMPRODUCT(--($AL212:AO212=AO212))=2,4,5)))),"")</f>
        <v/>
      </c>
      <c r="AS212" s="59" t="str">
        <f aca="false">IF($AJ212=Constants!$B$7,IF(SUMPRODUCT(--($AL212:$AP212&gt;AL212))+SUMPRODUCT(--($AL212:AL212=AL212))=3,1,IF(SUMPRODUCT(--($AL212:$AP212&gt;AM212))+SUMPRODUCT(--($AL212:AM212=AM212))=3,2,IF(SUMPRODUCT(--($AL212:$AP212&gt;AN212))+SUMPRODUCT(--($AL212:AN212=AN212))=3,3,IF(SUMPRODUCT(--($AL212:$AP212&gt;AO212))+SUMPRODUCT(--($AL212:AO212=AO212))=3,4,5)))),"")</f>
        <v/>
      </c>
      <c r="AT212" s="59" t="str">
        <f aca="false">IF($AJ212=Constants!$B$7,LARGE(AL212:AP212,1)+LARGE(AL212:AP212,2)+LARGE(AL212:AP212,3),"")</f>
        <v/>
      </c>
      <c r="AU212" s="59" t="str">
        <f aca="false">IF(ISBLANK($C212),"",IF($AJ212&lt;&gt;Constants!$B$7,$AJ212,AT212*W212))</f>
        <v/>
      </c>
      <c r="AV212" s="59" t="str">
        <f aca="false">IF(ISBLANK($C212),"",IF($AJ212=Constants!$B$7,IF(ISNUMBER(AU212),RANK(AU212,$AU$8:$AU$507),Constants!$B$14),$AJ212))</f>
        <v/>
      </c>
      <c r="AW212" s="59" t="str">
        <f aca="false">IF(ISBLANK($C212),"",IF($AJ212=Constants!$B$7,IF(ISNUMBER(AV212),COUNTIFS($AK$8:$AK$507,"&lt;"&amp;$AK212)+COUNTIFS($AK$8:$AK$507,$AK212,$AV$8:$AV$507,"&lt;"&amp;$AV212)+1,Constants!$B$14),$AJ212))</f>
        <v/>
      </c>
      <c r="AX212" s="59" t="str">
        <f aca="false">IF(ISBLANK($C212),"",IF($AJ212=Constants!$B$7,LARGE(AL212:AP212,4)*W212,""))</f>
        <v/>
      </c>
      <c r="AY212" s="59" t="str">
        <f aca="false">IF(ISBLANK($C212),"",IF($AJ212=Constants!$B$7,RANK(AX212,$AX$8:$AX$507),$AJ212))</f>
        <v/>
      </c>
      <c r="AZ212" s="59" t="str">
        <f aca="false">IF(ISBLANK($C212),"",IF($AJ212=Constants!$B$7,IF(ISNUMBER(AV212),COUNTIFS($AK$8:$AK$507,"&lt;"&amp;$AK212)+COUNTIFS($AK$8:$AK$507,$AK212,$AV$8:$AV$507,"&lt;"&amp;$AV212)+COUNTIFS($AK$8:$AK$507,$AK212,$AV$8:$AV$507,$AV212,$AY$8:$AY$507,"&lt;"&amp;$AY212)+1,Constants!$B$14),$AJ212))</f>
        <v/>
      </c>
      <c r="BA212" s="59" t="str">
        <f aca="false">IF(ISBLANK($C212),"",IF($AJ212=Constants!$B$7,IF(ISNUMBER(AW212),AW212-AZ212,Constants!$B$14),$AJ212))</f>
        <v/>
      </c>
      <c r="BB212" s="61"/>
      <c r="BC212" s="62" t="str">
        <f aca="false">IF(ISBLANK($C212),"",IF($AJ212&lt;&gt;Constants!$B$7,$AJ212,SMALL(AQ212:AS212,1)&amp;", "&amp;SMALL(AQ212:AS212,2)&amp;", "&amp;SMALL(AQ212:AS212,3)))</f>
        <v/>
      </c>
      <c r="BD212" s="63" t="str">
        <f aca="false">IF(ISBLANK($C212),"",IF($AJ212&lt;&gt;Constants!$B$7,$AJ212,W212))</f>
        <v/>
      </c>
      <c r="BE212" s="64" t="str">
        <f aca="false">IF(ISBLANK($C212),"",IF($AJ212&lt;&gt;Constants!$B$7,$AJ212,AU212))</f>
        <v/>
      </c>
      <c r="BF212" s="65" t="str">
        <f aca="false">IF(ISBLANK($C212),"",IF($AJ212&lt;&gt;Constants!$B$7,$AJ212,AK212))</f>
        <v/>
      </c>
      <c r="BG212" s="63" t="str">
        <f aca="false">IF(ISBLANK($C212),"",BA212)</f>
        <v/>
      </c>
      <c r="BH212" s="63" t="str">
        <f aca="false">IF(ISBLANK($C212),"",AZ212)</f>
        <v/>
      </c>
      <c r="BI212" s="66" t="str">
        <f aca="false">IF(ISBLANK($C212),"",IF(BH212=Constants!$B$4,COUNTA($C$8:$C$507)+2,IF(BH212=Constants!$B$5,COUNTA($C$8:$C$507)+1,IF(BH212=Constants!$B$6,COUNTA($C$8:$C$507),BH212))))</f>
        <v/>
      </c>
      <c r="BJ212" s="5"/>
      <c r="BK212" s="67" t="n">
        <f aca="false">IF(OR(ISNUMBER(BH212),BH212=Constants!$B$4,BH212=Constants!$B$6,BH212=Constants!$B$5),1,0)</f>
        <v>0</v>
      </c>
      <c r="BL212" s="67" t="n">
        <v>205</v>
      </c>
      <c r="BM212" s="67" t="str">
        <f aca="false">IF(ISBLANK($C212),"",IF(ISNUMBER(BI212),BI212+ROW($B212)/1000,""))</f>
        <v/>
      </c>
      <c r="BN212" s="67" t="str">
        <f aca="false">IF(ISNUMBER(BM212),RANK(BM212,$BM$8:$BM$507,1),"")</f>
        <v/>
      </c>
      <c r="BO212" s="67" t="str">
        <f aca="false">IF(ISBLANK($C212),"",$B212)</f>
        <v/>
      </c>
      <c r="BP212" s="67" t="str">
        <f aca="false">IF(ISBLANK($C212),"",$C212)</f>
        <v/>
      </c>
      <c r="BQ212" s="67" t="str">
        <f aca="false">IF(ISBLANK($C212),"",$D212)</f>
        <v/>
      </c>
      <c r="BR212" s="68" t="str">
        <f aca="false">BF212</f>
        <v/>
      </c>
      <c r="BS212" s="69" t="str">
        <f aca="false">BE212</f>
        <v/>
      </c>
      <c r="BT212" s="67" t="str">
        <f aca="false">IF(ISBLANK($C212),"",BH212)</f>
        <v/>
      </c>
      <c r="BU212" s="70" t="str">
        <f aca="false">IF($BL212&gt;$BK$7,"",VLOOKUP($BL212,$BN$8:$BT$507,7,FALSE()))</f>
        <v/>
      </c>
      <c r="BV212" s="71" t="str">
        <f aca="false">IF($BL212&gt;$BK$7,"",VLOOKUP($BL212,$BN$8:$BT$507,2,FALSE()))</f>
        <v/>
      </c>
      <c r="BW212" s="71" t="str">
        <f aca="false">IF($BL212&gt;$BK$7,"",VLOOKUP($BL212,$BN$8:$BT$507,3,FALSE()))</f>
        <v/>
      </c>
      <c r="BX212" s="71" t="str">
        <f aca="false">IF($BL212&gt;$BK$7,"",VLOOKUP($BL212,$BN$8:$BT$507,4,FALSE()))</f>
        <v/>
      </c>
      <c r="BY212" s="71" t="str">
        <f aca="false">IF($BL212&gt;$BK$7,"",VLOOKUP($BL212,$BN$8:$BT$507,5,FALSE()))</f>
        <v/>
      </c>
      <c r="BZ212" s="72" t="str">
        <f aca="false">IF($BL212&gt;$BK$7,"",VLOOKUP($BL212,$BN$8:$BT$507,6,FALSE()))</f>
        <v/>
      </c>
      <c r="CA212" s="48"/>
    </row>
    <row r="213" customFormat="false" ht="15.75" hidden="false" customHeight="false" outlineLevel="0" collapsed="false">
      <c r="A213" s="5"/>
      <c r="B213" s="121"/>
      <c r="C213" s="50"/>
      <c r="D213" s="51"/>
      <c r="E213" s="74"/>
      <c r="F213" s="122"/>
      <c r="G213" s="54"/>
      <c r="H213" s="123"/>
      <c r="I213" s="124"/>
      <c r="J213" s="54"/>
      <c r="K213" s="123"/>
      <c r="L213" s="54"/>
      <c r="M213" s="123"/>
      <c r="N213" s="54"/>
      <c r="O213" s="123"/>
      <c r="P213" s="54"/>
      <c r="Q213" s="123"/>
      <c r="R213" s="54"/>
      <c r="S213" s="74"/>
      <c r="T213" s="58"/>
      <c r="U213" s="59" t="str">
        <f aca="false">IF(ISBLANK($C213),"",IF(E213=Constants!$B$2, TRUE(), IF(E213=Constants!$B$3, FALSE(), TRUE())))</f>
        <v/>
      </c>
      <c r="V213" s="59" t="str">
        <f aca="false">IF(ISBLANK($C213),"",IF(F213=Constants!$B$2, TRUE(), IF(F213=Constants!$B$3, FALSE(), TRUE())))</f>
        <v/>
      </c>
      <c r="W213" s="59" t="str">
        <f aca="false">IF(ISBLANK($C213),"",IF(G213=Constants!$B$15,Constants!$B$8,IF(G213=Constants!$B$16,Constants!$B$9,Constants!$B$10)))</f>
        <v/>
      </c>
      <c r="X213" s="59" t="str">
        <f aca="false">IF(ISBLANK($C213),"",IF(H213=Constants!$B$2, TRUE(), IF(H213=Constants!$B$3, FALSE(), TRUE())))</f>
        <v/>
      </c>
      <c r="Y213" s="59" t="str">
        <f aca="false">IF(ISBLANK($C213),"",IF(I213=Constants!$B$19,Constants!$B$19,Constants!$B$18))</f>
        <v/>
      </c>
      <c r="Z213" s="59" t="str">
        <f aca="false">IF(ISBLANK($C213),"",IF(ISNUMBER(J213),IF(J213&gt;=0,J213,""),""))</f>
        <v/>
      </c>
      <c r="AA213" s="59" t="str">
        <f aca="false">IF(ISBLANK($C213),"",IF(K213=Constants!$B$19,Constants!$B$19,Constants!$B$18))</f>
        <v/>
      </c>
      <c r="AB213" s="59" t="str">
        <f aca="false">IF(ISBLANK($C213),"",IF(ISNUMBER(L213),IF(L213&gt;=0,L213,""),""))</f>
        <v/>
      </c>
      <c r="AC213" s="59" t="str">
        <f aca="false">IF(ISBLANK($C213),"",IF(M213=Constants!$B$19,Constants!$B$19,Constants!$B$18))</f>
        <v/>
      </c>
      <c r="AD213" s="59" t="str">
        <f aca="false">IF(ISBLANK($C213),"",IF(ISNUMBER(N213),IF(N213&gt;=0,N213,""),""))</f>
        <v/>
      </c>
      <c r="AE213" s="59" t="str">
        <f aca="false">IF(ISBLANK($C213),"",IF(O213=Constants!$B$19,Constants!$B$19,Constants!$B$18))</f>
        <v/>
      </c>
      <c r="AF213" s="59" t="str">
        <f aca="false">IF(ISBLANK($C213),"",IF(ISNUMBER(P213),IF(P213&gt;=0,P213,""),""))</f>
        <v/>
      </c>
      <c r="AG213" s="59" t="str">
        <f aca="false">IF(ISBLANK($C213),"",IF(Q213=Constants!$B$19,Constants!$B$19,Constants!$B$18))</f>
        <v/>
      </c>
      <c r="AH213" s="59" t="str">
        <f aca="false">IF(ISBLANK($C213),"",IF(ISNUMBER(R213),IF(R213&gt;=0,R213,""),""))</f>
        <v/>
      </c>
      <c r="AI213" s="59" t="str">
        <f aca="false">IF(ISBLANK($C213),"",IF(S213=Constants!$B$2, TRUE(), IF(S213=Constants!$B$3, FALSE(), FALSE())))</f>
        <v/>
      </c>
      <c r="AJ213" s="59" t="str">
        <f aca="false">IF(ISBLANK($C213),"",IF(AI213,Constants!$B$4,IF(COUNTA(E213:R213)=0,Constants!$B$5,IF(COUNTA(J213,L213,N213,P213,R213)=0,Constants!$B$6,Constants!$B$7))))</f>
        <v/>
      </c>
      <c r="AK213" s="59" t="str">
        <f aca="false">IF(ISBLANK($C213),"",IF($AJ213&lt;&gt;Constants!$B$7,$AJ213,IF(OR(NOT(X213),AND(NOT(U213),COUNTIFS(Y213:AG213,Constants!$B$18,Z213:AH213,"&gt;=0")&gt;0),AND(NOT(V213),COUNTIFS(Y213:AG213,Constants!$B$19,Z213:AH213,"&gt;=0")&gt;0)),Constants!$B$12,Constants!$B$11)))</f>
        <v/>
      </c>
      <c r="AL213" s="59" t="str">
        <f aca="false">IF($AJ213=Constants!$B$7,IF(Z213="",Constants!$B$13,Z213),"")</f>
        <v/>
      </c>
      <c r="AM213" s="59" t="str">
        <f aca="false">IF($AJ213=Constants!$B$7,IF(AB213="",Constants!$B$13,AB213),"")</f>
        <v/>
      </c>
      <c r="AN213" s="59" t="str">
        <f aca="false">IF($AJ213=Constants!$B$7,IF(AD213="",Constants!$B$13,AD213),"")</f>
        <v/>
      </c>
      <c r="AO213" s="59" t="str">
        <f aca="false">IF($AJ213=Constants!$B$7,IF(AF213="",Constants!$B$13,AF213),"")</f>
        <v/>
      </c>
      <c r="AP213" s="59" t="str">
        <f aca="false">IF($AJ213=Constants!$B$7,IF(AH213="",Constants!$B$13,AH213),"")</f>
        <v/>
      </c>
      <c r="AQ213" s="59" t="str">
        <f aca="false">IF($AJ213=Constants!$B$7,IF(SUMPRODUCT(--($AL213:$AP213&gt;AL213))+SUMPRODUCT(--($AL213:AL213=AL213))=1,1,IF(SUMPRODUCT(--($AL213:$AP213&gt;AM213))+SUMPRODUCT(--($AL213:AM213=AM213))=1,2,IF(SUMPRODUCT(--($AL213:$AP213&gt;AN213))+SUMPRODUCT(--($AL213:AN213=AN213))=1,3,IF(SUMPRODUCT(--($AL213:$AP213&gt;AO213))+SUMPRODUCT(--($AL213:AO213=AO213))=1,4,5)))),"")</f>
        <v/>
      </c>
      <c r="AR213" s="59" t="str">
        <f aca="false">IF($AJ213=Constants!$B$7,IF(SUMPRODUCT(--($AL213:$AP213&gt;AL213))+SUMPRODUCT(--($AL213:AL213=AL213))=2,1,IF(SUMPRODUCT(--($AL213:$AP213&gt;AM213))+SUMPRODUCT(--($AL213:AM213=AM213))=2,2,IF(SUMPRODUCT(--($AL213:$AP213&gt;AN213))+SUMPRODUCT(--($AL213:AN213=AN213))=2,3,IF(SUMPRODUCT(--($AL213:$AP213&gt;AO213))+SUMPRODUCT(--($AL213:AO213=AO213))=2,4,5)))),"")</f>
        <v/>
      </c>
      <c r="AS213" s="59" t="str">
        <f aca="false">IF($AJ213=Constants!$B$7,IF(SUMPRODUCT(--($AL213:$AP213&gt;AL213))+SUMPRODUCT(--($AL213:AL213=AL213))=3,1,IF(SUMPRODUCT(--($AL213:$AP213&gt;AM213))+SUMPRODUCT(--($AL213:AM213=AM213))=3,2,IF(SUMPRODUCT(--($AL213:$AP213&gt;AN213))+SUMPRODUCT(--($AL213:AN213=AN213))=3,3,IF(SUMPRODUCT(--($AL213:$AP213&gt;AO213))+SUMPRODUCT(--($AL213:AO213=AO213))=3,4,5)))),"")</f>
        <v/>
      </c>
      <c r="AT213" s="59" t="str">
        <f aca="false">IF($AJ213=Constants!$B$7,LARGE(AL213:AP213,1)+LARGE(AL213:AP213,2)+LARGE(AL213:AP213,3),"")</f>
        <v/>
      </c>
      <c r="AU213" s="59" t="str">
        <f aca="false">IF(ISBLANK($C213),"",IF($AJ213&lt;&gt;Constants!$B$7,$AJ213,AT213*W213))</f>
        <v/>
      </c>
      <c r="AV213" s="59" t="str">
        <f aca="false">IF(ISBLANK($C213),"",IF($AJ213=Constants!$B$7,IF(ISNUMBER(AU213),RANK(AU213,$AU$8:$AU$507),Constants!$B$14),$AJ213))</f>
        <v/>
      </c>
      <c r="AW213" s="59" t="str">
        <f aca="false">IF(ISBLANK($C213),"",IF($AJ213=Constants!$B$7,IF(ISNUMBER(AV213),COUNTIFS($AK$8:$AK$507,"&lt;"&amp;$AK213)+COUNTIFS($AK$8:$AK$507,$AK213,$AV$8:$AV$507,"&lt;"&amp;$AV213)+1,Constants!$B$14),$AJ213))</f>
        <v/>
      </c>
      <c r="AX213" s="59" t="str">
        <f aca="false">IF(ISBLANK($C213),"",IF($AJ213=Constants!$B$7,LARGE(AL213:AP213,4)*W213,""))</f>
        <v/>
      </c>
      <c r="AY213" s="59" t="str">
        <f aca="false">IF(ISBLANK($C213),"",IF($AJ213=Constants!$B$7,RANK(AX213,$AX$8:$AX$507),$AJ213))</f>
        <v/>
      </c>
      <c r="AZ213" s="59" t="str">
        <f aca="false">IF(ISBLANK($C213),"",IF($AJ213=Constants!$B$7,IF(ISNUMBER(AV213),COUNTIFS($AK$8:$AK$507,"&lt;"&amp;$AK213)+COUNTIFS($AK$8:$AK$507,$AK213,$AV$8:$AV$507,"&lt;"&amp;$AV213)+COUNTIFS($AK$8:$AK$507,$AK213,$AV$8:$AV$507,$AV213,$AY$8:$AY$507,"&lt;"&amp;$AY213)+1,Constants!$B$14),$AJ213))</f>
        <v/>
      </c>
      <c r="BA213" s="59" t="str">
        <f aca="false">IF(ISBLANK($C213),"",IF($AJ213=Constants!$B$7,IF(ISNUMBER(AW213),AW213-AZ213,Constants!$B$14),$AJ213))</f>
        <v/>
      </c>
      <c r="BB213" s="61"/>
      <c r="BC213" s="62" t="str">
        <f aca="false">IF(ISBLANK($C213),"",IF($AJ213&lt;&gt;Constants!$B$7,$AJ213,SMALL(AQ213:AS213,1)&amp;", "&amp;SMALL(AQ213:AS213,2)&amp;", "&amp;SMALL(AQ213:AS213,3)))</f>
        <v/>
      </c>
      <c r="BD213" s="63" t="str">
        <f aca="false">IF(ISBLANK($C213),"",IF($AJ213&lt;&gt;Constants!$B$7,$AJ213,W213))</f>
        <v/>
      </c>
      <c r="BE213" s="64" t="str">
        <f aca="false">IF(ISBLANK($C213),"",IF($AJ213&lt;&gt;Constants!$B$7,$AJ213,AU213))</f>
        <v/>
      </c>
      <c r="BF213" s="65" t="str">
        <f aca="false">IF(ISBLANK($C213),"",IF($AJ213&lt;&gt;Constants!$B$7,$AJ213,AK213))</f>
        <v/>
      </c>
      <c r="BG213" s="63" t="str">
        <f aca="false">IF(ISBLANK($C213),"",BA213)</f>
        <v/>
      </c>
      <c r="BH213" s="63" t="str">
        <f aca="false">IF(ISBLANK($C213),"",AZ213)</f>
        <v/>
      </c>
      <c r="BI213" s="66" t="str">
        <f aca="false">IF(ISBLANK($C213),"",IF(BH213=Constants!$B$4,COUNTA($C$8:$C$507)+2,IF(BH213=Constants!$B$5,COUNTA($C$8:$C$507)+1,IF(BH213=Constants!$B$6,COUNTA($C$8:$C$507),BH213))))</f>
        <v/>
      </c>
      <c r="BJ213" s="5"/>
      <c r="BK213" s="67" t="n">
        <f aca="false">IF(OR(ISNUMBER(BH213),BH213=Constants!$B$4,BH213=Constants!$B$6,BH213=Constants!$B$5),1,0)</f>
        <v>0</v>
      </c>
      <c r="BL213" s="67" t="n">
        <v>206</v>
      </c>
      <c r="BM213" s="67" t="str">
        <f aca="false">IF(ISBLANK($C213),"",IF(ISNUMBER(BI213),BI213+ROW($B213)/1000,""))</f>
        <v/>
      </c>
      <c r="BN213" s="67" t="str">
        <f aca="false">IF(ISNUMBER(BM213),RANK(BM213,$BM$8:$BM$507,1),"")</f>
        <v/>
      </c>
      <c r="BO213" s="67" t="str">
        <f aca="false">IF(ISBLANK($C213),"",$B213)</f>
        <v/>
      </c>
      <c r="BP213" s="67" t="str">
        <f aca="false">IF(ISBLANK($C213),"",$C213)</f>
        <v/>
      </c>
      <c r="BQ213" s="67" t="str">
        <f aca="false">IF(ISBLANK($C213),"",$D213)</f>
        <v/>
      </c>
      <c r="BR213" s="68" t="str">
        <f aca="false">BF213</f>
        <v/>
      </c>
      <c r="BS213" s="69" t="str">
        <f aca="false">BE213</f>
        <v/>
      </c>
      <c r="BT213" s="67" t="str">
        <f aca="false">IF(ISBLANK($C213),"",BH213)</f>
        <v/>
      </c>
      <c r="BU213" s="70" t="str">
        <f aca="false">IF($BL213&gt;$BK$7,"",VLOOKUP($BL213,$BN$8:$BT$507,7,FALSE()))</f>
        <v/>
      </c>
      <c r="BV213" s="71" t="str">
        <f aca="false">IF($BL213&gt;$BK$7,"",VLOOKUP($BL213,$BN$8:$BT$507,2,FALSE()))</f>
        <v/>
      </c>
      <c r="BW213" s="71" t="str">
        <f aca="false">IF($BL213&gt;$BK$7,"",VLOOKUP($BL213,$BN$8:$BT$507,3,FALSE()))</f>
        <v/>
      </c>
      <c r="BX213" s="71" t="str">
        <f aca="false">IF($BL213&gt;$BK$7,"",VLOOKUP($BL213,$BN$8:$BT$507,4,FALSE()))</f>
        <v/>
      </c>
      <c r="BY213" s="71" t="str">
        <f aca="false">IF($BL213&gt;$BK$7,"",VLOOKUP($BL213,$BN$8:$BT$507,5,FALSE()))</f>
        <v/>
      </c>
      <c r="BZ213" s="72" t="str">
        <f aca="false">IF($BL213&gt;$BK$7,"",VLOOKUP($BL213,$BN$8:$BT$507,6,FALSE()))</f>
        <v/>
      </c>
      <c r="CA213" s="48"/>
    </row>
    <row r="214" customFormat="false" ht="15.75" hidden="false" customHeight="false" outlineLevel="0" collapsed="false">
      <c r="A214" s="5"/>
      <c r="B214" s="121"/>
      <c r="C214" s="50"/>
      <c r="D214" s="51"/>
      <c r="E214" s="74"/>
      <c r="F214" s="122"/>
      <c r="G214" s="54"/>
      <c r="H214" s="123"/>
      <c r="I214" s="124"/>
      <c r="J214" s="54"/>
      <c r="K214" s="123"/>
      <c r="L214" s="54"/>
      <c r="M214" s="123"/>
      <c r="N214" s="54"/>
      <c r="O214" s="123"/>
      <c r="P214" s="54"/>
      <c r="Q214" s="123"/>
      <c r="R214" s="54"/>
      <c r="S214" s="74"/>
      <c r="T214" s="58"/>
      <c r="U214" s="59" t="str">
        <f aca="false">IF(ISBLANK($C214),"",IF(E214=Constants!$B$2, TRUE(), IF(E214=Constants!$B$3, FALSE(), TRUE())))</f>
        <v/>
      </c>
      <c r="V214" s="59" t="str">
        <f aca="false">IF(ISBLANK($C214),"",IF(F214=Constants!$B$2, TRUE(), IF(F214=Constants!$B$3, FALSE(), TRUE())))</f>
        <v/>
      </c>
      <c r="W214" s="59" t="str">
        <f aca="false">IF(ISBLANK($C214),"",IF(G214=Constants!$B$15,Constants!$B$8,IF(G214=Constants!$B$16,Constants!$B$9,Constants!$B$10)))</f>
        <v/>
      </c>
      <c r="X214" s="59" t="str">
        <f aca="false">IF(ISBLANK($C214),"",IF(H214=Constants!$B$2, TRUE(), IF(H214=Constants!$B$3, FALSE(), TRUE())))</f>
        <v/>
      </c>
      <c r="Y214" s="59" t="str">
        <f aca="false">IF(ISBLANK($C214),"",IF(I214=Constants!$B$19,Constants!$B$19,Constants!$B$18))</f>
        <v/>
      </c>
      <c r="Z214" s="59" t="str">
        <f aca="false">IF(ISBLANK($C214),"",IF(ISNUMBER(J214),IF(J214&gt;=0,J214,""),""))</f>
        <v/>
      </c>
      <c r="AA214" s="59" t="str">
        <f aca="false">IF(ISBLANK($C214),"",IF(K214=Constants!$B$19,Constants!$B$19,Constants!$B$18))</f>
        <v/>
      </c>
      <c r="AB214" s="59" t="str">
        <f aca="false">IF(ISBLANK($C214),"",IF(ISNUMBER(L214),IF(L214&gt;=0,L214,""),""))</f>
        <v/>
      </c>
      <c r="AC214" s="59" t="str">
        <f aca="false">IF(ISBLANK($C214),"",IF(M214=Constants!$B$19,Constants!$B$19,Constants!$B$18))</f>
        <v/>
      </c>
      <c r="AD214" s="59" t="str">
        <f aca="false">IF(ISBLANK($C214),"",IF(ISNUMBER(N214),IF(N214&gt;=0,N214,""),""))</f>
        <v/>
      </c>
      <c r="AE214" s="59" t="str">
        <f aca="false">IF(ISBLANK($C214),"",IF(O214=Constants!$B$19,Constants!$B$19,Constants!$B$18))</f>
        <v/>
      </c>
      <c r="AF214" s="59" t="str">
        <f aca="false">IF(ISBLANK($C214),"",IF(ISNUMBER(P214),IF(P214&gt;=0,P214,""),""))</f>
        <v/>
      </c>
      <c r="AG214" s="59" t="str">
        <f aca="false">IF(ISBLANK($C214),"",IF(Q214=Constants!$B$19,Constants!$B$19,Constants!$B$18))</f>
        <v/>
      </c>
      <c r="AH214" s="59" t="str">
        <f aca="false">IF(ISBLANK($C214),"",IF(ISNUMBER(R214),IF(R214&gt;=0,R214,""),""))</f>
        <v/>
      </c>
      <c r="AI214" s="59" t="str">
        <f aca="false">IF(ISBLANK($C214),"",IF(S214=Constants!$B$2, TRUE(), IF(S214=Constants!$B$3, FALSE(), FALSE())))</f>
        <v/>
      </c>
      <c r="AJ214" s="59" t="str">
        <f aca="false">IF(ISBLANK($C214),"",IF(AI214,Constants!$B$4,IF(COUNTA(E214:R214)=0,Constants!$B$5,IF(COUNTA(J214,L214,N214,P214,R214)=0,Constants!$B$6,Constants!$B$7))))</f>
        <v/>
      </c>
      <c r="AK214" s="59" t="str">
        <f aca="false">IF(ISBLANK($C214),"",IF($AJ214&lt;&gt;Constants!$B$7,$AJ214,IF(OR(NOT(X214),AND(NOT(U214),COUNTIFS(Y214:AG214,Constants!$B$18,Z214:AH214,"&gt;=0")&gt;0),AND(NOT(V214),COUNTIFS(Y214:AG214,Constants!$B$19,Z214:AH214,"&gt;=0")&gt;0)),Constants!$B$12,Constants!$B$11)))</f>
        <v/>
      </c>
      <c r="AL214" s="59" t="str">
        <f aca="false">IF($AJ214=Constants!$B$7,IF(Z214="",Constants!$B$13,Z214),"")</f>
        <v/>
      </c>
      <c r="AM214" s="59" t="str">
        <f aca="false">IF($AJ214=Constants!$B$7,IF(AB214="",Constants!$B$13,AB214),"")</f>
        <v/>
      </c>
      <c r="AN214" s="59" t="str">
        <f aca="false">IF($AJ214=Constants!$B$7,IF(AD214="",Constants!$B$13,AD214),"")</f>
        <v/>
      </c>
      <c r="AO214" s="59" t="str">
        <f aca="false">IF($AJ214=Constants!$B$7,IF(AF214="",Constants!$B$13,AF214),"")</f>
        <v/>
      </c>
      <c r="AP214" s="59" t="str">
        <f aca="false">IF($AJ214=Constants!$B$7,IF(AH214="",Constants!$B$13,AH214),"")</f>
        <v/>
      </c>
      <c r="AQ214" s="59" t="str">
        <f aca="false">IF($AJ214=Constants!$B$7,IF(SUMPRODUCT(--($AL214:$AP214&gt;AL214))+SUMPRODUCT(--($AL214:AL214=AL214))=1,1,IF(SUMPRODUCT(--($AL214:$AP214&gt;AM214))+SUMPRODUCT(--($AL214:AM214=AM214))=1,2,IF(SUMPRODUCT(--($AL214:$AP214&gt;AN214))+SUMPRODUCT(--($AL214:AN214=AN214))=1,3,IF(SUMPRODUCT(--($AL214:$AP214&gt;AO214))+SUMPRODUCT(--($AL214:AO214=AO214))=1,4,5)))),"")</f>
        <v/>
      </c>
      <c r="AR214" s="59" t="str">
        <f aca="false">IF($AJ214=Constants!$B$7,IF(SUMPRODUCT(--($AL214:$AP214&gt;AL214))+SUMPRODUCT(--($AL214:AL214=AL214))=2,1,IF(SUMPRODUCT(--($AL214:$AP214&gt;AM214))+SUMPRODUCT(--($AL214:AM214=AM214))=2,2,IF(SUMPRODUCT(--($AL214:$AP214&gt;AN214))+SUMPRODUCT(--($AL214:AN214=AN214))=2,3,IF(SUMPRODUCT(--($AL214:$AP214&gt;AO214))+SUMPRODUCT(--($AL214:AO214=AO214))=2,4,5)))),"")</f>
        <v/>
      </c>
      <c r="AS214" s="59" t="str">
        <f aca="false">IF($AJ214=Constants!$B$7,IF(SUMPRODUCT(--($AL214:$AP214&gt;AL214))+SUMPRODUCT(--($AL214:AL214=AL214))=3,1,IF(SUMPRODUCT(--($AL214:$AP214&gt;AM214))+SUMPRODUCT(--($AL214:AM214=AM214))=3,2,IF(SUMPRODUCT(--($AL214:$AP214&gt;AN214))+SUMPRODUCT(--($AL214:AN214=AN214))=3,3,IF(SUMPRODUCT(--($AL214:$AP214&gt;AO214))+SUMPRODUCT(--($AL214:AO214=AO214))=3,4,5)))),"")</f>
        <v/>
      </c>
      <c r="AT214" s="59" t="str">
        <f aca="false">IF($AJ214=Constants!$B$7,LARGE(AL214:AP214,1)+LARGE(AL214:AP214,2)+LARGE(AL214:AP214,3),"")</f>
        <v/>
      </c>
      <c r="AU214" s="59" t="str">
        <f aca="false">IF(ISBLANK($C214),"",IF($AJ214&lt;&gt;Constants!$B$7,$AJ214,AT214*W214))</f>
        <v/>
      </c>
      <c r="AV214" s="59" t="str">
        <f aca="false">IF(ISBLANK($C214),"",IF($AJ214=Constants!$B$7,IF(ISNUMBER(AU214),RANK(AU214,$AU$8:$AU$507),Constants!$B$14),$AJ214))</f>
        <v/>
      </c>
      <c r="AW214" s="59" t="str">
        <f aca="false">IF(ISBLANK($C214),"",IF($AJ214=Constants!$B$7,IF(ISNUMBER(AV214),COUNTIFS($AK$8:$AK$507,"&lt;"&amp;$AK214)+COUNTIFS($AK$8:$AK$507,$AK214,$AV$8:$AV$507,"&lt;"&amp;$AV214)+1,Constants!$B$14),$AJ214))</f>
        <v/>
      </c>
      <c r="AX214" s="59" t="str">
        <f aca="false">IF(ISBLANK($C214),"",IF($AJ214=Constants!$B$7,LARGE(AL214:AP214,4)*W214,""))</f>
        <v/>
      </c>
      <c r="AY214" s="59" t="str">
        <f aca="false">IF(ISBLANK($C214),"",IF($AJ214=Constants!$B$7,RANK(AX214,$AX$8:$AX$507),$AJ214))</f>
        <v/>
      </c>
      <c r="AZ214" s="59" t="str">
        <f aca="false">IF(ISBLANK($C214),"",IF($AJ214=Constants!$B$7,IF(ISNUMBER(AV214),COUNTIFS($AK$8:$AK$507,"&lt;"&amp;$AK214)+COUNTIFS($AK$8:$AK$507,$AK214,$AV$8:$AV$507,"&lt;"&amp;$AV214)+COUNTIFS($AK$8:$AK$507,$AK214,$AV$8:$AV$507,$AV214,$AY$8:$AY$507,"&lt;"&amp;$AY214)+1,Constants!$B$14),$AJ214))</f>
        <v/>
      </c>
      <c r="BA214" s="59" t="str">
        <f aca="false">IF(ISBLANK($C214),"",IF($AJ214=Constants!$B$7,IF(ISNUMBER(AW214),AW214-AZ214,Constants!$B$14),$AJ214))</f>
        <v/>
      </c>
      <c r="BB214" s="61"/>
      <c r="BC214" s="62" t="str">
        <f aca="false">IF(ISBLANK($C214),"",IF($AJ214&lt;&gt;Constants!$B$7,$AJ214,SMALL(AQ214:AS214,1)&amp;", "&amp;SMALL(AQ214:AS214,2)&amp;", "&amp;SMALL(AQ214:AS214,3)))</f>
        <v/>
      </c>
      <c r="BD214" s="63" t="str">
        <f aca="false">IF(ISBLANK($C214),"",IF($AJ214&lt;&gt;Constants!$B$7,$AJ214,W214))</f>
        <v/>
      </c>
      <c r="BE214" s="64" t="str">
        <f aca="false">IF(ISBLANK($C214),"",IF($AJ214&lt;&gt;Constants!$B$7,$AJ214,AU214))</f>
        <v/>
      </c>
      <c r="BF214" s="65" t="str">
        <f aca="false">IF(ISBLANK($C214),"",IF($AJ214&lt;&gt;Constants!$B$7,$AJ214,AK214))</f>
        <v/>
      </c>
      <c r="BG214" s="63" t="str">
        <f aca="false">IF(ISBLANK($C214),"",BA214)</f>
        <v/>
      </c>
      <c r="BH214" s="63" t="str">
        <f aca="false">IF(ISBLANK($C214),"",AZ214)</f>
        <v/>
      </c>
      <c r="BI214" s="66" t="str">
        <f aca="false">IF(ISBLANK($C214),"",IF(BH214=Constants!$B$4,COUNTA($C$8:$C$507)+2,IF(BH214=Constants!$B$5,COUNTA($C$8:$C$507)+1,IF(BH214=Constants!$B$6,COUNTA($C$8:$C$507),BH214))))</f>
        <v/>
      </c>
      <c r="BJ214" s="5"/>
      <c r="BK214" s="67" t="n">
        <f aca="false">IF(OR(ISNUMBER(BH214),BH214=Constants!$B$4,BH214=Constants!$B$6,BH214=Constants!$B$5),1,0)</f>
        <v>0</v>
      </c>
      <c r="BL214" s="67" t="n">
        <v>207</v>
      </c>
      <c r="BM214" s="67" t="str">
        <f aca="false">IF(ISBLANK($C214),"",IF(ISNUMBER(BI214),BI214+ROW($B214)/1000,""))</f>
        <v/>
      </c>
      <c r="BN214" s="67" t="str">
        <f aca="false">IF(ISNUMBER(BM214),RANK(BM214,$BM$8:$BM$507,1),"")</f>
        <v/>
      </c>
      <c r="BO214" s="67" t="str">
        <f aca="false">IF(ISBLANK($C214),"",$B214)</f>
        <v/>
      </c>
      <c r="BP214" s="67" t="str">
        <f aca="false">IF(ISBLANK($C214),"",$C214)</f>
        <v/>
      </c>
      <c r="BQ214" s="67" t="str">
        <f aca="false">IF(ISBLANK($C214),"",$D214)</f>
        <v/>
      </c>
      <c r="BR214" s="68" t="str">
        <f aca="false">BF214</f>
        <v/>
      </c>
      <c r="BS214" s="69" t="str">
        <f aca="false">BE214</f>
        <v/>
      </c>
      <c r="BT214" s="67" t="str">
        <f aca="false">IF(ISBLANK($C214),"",BH214)</f>
        <v/>
      </c>
      <c r="BU214" s="70" t="str">
        <f aca="false">IF($BL214&gt;$BK$7,"",VLOOKUP($BL214,$BN$8:$BT$507,7,FALSE()))</f>
        <v/>
      </c>
      <c r="BV214" s="71" t="str">
        <f aca="false">IF($BL214&gt;$BK$7,"",VLOOKUP($BL214,$BN$8:$BT$507,2,FALSE()))</f>
        <v/>
      </c>
      <c r="BW214" s="71" t="str">
        <f aca="false">IF($BL214&gt;$BK$7,"",VLOOKUP($BL214,$BN$8:$BT$507,3,FALSE()))</f>
        <v/>
      </c>
      <c r="BX214" s="71" t="str">
        <f aca="false">IF($BL214&gt;$BK$7,"",VLOOKUP($BL214,$BN$8:$BT$507,4,FALSE()))</f>
        <v/>
      </c>
      <c r="BY214" s="71" t="str">
        <f aca="false">IF($BL214&gt;$BK$7,"",VLOOKUP($BL214,$BN$8:$BT$507,5,FALSE()))</f>
        <v/>
      </c>
      <c r="BZ214" s="72" t="str">
        <f aca="false">IF($BL214&gt;$BK$7,"",VLOOKUP($BL214,$BN$8:$BT$507,6,FALSE()))</f>
        <v/>
      </c>
      <c r="CA214" s="48"/>
    </row>
    <row r="215" customFormat="false" ht="15.75" hidden="false" customHeight="false" outlineLevel="0" collapsed="false">
      <c r="A215" s="5"/>
      <c r="B215" s="114"/>
      <c r="C215" s="115"/>
      <c r="D215" s="100"/>
      <c r="E215" s="120"/>
      <c r="F215" s="125"/>
      <c r="G215" s="82"/>
      <c r="H215" s="126"/>
      <c r="I215" s="127"/>
      <c r="J215" s="82"/>
      <c r="K215" s="126"/>
      <c r="L215" s="82"/>
      <c r="M215" s="126"/>
      <c r="N215" s="82"/>
      <c r="O215" s="126"/>
      <c r="P215" s="82"/>
      <c r="Q215" s="126"/>
      <c r="R215" s="82"/>
      <c r="S215" s="120"/>
      <c r="T215" s="86"/>
      <c r="U215" s="87" t="str">
        <f aca="false">IF(ISBLANK($C215),"",IF(E215=Constants!$B$2, TRUE(), IF(E215=Constants!$B$3, FALSE(), TRUE())))</f>
        <v/>
      </c>
      <c r="V215" s="87" t="str">
        <f aca="false">IF(ISBLANK($C215),"",IF(F215=Constants!$B$2, TRUE(), IF(F215=Constants!$B$3, FALSE(), TRUE())))</f>
        <v/>
      </c>
      <c r="W215" s="87" t="str">
        <f aca="false">IF(ISBLANK($C215),"",IF(G215=Constants!$B$15,Constants!$B$8,IF(G215=Constants!$B$16,Constants!$B$9,Constants!$B$10)))</f>
        <v/>
      </c>
      <c r="X215" s="87" t="str">
        <f aca="false">IF(ISBLANK($C215),"",IF(H215=Constants!$B$2, TRUE(), IF(H215=Constants!$B$3, FALSE(), TRUE())))</f>
        <v/>
      </c>
      <c r="Y215" s="87" t="str">
        <f aca="false">IF(ISBLANK($C215),"",IF(I215=Constants!$B$19,Constants!$B$19,Constants!$B$18))</f>
        <v/>
      </c>
      <c r="Z215" s="87" t="str">
        <f aca="false">IF(ISBLANK($C215),"",IF(ISNUMBER(J215),IF(J215&gt;=0,J215,""),""))</f>
        <v/>
      </c>
      <c r="AA215" s="87" t="str">
        <f aca="false">IF(ISBLANK($C215),"",IF(K215=Constants!$B$19,Constants!$B$19,Constants!$B$18))</f>
        <v/>
      </c>
      <c r="AB215" s="87" t="str">
        <f aca="false">IF(ISBLANK($C215),"",IF(ISNUMBER(L215),IF(L215&gt;=0,L215,""),""))</f>
        <v/>
      </c>
      <c r="AC215" s="87" t="str">
        <f aca="false">IF(ISBLANK($C215),"",IF(M215=Constants!$B$19,Constants!$B$19,Constants!$B$18))</f>
        <v/>
      </c>
      <c r="AD215" s="87" t="str">
        <f aca="false">IF(ISBLANK($C215),"",IF(ISNUMBER(N215),IF(N215&gt;=0,N215,""),""))</f>
        <v/>
      </c>
      <c r="AE215" s="87" t="str">
        <f aca="false">IF(ISBLANK($C215),"",IF(O215=Constants!$B$19,Constants!$B$19,Constants!$B$18))</f>
        <v/>
      </c>
      <c r="AF215" s="87" t="str">
        <f aca="false">IF(ISBLANK($C215),"",IF(ISNUMBER(P215),IF(P215&gt;=0,P215,""),""))</f>
        <v/>
      </c>
      <c r="AG215" s="87" t="str">
        <f aca="false">IF(ISBLANK($C215),"",IF(Q215=Constants!$B$19,Constants!$B$19,Constants!$B$18))</f>
        <v/>
      </c>
      <c r="AH215" s="87" t="str">
        <f aca="false">IF(ISBLANK($C215),"",IF(ISNUMBER(R215),IF(R215&gt;=0,R215,""),""))</f>
        <v/>
      </c>
      <c r="AI215" s="87" t="str">
        <f aca="false">IF(ISBLANK($C215),"",IF(S215=Constants!$B$2, TRUE(), IF(S215=Constants!$B$3, FALSE(), FALSE())))</f>
        <v/>
      </c>
      <c r="AJ215" s="87" t="str">
        <f aca="false">IF(ISBLANK($C215),"",IF(AI215,Constants!$B$4,IF(COUNTA(E215:R215)=0,Constants!$B$5,IF(COUNTA(J215,L215,N215,P215,R215)=0,Constants!$B$6,Constants!$B$7))))</f>
        <v/>
      </c>
      <c r="AK215" s="87" t="str">
        <f aca="false">IF(ISBLANK($C215),"",IF($AJ215&lt;&gt;Constants!$B$7,$AJ215,IF(OR(NOT(X215),AND(NOT(U215),COUNTIFS(Y215:AG215,Constants!$B$18,Z215:AH215,"&gt;=0")&gt;0),AND(NOT(V215),COUNTIFS(Y215:AG215,Constants!$B$19,Z215:AH215,"&gt;=0")&gt;0)),Constants!$B$12,Constants!$B$11)))</f>
        <v/>
      </c>
      <c r="AL215" s="87" t="str">
        <f aca="false">IF($AJ215=Constants!$B$7,IF(Z215="",Constants!$B$13,Z215),"")</f>
        <v/>
      </c>
      <c r="AM215" s="87" t="str">
        <f aca="false">IF($AJ215=Constants!$B$7,IF(AB215="",Constants!$B$13,AB215),"")</f>
        <v/>
      </c>
      <c r="AN215" s="87" t="str">
        <f aca="false">IF($AJ215=Constants!$B$7,IF(AD215="",Constants!$B$13,AD215),"")</f>
        <v/>
      </c>
      <c r="AO215" s="87" t="str">
        <f aca="false">IF($AJ215=Constants!$B$7,IF(AF215="",Constants!$B$13,AF215),"")</f>
        <v/>
      </c>
      <c r="AP215" s="87" t="str">
        <f aca="false">IF($AJ215=Constants!$B$7,IF(AH215="",Constants!$B$13,AH215),"")</f>
        <v/>
      </c>
      <c r="AQ215" s="87" t="str">
        <f aca="false">IF($AJ215=Constants!$B$7,IF(SUMPRODUCT(--($AL215:$AP215&gt;AL215))+SUMPRODUCT(--($AL215:AL215=AL215))=1,1,IF(SUMPRODUCT(--($AL215:$AP215&gt;AM215))+SUMPRODUCT(--($AL215:AM215=AM215))=1,2,IF(SUMPRODUCT(--($AL215:$AP215&gt;AN215))+SUMPRODUCT(--($AL215:AN215=AN215))=1,3,IF(SUMPRODUCT(--($AL215:$AP215&gt;AO215))+SUMPRODUCT(--($AL215:AO215=AO215))=1,4,5)))),"")</f>
        <v/>
      </c>
      <c r="AR215" s="87" t="str">
        <f aca="false">IF($AJ215=Constants!$B$7,IF(SUMPRODUCT(--($AL215:$AP215&gt;AL215))+SUMPRODUCT(--($AL215:AL215=AL215))=2,1,IF(SUMPRODUCT(--($AL215:$AP215&gt;AM215))+SUMPRODUCT(--($AL215:AM215=AM215))=2,2,IF(SUMPRODUCT(--($AL215:$AP215&gt;AN215))+SUMPRODUCT(--($AL215:AN215=AN215))=2,3,IF(SUMPRODUCT(--($AL215:$AP215&gt;AO215))+SUMPRODUCT(--($AL215:AO215=AO215))=2,4,5)))),"")</f>
        <v/>
      </c>
      <c r="AS215" s="87" t="str">
        <f aca="false">IF($AJ215=Constants!$B$7,IF(SUMPRODUCT(--($AL215:$AP215&gt;AL215))+SUMPRODUCT(--($AL215:AL215=AL215))=3,1,IF(SUMPRODUCT(--($AL215:$AP215&gt;AM215))+SUMPRODUCT(--($AL215:AM215=AM215))=3,2,IF(SUMPRODUCT(--($AL215:$AP215&gt;AN215))+SUMPRODUCT(--($AL215:AN215=AN215))=3,3,IF(SUMPRODUCT(--($AL215:$AP215&gt;AO215))+SUMPRODUCT(--($AL215:AO215=AO215))=3,4,5)))),"")</f>
        <v/>
      </c>
      <c r="AT215" s="87" t="str">
        <f aca="false">IF($AJ215=Constants!$B$7,LARGE(AL215:AP215,1)+LARGE(AL215:AP215,2)+LARGE(AL215:AP215,3),"")</f>
        <v/>
      </c>
      <c r="AU215" s="87" t="str">
        <f aca="false">IF(ISBLANK($C215),"",IF($AJ215&lt;&gt;Constants!$B$7,$AJ215,AT215*W215))</f>
        <v/>
      </c>
      <c r="AV215" s="87" t="str">
        <f aca="false">IF(ISBLANK($C215),"",IF($AJ215=Constants!$B$7,IF(ISNUMBER(AU215),RANK(AU215,$AU$8:$AU$507),Constants!$B$14),$AJ215))</f>
        <v/>
      </c>
      <c r="AW215" s="87" t="str">
        <f aca="false">IF(ISBLANK($C215),"",IF($AJ215=Constants!$B$7,IF(ISNUMBER(AV215),COUNTIFS($AK$8:$AK$507,"&lt;"&amp;$AK215)+COUNTIFS($AK$8:$AK$507,$AK215,$AV$8:$AV$507,"&lt;"&amp;$AV215)+1,Constants!$B$14),$AJ215))</f>
        <v/>
      </c>
      <c r="AX215" s="87" t="str">
        <f aca="false">IF(ISBLANK($C215),"",IF($AJ215=Constants!$B$7,LARGE(AL215:AP215,4)*W215,""))</f>
        <v/>
      </c>
      <c r="AY215" s="87" t="str">
        <f aca="false">IF(ISBLANK($C215),"",IF($AJ215=Constants!$B$7,RANK(AX215,$AX$8:$AX$507),$AJ215))</f>
        <v/>
      </c>
      <c r="AZ215" s="87" t="str">
        <f aca="false">IF(ISBLANK($C215),"",IF($AJ215=Constants!$B$7,IF(ISNUMBER(AV215),COUNTIFS($AK$8:$AK$507,"&lt;"&amp;$AK215)+COUNTIFS($AK$8:$AK$507,$AK215,$AV$8:$AV$507,"&lt;"&amp;$AV215)+COUNTIFS($AK$8:$AK$507,$AK215,$AV$8:$AV$507,$AV215,$AY$8:$AY$507,"&lt;"&amp;$AY215)+1,Constants!$B$14),$AJ215))</f>
        <v/>
      </c>
      <c r="BA215" s="87" t="str">
        <f aca="false">IF(ISBLANK($C215),"",IF($AJ215=Constants!$B$7,IF(ISNUMBER(AW215),AW215-AZ215,Constants!$B$14),$AJ215))</f>
        <v/>
      </c>
      <c r="BB215" s="88"/>
      <c r="BC215" s="89" t="str">
        <f aca="false">IF(ISBLANK($C215),"",IF($AJ215&lt;&gt;Constants!$B$7,$AJ215,SMALL(AQ215:AS215,1)&amp;", "&amp;SMALL(AQ215:AS215,2)&amp;", "&amp;SMALL(AQ215:AS215,3)))</f>
        <v/>
      </c>
      <c r="BD215" s="90" t="str">
        <f aca="false">IF(ISBLANK($C215),"",IF($AJ215&lt;&gt;Constants!$B$7,$AJ215,W215))</f>
        <v/>
      </c>
      <c r="BE215" s="91" t="str">
        <f aca="false">IF(ISBLANK($C215),"",IF($AJ215&lt;&gt;Constants!$B$7,$AJ215,AU215))</f>
        <v/>
      </c>
      <c r="BF215" s="92" t="str">
        <f aca="false">IF(ISBLANK($C215),"",IF($AJ215&lt;&gt;Constants!$B$7,$AJ215,AK215))</f>
        <v/>
      </c>
      <c r="BG215" s="90" t="str">
        <f aca="false">IF(ISBLANK($C215),"",BA215)</f>
        <v/>
      </c>
      <c r="BH215" s="90" t="str">
        <f aca="false">IF(ISBLANK($C215),"",AZ215)</f>
        <v/>
      </c>
      <c r="BI215" s="93" t="str">
        <f aca="false">IF(ISBLANK($C215),"",IF(BH215=Constants!$B$4,COUNTA($C$8:$C$507)+2,IF(BH215=Constants!$B$5,COUNTA($C$8:$C$507)+1,IF(BH215=Constants!$B$6,COUNTA($C$8:$C$507),BH215))))</f>
        <v/>
      </c>
      <c r="BJ215" s="5"/>
      <c r="BK215" s="94" t="n">
        <f aca="false">IF(OR(ISNUMBER(BH215),BH215=Constants!$B$4,BH215=Constants!$B$6,BH215=Constants!$B$5),1,0)</f>
        <v>0</v>
      </c>
      <c r="BL215" s="94" t="n">
        <v>208</v>
      </c>
      <c r="BM215" s="94" t="str">
        <f aca="false">IF(ISBLANK($C215),"",IF(ISNUMBER(BI215),BI215+ROW($B215)/1000,""))</f>
        <v/>
      </c>
      <c r="BN215" s="94" t="str">
        <f aca="false">IF(ISNUMBER(BM215),RANK(BM215,$BM$8:$BM$507,1),"")</f>
        <v/>
      </c>
      <c r="BO215" s="94" t="str">
        <f aca="false">IF(ISBLANK($C215),"",$B215)</f>
        <v/>
      </c>
      <c r="BP215" s="94" t="str">
        <f aca="false">IF(ISBLANK($C215),"",$C215)</f>
        <v/>
      </c>
      <c r="BQ215" s="94" t="str">
        <f aca="false">IF(ISBLANK($C215),"",$D215)</f>
        <v/>
      </c>
      <c r="BR215" s="95" t="str">
        <f aca="false">BF215</f>
        <v/>
      </c>
      <c r="BS215" s="96" t="str">
        <f aca="false">BE215</f>
        <v/>
      </c>
      <c r="BT215" s="94" t="str">
        <f aca="false">IF(ISBLANK($C215),"",BH215)</f>
        <v/>
      </c>
      <c r="BU215" s="97" t="str">
        <f aca="false">IF($BL215&gt;$BK$7,"",VLOOKUP($BL215,$BN$8:$BT$507,7,FALSE()))</f>
        <v/>
      </c>
      <c r="BV215" s="98" t="str">
        <f aca="false">IF($BL215&gt;$BK$7,"",VLOOKUP($BL215,$BN$8:$BT$507,2,FALSE()))</f>
        <v/>
      </c>
      <c r="BW215" s="98" t="str">
        <f aca="false">IF($BL215&gt;$BK$7,"",VLOOKUP($BL215,$BN$8:$BT$507,3,FALSE()))</f>
        <v/>
      </c>
      <c r="BX215" s="98" t="str">
        <f aca="false">IF($BL215&gt;$BK$7,"",VLOOKUP($BL215,$BN$8:$BT$507,4,FALSE()))</f>
        <v/>
      </c>
      <c r="BY215" s="98" t="str">
        <f aca="false">IF($BL215&gt;$BK$7,"",VLOOKUP($BL215,$BN$8:$BT$507,5,FALSE()))</f>
        <v/>
      </c>
      <c r="BZ215" s="99" t="str">
        <f aca="false">IF($BL215&gt;$BK$7,"",VLOOKUP($BL215,$BN$8:$BT$507,6,FALSE()))</f>
        <v/>
      </c>
      <c r="CA215" s="48"/>
    </row>
    <row r="216" customFormat="false" ht="15.75" hidden="false" customHeight="false" outlineLevel="0" collapsed="false">
      <c r="A216" s="5"/>
      <c r="B216" s="114"/>
      <c r="C216" s="115"/>
      <c r="D216" s="100"/>
      <c r="E216" s="120"/>
      <c r="F216" s="125"/>
      <c r="G216" s="82"/>
      <c r="H216" s="126"/>
      <c r="I216" s="127"/>
      <c r="J216" s="82"/>
      <c r="K216" s="126"/>
      <c r="L216" s="82"/>
      <c r="M216" s="126"/>
      <c r="N216" s="82"/>
      <c r="O216" s="126"/>
      <c r="P216" s="82"/>
      <c r="Q216" s="126"/>
      <c r="R216" s="82"/>
      <c r="S216" s="120"/>
      <c r="T216" s="86"/>
      <c r="U216" s="87" t="str">
        <f aca="false">IF(ISBLANK($C216),"",IF(E216=Constants!$B$2, TRUE(), IF(E216=Constants!$B$3, FALSE(), TRUE())))</f>
        <v/>
      </c>
      <c r="V216" s="87" t="str">
        <f aca="false">IF(ISBLANK($C216),"",IF(F216=Constants!$B$2, TRUE(), IF(F216=Constants!$B$3, FALSE(), TRUE())))</f>
        <v/>
      </c>
      <c r="W216" s="87" t="str">
        <f aca="false">IF(ISBLANK($C216),"",IF(G216=Constants!$B$15,Constants!$B$8,IF(G216=Constants!$B$16,Constants!$B$9,Constants!$B$10)))</f>
        <v/>
      </c>
      <c r="X216" s="87" t="str">
        <f aca="false">IF(ISBLANK($C216),"",IF(H216=Constants!$B$2, TRUE(), IF(H216=Constants!$B$3, FALSE(), TRUE())))</f>
        <v/>
      </c>
      <c r="Y216" s="87" t="str">
        <f aca="false">IF(ISBLANK($C216),"",IF(I216=Constants!$B$19,Constants!$B$19,Constants!$B$18))</f>
        <v/>
      </c>
      <c r="Z216" s="87" t="str">
        <f aca="false">IF(ISBLANK($C216),"",IF(ISNUMBER(J216),IF(J216&gt;=0,J216,""),""))</f>
        <v/>
      </c>
      <c r="AA216" s="87" t="str">
        <f aca="false">IF(ISBLANK($C216),"",IF(K216=Constants!$B$19,Constants!$B$19,Constants!$B$18))</f>
        <v/>
      </c>
      <c r="AB216" s="87" t="str">
        <f aca="false">IF(ISBLANK($C216),"",IF(ISNUMBER(L216),IF(L216&gt;=0,L216,""),""))</f>
        <v/>
      </c>
      <c r="AC216" s="87" t="str">
        <f aca="false">IF(ISBLANK($C216),"",IF(M216=Constants!$B$19,Constants!$B$19,Constants!$B$18))</f>
        <v/>
      </c>
      <c r="AD216" s="87" t="str">
        <f aca="false">IF(ISBLANK($C216),"",IF(ISNUMBER(N216),IF(N216&gt;=0,N216,""),""))</f>
        <v/>
      </c>
      <c r="AE216" s="87" t="str">
        <f aca="false">IF(ISBLANK($C216),"",IF(O216=Constants!$B$19,Constants!$B$19,Constants!$B$18))</f>
        <v/>
      </c>
      <c r="AF216" s="87" t="str">
        <f aca="false">IF(ISBLANK($C216),"",IF(ISNUMBER(P216),IF(P216&gt;=0,P216,""),""))</f>
        <v/>
      </c>
      <c r="AG216" s="87" t="str">
        <f aca="false">IF(ISBLANK($C216),"",IF(Q216=Constants!$B$19,Constants!$B$19,Constants!$B$18))</f>
        <v/>
      </c>
      <c r="AH216" s="87" t="str">
        <f aca="false">IF(ISBLANK($C216),"",IF(ISNUMBER(R216),IF(R216&gt;=0,R216,""),""))</f>
        <v/>
      </c>
      <c r="AI216" s="87" t="str">
        <f aca="false">IF(ISBLANK($C216),"",IF(S216=Constants!$B$2, TRUE(), IF(S216=Constants!$B$3, FALSE(), FALSE())))</f>
        <v/>
      </c>
      <c r="AJ216" s="87" t="str">
        <f aca="false">IF(ISBLANK($C216),"",IF(AI216,Constants!$B$4,IF(COUNTA(E216:R216)=0,Constants!$B$5,IF(COUNTA(J216,L216,N216,P216,R216)=0,Constants!$B$6,Constants!$B$7))))</f>
        <v/>
      </c>
      <c r="AK216" s="87" t="str">
        <f aca="false">IF(ISBLANK($C216),"",IF($AJ216&lt;&gt;Constants!$B$7,$AJ216,IF(OR(NOT(X216),AND(NOT(U216),COUNTIFS(Y216:AG216,Constants!$B$18,Z216:AH216,"&gt;=0")&gt;0),AND(NOT(V216),COUNTIFS(Y216:AG216,Constants!$B$19,Z216:AH216,"&gt;=0")&gt;0)),Constants!$B$12,Constants!$B$11)))</f>
        <v/>
      </c>
      <c r="AL216" s="87" t="str">
        <f aca="false">IF($AJ216=Constants!$B$7,IF(Z216="",Constants!$B$13,Z216),"")</f>
        <v/>
      </c>
      <c r="AM216" s="87" t="str">
        <f aca="false">IF($AJ216=Constants!$B$7,IF(AB216="",Constants!$B$13,AB216),"")</f>
        <v/>
      </c>
      <c r="AN216" s="87" t="str">
        <f aca="false">IF($AJ216=Constants!$B$7,IF(AD216="",Constants!$B$13,AD216),"")</f>
        <v/>
      </c>
      <c r="AO216" s="87" t="str">
        <f aca="false">IF($AJ216=Constants!$B$7,IF(AF216="",Constants!$B$13,AF216),"")</f>
        <v/>
      </c>
      <c r="AP216" s="87" t="str">
        <f aca="false">IF($AJ216=Constants!$B$7,IF(AH216="",Constants!$B$13,AH216),"")</f>
        <v/>
      </c>
      <c r="AQ216" s="87" t="str">
        <f aca="false">IF($AJ216=Constants!$B$7,IF(SUMPRODUCT(--($AL216:$AP216&gt;AL216))+SUMPRODUCT(--($AL216:AL216=AL216))=1,1,IF(SUMPRODUCT(--($AL216:$AP216&gt;AM216))+SUMPRODUCT(--($AL216:AM216=AM216))=1,2,IF(SUMPRODUCT(--($AL216:$AP216&gt;AN216))+SUMPRODUCT(--($AL216:AN216=AN216))=1,3,IF(SUMPRODUCT(--($AL216:$AP216&gt;AO216))+SUMPRODUCT(--($AL216:AO216=AO216))=1,4,5)))),"")</f>
        <v/>
      </c>
      <c r="AR216" s="87" t="str">
        <f aca="false">IF($AJ216=Constants!$B$7,IF(SUMPRODUCT(--($AL216:$AP216&gt;AL216))+SUMPRODUCT(--($AL216:AL216=AL216))=2,1,IF(SUMPRODUCT(--($AL216:$AP216&gt;AM216))+SUMPRODUCT(--($AL216:AM216=AM216))=2,2,IF(SUMPRODUCT(--($AL216:$AP216&gt;AN216))+SUMPRODUCT(--($AL216:AN216=AN216))=2,3,IF(SUMPRODUCT(--($AL216:$AP216&gt;AO216))+SUMPRODUCT(--($AL216:AO216=AO216))=2,4,5)))),"")</f>
        <v/>
      </c>
      <c r="AS216" s="87" t="str">
        <f aca="false">IF($AJ216=Constants!$B$7,IF(SUMPRODUCT(--($AL216:$AP216&gt;AL216))+SUMPRODUCT(--($AL216:AL216=AL216))=3,1,IF(SUMPRODUCT(--($AL216:$AP216&gt;AM216))+SUMPRODUCT(--($AL216:AM216=AM216))=3,2,IF(SUMPRODUCT(--($AL216:$AP216&gt;AN216))+SUMPRODUCT(--($AL216:AN216=AN216))=3,3,IF(SUMPRODUCT(--($AL216:$AP216&gt;AO216))+SUMPRODUCT(--($AL216:AO216=AO216))=3,4,5)))),"")</f>
        <v/>
      </c>
      <c r="AT216" s="87" t="str">
        <f aca="false">IF($AJ216=Constants!$B$7,LARGE(AL216:AP216,1)+LARGE(AL216:AP216,2)+LARGE(AL216:AP216,3),"")</f>
        <v/>
      </c>
      <c r="AU216" s="87" t="str">
        <f aca="false">IF(ISBLANK($C216),"",IF($AJ216&lt;&gt;Constants!$B$7,$AJ216,AT216*W216))</f>
        <v/>
      </c>
      <c r="AV216" s="87" t="str">
        <f aca="false">IF(ISBLANK($C216),"",IF($AJ216=Constants!$B$7,IF(ISNUMBER(AU216),RANK(AU216,$AU$8:$AU$507),Constants!$B$14),$AJ216))</f>
        <v/>
      </c>
      <c r="AW216" s="87" t="str">
        <f aca="false">IF(ISBLANK($C216),"",IF($AJ216=Constants!$B$7,IF(ISNUMBER(AV216),COUNTIFS($AK$8:$AK$507,"&lt;"&amp;$AK216)+COUNTIFS($AK$8:$AK$507,$AK216,$AV$8:$AV$507,"&lt;"&amp;$AV216)+1,Constants!$B$14),$AJ216))</f>
        <v/>
      </c>
      <c r="AX216" s="87" t="str">
        <f aca="false">IF(ISBLANK($C216),"",IF($AJ216=Constants!$B$7,LARGE(AL216:AP216,4)*W216,""))</f>
        <v/>
      </c>
      <c r="AY216" s="87" t="str">
        <f aca="false">IF(ISBLANK($C216),"",IF($AJ216=Constants!$B$7,RANK(AX216,$AX$8:$AX$507),$AJ216))</f>
        <v/>
      </c>
      <c r="AZ216" s="87" t="str">
        <f aca="false">IF(ISBLANK($C216),"",IF($AJ216=Constants!$B$7,IF(ISNUMBER(AV216),COUNTIFS($AK$8:$AK$507,"&lt;"&amp;$AK216)+COUNTIFS($AK$8:$AK$507,$AK216,$AV$8:$AV$507,"&lt;"&amp;$AV216)+COUNTIFS($AK$8:$AK$507,$AK216,$AV$8:$AV$507,$AV216,$AY$8:$AY$507,"&lt;"&amp;$AY216)+1,Constants!$B$14),$AJ216))</f>
        <v/>
      </c>
      <c r="BA216" s="87" t="str">
        <f aca="false">IF(ISBLANK($C216),"",IF($AJ216=Constants!$B$7,IF(ISNUMBER(AW216),AW216-AZ216,Constants!$B$14),$AJ216))</f>
        <v/>
      </c>
      <c r="BB216" s="88"/>
      <c r="BC216" s="89" t="str">
        <f aca="false">IF(ISBLANK($C216),"",IF($AJ216&lt;&gt;Constants!$B$7,$AJ216,SMALL(AQ216:AS216,1)&amp;", "&amp;SMALL(AQ216:AS216,2)&amp;", "&amp;SMALL(AQ216:AS216,3)))</f>
        <v/>
      </c>
      <c r="BD216" s="90" t="str">
        <f aca="false">IF(ISBLANK($C216),"",IF($AJ216&lt;&gt;Constants!$B$7,$AJ216,W216))</f>
        <v/>
      </c>
      <c r="BE216" s="91" t="str">
        <f aca="false">IF(ISBLANK($C216),"",IF($AJ216&lt;&gt;Constants!$B$7,$AJ216,AU216))</f>
        <v/>
      </c>
      <c r="BF216" s="92" t="str">
        <f aca="false">IF(ISBLANK($C216),"",IF($AJ216&lt;&gt;Constants!$B$7,$AJ216,AK216))</f>
        <v/>
      </c>
      <c r="BG216" s="90" t="str">
        <f aca="false">IF(ISBLANK($C216),"",BA216)</f>
        <v/>
      </c>
      <c r="BH216" s="90" t="str">
        <f aca="false">IF(ISBLANK($C216),"",AZ216)</f>
        <v/>
      </c>
      <c r="BI216" s="93" t="str">
        <f aca="false">IF(ISBLANK($C216),"",IF(BH216=Constants!$B$4,COUNTA($C$8:$C$507)+2,IF(BH216=Constants!$B$5,COUNTA($C$8:$C$507)+1,IF(BH216=Constants!$B$6,COUNTA($C$8:$C$507),BH216))))</f>
        <v/>
      </c>
      <c r="BJ216" s="5"/>
      <c r="BK216" s="94" t="n">
        <f aca="false">IF(OR(ISNUMBER(BH216),BH216=Constants!$B$4,BH216=Constants!$B$6,BH216=Constants!$B$5),1,0)</f>
        <v>0</v>
      </c>
      <c r="BL216" s="94" t="n">
        <v>209</v>
      </c>
      <c r="BM216" s="94" t="str">
        <f aca="false">IF(ISBLANK($C216),"",IF(ISNUMBER(BI216),BI216+ROW($B216)/1000,""))</f>
        <v/>
      </c>
      <c r="BN216" s="94" t="str">
        <f aca="false">IF(ISNUMBER(BM216),RANK(BM216,$BM$8:$BM$507,1),"")</f>
        <v/>
      </c>
      <c r="BO216" s="94" t="str">
        <f aca="false">IF(ISBLANK($C216),"",$B216)</f>
        <v/>
      </c>
      <c r="BP216" s="94" t="str">
        <f aca="false">IF(ISBLANK($C216),"",$C216)</f>
        <v/>
      </c>
      <c r="BQ216" s="94" t="str">
        <f aca="false">IF(ISBLANK($C216),"",$D216)</f>
        <v/>
      </c>
      <c r="BR216" s="95" t="str">
        <f aca="false">BF216</f>
        <v/>
      </c>
      <c r="BS216" s="96" t="str">
        <f aca="false">BE216</f>
        <v/>
      </c>
      <c r="BT216" s="94" t="str">
        <f aca="false">IF(ISBLANK($C216),"",BH216)</f>
        <v/>
      </c>
      <c r="BU216" s="97" t="str">
        <f aca="false">IF($BL216&gt;$BK$7,"",VLOOKUP($BL216,$BN$8:$BT$507,7,FALSE()))</f>
        <v/>
      </c>
      <c r="BV216" s="98" t="str">
        <f aca="false">IF($BL216&gt;$BK$7,"",VLOOKUP($BL216,$BN$8:$BT$507,2,FALSE()))</f>
        <v/>
      </c>
      <c r="BW216" s="98" t="str">
        <f aca="false">IF($BL216&gt;$BK$7,"",VLOOKUP($BL216,$BN$8:$BT$507,3,FALSE()))</f>
        <v/>
      </c>
      <c r="BX216" s="98" t="str">
        <f aca="false">IF($BL216&gt;$BK$7,"",VLOOKUP($BL216,$BN$8:$BT$507,4,FALSE()))</f>
        <v/>
      </c>
      <c r="BY216" s="98" t="str">
        <f aca="false">IF($BL216&gt;$BK$7,"",VLOOKUP($BL216,$BN$8:$BT$507,5,FALSE()))</f>
        <v/>
      </c>
      <c r="BZ216" s="99" t="str">
        <f aca="false">IF($BL216&gt;$BK$7,"",VLOOKUP($BL216,$BN$8:$BT$507,6,FALSE()))</f>
        <v/>
      </c>
      <c r="CA216" s="48"/>
    </row>
    <row r="217" customFormat="false" ht="15.75" hidden="false" customHeight="false" outlineLevel="0" collapsed="false">
      <c r="A217" s="5"/>
      <c r="B217" s="114"/>
      <c r="C217" s="115"/>
      <c r="D217" s="100"/>
      <c r="E217" s="120"/>
      <c r="F217" s="125"/>
      <c r="G217" s="82"/>
      <c r="H217" s="126"/>
      <c r="I217" s="127"/>
      <c r="J217" s="82"/>
      <c r="K217" s="126"/>
      <c r="L217" s="82"/>
      <c r="M217" s="126"/>
      <c r="N217" s="82"/>
      <c r="O217" s="126"/>
      <c r="P217" s="82"/>
      <c r="Q217" s="126"/>
      <c r="R217" s="82"/>
      <c r="S217" s="120"/>
      <c r="T217" s="86"/>
      <c r="U217" s="87" t="str">
        <f aca="false">IF(ISBLANK($C217),"",IF(E217=Constants!$B$2, TRUE(), IF(E217=Constants!$B$3, FALSE(), TRUE())))</f>
        <v/>
      </c>
      <c r="V217" s="87" t="str">
        <f aca="false">IF(ISBLANK($C217),"",IF(F217=Constants!$B$2, TRUE(), IF(F217=Constants!$B$3, FALSE(), TRUE())))</f>
        <v/>
      </c>
      <c r="W217" s="87" t="str">
        <f aca="false">IF(ISBLANK($C217),"",IF(G217=Constants!$B$15,Constants!$B$8,IF(G217=Constants!$B$16,Constants!$B$9,Constants!$B$10)))</f>
        <v/>
      </c>
      <c r="X217" s="87" t="str">
        <f aca="false">IF(ISBLANK($C217),"",IF(H217=Constants!$B$2, TRUE(), IF(H217=Constants!$B$3, FALSE(), TRUE())))</f>
        <v/>
      </c>
      <c r="Y217" s="87" t="str">
        <f aca="false">IF(ISBLANK($C217),"",IF(I217=Constants!$B$19,Constants!$B$19,Constants!$B$18))</f>
        <v/>
      </c>
      <c r="Z217" s="87" t="str">
        <f aca="false">IF(ISBLANK($C217),"",IF(ISNUMBER(J217),IF(J217&gt;=0,J217,""),""))</f>
        <v/>
      </c>
      <c r="AA217" s="87" t="str">
        <f aca="false">IF(ISBLANK($C217),"",IF(K217=Constants!$B$19,Constants!$B$19,Constants!$B$18))</f>
        <v/>
      </c>
      <c r="AB217" s="87" t="str">
        <f aca="false">IF(ISBLANK($C217),"",IF(ISNUMBER(L217),IF(L217&gt;=0,L217,""),""))</f>
        <v/>
      </c>
      <c r="AC217" s="87" t="str">
        <f aca="false">IF(ISBLANK($C217),"",IF(M217=Constants!$B$19,Constants!$B$19,Constants!$B$18))</f>
        <v/>
      </c>
      <c r="AD217" s="87" t="str">
        <f aca="false">IF(ISBLANK($C217),"",IF(ISNUMBER(N217),IF(N217&gt;=0,N217,""),""))</f>
        <v/>
      </c>
      <c r="AE217" s="87" t="str">
        <f aca="false">IF(ISBLANK($C217),"",IF(O217=Constants!$B$19,Constants!$B$19,Constants!$B$18))</f>
        <v/>
      </c>
      <c r="AF217" s="87" t="str">
        <f aca="false">IF(ISBLANK($C217),"",IF(ISNUMBER(P217),IF(P217&gt;=0,P217,""),""))</f>
        <v/>
      </c>
      <c r="AG217" s="87" t="str">
        <f aca="false">IF(ISBLANK($C217),"",IF(Q217=Constants!$B$19,Constants!$B$19,Constants!$B$18))</f>
        <v/>
      </c>
      <c r="AH217" s="87" t="str">
        <f aca="false">IF(ISBLANK($C217),"",IF(ISNUMBER(R217),IF(R217&gt;=0,R217,""),""))</f>
        <v/>
      </c>
      <c r="AI217" s="87" t="str">
        <f aca="false">IF(ISBLANK($C217),"",IF(S217=Constants!$B$2, TRUE(), IF(S217=Constants!$B$3, FALSE(), FALSE())))</f>
        <v/>
      </c>
      <c r="AJ217" s="87" t="str">
        <f aca="false">IF(ISBLANK($C217),"",IF(AI217,Constants!$B$4,IF(COUNTA(E217:R217)=0,Constants!$B$5,IF(COUNTA(J217,L217,N217,P217,R217)=0,Constants!$B$6,Constants!$B$7))))</f>
        <v/>
      </c>
      <c r="AK217" s="87" t="str">
        <f aca="false">IF(ISBLANK($C217),"",IF($AJ217&lt;&gt;Constants!$B$7,$AJ217,IF(OR(NOT(X217),AND(NOT(U217),COUNTIFS(Y217:AG217,Constants!$B$18,Z217:AH217,"&gt;=0")&gt;0),AND(NOT(V217),COUNTIFS(Y217:AG217,Constants!$B$19,Z217:AH217,"&gt;=0")&gt;0)),Constants!$B$12,Constants!$B$11)))</f>
        <v/>
      </c>
      <c r="AL217" s="87" t="str">
        <f aca="false">IF($AJ217=Constants!$B$7,IF(Z217="",Constants!$B$13,Z217),"")</f>
        <v/>
      </c>
      <c r="AM217" s="87" t="str">
        <f aca="false">IF($AJ217=Constants!$B$7,IF(AB217="",Constants!$B$13,AB217),"")</f>
        <v/>
      </c>
      <c r="AN217" s="87" t="str">
        <f aca="false">IF($AJ217=Constants!$B$7,IF(AD217="",Constants!$B$13,AD217),"")</f>
        <v/>
      </c>
      <c r="AO217" s="87" t="str">
        <f aca="false">IF($AJ217=Constants!$B$7,IF(AF217="",Constants!$B$13,AF217),"")</f>
        <v/>
      </c>
      <c r="AP217" s="87" t="str">
        <f aca="false">IF($AJ217=Constants!$B$7,IF(AH217="",Constants!$B$13,AH217),"")</f>
        <v/>
      </c>
      <c r="AQ217" s="87" t="str">
        <f aca="false">IF($AJ217=Constants!$B$7,IF(SUMPRODUCT(--($AL217:$AP217&gt;AL217))+SUMPRODUCT(--($AL217:AL217=AL217))=1,1,IF(SUMPRODUCT(--($AL217:$AP217&gt;AM217))+SUMPRODUCT(--($AL217:AM217=AM217))=1,2,IF(SUMPRODUCT(--($AL217:$AP217&gt;AN217))+SUMPRODUCT(--($AL217:AN217=AN217))=1,3,IF(SUMPRODUCT(--($AL217:$AP217&gt;AO217))+SUMPRODUCT(--($AL217:AO217=AO217))=1,4,5)))),"")</f>
        <v/>
      </c>
      <c r="AR217" s="87" t="str">
        <f aca="false">IF($AJ217=Constants!$B$7,IF(SUMPRODUCT(--($AL217:$AP217&gt;AL217))+SUMPRODUCT(--($AL217:AL217=AL217))=2,1,IF(SUMPRODUCT(--($AL217:$AP217&gt;AM217))+SUMPRODUCT(--($AL217:AM217=AM217))=2,2,IF(SUMPRODUCT(--($AL217:$AP217&gt;AN217))+SUMPRODUCT(--($AL217:AN217=AN217))=2,3,IF(SUMPRODUCT(--($AL217:$AP217&gt;AO217))+SUMPRODUCT(--($AL217:AO217=AO217))=2,4,5)))),"")</f>
        <v/>
      </c>
      <c r="AS217" s="87" t="str">
        <f aca="false">IF($AJ217=Constants!$B$7,IF(SUMPRODUCT(--($AL217:$AP217&gt;AL217))+SUMPRODUCT(--($AL217:AL217=AL217))=3,1,IF(SUMPRODUCT(--($AL217:$AP217&gt;AM217))+SUMPRODUCT(--($AL217:AM217=AM217))=3,2,IF(SUMPRODUCT(--($AL217:$AP217&gt;AN217))+SUMPRODUCT(--($AL217:AN217=AN217))=3,3,IF(SUMPRODUCT(--($AL217:$AP217&gt;AO217))+SUMPRODUCT(--($AL217:AO217=AO217))=3,4,5)))),"")</f>
        <v/>
      </c>
      <c r="AT217" s="87" t="str">
        <f aca="false">IF($AJ217=Constants!$B$7,LARGE(AL217:AP217,1)+LARGE(AL217:AP217,2)+LARGE(AL217:AP217,3),"")</f>
        <v/>
      </c>
      <c r="AU217" s="87" t="str">
        <f aca="false">IF(ISBLANK($C217),"",IF($AJ217&lt;&gt;Constants!$B$7,$AJ217,AT217*W217))</f>
        <v/>
      </c>
      <c r="AV217" s="87" t="str">
        <f aca="false">IF(ISBLANK($C217),"",IF($AJ217=Constants!$B$7,IF(ISNUMBER(AU217),RANK(AU217,$AU$8:$AU$507),Constants!$B$14),$AJ217))</f>
        <v/>
      </c>
      <c r="AW217" s="87" t="str">
        <f aca="false">IF(ISBLANK($C217),"",IF($AJ217=Constants!$B$7,IF(ISNUMBER(AV217),COUNTIFS($AK$8:$AK$507,"&lt;"&amp;$AK217)+COUNTIFS($AK$8:$AK$507,$AK217,$AV$8:$AV$507,"&lt;"&amp;$AV217)+1,Constants!$B$14),$AJ217))</f>
        <v/>
      </c>
      <c r="AX217" s="87" t="str">
        <f aca="false">IF(ISBLANK($C217),"",IF($AJ217=Constants!$B$7,LARGE(AL217:AP217,4)*W217,""))</f>
        <v/>
      </c>
      <c r="AY217" s="87" t="str">
        <f aca="false">IF(ISBLANK($C217),"",IF($AJ217=Constants!$B$7,RANK(AX217,$AX$8:$AX$507),$AJ217))</f>
        <v/>
      </c>
      <c r="AZ217" s="87" t="str">
        <f aca="false">IF(ISBLANK($C217),"",IF($AJ217=Constants!$B$7,IF(ISNUMBER(AV217),COUNTIFS($AK$8:$AK$507,"&lt;"&amp;$AK217)+COUNTIFS($AK$8:$AK$507,$AK217,$AV$8:$AV$507,"&lt;"&amp;$AV217)+COUNTIFS($AK$8:$AK$507,$AK217,$AV$8:$AV$507,$AV217,$AY$8:$AY$507,"&lt;"&amp;$AY217)+1,Constants!$B$14),$AJ217))</f>
        <v/>
      </c>
      <c r="BA217" s="87" t="str">
        <f aca="false">IF(ISBLANK($C217),"",IF($AJ217=Constants!$B$7,IF(ISNUMBER(AW217),AW217-AZ217,Constants!$B$14),$AJ217))</f>
        <v/>
      </c>
      <c r="BB217" s="88"/>
      <c r="BC217" s="89" t="str">
        <f aca="false">IF(ISBLANK($C217),"",IF($AJ217&lt;&gt;Constants!$B$7,$AJ217,SMALL(AQ217:AS217,1)&amp;", "&amp;SMALL(AQ217:AS217,2)&amp;", "&amp;SMALL(AQ217:AS217,3)))</f>
        <v/>
      </c>
      <c r="BD217" s="90" t="str">
        <f aca="false">IF(ISBLANK($C217),"",IF($AJ217&lt;&gt;Constants!$B$7,$AJ217,W217))</f>
        <v/>
      </c>
      <c r="BE217" s="91" t="str">
        <f aca="false">IF(ISBLANK($C217),"",IF($AJ217&lt;&gt;Constants!$B$7,$AJ217,AU217))</f>
        <v/>
      </c>
      <c r="BF217" s="92" t="str">
        <f aca="false">IF(ISBLANK($C217),"",IF($AJ217&lt;&gt;Constants!$B$7,$AJ217,AK217))</f>
        <v/>
      </c>
      <c r="BG217" s="90" t="str">
        <f aca="false">IF(ISBLANK($C217),"",BA217)</f>
        <v/>
      </c>
      <c r="BH217" s="90" t="str">
        <f aca="false">IF(ISBLANK($C217),"",AZ217)</f>
        <v/>
      </c>
      <c r="BI217" s="93" t="str">
        <f aca="false">IF(ISBLANK($C217),"",IF(BH217=Constants!$B$4,COUNTA($C$8:$C$507)+2,IF(BH217=Constants!$B$5,COUNTA($C$8:$C$507)+1,IF(BH217=Constants!$B$6,COUNTA($C$8:$C$507),BH217))))</f>
        <v/>
      </c>
      <c r="BJ217" s="5"/>
      <c r="BK217" s="94" t="n">
        <f aca="false">IF(OR(ISNUMBER(BH217),BH217=Constants!$B$4,BH217=Constants!$B$6,BH217=Constants!$B$5),1,0)</f>
        <v>0</v>
      </c>
      <c r="BL217" s="94" t="n">
        <v>210</v>
      </c>
      <c r="BM217" s="94" t="str">
        <f aca="false">IF(ISBLANK($C217),"",IF(ISNUMBER(BI217),BI217+ROW($B217)/1000,""))</f>
        <v/>
      </c>
      <c r="BN217" s="94" t="str">
        <f aca="false">IF(ISNUMBER(BM217),RANK(BM217,$BM$8:$BM$507,1),"")</f>
        <v/>
      </c>
      <c r="BO217" s="94" t="str">
        <f aca="false">IF(ISBLANK($C217),"",$B217)</f>
        <v/>
      </c>
      <c r="BP217" s="94" t="str">
        <f aca="false">IF(ISBLANK($C217),"",$C217)</f>
        <v/>
      </c>
      <c r="BQ217" s="94" t="str">
        <f aca="false">IF(ISBLANK($C217),"",$D217)</f>
        <v/>
      </c>
      <c r="BR217" s="95" t="str">
        <f aca="false">BF217</f>
        <v/>
      </c>
      <c r="BS217" s="96" t="str">
        <f aca="false">BE217</f>
        <v/>
      </c>
      <c r="BT217" s="94" t="str">
        <f aca="false">IF(ISBLANK($C217),"",BH217)</f>
        <v/>
      </c>
      <c r="BU217" s="97" t="str">
        <f aca="false">IF($BL217&gt;$BK$7,"",VLOOKUP($BL217,$BN$8:$BT$507,7,FALSE()))</f>
        <v/>
      </c>
      <c r="BV217" s="98" t="str">
        <f aca="false">IF($BL217&gt;$BK$7,"",VLOOKUP($BL217,$BN$8:$BT$507,2,FALSE()))</f>
        <v/>
      </c>
      <c r="BW217" s="98" t="str">
        <f aca="false">IF($BL217&gt;$BK$7,"",VLOOKUP($BL217,$BN$8:$BT$507,3,FALSE()))</f>
        <v/>
      </c>
      <c r="BX217" s="98" t="str">
        <f aca="false">IF($BL217&gt;$BK$7,"",VLOOKUP($BL217,$BN$8:$BT$507,4,FALSE()))</f>
        <v/>
      </c>
      <c r="BY217" s="98" t="str">
        <f aca="false">IF($BL217&gt;$BK$7,"",VLOOKUP($BL217,$BN$8:$BT$507,5,FALSE()))</f>
        <v/>
      </c>
      <c r="BZ217" s="99" t="str">
        <f aca="false">IF($BL217&gt;$BK$7,"",VLOOKUP($BL217,$BN$8:$BT$507,6,FALSE()))</f>
        <v/>
      </c>
      <c r="CA217" s="48"/>
    </row>
    <row r="218" customFormat="false" ht="15.75" hidden="false" customHeight="false" outlineLevel="0" collapsed="false">
      <c r="A218" s="5"/>
      <c r="B218" s="121"/>
      <c r="C218" s="50"/>
      <c r="D218" s="51"/>
      <c r="E218" s="74"/>
      <c r="F218" s="122"/>
      <c r="G218" s="54"/>
      <c r="H218" s="123"/>
      <c r="I218" s="124"/>
      <c r="J218" s="54"/>
      <c r="K218" s="123"/>
      <c r="L218" s="54"/>
      <c r="M218" s="123"/>
      <c r="N218" s="54"/>
      <c r="O218" s="123"/>
      <c r="P218" s="54"/>
      <c r="Q218" s="123"/>
      <c r="R218" s="54"/>
      <c r="S218" s="74"/>
      <c r="T218" s="58"/>
      <c r="U218" s="59" t="str">
        <f aca="false">IF(ISBLANK($C218),"",IF(E218=Constants!$B$2, TRUE(), IF(E218=Constants!$B$3, FALSE(), TRUE())))</f>
        <v/>
      </c>
      <c r="V218" s="59" t="str">
        <f aca="false">IF(ISBLANK($C218),"",IF(F218=Constants!$B$2, TRUE(), IF(F218=Constants!$B$3, FALSE(), TRUE())))</f>
        <v/>
      </c>
      <c r="W218" s="59" t="str">
        <f aca="false">IF(ISBLANK($C218),"",IF(G218=Constants!$B$15,Constants!$B$8,IF(G218=Constants!$B$16,Constants!$B$9,Constants!$B$10)))</f>
        <v/>
      </c>
      <c r="X218" s="59" t="str">
        <f aca="false">IF(ISBLANK($C218),"",IF(H218=Constants!$B$2, TRUE(), IF(H218=Constants!$B$3, FALSE(), TRUE())))</f>
        <v/>
      </c>
      <c r="Y218" s="59" t="str">
        <f aca="false">IF(ISBLANK($C218),"",IF(I218=Constants!$B$19,Constants!$B$19,Constants!$B$18))</f>
        <v/>
      </c>
      <c r="Z218" s="59" t="str">
        <f aca="false">IF(ISBLANK($C218),"",IF(ISNUMBER(J218),IF(J218&gt;=0,J218,""),""))</f>
        <v/>
      </c>
      <c r="AA218" s="59" t="str">
        <f aca="false">IF(ISBLANK($C218),"",IF(K218=Constants!$B$19,Constants!$B$19,Constants!$B$18))</f>
        <v/>
      </c>
      <c r="AB218" s="59" t="str">
        <f aca="false">IF(ISBLANK($C218),"",IF(ISNUMBER(L218),IF(L218&gt;=0,L218,""),""))</f>
        <v/>
      </c>
      <c r="AC218" s="59" t="str">
        <f aca="false">IF(ISBLANK($C218),"",IF(M218=Constants!$B$19,Constants!$B$19,Constants!$B$18))</f>
        <v/>
      </c>
      <c r="AD218" s="59" t="str">
        <f aca="false">IF(ISBLANK($C218),"",IF(ISNUMBER(N218),IF(N218&gt;=0,N218,""),""))</f>
        <v/>
      </c>
      <c r="AE218" s="59" t="str">
        <f aca="false">IF(ISBLANK($C218),"",IF(O218=Constants!$B$19,Constants!$B$19,Constants!$B$18))</f>
        <v/>
      </c>
      <c r="AF218" s="59" t="str">
        <f aca="false">IF(ISBLANK($C218),"",IF(ISNUMBER(P218),IF(P218&gt;=0,P218,""),""))</f>
        <v/>
      </c>
      <c r="AG218" s="59" t="str">
        <f aca="false">IF(ISBLANK($C218),"",IF(Q218=Constants!$B$19,Constants!$B$19,Constants!$B$18))</f>
        <v/>
      </c>
      <c r="AH218" s="59" t="str">
        <f aca="false">IF(ISBLANK($C218),"",IF(ISNUMBER(R218),IF(R218&gt;=0,R218,""),""))</f>
        <v/>
      </c>
      <c r="AI218" s="59" t="str">
        <f aca="false">IF(ISBLANK($C218),"",IF(S218=Constants!$B$2, TRUE(), IF(S218=Constants!$B$3, FALSE(), FALSE())))</f>
        <v/>
      </c>
      <c r="AJ218" s="59" t="str">
        <f aca="false">IF(ISBLANK($C218),"",IF(AI218,Constants!$B$4,IF(COUNTA(E218:R218)=0,Constants!$B$5,IF(COUNTA(J218,L218,N218,P218,R218)=0,Constants!$B$6,Constants!$B$7))))</f>
        <v/>
      </c>
      <c r="AK218" s="59" t="str">
        <f aca="false">IF(ISBLANK($C218),"",IF($AJ218&lt;&gt;Constants!$B$7,$AJ218,IF(OR(NOT(X218),AND(NOT(U218),COUNTIFS(Y218:AG218,Constants!$B$18,Z218:AH218,"&gt;=0")&gt;0),AND(NOT(V218),COUNTIFS(Y218:AG218,Constants!$B$19,Z218:AH218,"&gt;=0")&gt;0)),Constants!$B$12,Constants!$B$11)))</f>
        <v/>
      </c>
      <c r="AL218" s="59" t="str">
        <f aca="false">IF($AJ218=Constants!$B$7,IF(Z218="",Constants!$B$13,Z218),"")</f>
        <v/>
      </c>
      <c r="AM218" s="59" t="str">
        <f aca="false">IF($AJ218=Constants!$B$7,IF(AB218="",Constants!$B$13,AB218),"")</f>
        <v/>
      </c>
      <c r="AN218" s="59" t="str">
        <f aca="false">IF($AJ218=Constants!$B$7,IF(AD218="",Constants!$B$13,AD218),"")</f>
        <v/>
      </c>
      <c r="AO218" s="59" t="str">
        <f aca="false">IF($AJ218=Constants!$B$7,IF(AF218="",Constants!$B$13,AF218),"")</f>
        <v/>
      </c>
      <c r="AP218" s="59" t="str">
        <f aca="false">IF($AJ218=Constants!$B$7,IF(AH218="",Constants!$B$13,AH218),"")</f>
        <v/>
      </c>
      <c r="AQ218" s="59" t="str">
        <f aca="false">IF($AJ218=Constants!$B$7,IF(SUMPRODUCT(--($AL218:$AP218&gt;AL218))+SUMPRODUCT(--($AL218:AL218=AL218))=1,1,IF(SUMPRODUCT(--($AL218:$AP218&gt;AM218))+SUMPRODUCT(--($AL218:AM218=AM218))=1,2,IF(SUMPRODUCT(--($AL218:$AP218&gt;AN218))+SUMPRODUCT(--($AL218:AN218=AN218))=1,3,IF(SUMPRODUCT(--($AL218:$AP218&gt;AO218))+SUMPRODUCT(--($AL218:AO218=AO218))=1,4,5)))),"")</f>
        <v/>
      </c>
      <c r="AR218" s="59" t="str">
        <f aca="false">IF($AJ218=Constants!$B$7,IF(SUMPRODUCT(--($AL218:$AP218&gt;AL218))+SUMPRODUCT(--($AL218:AL218=AL218))=2,1,IF(SUMPRODUCT(--($AL218:$AP218&gt;AM218))+SUMPRODUCT(--($AL218:AM218=AM218))=2,2,IF(SUMPRODUCT(--($AL218:$AP218&gt;AN218))+SUMPRODUCT(--($AL218:AN218=AN218))=2,3,IF(SUMPRODUCT(--($AL218:$AP218&gt;AO218))+SUMPRODUCT(--($AL218:AO218=AO218))=2,4,5)))),"")</f>
        <v/>
      </c>
      <c r="AS218" s="59" t="str">
        <f aca="false">IF($AJ218=Constants!$B$7,IF(SUMPRODUCT(--($AL218:$AP218&gt;AL218))+SUMPRODUCT(--($AL218:AL218=AL218))=3,1,IF(SUMPRODUCT(--($AL218:$AP218&gt;AM218))+SUMPRODUCT(--($AL218:AM218=AM218))=3,2,IF(SUMPRODUCT(--($AL218:$AP218&gt;AN218))+SUMPRODUCT(--($AL218:AN218=AN218))=3,3,IF(SUMPRODUCT(--($AL218:$AP218&gt;AO218))+SUMPRODUCT(--($AL218:AO218=AO218))=3,4,5)))),"")</f>
        <v/>
      </c>
      <c r="AT218" s="59" t="str">
        <f aca="false">IF($AJ218=Constants!$B$7,LARGE(AL218:AP218,1)+LARGE(AL218:AP218,2)+LARGE(AL218:AP218,3),"")</f>
        <v/>
      </c>
      <c r="AU218" s="59" t="str">
        <f aca="false">IF(ISBLANK($C218),"",IF($AJ218&lt;&gt;Constants!$B$7,$AJ218,AT218*W218))</f>
        <v/>
      </c>
      <c r="AV218" s="59" t="str">
        <f aca="false">IF(ISBLANK($C218),"",IF($AJ218=Constants!$B$7,IF(ISNUMBER(AU218),RANK(AU218,$AU$8:$AU$507),Constants!$B$14),$AJ218))</f>
        <v/>
      </c>
      <c r="AW218" s="59" t="str">
        <f aca="false">IF(ISBLANK($C218),"",IF($AJ218=Constants!$B$7,IF(ISNUMBER(AV218),COUNTIFS($AK$8:$AK$507,"&lt;"&amp;$AK218)+COUNTIFS($AK$8:$AK$507,$AK218,$AV$8:$AV$507,"&lt;"&amp;$AV218)+1,Constants!$B$14),$AJ218))</f>
        <v/>
      </c>
      <c r="AX218" s="59" t="str">
        <f aca="false">IF(ISBLANK($C218),"",IF($AJ218=Constants!$B$7,LARGE(AL218:AP218,4)*W218,""))</f>
        <v/>
      </c>
      <c r="AY218" s="59" t="str">
        <f aca="false">IF(ISBLANK($C218),"",IF($AJ218=Constants!$B$7,RANK(AX218,$AX$8:$AX$507),$AJ218))</f>
        <v/>
      </c>
      <c r="AZ218" s="59" t="str">
        <f aca="false">IF(ISBLANK($C218),"",IF($AJ218=Constants!$B$7,IF(ISNUMBER(AV218),COUNTIFS($AK$8:$AK$507,"&lt;"&amp;$AK218)+COUNTIFS($AK$8:$AK$507,$AK218,$AV$8:$AV$507,"&lt;"&amp;$AV218)+COUNTIFS($AK$8:$AK$507,$AK218,$AV$8:$AV$507,$AV218,$AY$8:$AY$507,"&lt;"&amp;$AY218)+1,Constants!$B$14),$AJ218))</f>
        <v/>
      </c>
      <c r="BA218" s="59" t="str">
        <f aca="false">IF(ISBLANK($C218),"",IF($AJ218=Constants!$B$7,IF(ISNUMBER(AW218),AW218-AZ218,Constants!$B$14),$AJ218))</f>
        <v/>
      </c>
      <c r="BB218" s="61"/>
      <c r="BC218" s="62" t="str">
        <f aca="false">IF(ISBLANK($C218),"",IF($AJ218&lt;&gt;Constants!$B$7,$AJ218,SMALL(AQ218:AS218,1)&amp;", "&amp;SMALL(AQ218:AS218,2)&amp;", "&amp;SMALL(AQ218:AS218,3)))</f>
        <v/>
      </c>
      <c r="BD218" s="63" t="str">
        <f aca="false">IF(ISBLANK($C218),"",IF($AJ218&lt;&gt;Constants!$B$7,$AJ218,W218))</f>
        <v/>
      </c>
      <c r="BE218" s="64" t="str">
        <f aca="false">IF(ISBLANK($C218),"",IF($AJ218&lt;&gt;Constants!$B$7,$AJ218,AU218))</f>
        <v/>
      </c>
      <c r="BF218" s="65" t="str">
        <f aca="false">IF(ISBLANK($C218),"",IF($AJ218&lt;&gt;Constants!$B$7,$AJ218,AK218))</f>
        <v/>
      </c>
      <c r="BG218" s="63" t="str">
        <f aca="false">IF(ISBLANK($C218),"",BA218)</f>
        <v/>
      </c>
      <c r="BH218" s="63" t="str">
        <f aca="false">IF(ISBLANK($C218),"",AZ218)</f>
        <v/>
      </c>
      <c r="BI218" s="66" t="str">
        <f aca="false">IF(ISBLANK($C218),"",IF(BH218=Constants!$B$4,COUNTA($C$8:$C$507)+2,IF(BH218=Constants!$B$5,COUNTA($C$8:$C$507)+1,IF(BH218=Constants!$B$6,COUNTA($C$8:$C$507),BH218))))</f>
        <v/>
      </c>
      <c r="BJ218" s="5"/>
      <c r="BK218" s="67" t="n">
        <f aca="false">IF(OR(ISNUMBER(BH218),BH218=Constants!$B$4,BH218=Constants!$B$6,BH218=Constants!$B$5),1,0)</f>
        <v>0</v>
      </c>
      <c r="BL218" s="67" t="n">
        <v>211</v>
      </c>
      <c r="BM218" s="67" t="str">
        <f aca="false">IF(ISBLANK($C218),"",IF(ISNUMBER(BI218),BI218+ROW($B218)/1000,""))</f>
        <v/>
      </c>
      <c r="BN218" s="67" t="str">
        <f aca="false">IF(ISNUMBER(BM218),RANK(BM218,$BM$8:$BM$507,1),"")</f>
        <v/>
      </c>
      <c r="BO218" s="67" t="str">
        <f aca="false">IF(ISBLANK($C218),"",$B218)</f>
        <v/>
      </c>
      <c r="BP218" s="67" t="str">
        <f aca="false">IF(ISBLANK($C218),"",$C218)</f>
        <v/>
      </c>
      <c r="BQ218" s="67" t="str">
        <f aca="false">IF(ISBLANK($C218),"",$D218)</f>
        <v/>
      </c>
      <c r="BR218" s="68" t="str">
        <f aca="false">BF218</f>
        <v/>
      </c>
      <c r="BS218" s="69" t="str">
        <f aca="false">BE218</f>
        <v/>
      </c>
      <c r="BT218" s="67" t="str">
        <f aca="false">IF(ISBLANK($C218),"",BH218)</f>
        <v/>
      </c>
      <c r="BU218" s="70" t="str">
        <f aca="false">IF($BL218&gt;$BK$7,"",VLOOKUP($BL218,$BN$8:$BT$507,7,FALSE()))</f>
        <v/>
      </c>
      <c r="BV218" s="71" t="str">
        <f aca="false">IF($BL218&gt;$BK$7,"",VLOOKUP($BL218,$BN$8:$BT$507,2,FALSE()))</f>
        <v/>
      </c>
      <c r="BW218" s="71" t="str">
        <f aca="false">IF($BL218&gt;$BK$7,"",VLOOKUP($BL218,$BN$8:$BT$507,3,FALSE()))</f>
        <v/>
      </c>
      <c r="BX218" s="71" t="str">
        <f aca="false">IF($BL218&gt;$BK$7,"",VLOOKUP($BL218,$BN$8:$BT$507,4,FALSE()))</f>
        <v/>
      </c>
      <c r="BY218" s="71" t="str">
        <f aca="false">IF($BL218&gt;$BK$7,"",VLOOKUP($BL218,$BN$8:$BT$507,5,FALSE()))</f>
        <v/>
      </c>
      <c r="BZ218" s="72" t="str">
        <f aca="false">IF($BL218&gt;$BK$7,"",VLOOKUP($BL218,$BN$8:$BT$507,6,FALSE()))</f>
        <v/>
      </c>
      <c r="CA218" s="48"/>
    </row>
    <row r="219" customFormat="false" ht="15.75" hidden="false" customHeight="false" outlineLevel="0" collapsed="false">
      <c r="A219" s="5"/>
      <c r="B219" s="121"/>
      <c r="C219" s="50"/>
      <c r="D219" s="51"/>
      <c r="E219" s="74"/>
      <c r="F219" s="122"/>
      <c r="G219" s="54"/>
      <c r="H219" s="123"/>
      <c r="I219" s="124"/>
      <c r="J219" s="54"/>
      <c r="K219" s="123"/>
      <c r="L219" s="54"/>
      <c r="M219" s="123"/>
      <c r="N219" s="54"/>
      <c r="O219" s="123"/>
      <c r="P219" s="54"/>
      <c r="Q219" s="123"/>
      <c r="R219" s="54"/>
      <c r="S219" s="74"/>
      <c r="T219" s="58"/>
      <c r="U219" s="59" t="str">
        <f aca="false">IF(ISBLANK($C219),"",IF(E219=Constants!$B$2, TRUE(), IF(E219=Constants!$B$3, FALSE(), TRUE())))</f>
        <v/>
      </c>
      <c r="V219" s="59" t="str">
        <f aca="false">IF(ISBLANK($C219),"",IF(F219=Constants!$B$2, TRUE(), IF(F219=Constants!$B$3, FALSE(), TRUE())))</f>
        <v/>
      </c>
      <c r="W219" s="59" t="str">
        <f aca="false">IF(ISBLANK($C219),"",IF(G219=Constants!$B$15,Constants!$B$8,IF(G219=Constants!$B$16,Constants!$B$9,Constants!$B$10)))</f>
        <v/>
      </c>
      <c r="X219" s="59" t="str">
        <f aca="false">IF(ISBLANK($C219),"",IF(H219=Constants!$B$2, TRUE(), IF(H219=Constants!$B$3, FALSE(), TRUE())))</f>
        <v/>
      </c>
      <c r="Y219" s="59" t="str">
        <f aca="false">IF(ISBLANK($C219),"",IF(I219=Constants!$B$19,Constants!$B$19,Constants!$B$18))</f>
        <v/>
      </c>
      <c r="Z219" s="59" t="str">
        <f aca="false">IF(ISBLANK($C219),"",IF(ISNUMBER(J219),IF(J219&gt;=0,J219,""),""))</f>
        <v/>
      </c>
      <c r="AA219" s="59" t="str">
        <f aca="false">IF(ISBLANK($C219),"",IF(K219=Constants!$B$19,Constants!$B$19,Constants!$B$18))</f>
        <v/>
      </c>
      <c r="AB219" s="59" t="str">
        <f aca="false">IF(ISBLANK($C219),"",IF(ISNUMBER(L219),IF(L219&gt;=0,L219,""),""))</f>
        <v/>
      </c>
      <c r="AC219" s="59" t="str">
        <f aca="false">IF(ISBLANK($C219),"",IF(M219=Constants!$B$19,Constants!$B$19,Constants!$B$18))</f>
        <v/>
      </c>
      <c r="AD219" s="59" t="str">
        <f aca="false">IF(ISBLANK($C219),"",IF(ISNUMBER(N219),IF(N219&gt;=0,N219,""),""))</f>
        <v/>
      </c>
      <c r="AE219" s="59" t="str">
        <f aca="false">IF(ISBLANK($C219),"",IF(O219=Constants!$B$19,Constants!$B$19,Constants!$B$18))</f>
        <v/>
      </c>
      <c r="AF219" s="59" t="str">
        <f aca="false">IF(ISBLANK($C219),"",IF(ISNUMBER(P219),IF(P219&gt;=0,P219,""),""))</f>
        <v/>
      </c>
      <c r="AG219" s="59" t="str">
        <f aca="false">IF(ISBLANK($C219),"",IF(Q219=Constants!$B$19,Constants!$B$19,Constants!$B$18))</f>
        <v/>
      </c>
      <c r="AH219" s="59" t="str">
        <f aca="false">IF(ISBLANK($C219),"",IF(ISNUMBER(R219),IF(R219&gt;=0,R219,""),""))</f>
        <v/>
      </c>
      <c r="AI219" s="59" t="str">
        <f aca="false">IF(ISBLANK($C219),"",IF(S219=Constants!$B$2, TRUE(), IF(S219=Constants!$B$3, FALSE(), FALSE())))</f>
        <v/>
      </c>
      <c r="AJ219" s="59" t="str">
        <f aca="false">IF(ISBLANK($C219),"",IF(AI219,Constants!$B$4,IF(COUNTA(E219:R219)=0,Constants!$B$5,IF(COUNTA(J219,L219,N219,P219,R219)=0,Constants!$B$6,Constants!$B$7))))</f>
        <v/>
      </c>
      <c r="AK219" s="59" t="str">
        <f aca="false">IF(ISBLANK($C219),"",IF($AJ219&lt;&gt;Constants!$B$7,$AJ219,IF(OR(NOT(X219),AND(NOT(U219),COUNTIFS(Y219:AG219,Constants!$B$18,Z219:AH219,"&gt;=0")&gt;0),AND(NOT(V219),COUNTIFS(Y219:AG219,Constants!$B$19,Z219:AH219,"&gt;=0")&gt;0)),Constants!$B$12,Constants!$B$11)))</f>
        <v/>
      </c>
      <c r="AL219" s="59" t="str">
        <f aca="false">IF($AJ219=Constants!$B$7,IF(Z219="",Constants!$B$13,Z219),"")</f>
        <v/>
      </c>
      <c r="AM219" s="59" t="str">
        <f aca="false">IF($AJ219=Constants!$B$7,IF(AB219="",Constants!$B$13,AB219),"")</f>
        <v/>
      </c>
      <c r="AN219" s="59" t="str">
        <f aca="false">IF($AJ219=Constants!$B$7,IF(AD219="",Constants!$B$13,AD219),"")</f>
        <v/>
      </c>
      <c r="AO219" s="59" t="str">
        <f aca="false">IF($AJ219=Constants!$B$7,IF(AF219="",Constants!$B$13,AF219),"")</f>
        <v/>
      </c>
      <c r="AP219" s="59" t="str">
        <f aca="false">IF($AJ219=Constants!$B$7,IF(AH219="",Constants!$B$13,AH219),"")</f>
        <v/>
      </c>
      <c r="AQ219" s="59" t="str">
        <f aca="false">IF($AJ219=Constants!$B$7,IF(SUMPRODUCT(--($AL219:$AP219&gt;AL219))+SUMPRODUCT(--($AL219:AL219=AL219))=1,1,IF(SUMPRODUCT(--($AL219:$AP219&gt;AM219))+SUMPRODUCT(--($AL219:AM219=AM219))=1,2,IF(SUMPRODUCT(--($AL219:$AP219&gt;AN219))+SUMPRODUCT(--($AL219:AN219=AN219))=1,3,IF(SUMPRODUCT(--($AL219:$AP219&gt;AO219))+SUMPRODUCT(--($AL219:AO219=AO219))=1,4,5)))),"")</f>
        <v/>
      </c>
      <c r="AR219" s="59" t="str">
        <f aca="false">IF($AJ219=Constants!$B$7,IF(SUMPRODUCT(--($AL219:$AP219&gt;AL219))+SUMPRODUCT(--($AL219:AL219=AL219))=2,1,IF(SUMPRODUCT(--($AL219:$AP219&gt;AM219))+SUMPRODUCT(--($AL219:AM219=AM219))=2,2,IF(SUMPRODUCT(--($AL219:$AP219&gt;AN219))+SUMPRODUCT(--($AL219:AN219=AN219))=2,3,IF(SUMPRODUCT(--($AL219:$AP219&gt;AO219))+SUMPRODUCT(--($AL219:AO219=AO219))=2,4,5)))),"")</f>
        <v/>
      </c>
      <c r="AS219" s="59" t="str">
        <f aca="false">IF($AJ219=Constants!$B$7,IF(SUMPRODUCT(--($AL219:$AP219&gt;AL219))+SUMPRODUCT(--($AL219:AL219=AL219))=3,1,IF(SUMPRODUCT(--($AL219:$AP219&gt;AM219))+SUMPRODUCT(--($AL219:AM219=AM219))=3,2,IF(SUMPRODUCT(--($AL219:$AP219&gt;AN219))+SUMPRODUCT(--($AL219:AN219=AN219))=3,3,IF(SUMPRODUCT(--($AL219:$AP219&gt;AO219))+SUMPRODUCT(--($AL219:AO219=AO219))=3,4,5)))),"")</f>
        <v/>
      </c>
      <c r="AT219" s="59" t="str">
        <f aca="false">IF($AJ219=Constants!$B$7,LARGE(AL219:AP219,1)+LARGE(AL219:AP219,2)+LARGE(AL219:AP219,3),"")</f>
        <v/>
      </c>
      <c r="AU219" s="59" t="str">
        <f aca="false">IF(ISBLANK($C219),"",IF($AJ219&lt;&gt;Constants!$B$7,$AJ219,AT219*W219))</f>
        <v/>
      </c>
      <c r="AV219" s="59" t="str">
        <f aca="false">IF(ISBLANK($C219),"",IF($AJ219=Constants!$B$7,IF(ISNUMBER(AU219),RANK(AU219,$AU$8:$AU$507),Constants!$B$14),$AJ219))</f>
        <v/>
      </c>
      <c r="AW219" s="59" t="str">
        <f aca="false">IF(ISBLANK($C219),"",IF($AJ219=Constants!$B$7,IF(ISNUMBER(AV219),COUNTIFS($AK$8:$AK$507,"&lt;"&amp;$AK219)+COUNTIFS($AK$8:$AK$507,$AK219,$AV$8:$AV$507,"&lt;"&amp;$AV219)+1,Constants!$B$14),$AJ219))</f>
        <v/>
      </c>
      <c r="AX219" s="59" t="str">
        <f aca="false">IF(ISBLANK($C219),"",IF($AJ219=Constants!$B$7,LARGE(AL219:AP219,4)*W219,""))</f>
        <v/>
      </c>
      <c r="AY219" s="59" t="str">
        <f aca="false">IF(ISBLANK($C219),"",IF($AJ219=Constants!$B$7,RANK(AX219,$AX$8:$AX$507),$AJ219))</f>
        <v/>
      </c>
      <c r="AZ219" s="59" t="str">
        <f aca="false">IF(ISBLANK($C219),"",IF($AJ219=Constants!$B$7,IF(ISNUMBER(AV219),COUNTIFS($AK$8:$AK$507,"&lt;"&amp;$AK219)+COUNTIFS($AK$8:$AK$507,$AK219,$AV$8:$AV$507,"&lt;"&amp;$AV219)+COUNTIFS($AK$8:$AK$507,$AK219,$AV$8:$AV$507,$AV219,$AY$8:$AY$507,"&lt;"&amp;$AY219)+1,Constants!$B$14),$AJ219))</f>
        <v/>
      </c>
      <c r="BA219" s="59" t="str">
        <f aca="false">IF(ISBLANK($C219),"",IF($AJ219=Constants!$B$7,IF(ISNUMBER(AW219),AW219-AZ219,Constants!$B$14),$AJ219))</f>
        <v/>
      </c>
      <c r="BB219" s="61"/>
      <c r="BC219" s="62" t="str">
        <f aca="false">IF(ISBLANK($C219),"",IF($AJ219&lt;&gt;Constants!$B$7,$AJ219,SMALL(AQ219:AS219,1)&amp;", "&amp;SMALL(AQ219:AS219,2)&amp;", "&amp;SMALL(AQ219:AS219,3)))</f>
        <v/>
      </c>
      <c r="BD219" s="63" t="str">
        <f aca="false">IF(ISBLANK($C219),"",IF($AJ219&lt;&gt;Constants!$B$7,$AJ219,W219))</f>
        <v/>
      </c>
      <c r="BE219" s="64" t="str">
        <f aca="false">IF(ISBLANK($C219),"",IF($AJ219&lt;&gt;Constants!$B$7,$AJ219,AU219))</f>
        <v/>
      </c>
      <c r="BF219" s="65" t="str">
        <f aca="false">IF(ISBLANK($C219),"",IF($AJ219&lt;&gt;Constants!$B$7,$AJ219,AK219))</f>
        <v/>
      </c>
      <c r="BG219" s="63" t="str">
        <f aca="false">IF(ISBLANK($C219),"",BA219)</f>
        <v/>
      </c>
      <c r="BH219" s="63" t="str">
        <f aca="false">IF(ISBLANK($C219),"",AZ219)</f>
        <v/>
      </c>
      <c r="BI219" s="66" t="str">
        <f aca="false">IF(ISBLANK($C219),"",IF(BH219=Constants!$B$4,COUNTA($C$8:$C$507)+2,IF(BH219=Constants!$B$5,COUNTA($C$8:$C$507)+1,IF(BH219=Constants!$B$6,COUNTA($C$8:$C$507),BH219))))</f>
        <v/>
      </c>
      <c r="BJ219" s="5"/>
      <c r="BK219" s="67" t="n">
        <f aca="false">IF(OR(ISNUMBER(BH219),BH219=Constants!$B$4,BH219=Constants!$B$6,BH219=Constants!$B$5),1,0)</f>
        <v>0</v>
      </c>
      <c r="BL219" s="67" t="n">
        <v>212</v>
      </c>
      <c r="BM219" s="67" t="str">
        <f aca="false">IF(ISBLANK($C219),"",IF(ISNUMBER(BI219),BI219+ROW($B219)/1000,""))</f>
        <v/>
      </c>
      <c r="BN219" s="67" t="str">
        <f aca="false">IF(ISNUMBER(BM219),RANK(BM219,$BM$8:$BM$507,1),"")</f>
        <v/>
      </c>
      <c r="BO219" s="67" t="str">
        <f aca="false">IF(ISBLANK($C219),"",$B219)</f>
        <v/>
      </c>
      <c r="BP219" s="67" t="str">
        <f aca="false">IF(ISBLANK($C219),"",$C219)</f>
        <v/>
      </c>
      <c r="BQ219" s="67" t="str">
        <f aca="false">IF(ISBLANK($C219),"",$D219)</f>
        <v/>
      </c>
      <c r="BR219" s="68" t="str">
        <f aca="false">BF219</f>
        <v/>
      </c>
      <c r="BS219" s="69" t="str">
        <f aca="false">BE219</f>
        <v/>
      </c>
      <c r="BT219" s="67" t="str">
        <f aca="false">IF(ISBLANK($C219),"",BH219)</f>
        <v/>
      </c>
      <c r="BU219" s="70" t="str">
        <f aca="false">IF($BL219&gt;$BK$7,"",VLOOKUP($BL219,$BN$8:$BT$507,7,FALSE()))</f>
        <v/>
      </c>
      <c r="BV219" s="71" t="str">
        <f aca="false">IF($BL219&gt;$BK$7,"",VLOOKUP($BL219,$BN$8:$BT$507,2,FALSE()))</f>
        <v/>
      </c>
      <c r="BW219" s="71" t="str">
        <f aca="false">IF($BL219&gt;$BK$7,"",VLOOKUP($BL219,$BN$8:$BT$507,3,FALSE()))</f>
        <v/>
      </c>
      <c r="BX219" s="71" t="str">
        <f aca="false">IF($BL219&gt;$BK$7,"",VLOOKUP($BL219,$BN$8:$BT$507,4,FALSE()))</f>
        <v/>
      </c>
      <c r="BY219" s="71" t="str">
        <f aca="false">IF($BL219&gt;$BK$7,"",VLOOKUP($BL219,$BN$8:$BT$507,5,FALSE()))</f>
        <v/>
      </c>
      <c r="BZ219" s="72" t="str">
        <f aca="false">IF($BL219&gt;$BK$7,"",VLOOKUP($BL219,$BN$8:$BT$507,6,FALSE()))</f>
        <v/>
      </c>
      <c r="CA219" s="48"/>
    </row>
    <row r="220" customFormat="false" ht="15.75" hidden="false" customHeight="false" outlineLevel="0" collapsed="false">
      <c r="A220" s="5"/>
      <c r="B220" s="121"/>
      <c r="C220" s="50"/>
      <c r="D220" s="51"/>
      <c r="E220" s="74"/>
      <c r="F220" s="122"/>
      <c r="G220" s="54"/>
      <c r="H220" s="123"/>
      <c r="I220" s="124"/>
      <c r="J220" s="54"/>
      <c r="K220" s="123"/>
      <c r="L220" s="54"/>
      <c r="M220" s="123"/>
      <c r="N220" s="54"/>
      <c r="O220" s="123"/>
      <c r="P220" s="54"/>
      <c r="Q220" s="123"/>
      <c r="R220" s="54"/>
      <c r="S220" s="74"/>
      <c r="T220" s="58"/>
      <c r="U220" s="59" t="str">
        <f aca="false">IF(ISBLANK($C220),"",IF(E220=Constants!$B$2, TRUE(), IF(E220=Constants!$B$3, FALSE(), TRUE())))</f>
        <v/>
      </c>
      <c r="V220" s="59" t="str">
        <f aca="false">IF(ISBLANK($C220),"",IF(F220=Constants!$B$2, TRUE(), IF(F220=Constants!$B$3, FALSE(), TRUE())))</f>
        <v/>
      </c>
      <c r="W220" s="59" t="str">
        <f aca="false">IF(ISBLANK($C220),"",IF(G220=Constants!$B$15,Constants!$B$8,IF(G220=Constants!$B$16,Constants!$B$9,Constants!$B$10)))</f>
        <v/>
      </c>
      <c r="X220" s="59" t="str">
        <f aca="false">IF(ISBLANK($C220),"",IF(H220=Constants!$B$2, TRUE(), IF(H220=Constants!$B$3, FALSE(), TRUE())))</f>
        <v/>
      </c>
      <c r="Y220" s="59" t="str">
        <f aca="false">IF(ISBLANK($C220),"",IF(I220=Constants!$B$19,Constants!$B$19,Constants!$B$18))</f>
        <v/>
      </c>
      <c r="Z220" s="59" t="str">
        <f aca="false">IF(ISBLANK($C220),"",IF(ISNUMBER(J220),IF(J220&gt;=0,J220,""),""))</f>
        <v/>
      </c>
      <c r="AA220" s="59" t="str">
        <f aca="false">IF(ISBLANK($C220),"",IF(K220=Constants!$B$19,Constants!$B$19,Constants!$B$18))</f>
        <v/>
      </c>
      <c r="AB220" s="59" t="str">
        <f aca="false">IF(ISBLANK($C220),"",IF(ISNUMBER(L220),IF(L220&gt;=0,L220,""),""))</f>
        <v/>
      </c>
      <c r="AC220" s="59" t="str">
        <f aca="false">IF(ISBLANK($C220),"",IF(M220=Constants!$B$19,Constants!$B$19,Constants!$B$18))</f>
        <v/>
      </c>
      <c r="AD220" s="59" t="str">
        <f aca="false">IF(ISBLANK($C220),"",IF(ISNUMBER(N220),IF(N220&gt;=0,N220,""),""))</f>
        <v/>
      </c>
      <c r="AE220" s="59" t="str">
        <f aca="false">IF(ISBLANK($C220),"",IF(O220=Constants!$B$19,Constants!$B$19,Constants!$B$18))</f>
        <v/>
      </c>
      <c r="AF220" s="59" t="str">
        <f aca="false">IF(ISBLANK($C220),"",IF(ISNUMBER(P220),IF(P220&gt;=0,P220,""),""))</f>
        <v/>
      </c>
      <c r="AG220" s="59" t="str">
        <f aca="false">IF(ISBLANK($C220),"",IF(Q220=Constants!$B$19,Constants!$B$19,Constants!$B$18))</f>
        <v/>
      </c>
      <c r="AH220" s="59" t="str">
        <f aca="false">IF(ISBLANK($C220),"",IF(ISNUMBER(R220),IF(R220&gt;=0,R220,""),""))</f>
        <v/>
      </c>
      <c r="AI220" s="59" t="str">
        <f aca="false">IF(ISBLANK($C220),"",IF(S220=Constants!$B$2, TRUE(), IF(S220=Constants!$B$3, FALSE(), FALSE())))</f>
        <v/>
      </c>
      <c r="AJ220" s="59" t="str">
        <f aca="false">IF(ISBLANK($C220),"",IF(AI220,Constants!$B$4,IF(COUNTA(E220:R220)=0,Constants!$B$5,IF(COUNTA(J220,L220,N220,P220,R220)=0,Constants!$B$6,Constants!$B$7))))</f>
        <v/>
      </c>
      <c r="AK220" s="59" t="str">
        <f aca="false">IF(ISBLANK($C220),"",IF($AJ220&lt;&gt;Constants!$B$7,$AJ220,IF(OR(NOT(X220),AND(NOT(U220),COUNTIFS(Y220:AG220,Constants!$B$18,Z220:AH220,"&gt;=0")&gt;0),AND(NOT(V220),COUNTIFS(Y220:AG220,Constants!$B$19,Z220:AH220,"&gt;=0")&gt;0)),Constants!$B$12,Constants!$B$11)))</f>
        <v/>
      </c>
      <c r="AL220" s="59" t="str">
        <f aca="false">IF($AJ220=Constants!$B$7,IF(Z220="",Constants!$B$13,Z220),"")</f>
        <v/>
      </c>
      <c r="AM220" s="59" t="str">
        <f aca="false">IF($AJ220=Constants!$B$7,IF(AB220="",Constants!$B$13,AB220),"")</f>
        <v/>
      </c>
      <c r="AN220" s="59" t="str">
        <f aca="false">IF($AJ220=Constants!$B$7,IF(AD220="",Constants!$B$13,AD220),"")</f>
        <v/>
      </c>
      <c r="AO220" s="59" t="str">
        <f aca="false">IF($AJ220=Constants!$B$7,IF(AF220="",Constants!$B$13,AF220),"")</f>
        <v/>
      </c>
      <c r="AP220" s="59" t="str">
        <f aca="false">IF($AJ220=Constants!$B$7,IF(AH220="",Constants!$B$13,AH220),"")</f>
        <v/>
      </c>
      <c r="AQ220" s="59" t="str">
        <f aca="false">IF($AJ220=Constants!$B$7,IF(SUMPRODUCT(--($AL220:$AP220&gt;AL220))+SUMPRODUCT(--($AL220:AL220=AL220))=1,1,IF(SUMPRODUCT(--($AL220:$AP220&gt;AM220))+SUMPRODUCT(--($AL220:AM220=AM220))=1,2,IF(SUMPRODUCT(--($AL220:$AP220&gt;AN220))+SUMPRODUCT(--($AL220:AN220=AN220))=1,3,IF(SUMPRODUCT(--($AL220:$AP220&gt;AO220))+SUMPRODUCT(--($AL220:AO220=AO220))=1,4,5)))),"")</f>
        <v/>
      </c>
      <c r="AR220" s="59" t="str">
        <f aca="false">IF($AJ220=Constants!$B$7,IF(SUMPRODUCT(--($AL220:$AP220&gt;AL220))+SUMPRODUCT(--($AL220:AL220=AL220))=2,1,IF(SUMPRODUCT(--($AL220:$AP220&gt;AM220))+SUMPRODUCT(--($AL220:AM220=AM220))=2,2,IF(SUMPRODUCT(--($AL220:$AP220&gt;AN220))+SUMPRODUCT(--($AL220:AN220=AN220))=2,3,IF(SUMPRODUCT(--($AL220:$AP220&gt;AO220))+SUMPRODUCT(--($AL220:AO220=AO220))=2,4,5)))),"")</f>
        <v/>
      </c>
      <c r="AS220" s="59" t="str">
        <f aca="false">IF($AJ220=Constants!$B$7,IF(SUMPRODUCT(--($AL220:$AP220&gt;AL220))+SUMPRODUCT(--($AL220:AL220=AL220))=3,1,IF(SUMPRODUCT(--($AL220:$AP220&gt;AM220))+SUMPRODUCT(--($AL220:AM220=AM220))=3,2,IF(SUMPRODUCT(--($AL220:$AP220&gt;AN220))+SUMPRODUCT(--($AL220:AN220=AN220))=3,3,IF(SUMPRODUCT(--($AL220:$AP220&gt;AO220))+SUMPRODUCT(--($AL220:AO220=AO220))=3,4,5)))),"")</f>
        <v/>
      </c>
      <c r="AT220" s="59" t="str">
        <f aca="false">IF($AJ220=Constants!$B$7,LARGE(AL220:AP220,1)+LARGE(AL220:AP220,2)+LARGE(AL220:AP220,3),"")</f>
        <v/>
      </c>
      <c r="AU220" s="59" t="str">
        <f aca="false">IF(ISBLANK($C220),"",IF($AJ220&lt;&gt;Constants!$B$7,$AJ220,AT220*W220))</f>
        <v/>
      </c>
      <c r="AV220" s="59" t="str">
        <f aca="false">IF(ISBLANK($C220),"",IF($AJ220=Constants!$B$7,IF(ISNUMBER(AU220),RANK(AU220,$AU$8:$AU$507),Constants!$B$14),$AJ220))</f>
        <v/>
      </c>
      <c r="AW220" s="59" t="str">
        <f aca="false">IF(ISBLANK($C220),"",IF($AJ220=Constants!$B$7,IF(ISNUMBER(AV220),COUNTIFS($AK$8:$AK$507,"&lt;"&amp;$AK220)+COUNTIFS($AK$8:$AK$507,$AK220,$AV$8:$AV$507,"&lt;"&amp;$AV220)+1,Constants!$B$14),$AJ220))</f>
        <v/>
      </c>
      <c r="AX220" s="59" t="str">
        <f aca="false">IF(ISBLANK($C220),"",IF($AJ220=Constants!$B$7,LARGE(AL220:AP220,4)*W220,""))</f>
        <v/>
      </c>
      <c r="AY220" s="59" t="str">
        <f aca="false">IF(ISBLANK($C220),"",IF($AJ220=Constants!$B$7,RANK(AX220,$AX$8:$AX$507),$AJ220))</f>
        <v/>
      </c>
      <c r="AZ220" s="59" t="str">
        <f aca="false">IF(ISBLANK($C220),"",IF($AJ220=Constants!$B$7,IF(ISNUMBER(AV220),COUNTIFS($AK$8:$AK$507,"&lt;"&amp;$AK220)+COUNTIFS($AK$8:$AK$507,$AK220,$AV$8:$AV$507,"&lt;"&amp;$AV220)+COUNTIFS($AK$8:$AK$507,$AK220,$AV$8:$AV$507,$AV220,$AY$8:$AY$507,"&lt;"&amp;$AY220)+1,Constants!$B$14),$AJ220))</f>
        <v/>
      </c>
      <c r="BA220" s="59" t="str">
        <f aca="false">IF(ISBLANK($C220),"",IF($AJ220=Constants!$B$7,IF(ISNUMBER(AW220),AW220-AZ220,Constants!$B$14),$AJ220))</f>
        <v/>
      </c>
      <c r="BB220" s="61"/>
      <c r="BC220" s="62" t="str">
        <f aca="false">IF(ISBLANK($C220),"",IF($AJ220&lt;&gt;Constants!$B$7,$AJ220,SMALL(AQ220:AS220,1)&amp;", "&amp;SMALL(AQ220:AS220,2)&amp;", "&amp;SMALL(AQ220:AS220,3)))</f>
        <v/>
      </c>
      <c r="BD220" s="63" t="str">
        <f aca="false">IF(ISBLANK($C220),"",IF($AJ220&lt;&gt;Constants!$B$7,$AJ220,W220))</f>
        <v/>
      </c>
      <c r="BE220" s="64" t="str">
        <f aca="false">IF(ISBLANK($C220),"",IF($AJ220&lt;&gt;Constants!$B$7,$AJ220,AU220))</f>
        <v/>
      </c>
      <c r="BF220" s="65" t="str">
        <f aca="false">IF(ISBLANK($C220),"",IF($AJ220&lt;&gt;Constants!$B$7,$AJ220,AK220))</f>
        <v/>
      </c>
      <c r="BG220" s="63" t="str">
        <f aca="false">IF(ISBLANK($C220),"",BA220)</f>
        <v/>
      </c>
      <c r="BH220" s="63" t="str">
        <f aca="false">IF(ISBLANK($C220),"",AZ220)</f>
        <v/>
      </c>
      <c r="BI220" s="66" t="str">
        <f aca="false">IF(ISBLANK($C220),"",IF(BH220=Constants!$B$4,COUNTA($C$8:$C$507)+2,IF(BH220=Constants!$B$5,COUNTA($C$8:$C$507)+1,IF(BH220=Constants!$B$6,COUNTA($C$8:$C$507),BH220))))</f>
        <v/>
      </c>
      <c r="BJ220" s="5"/>
      <c r="BK220" s="67" t="n">
        <f aca="false">IF(OR(ISNUMBER(BH220),BH220=Constants!$B$4,BH220=Constants!$B$6,BH220=Constants!$B$5),1,0)</f>
        <v>0</v>
      </c>
      <c r="BL220" s="67" t="n">
        <v>213</v>
      </c>
      <c r="BM220" s="67" t="str">
        <f aca="false">IF(ISBLANK($C220),"",IF(ISNUMBER(BI220),BI220+ROW($B220)/1000,""))</f>
        <v/>
      </c>
      <c r="BN220" s="67" t="str">
        <f aca="false">IF(ISNUMBER(BM220),RANK(BM220,$BM$8:$BM$507,1),"")</f>
        <v/>
      </c>
      <c r="BO220" s="67" t="str">
        <f aca="false">IF(ISBLANK($C220),"",$B220)</f>
        <v/>
      </c>
      <c r="BP220" s="67" t="str">
        <f aca="false">IF(ISBLANK($C220),"",$C220)</f>
        <v/>
      </c>
      <c r="BQ220" s="67" t="str">
        <f aca="false">IF(ISBLANK($C220),"",$D220)</f>
        <v/>
      </c>
      <c r="BR220" s="68" t="str">
        <f aca="false">BF220</f>
        <v/>
      </c>
      <c r="BS220" s="69" t="str">
        <f aca="false">BE220</f>
        <v/>
      </c>
      <c r="BT220" s="67" t="str">
        <f aca="false">IF(ISBLANK($C220),"",BH220)</f>
        <v/>
      </c>
      <c r="BU220" s="70" t="str">
        <f aca="false">IF($BL220&gt;$BK$7,"",VLOOKUP($BL220,$BN$8:$BT$507,7,FALSE()))</f>
        <v/>
      </c>
      <c r="BV220" s="71" t="str">
        <f aca="false">IF($BL220&gt;$BK$7,"",VLOOKUP($BL220,$BN$8:$BT$507,2,FALSE()))</f>
        <v/>
      </c>
      <c r="BW220" s="71" t="str">
        <f aca="false">IF($BL220&gt;$BK$7,"",VLOOKUP($BL220,$BN$8:$BT$507,3,FALSE()))</f>
        <v/>
      </c>
      <c r="BX220" s="71" t="str">
        <f aca="false">IF($BL220&gt;$BK$7,"",VLOOKUP($BL220,$BN$8:$BT$507,4,FALSE()))</f>
        <v/>
      </c>
      <c r="BY220" s="71" t="str">
        <f aca="false">IF($BL220&gt;$BK$7,"",VLOOKUP($BL220,$BN$8:$BT$507,5,FALSE()))</f>
        <v/>
      </c>
      <c r="BZ220" s="72" t="str">
        <f aca="false">IF($BL220&gt;$BK$7,"",VLOOKUP($BL220,$BN$8:$BT$507,6,FALSE()))</f>
        <v/>
      </c>
      <c r="CA220" s="48"/>
    </row>
    <row r="221" customFormat="false" ht="15.75" hidden="false" customHeight="false" outlineLevel="0" collapsed="false">
      <c r="A221" s="5"/>
      <c r="B221" s="114"/>
      <c r="C221" s="115"/>
      <c r="D221" s="100"/>
      <c r="E221" s="120"/>
      <c r="F221" s="125"/>
      <c r="G221" s="82"/>
      <c r="H221" s="126"/>
      <c r="I221" s="127"/>
      <c r="J221" s="82"/>
      <c r="K221" s="126"/>
      <c r="L221" s="82"/>
      <c r="M221" s="126"/>
      <c r="N221" s="82"/>
      <c r="O221" s="126"/>
      <c r="P221" s="82"/>
      <c r="Q221" s="126"/>
      <c r="R221" s="82"/>
      <c r="S221" s="120"/>
      <c r="T221" s="86"/>
      <c r="U221" s="87" t="str">
        <f aca="false">IF(ISBLANK($C221),"",IF(E221=Constants!$B$2, TRUE(), IF(E221=Constants!$B$3, FALSE(), TRUE())))</f>
        <v/>
      </c>
      <c r="V221" s="87" t="str">
        <f aca="false">IF(ISBLANK($C221),"",IF(F221=Constants!$B$2, TRUE(), IF(F221=Constants!$B$3, FALSE(), TRUE())))</f>
        <v/>
      </c>
      <c r="W221" s="87" t="str">
        <f aca="false">IF(ISBLANK($C221),"",IF(G221=Constants!$B$15,Constants!$B$8,IF(G221=Constants!$B$16,Constants!$B$9,Constants!$B$10)))</f>
        <v/>
      </c>
      <c r="X221" s="87" t="str">
        <f aca="false">IF(ISBLANK($C221),"",IF(H221=Constants!$B$2, TRUE(), IF(H221=Constants!$B$3, FALSE(), TRUE())))</f>
        <v/>
      </c>
      <c r="Y221" s="87" t="str">
        <f aca="false">IF(ISBLANK($C221),"",IF(I221=Constants!$B$19,Constants!$B$19,Constants!$B$18))</f>
        <v/>
      </c>
      <c r="Z221" s="87" t="str">
        <f aca="false">IF(ISBLANK($C221),"",IF(ISNUMBER(J221),IF(J221&gt;=0,J221,""),""))</f>
        <v/>
      </c>
      <c r="AA221" s="87" t="str">
        <f aca="false">IF(ISBLANK($C221),"",IF(K221=Constants!$B$19,Constants!$B$19,Constants!$B$18))</f>
        <v/>
      </c>
      <c r="AB221" s="87" t="str">
        <f aca="false">IF(ISBLANK($C221),"",IF(ISNUMBER(L221),IF(L221&gt;=0,L221,""),""))</f>
        <v/>
      </c>
      <c r="AC221" s="87" t="str">
        <f aca="false">IF(ISBLANK($C221),"",IF(M221=Constants!$B$19,Constants!$B$19,Constants!$B$18))</f>
        <v/>
      </c>
      <c r="AD221" s="87" t="str">
        <f aca="false">IF(ISBLANK($C221),"",IF(ISNUMBER(N221),IF(N221&gt;=0,N221,""),""))</f>
        <v/>
      </c>
      <c r="AE221" s="87" t="str">
        <f aca="false">IF(ISBLANK($C221),"",IF(O221=Constants!$B$19,Constants!$B$19,Constants!$B$18))</f>
        <v/>
      </c>
      <c r="AF221" s="87" t="str">
        <f aca="false">IF(ISBLANK($C221),"",IF(ISNUMBER(P221),IF(P221&gt;=0,P221,""),""))</f>
        <v/>
      </c>
      <c r="AG221" s="87" t="str">
        <f aca="false">IF(ISBLANK($C221),"",IF(Q221=Constants!$B$19,Constants!$B$19,Constants!$B$18))</f>
        <v/>
      </c>
      <c r="AH221" s="87" t="str">
        <f aca="false">IF(ISBLANK($C221),"",IF(ISNUMBER(R221),IF(R221&gt;=0,R221,""),""))</f>
        <v/>
      </c>
      <c r="AI221" s="87" t="str">
        <f aca="false">IF(ISBLANK($C221),"",IF(S221=Constants!$B$2, TRUE(), IF(S221=Constants!$B$3, FALSE(), FALSE())))</f>
        <v/>
      </c>
      <c r="AJ221" s="87" t="str">
        <f aca="false">IF(ISBLANK($C221),"",IF(AI221,Constants!$B$4,IF(COUNTA(E221:R221)=0,Constants!$B$5,IF(COUNTA(J221,L221,N221,P221,R221)=0,Constants!$B$6,Constants!$B$7))))</f>
        <v/>
      </c>
      <c r="AK221" s="87" t="str">
        <f aca="false">IF(ISBLANK($C221),"",IF($AJ221&lt;&gt;Constants!$B$7,$AJ221,IF(OR(NOT(X221),AND(NOT(U221),COUNTIFS(Y221:AG221,Constants!$B$18,Z221:AH221,"&gt;=0")&gt;0),AND(NOT(V221),COUNTIFS(Y221:AG221,Constants!$B$19,Z221:AH221,"&gt;=0")&gt;0)),Constants!$B$12,Constants!$B$11)))</f>
        <v/>
      </c>
      <c r="AL221" s="87" t="str">
        <f aca="false">IF($AJ221=Constants!$B$7,IF(Z221="",Constants!$B$13,Z221),"")</f>
        <v/>
      </c>
      <c r="AM221" s="87" t="str">
        <f aca="false">IF($AJ221=Constants!$B$7,IF(AB221="",Constants!$B$13,AB221),"")</f>
        <v/>
      </c>
      <c r="AN221" s="87" t="str">
        <f aca="false">IF($AJ221=Constants!$B$7,IF(AD221="",Constants!$B$13,AD221),"")</f>
        <v/>
      </c>
      <c r="AO221" s="87" t="str">
        <f aca="false">IF($AJ221=Constants!$B$7,IF(AF221="",Constants!$B$13,AF221),"")</f>
        <v/>
      </c>
      <c r="AP221" s="87" t="str">
        <f aca="false">IF($AJ221=Constants!$B$7,IF(AH221="",Constants!$B$13,AH221),"")</f>
        <v/>
      </c>
      <c r="AQ221" s="87" t="str">
        <f aca="false">IF($AJ221=Constants!$B$7,IF(SUMPRODUCT(--($AL221:$AP221&gt;AL221))+SUMPRODUCT(--($AL221:AL221=AL221))=1,1,IF(SUMPRODUCT(--($AL221:$AP221&gt;AM221))+SUMPRODUCT(--($AL221:AM221=AM221))=1,2,IF(SUMPRODUCT(--($AL221:$AP221&gt;AN221))+SUMPRODUCT(--($AL221:AN221=AN221))=1,3,IF(SUMPRODUCT(--($AL221:$AP221&gt;AO221))+SUMPRODUCT(--($AL221:AO221=AO221))=1,4,5)))),"")</f>
        <v/>
      </c>
      <c r="AR221" s="87" t="str">
        <f aca="false">IF($AJ221=Constants!$B$7,IF(SUMPRODUCT(--($AL221:$AP221&gt;AL221))+SUMPRODUCT(--($AL221:AL221=AL221))=2,1,IF(SUMPRODUCT(--($AL221:$AP221&gt;AM221))+SUMPRODUCT(--($AL221:AM221=AM221))=2,2,IF(SUMPRODUCT(--($AL221:$AP221&gt;AN221))+SUMPRODUCT(--($AL221:AN221=AN221))=2,3,IF(SUMPRODUCT(--($AL221:$AP221&gt;AO221))+SUMPRODUCT(--($AL221:AO221=AO221))=2,4,5)))),"")</f>
        <v/>
      </c>
      <c r="AS221" s="87" t="str">
        <f aca="false">IF($AJ221=Constants!$B$7,IF(SUMPRODUCT(--($AL221:$AP221&gt;AL221))+SUMPRODUCT(--($AL221:AL221=AL221))=3,1,IF(SUMPRODUCT(--($AL221:$AP221&gt;AM221))+SUMPRODUCT(--($AL221:AM221=AM221))=3,2,IF(SUMPRODUCT(--($AL221:$AP221&gt;AN221))+SUMPRODUCT(--($AL221:AN221=AN221))=3,3,IF(SUMPRODUCT(--($AL221:$AP221&gt;AO221))+SUMPRODUCT(--($AL221:AO221=AO221))=3,4,5)))),"")</f>
        <v/>
      </c>
      <c r="AT221" s="87" t="str">
        <f aca="false">IF($AJ221=Constants!$B$7,LARGE(AL221:AP221,1)+LARGE(AL221:AP221,2)+LARGE(AL221:AP221,3),"")</f>
        <v/>
      </c>
      <c r="AU221" s="87" t="str">
        <f aca="false">IF(ISBLANK($C221),"",IF($AJ221&lt;&gt;Constants!$B$7,$AJ221,AT221*W221))</f>
        <v/>
      </c>
      <c r="AV221" s="87" t="str">
        <f aca="false">IF(ISBLANK($C221),"",IF($AJ221=Constants!$B$7,IF(ISNUMBER(AU221),RANK(AU221,$AU$8:$AU$507),Constants!$B$14),$AJ221))</f>
        <v/>
      </c>
      <c r="AW221" s="87" t="str">
        <f aca="false">IF(ISBLANK($C221),"",IF($AJ221=Constants!$B$7,IF(ISNUMBER(AV221),COUNTIFS($AK$8:$AK$507,"&lt;"&amp;$AK221)+COUNTIFS($AK$8:$AK$507,$AK221,$AV$8:$AV$507,"&lt;"&amp;$AV221)+1,Constants!$B$14),$AJ221))</f>
        <v/>
      </c>
      <c r="AX221" s="87" t="str">
        <f aca="false">IF(ISBLANK($C221),"",IF($AJ221=Constants!$B$7,LARGE(AL221:AP221,4)*W221,""))</f>
        <v/>
      </c>
      <c r="AY221" s="87" t="str">
        <f aca="false">IF(ISBLANK($C221),"",IF($AJ221=Constants!$B$7,RANK(AX221,$AX$8:$AX$507),$AJ221))</f>
        <v/>
      </c>
      <c r="AZ221" s="87" t="str">
        <f aca="false">IF(ISBLANK($C221),"",IF($AJ221=Constants!$B$7,IF(ISNUMBER(AV221),COUNTIFS($AK$8:$AK$507,"&lt;"&amp;$AK221)+COUNTIFS($AK$8:$AK$507,$AK221,$AV$8:$AV$507,"&lt;"&amp;$AV221)+COUNTIFS($AK$8:$AK$507,$AK221,$AV$8:$AV$507,$AV221,$AY$8:$AY$507,"&lt;"&amp;$AY221)+1,Constants!$B$14),$AJ221))</f>
        <v/>
      </c>
      <c r="BA221" s="87" t="str">
        <f aca="false">IF(ISBLANK($C221),"",IF($AJ221=Constants!$B$7,IF(ISNUMBER(AW221),AW221-AZ221,Constants!$B$14),$AJ221))</f>
        <v/>
      </c>
      <c r="BB221" s="88"/>
      <c r="BC221" s="89" t="str">
        <f aca="false">IF(ISBLANK($C221),"",IF($AJ221&lt;&gt;Constants!$B$7,$AJ221,SMALL(AQ221:AS221,1)&amp;", "&amp;SMALL(AQ221:AS221,2)&amp;", "&amp;SMALL(AQ221:AS221,3)))</f>
        <v/>
      </c>
      <c r="BD221" s="90" t="str">
        <f aca="false">IF(ISBLANK($C221),"",IF($AJ221&lt;&gt;Constants!$B$7,$AJ221,W221))</f>
        <v/>
      </c>
      <c r="BE221" s="91" t="str">
        <f aca="false">IF(ISBLANK($C221),"",IF($AJ221&lt;&gt;Constants!$B$7,$AJ221,AU221))</f>
        <v/>
      </c>
      <c r="BF221" s="92" t="str">
        <f aca="false">IF(ISBLANK($C221),"",IF($AJ221&lt;&gt;Constants!$B$7,$AJ221,AK221))</f>
        <v/>
      </c>
      <c r="BG221" s="90" t="str">
        <f aca="false">IF(ISBLANK($C221),"",BA221)</f>
        <v/>
      </c>
      <c r="BH221" s="90" t="str">
        <f aca="false">IF(ISBLANK($C221),"",AZ221)</f>
        <v/>
      </c>
      <c r="BI221" s="93" t="str">
        <f aca="false">IF(ISBLANK($C221),"",IF(BH221=Constants!$B$4,COUNTA($C$8:$C$507)+2,IF(BH221=Constants!$B$5,COUNTA($C$8:$C$507)+1,IF(BH221=Constants!$B$6,COUNTA($C$8:$C$507),BH221))))</f>
        <v/>
      </c>
      <c r="BJ221" s="5"/>
      <c r="BK221" s="94" t="n">
        <f aca="false">IF(OR(ISNUMBER(BH221),BH221=Constants!$B$4,BH221=Constants!$B$6,BH221=Constants!$B$5),1,0)</f>
        <v>0</v>
      </c>
      <c r="BL221" s="94" t="n">
        <v>214</v>
      </c>
      <c r="BM221" s="94" t="str">
        <f aca="false">IF(ISBLANK($C221),"",IF(ISNUMBER(BI221),BI221+ROW($B221)/1000,""))</f>
        <v/>
      </c>
      <c r="BN221" s="94" t="str">
        <f aca="false">IF(ISNUMBER(BM221),RANK(BM221,$BM$8:$BM$507,1),"")</f>
        <v/>
      </c>
      <c r="BO221" s="94" t="str">
        <f aca="false">IF(ISBLANK($C221),"",$B221)</f>
        <v/>
      </c>
      <c r="BP221" s="94" t="str">
        <f aca="false">IF(ISBLANK($C221),"",$C221)</f>
        <v/>
      </c>
      <c r="BQ221" s="94" t="str">
        <f aca="false">IF(ISBLANK($C221),"",$D221)</f>
        <v/>
      </c>
      <c r="BR221" s="95" t="str">
        <f aca="false">BF221</f>
        <v/>
      </c>
      <c r="BS221" s="96" t="str">
        <f aca="false">BE221</f>
        <v/>
      </c>
      <c r="BT221" s="94" t="str">
        <f aca="false">IF(ISBLANK($C221),"",BH221)</f>
        <v/>
      </c>
      <c r="BU221" s="97" t="str">
        <f aca="false">IF($BL221&gt;$BK$7,"",VLOOKUP($BL221,$BN$8:$BT$507,7,FALSE()))</f>
        <v/>
      </c>
      <c r="BV221" s="98" t="str">
        <f aca="false">IF($BL221&gt;$BK$7,"",VLOOKUP($BL221,$BN$8:$BT$507,2,FALSE()))</f>
        <v/>
      </c>
      <c r="BW221" s="98" t="str">
        <f aca="false">IF($BL221&gt;$BK$7,"",VLOOKUP($BL221,$BN$8:$BT$507,3,FALSE()))</f>
        <v/>
      </c>
      <c r="BX221" s="98" t="str">
        <f aca="false">IF($BL221&gt;$BK$7,"",VLOOKUP($BL221,$BN$8:$BT$507,4,FALSE()))</f>
        <v/>
      </c>
      <c r="BY221" s="98" t="str">
        <f aca="false">IF($BL221&gt;$BK$7,"",VLOOKUP($BL221,$BN$8:$BT$507,5,FALSE()))</f>
        <v/>
      </c>
      <c r="BZ221" s="99" t="str">
        <f aca="false">IF($BL221&gt;$BK$7,"",VLOOKUP($BL221,$BN$8:$BT$507,6,FALSE()))</f>
        <v/>
      </c>
      <c r="CA221" s="48"/>
    </row>
    <row r="222" customFormat="false" ht="15.75" hidden="false" customHeight="false" outlineLevel="0" collapsed="false">
      <c r="A222" s="5"/>
      <c r="B222" s="114"/>
      <c r="C222" s="115"/>
      <c r="D222" s="100"/>
      <c r="E222" s="120"/>
      <c r="F222" s="125"/>
      <c r="G222" s="82"/>
      <c r="H222" s="126"/>
      <c r="I222" s="127"/>
      <c r="J222" s="82"/>
      <c r="K222" s="126"/>
      <c r="L222" s="82"/>
      <c r="M222" s="126"/>
      <c r="N222" s="82"/>
      <c r="O222" s="126"/>
      <c r="P222" s="82"/>
      <c r="Q222" s="126"/>
      <c r="R222" s="82"/>
      <c r="S222" s="120"/>
      <c r="T222" s="86"/>
      <c r="U222" s="87" t="str">
        <f aca="false">IF(ISBLANK($C222),"",IF(E222=Constants!$B$2, TRUE(), IF(E222=Constants!$B$3, FALSE(), TRUE())))</f>
        <v/>
      </c>
      <c r="V222" s="87" t="str">
        <f aca="false">IF(ISBLANK($C222),"",IF(F222=Constants!$B$2, TRUE(), IF(F222=Constants!$B$3, FALSE(), TRUE())))</f>
        <v/>
      </c>
      <c r="W222" s="87" t="str">
        <f aca="false">IF(ISBLANK($C222),"",IF(G222=Constants!$B$15,Constants!$B$8,IF(G222=Constants!$B$16,Constants!$B$9,Constants!$B$10)))</f>
        <v/>
      </c>
      <c r="X222" s="87" t="str">
        <f aca="false">IF(ISBLANK($C222),"",IF(H222=Constants!$B$2, TRUE(), IF(H222=Constants!$B$3, FALSE(), TRUE())))</f>
        <v/>
      </c>
      <c r="Y222" s="87" t="str">
        <f aca="false">IF(ISBLANK($C222),"",IF(I222=Constants!$B$19,Constants!$B$19,Constants!$B$18))</f>
        <v/>
      </c>
      <c r="Z222" s="87" t="str">
        <f aca="false">IF(ISBLANK($C222),"",IF(ISNUMBER(J222),IF(J222&gt;=0,J222,""),""))</f>
        <v/>
      </c>
      <c r="AA222" s="87" t="str">
        <f aca="false">IF(ISBLANK($C222),"",IF(K222=Constants!$B$19,Constants!$B$19,Constants!$B$18))</f>
        <v/>
      </c>
      <c r="AB222" s="87" t="str">
        <f aca="false">IF(ISBLANK($C222),"",IF(ISNUMBER(L222),IF(L222&gt;=0,L222,""),""))</f>
        <v/>
      </c>
      <c r="AC222" s="87" t="str">
        <f aca="false">IF(ISBLANK($C222),"",IF(M222=Constants!$B$19,Constants!$B$19,Constants!$B$18))</f>
        <v/>
      </c>
      <c r="AD222" s="87" t="str">
        <f aca="false">IF(ISBLANK($C222),"",IF(ISNUMBER(N222),IF(N222&gt;=0,N222,""),""))</f>
        <v/>
      </c>
      <c r="AE222" s="87" t="str">
        <f aca="false">IF(ISBLANK($C222),"",IF(O222=Constants!$B$19,Constants!$B$19,Constants!$B$18))</f>
        <v/>
      </c>
      <c r="AF222" s="87" t="str">
        <f aca="false">IF(ISBLANK($C222),"",IF(ISNUMBER(P222),IF(P222&gt;=0,P222,""),""))</f>
        <v/>
      </c>
      <c r="AG222" s="87" t="str">
        <f aca="false">IF(ISBLANK($C222),"",IF(Q222=Constants!$B$19,Constants!$B$19,Constants!$B$18))</f>
        <v/>
      </c>
      <c r="AH222" s="87" t="str">
        <f aca="false">IF(ISBLANK($C222),"",IF(ISNUMBER(R222),IF(R222&gt;=0,R222,""),""))</f>
        <v/>
      </c>
      <c r="AI222" s="87" t="str">
        <f aca="false">IF(ISBLANK($C222),"",IF(S222=Constants!$B$2, TRUE(), IF(S222=Constants!$B$3, FALSE(), FALSE())))</f>
        <v/>
      </c>
      <c r="AJ222" s="87" t="str">
        <f aca="false">IF(ISBLANK($C222),"",IF(AI222,Constants!$B$4,IF(COUNTA(E222:R222)=0,Constants!$B$5,IF(COUNTA(J222,L222,N222,P222,R222)=0,Constants!$B$6,Constants!$B$7))))</f>
        <v/>
      </c>
      <c r="AK222" s="87" t="str">
        <f aca="false">IF(ISBLANK($C222),"",IF($AJ222&lt;&gt;Constants!$B$7,$AJ222,IF(OR(NOT(X222),AND(NOT(U222),COUNTIFS(Y222:AG222,Constants!$B$18,Z222:AH222,"&gt;=0")&gt;0),AND(NOT(V222),COUNTIFS(Y222:AG222,Constants!$B$19,Z222:AH222,"&gt;=0")&gt;0)),Constants!$B$12,Constants!$B$11)))</f>
        <v/>
      </c>
      <c r="AL222" s="87" t="str">
        <f aca="false">IF($AJ222=Constants!$B$7,IF(Z222="",Constants!$B$13,Z222),"")</f>
        <v/>
      </c>
      <c r="AM222" s="87" t="str">
        <f aca="false">IF($AJ222=Constants!$B$7,IF(AB222="",Constants!$B$13,AB222),"")</f>
        <v/>
      </c>
      <c r="AN222" s="87" t="str">
        <f aca="false">IF($AJ222=Constants!$B$7,IF(AD222="",Constants!$B$13,AD222),"")</f>
        <v/>
      </c>
      <c r="AO222" s="87" t="str">
        <f aca="false">IF($AJ222=Constants!$B$7,IF(AF222="",Constants!$B$13,AF222),"")</f>
        <v/>
      </c>
      <c r="AP222" s="87" t="str">
        <f aca="false">IF($AJ222=Constants!$B$7,IF(AH222="",Constants!$B$13,AH222),"")</f>
        <v/>
      </c>
      <c r="AQ222" s="87" t="str">
        <f aca="false">IF($AJ222=Constants!$B$7,IF(SUMPRODUCT(--($AL222:$AP222&gt;AL222))+SUMPRODUCT(--($AL222:AL222=AL222))=1,1,IF(SUMPRODUCT(--($AL222:$AP222&gt;AM222))+SUMPRODUCT(--($AL222:AM222=AM222))=1,2,IF(SUMPRODUCT(--($AL222:$AP222&gt;AN222))+SUMPRODUCT(--($AL222:AN222=AN222))=1,3,IF(SUMPRODUCT(--($AL222:$AP222&gt;AO222))+SUMPRODUCT(--($AL222:AO222=AO222))=1,4,5)))),"")</f>
        <v/>
      </c>
      <c r="AR222" s="87" t="str">
        <f aca="false">IF($AJ222=Constants!$B$7,IF(SUMPRODUCT(--($AL222:$AP222&gt;AL222))+SUMPRODUCT(--($AL222:AL222=AL222))=2,1,IF(SUMPRODUCT(--($AL222:$AP222&gt;AM222))+SUMPRODUCT(--($AL222:AM222=AM222))=2,2,IF(SUMPRODUCT(--($AL222:$AP222&gt;AN222))+SUMPRODUCT(--($AL222:AN222=AN222))=2,3,IF(SUMPRODUCT(--($AL222:$AP222&gt;AO222))+SUMPRODUCT(--($AL222:AO222=AO222))=2,4,5)))),"")</f>
        <v/>
      </c>
      <c r="AS222" s="87" t="str">
        <f aca="false">IF($AJ222=Constants!$B$7,IF(SUMPRODUCT(--($AL222:$AP222&gt;AL222))+SUMPRODUCT(--($AL222:AL222=AL222))=3,1,IF(SUMPRODUCT(--($AL222:$AP222&gt;AM222))+SUMPRODUCT(--($AL222:AM222=AM222))=3,2,IF(SUMPRODUCT(--($AL222:$AP222&gt;AN222))+SUMPRODUCT(--($AL222:AN222=AN222))=3,3,IF(SUMPRODUCT(--($AL222:$AP222&gt;AO222))+SUMPRODUCT(--($AL222:AO222=AO222))=3,4,5)))),"")</f>
        <v/>
      </c>
      <c r="AT222" s="87" t="str">
        <f aca="false">IF($AJ222=Constants!$B$7,LARGE(AL222:AP222,1)+LARGE(AL222:AP222,2)+LARGE(AL222:AP222,3),"")</f>
        <v/>
      </c>
      <c r="AU222" s="87" t="str">
        <f aca="false">IF(ISBLANK($C222),"",IF($AJ222&lt;&gt;Constants!$B$7,$AJ222,AT222*W222))</f>
        <v/>
      </c>
      <c r="AV222" s="87" t="str">
        <f aca="false">IF(ISBLANK($C222),"",IF($AJ222=Constants!$B$7,IF(ISNUMBER(AU222),RANK(AU222,$AU$8:$AU$507),Constants!$B$14),$AJ222))</f>
        <v/>
      </c>
      <c r="AW222" s="87" t="str">
        <f aca="false">IF(ISBLANK($C222),"",IF($AJ222=Constants!$B$7,IF(ISNUMBER(AV222),COUNTIFS($AK$8:$AK$507,"&lt;"&amp;$AK222)+COUNTIFS($AK$8:$AK$507,$AK222,$AV$8:$AV$507,"&lt;"&amp;$AV222)+1,Constants!$B$14),$AJ222))</f>
        <v/>
      </c>
      <c r="AX222" s="87" t="str">
        <f aca="false">IF(ISBLANK($C222),"",IF($AJ222=Constants!$B$7,LARGE(AL222:AP222,4)*W222,""))</f>
        <v/>
      </c>
      <c r="AY222" s="87" t="str">
        <f aca="false">IF(ISBLANK($C222),"",IF($AJ222=Constants!$B$7,RANK(AX222,$AX$8:$AX$507),$AJ222))</f>
        <v/>
      </c>
      <c r="AZ222" s="87" t="str">
        <f aca="false">IF(ISBLANK($C222),"",IF($AJ222=Constants!$B$7,IF(ISNUMBER(AV222),COUNTIFS($AK$8:$AK$507,"&lt;"&amp;$AK222)+COUNTIFS($AK$8:$AK$507,$AK222,$AV$8:$AV$507,"&lt;"&amp;$AV222)+COUNTIFS($AK$8:$AK$507,$AK222,$AV$8:$AV$507,$AV222,$AY$8:$AY$507,"&lt;"&amp;$AY222)+1,Constants!$B$14),$AJ222))</f>
        <v/>
      </c>
      <c r="BA222" s="87" t="str">
        <f aca="false">IF(ISBLANK($C222),"",IF($AJ222=Constants!$B$7,IF(ISNUMBER(AW222),AW222-AZ222,Constants!$B$14),$AJ222))</f>
        <v/>
      </c>
      <c r="BB222" s="88"/>
      <c r="BC222" s="89" t="str">
        <f aca="false">IF(ISBLANK($C222),"",IF($AJ222&lt;&gt;Constants!$B$7,$AJ222,SMALL(AQ222:AS222,1)&amp;", "&amp;SMALL(AQ222:AS222,2)&amp;", "&amp;SMALL(AQ222:AS222,3)))</f>
        <v/>
      </c>
      <c r="BD222" s="90" t="str">
        <f aca="false">IF(ISBLANK($C222),"",IF($AJ222&lt;&gt;Constants!$B$7,$AJ222,W222))</f>
        <v/>
      </c>
      <c r="BE222" s="91" t="str">
        <f aca="false">IF(ISBLANK($C222),"",IF($AJ222&lt;&gt;Constants!$B$7,$AJ222,AU222))</f>
        <v/>
      </c>
      <c r="BF222" s="92" t="str">
        <f aca="false">IF(ISBLANK($C222),"",IF($AJ222&lt;&gt;Constants!$B$7,$AJ222,AK222))</f>
        <v/>
      </c>
      <c r="BG222" s="90" t="str">
        <f aca="false">IF(ISBLANK($C222),"",BA222)</f>
        <v/>
      </c>
      <c r="BH222" s="90" t="str">
        <f aca="false">IF(ISBLANK($C222),"",AZ222)</f>
        <v/>
      </c>
      <c r="BI222" s="93" t="str">
        <f aca="false">IF(ISBLANK($C222),"",IF(BH222=Constants!$B$4,COUNTA($C$8:$C$507)+2,IF(BH222=Constants!$B$5,COUNTA($C$8:$C$507)+1,IF(BH222=Constants!$B$6,COUNTA($C$8:$C$507),BH222))))</f>
        <v/>
      </c>
      <c r="BJ222" s="5"/>
      <c r="BK222" s="94" t="n">
        <f aca="false">IF(OR(ISNUMBER(BH222),BH222=Constants!$B$4,BH222=Constants!$B$6,BH222=Constants!$B$5),1,0)</f>
        <v>0</v>
      </c>
      <c r="BL222" s="94" t="n">
        <v>215</v>
      </c>
      <c r="BM222" s="94" t="str">
        <f aca="false">IF(ISBLANK($C222),"",IF(ISNUMBER(BI222),BI222+ROW($B222)/1000,""))</f>
        <v/>
      </c>
      <c r="BN222" s="94" t="str">
        <f aca="false">IF(ISNUMBER(BM222),RANK(BM222,$BM$8:$BM$507,1),"")</f>
        <v/>
      </c>
      <c r="BO222" s="94" t="str">
        <f aca="false">IF(ISBLANK($C222),"",$B222)</f>
        <v/>
      </c>
      <c r="BP222" s="94" t="str">
        <f aca="false">IF(ISBLANK($C222),"",$C222)</f>
        <v/>
      </c>
      <c r="BQ222" s="94" t="str">
        <f aca="false">IF(ISBLANK($C222),"",$D222)</f>
        <v/>
      </c>
      <c r="BR222" s="95" t="str">
        <f aca="false">BF222</f>
        <v/>
      </c>
      <c r="BS222" s="96" t="str">
        <f aca="false">BE222</f>
        <v/>
      </c>
      <c r="BT222" s="94" t="str">
        <f aca="false">IF(ISBLANK($C222),"",BH222)</f>
        <v/>
      </c>
      <c r="BU222" s="97" t="str">
        <f aca="false">IF($BL222&gt;$BK$7,"",VLOOKUP($BL222,$BN$8:$BT$507,7,FALSE()))</f>
        <v/>
      </c>
      <c r="BV222" s="98" t="str">
        <f aca="false">IF($BL222&gt;$BK$7,"",VLOOKUP($BL222,$BN$8:$BT$507,2,FALSE()))</f>
        <v/>
      </c>
      <c r="BW222" s="98" t="str">
        <f aca="false">IF($BL222&gt;$BK$7,"",VLOOKUP($BL222,$BN$8:$BT$507,3,FALSE()))</f>
        <v/>
      </c>
      <c r="BX222" s="98" t="str">
        <f aca="false">IF($BL222&gt;$BK$7,"",VLOOKUP($BL222,$BN$8:$BT$507,4,FALSE()))</f>
        <v/>
      </c>
      <c r="BY222" s="98" t="str">
        <f aca="false">IF($BL222&gt;$BK$7,"",VLOOKUP($BL222,$BN$8:$BT$507,5,FALSE()))</f>
        <v/>
      </c>
      <c r="BZ222" s="99" t="str">
        <f aca="false">IF($BL222&gt;$BK$7,"",VLOOKUP($BL222,$BN$8:$BT$507,6,FALSE()))</f>
        <v/>
      </c>
      <c r="CA222" s="48"/>
    </row>
    <row r="223" customFormat="false" ht="15.75" hidden="false" customHeight="false" outlineLevel="0" collapsed="false">
      <c r="A223" s="5"/>
      <c r="B223" s="114"/>
      <c r="C223" s="115"/>
      <c r="D223" s="100"/>
      <c r="E223" s="120"/>
      <c r="F223" s="125"/>
      <c r="G223" s="82"/>
      <c r="H223" s="126"/>
      <c r="I223" s="127"/>
      <c r="J223" s="82"/>
      <c r="K223" s="126"/>
      <c r="L223" s="82"/>
      <c r="M223" s="126"/>
      <c r="N223" s="82"/>
      <c r="O223" s="126"/>
      <c r="P223" s="82"/>
      <c r="Q223" s="126"/>
      <c r="R223" s="82"/>
      <c r="S223" s="120"/>
      <c r="T223" s="86"/>
      <c r="U223" s="87" t="str">
        <f aca="false">IF(ISBLANK($C223),"",IF(E223=Constants!$B$2, TRUE(), IF(E223=Constants!$B$3, FALSE(), TRUE())))</f>
        <v/>
      </c>
      <c r="V223" s="87" t="str">
        <f aca="false">IF(ISBLANK($C223),"",IF(F223=Constants!$B$2, TRUE(), IF(F223=Constants!$B$3, FALSE(), TRUE())))</f>
        <v/>
      </c>
      <c r="W223" s="87" t="str">
        <f aca="false">IF(ISBLANK($C223),"",IF(G223=Constants!$B$15,Constants!$B$8,IF(G223=Constants!$B$16,Constants!$B$9,Constants!$B$10)))</f>
        <v/>
      </c>
      <c r="X223" s="87" t="str">
        <f aca="false">IF(ISBLANK($C223),"",IF(H223=Constants!$B$2, TRUE(), IF(H223=Constants!$B$3, FALSE(), TRUE())))</f>
        <v/>
      </c>
      <c r="Y223" s="87" t="str">
        <f aca="false">IF(ISBLANK($C223),"",IF(I223=Constants!$B$19,Constants!$B$19,Constants!$B$18))</f>
        <v/>
      </c>
      <c r="Z223" s="87" t="str">
        <f aca="false">IF(ISBLANK($C223),"",IF(ISNUMBER(J223),IF(J223&gt;=0,J223,""),""))</f>
        <v/>
      </c>
      <c r="AA223" s="87" t="str">
        <f aca="false">IF(ISBLANK($C223),"",IF(K223=Constants!$B$19,Constants!$B$19,Constants!$B$18))</f>
        <v/>
      </c>
      <c r="AB223" s="87" t="str">
        <f aca="false">IF(ISBLANK($C223),"",IF(ISNUMBER(L223),IF(L223&gt;=0,L223,""),""))</f>
        <v/>
      </c>
      <c r="AC223" s="87" t="str">
        <f aca="false">IF(ISBLANK($C223),"",IF(M223=Constants!$B$19,Constants!$B$19,Constants!$B$18))</f>
        <v/>
      </c>
      <c r="AD223" s="87" t="str">
        <f aca="false">IF(ISBLANK($C223),"",IF(ISNUMBER(N223),IF(N223&gt;=0,N223,""),""))</f>
        <v/>
      </c>
      <c r="AE223" s="87" t="str">
        <f aca="false">IF(ISBLANK($C223),"",IF(O223=Constants!$B$19,Constants!$B$19,Constants!$B$18))</f>
        <v/>
      </c>
      <c r="AF223" s="87" t="str">
        <f aca="false">IF(ISBLANK($C223),"",IF(ISNUMBER(P223),IF(P223&gt;=0,P223,""),""))</f>
        <v/>
      </c>
      <c r="AG223" s="87" t="str">
        <f aca="false">IF(ISBLANK($C223),"",IF(Q223=Constants!$B$19,Constants!$B$19,Constants!$B$18))</f>
        <v/>
      </c>
      <c r="AH223" s="87" t="str">
        <f aca="false">IF(ISBLANK($C223),"",IF(ISNUMBER(R223),IF(R223&gt;=0,R223,""),""))</f>
        <v/>
      </c>
      <c r="AI223" s="87" t="str">
        <f aca="false">IF(ISBLANK($C223),"",IF(S223=Constants!$B$2, TRUE(), IF(S223=Constants!$B$3, FALSE(), FALSE())))</f>
        <v/>
      </c>
      <c r="AJ223" s="87" t="str">
        <f aca="false">IF(ISBLANK($C223),"",IF(AI223,Constants!$B$4,IF(COUNTA(E223:R223)=0,Constants!$B$5,IF(COUNTA(J223,L223,N223,P223,R223)=0,Constants!$B$6,Constants!$B$7))))</f>
        <v/>
      </c>
      <c r="AK223" s="87" t="str">
        <f aca="false">IF(ISBLANK($C223),"",IF($AJ223&lt;&gt;Constants!$B$7,$AJ223,IF(OR(NOT(X223),AND(NOT(U223),COUNTIFS(Y223:AG223,Constants!$B$18,Z223:AH223,"&gt;=0")&gt;0),AND(NOT(V223),COUNTIFS(Y223:AG223,Constants!$B$19,Z223:AH223,"&gt;=0")&gt;0)),Constants!$B$12,Constants!$B$11)))</f>
        <v/>
      </c>
      <c r="AL223" s="87" t="str">
        <f aca="false">IF($AJ223=Constants!$B$7,IF(Z223="",Constants!$B$13,Z223),"")</f>
        <v/>
      </c>
      <c r="AM223" s="87" t="str">
        <f aca="false">IF($AJ223=Constants!$B$7,IF(AB223="",Constants!$B$13,AB223),"")</f>
        <v/>
      </c>
      <c r="AN223" s="87" t="str">
        <f aca="false">IF($AJ223=Constants!$B$7,IF(AD223="",Constants!$B$13,AD223),"")</f>
        <v/>
      </c>
      <c r="AO223" s="87" t="str">
        <f aca="false">IF($AJ223=Constants!$B$7,IF(AF223="",Constants!$B$13,AF223),"")</f>
        <v/>
      </c>
      <c r="AP223" s="87" t="str">
        <f aca="false">IF($AJ223=Constants!$B$7,IF(AH223="",Constants!$B$13,AH223),"")</f>
        <v/>
      </c>
      <c r="AQ223" s="87" t="str">
        <f aca="false">IF($AJ223=Constants!$B$7,IF(SUMPRODUCT(--($AL223:$AP223&gt;AL223))+SUMPRODUCT(--($AL223:AL223=AL223))=1,1,IF(SUMPRODUCT(--($AL223:$AP223&gt;AM223))+SUMPRODUCT(--($AL223:AM223=AM223))=1,2,IF(SUMPRODUCT(--($AL223:$AP223&gt;AN223))+SUMPRODUCT(--($AL223:AN223=AN223))=1,3,IF(SUMPRODUCT(--($AL223:$AP223&gt;AO223))+SUMPRODUCT(--($AL223:AO223=AO223))=1,4,5)))),"")</f>
        <v/>
      </c>
      <c r="AR223" s="87" t="str">
        <f aca="false">IF($AJ223=Constants!$B$7,IF(SUMPRODUCT(--($AL223:$AP223&gt;AL223))+SUMPRODUCT(--($AL223:AL223=AL223))=2,1,IF(SUMPRODUCT(--($AL223:$AP223&gt;AM223))+SUMPRODUCT(--($AL223:AM223=AM223))=2,2,IF(SUMPRODUCT(--($AL223:$AP223&gt;AN223))+SUMPRODUCT(--($AL223:AN223=AN223))=2,3,IF(SUMPRODUCT(--($AL223:$AP223&gt;AO223))+SUMPRODUCT(--($AL223:AO223=AO223))=2,4,5)))),"")</f>
        <v/>
      </c>
      <c r="AS223" s="87" t="str">
        <f aca="false">IF($AJ223=Constants!$B$7,IF(SUMPRODUCT(--($AL223:$AP223&gt;AL223))+SUMPRODUCT(--($AL223:AL223=AL223))=3,1,IF(SUMPRODUCT(--($AL223:$AP223&gt;AM223))+SUMPRODUCT(--($AL223:AM223=AM223))=3,2,IF(SUMPRODUCT(--($AL223:$AP223&gt;AN223))+SUMPRODUCT(--($AL223:AN223=AN223))=3,3,IF(SUMPRODUCT(--($AL223:$AP223&gt;AO223))+SUMPRODUCT(--($AL223:AO223=AO223))=3,4,5)))),"")</f>
        <v/>
      </c>
      <c r="AT223" s="87" t="str">
        <f aca="false">IF($AJ223=Constants!$B$7,LARGE(AL223:AP223,1)+LARGE(AL223:AP223,2)+LARGE(AL223:AP223,3),"")</f>
        <v/>
      </c>
      <c r="AU223" s="87" t="str">
        <f aca="false">IF(ISBLANK($C223),"",IF($AJ223&lt;&gt;Constants!$B$7,$AJ223,AT223*W223))</f>
        <v/>
      </c>
      <c r="AV223" s="87" t="str">
        <f aca="false">IF(ISBLANK($C223),"",IF($AJ223=Constants!$B$7,IF(ISNUMBER(AU223),RANK(AU223,$AU$8:$AU$507),Constants!$B$14),$AJ223))</f>
        <v/>
      </c>
      <c r="AW223" s="87" t="str">
        <f aca="false">IF(ISBLANK($C223),"",IF($AJ223=Constants!$B$7,IF(ISNUMBER(AV223),COUNTIFS($AK$8:$AK$507,"&lt;"&amp;$AK223)+COUNTIFS($AK$8:$AK$507,$AK223,$AV$8:$AV$507,"&lt;"&amp;$AV223)+1,Constants!$B$14),$AJ223))</f>
        <v/>
      </c>
      <c r="AX223" s="87" t="str">
        <f aca="false">IF(ISBLANK($C223),"",IF($AJ223=Constants!$B$7,LARGE(AL223:AP223,4)*W223,""))</f>
        <v/>
      </c>
      <c r="AY223" s="87" t="str">
        <f aca="false">IF(ISBLANK($C223),"",IF($AJ223=Constants!$B$7,RANK(AX223,$AX$8:$AX$507),$AJ223))</f>
        <v/>
      </c>
      <c r="AZ223" s="87" t="str">
        <f aca="false">IF(ISBLANK($C223),"",IF($AJ223=Constants!$B$7,IF(ISNUMBER(AV223),COUNTIFS($AK$8:$AK$507,"&lt;"&amp;$AK223)+COUNTIFS($AK$8:$AK$507,$AK223,$AV$8:$AV$507,"&lt;"&amp;$AV223)+COUNTIFS($AK$8:$AK$507,$AK223,$AV$8:$AV$507,$AV223,$AY$8:$AY$507,"&lt;"&amp;$AY223)+1,Constants!$B$14),$AJ223))</f>
        <v/>
      </c>
      <c r="BA223" s="87" t="str">
        <f aca="false">IF(ISBLANK($C223),"",IF($AJ223=Constants!$B$7,IF(ISNUMBER(AW223),AW223-AZ223,Constants!$B$14),$AJ223))</f>
        <v/>
      </c>
      <c r="BB223" s="88"/>
      <c r="BC223" s="89" t="str">
        <f aca="false">IF(ISBLANK($C223),"",IF($AJ223&lt;&gt;Constants!$B$7,$AJ223,SMALL(AQ223:AS223,1)&amp;", "&amp;SMALL(AQ223:AS223,2)&amp;", "&amp;SMALL(AQ223:AS223,3)))</f>
        <v/>
      </c>
      <c r="BD223" s="90" t="str">
        <f aca="false">IF(ISBLANK($C223),"",IF($AJ223&lt;&gt;Constants!$B$7,$AJ223,W223))</f>
        <v/>
      </c>
      <c r="BE223" s="91" t="str">
        <f aca="false">IF(ISBLANK($C223),"",IF($AJ223&lt;&gt;Constants!$B$7,$AJ223,AU223))</f>
        <v/>
      </c>
      <c r="BF223" s="92" t="str">
        <f aca="false">IF(ISBLANK($C223),"",IF($AJ223&lt;&gt;Constants!$B$7,$AJ223,AK223))</f>
        <v/>
      </c>
      <c r="BG223" s="90" t="str">
        <f aca="false">IF(ISBLANK($C223),"",BA223)</f>
        <v/>
      </c>
      <c r="BH223" s="90" t="str">
        <f aca="false">IF(ISBLANK($C223),"",AZ223)</f>
        <v/>
      </c>
      <c r="BI223" s="93" t="str">
        <f aca="false">IF(ISBLANK($C223),"",IF(BH223=Constants!$B$4,COUNTA($C$8:$C$507)+2,IF(BH223=Constants!$B$5,COUNTA($C$8:$C$507)+1,IF(BH223=Constants!$B$6,COUNTA($C$8:$C$507),BH223))))</f>
        <v/>
      </c>
      <c r="BJ223" s="5"/>
      <c r="BK223" s="94" t="n">
        <f aca="false">IF(OR(ISNUMBER(BH223),BH223=Constants!$B$4,BH223=Constants!$B$6,BH223=Constants!$B$5),1,0)</f>
        <v>0</v>
      </c>
      <c r="BL223" s="94" t="n">
        <v>216</v>
      </c>
      <c r="BM223" s="94" t="str">
        <f aca="false">IF(ISBLANK($C223),"",IF(ISNUMBER(BI223),BI223+ROW($B223)/1000,""))</f>
        <v/>
      </c>
      <c r="BN223" s="94" t="str">
        <f aca="false">IF(ISNUMBER(BM223),RANK(BM223,$BM$8:$BM$507,1),"")</f>
        <v/>
      </c>
      <c r="BO223" s="94" t="str">
        <f aca="false">IF(ISBLANK($C223),"",$B223)</f>
        <v/>
      </c>
      <c r="BP223" s="94" t="str">
        <f aca="false">IF(ISBLANK($C223),"",$C223)</f>
        <v/>
      </c>
      <c r="BQ223" s="94" t="str">
        <f aca="false">IF(ISBLANK($C223),"",$D223)</f>
        <v/>
      </c>
      <c r="BR223" s="95" t="str">
        <f aca="false">BF223</f>
        <v/>
      </c>
      <c r="BS223" s="96" t="str">
        <f aca="false">BE223</f>
        <v/>
      </c>
      <c r="BT223" s="94" t="str">
        <f aca="false">IF(ISBLANK($C223),"",BH223)</f>
        <v/>
      </c>
      <c r="BU223" s="97" t="str">
        <f aca="false">IF($BL223&gt;$BK$7,"",VLOOKUP($BL223,$BN$8:$BT$507,7,FALSE()))</f>
        <v/>
      </c>
      <c r="BV223" s="98" t="str">
        <f aca="false">IF($BL223&gt;$BK$7,"",VLOOKUP($BL223,$BN$8:$BT$507,2,FALSE()))</f>
        <v/>
      </c>
      <c r="BW223" s="98" t="str">
        <f aca="false">IF($BL223&gt;$BK$7,"",VLOOKUP($BL223,$BN$8:$BT$507,3,FALSE()))</f>
        <v/>
      </c>
      <c r="BX223" s="98" t="str">
        <f aca="false">IF($BL223&gt;$BK$7,"",VLOOKUP($BL223,$BN$8:$BT$507,4,FALSE()))</f>
        <v/>
      </c>
      <c r="BY223" s="98" t="str">
        <f aca="false">IF($BL223&gt;$BK$7,"",VLOOKUP($BL223,$BN$8:$BT$507,5,FALSE()))</f>
        <v/>
      </c>
      <c r="BZ223" s="99" t="str">
        <f aca="false">IF($BL223&gt;$BK$7,"",VLOOKUP($BL223,$BN$8:$BT$507,6,FALSE()))</f>
        <v/>
      </c>
      <c r="CA223" s="48"/>
    </row>
    <row r="224" customFormat="false" ht="15.75" hidden="false" customHeight="false" outlineLevel="0" collapsed="false">
      <c r="A224" s="5"/>
      <c r="B224" s="121"/>
      <c r="C224" s="50"/>
      <c r="D224" s="51"/>
      <c r="E224" s="74"/>
      <c r="F224" s="122"/>
      <c r="G224" s="54"/>
      <c r="H224" s="123"/>
      <c r="I224" s="124"/>
      <c r="J224" s="54"/>
      <c r="K224" s="123"/>
      <c r="L224" s="54"/>
      <c r="M224" s="123"/>
      <c r="N224" s="54"/>
      <c r="O224" s="123"/>
      <c r="P224" s="54"/>
      <c r="Q224" s="123"/>
      <c r="R224" s="54"/>
      <c r="S224" s="74"/>
      <c r="T224" s="58"/>
      <c r="U224" s="59" t="str">
        <f aca="false">IF(ISBLANK($C224),"",IF(E224=Constants!$B$2, TRUE(), IF(E224=Constants!$B$3, FALSE(), TRUE())))</f>
        <v/>
      </c>
      <c r="V224" s="59" t="str">
        <f aca="false">IF(ISBLANK($C224),"",IF(F224=Constants!$B$2, TRUE(), IF(F224=Constants!$B$3, FALSE(), TRUE())))</f>
        <v/>
      </c>
      <c r="W224" s="59" t="str">
        <f aca="false">IF(ISBLANK($C224),"",IF(G224=Constants!$B$15,Constants!$B$8,IF(G224=Constants!$B$16,Constants!$B$9,Constants!$B$10)))</f>
        <v/>
      </c>
      <c r="X224" s="59" t="str">
        <f aca="false">IF(ISBLANK($C224),"",IF(H224=Constants!$B$2, TRUE(), IF(H224=Constants!$B$3, FALSE(), TRUE())))</f>
        <v/>
      </c>
      <c r="Y224" s="59" t="str">
        <f aca="false">IF(ISBLANK($C224),"",IF(I224=Constants!$B$19,Constants!$B$19,Constants!$B$18))</f>
        <v/>
      </c>
      <c r="Z224" s="59" t="str">
        <f aca="false">IF(ISBLANK($C224),"",IF(ISNUMBER(J224),IF(J224&gt;=0,J224,""),""))</f>
        <v/>
      </c>
      <c r="AA224" s="59" t="str">
        <f aca="false">IF(ISBLANK($C224),"",IF(K224=Constants!$B$19,Constants!$B$19,Constants!$B$18))</f>
        <v/>
      </c>
      <c r="AB224" s="59" t="str">
        <f aca="false">IF(ISBLANK($C224),"",IF(ISNUMBER(L224),IF(L224&gt;=0,L224,""),""))</f>
        <v/>
      </c>
      <c r="AC224" s="59" t="str">
        <f aca="false">IF(ISBLANK($C224),"",IF(M224=Constants!$B$19,Constants!$B$19,Constants!$B$18))</f>
        <v/>
      </c>
      <c r="AD224" s="59" t="str">
        <f aca="false">IF(ISBLANK($C224),"",IF(ISNUMBER(N224),IF(N224&gt;=0,N224,""),""))</f>
        <v/>
      </c>
      <c r="AE224" s="59" t="str">
        <f aca="false">IF(ISBLANK($C224),"",IF(O224=Constants!$B$19,Constants!$B$19,Constants!$B$18))</f>
        <v/>
      </c>
      <c r="AF224" s="59" t="str">
        <f aca="false">IF(ISBLANK($C224),"",IF(ISNUMBER(P224),IF(P224&gt;=0,P224,""),""))</f>
        <v/>
      </c>
      <c r="AG224" s="59" t="str">
        <f aca="false">IF(ISBLANK($C224),"",IF(Q224=Constants!$B$19,Constants!$B$19,Constants!$B$18))</f>
        <v/>
      </c>
      <c r="AH224" s="59" t="str">
        <f aca="false">IF(ISBLANK($C224),"",IF(ISNUMBER(R224),IF(R224&gt;=0,R224,""),""))</f>
        <v/>
      </c>
      <c r="AI224" s="59" t="str">
        <f aca="false">IF(ISBLANK($C224),"",IF(S224=Constants!$B$2, TRUE(), IF(S224=Constants!$B$3, FALSE(), FALSE())))</f>
        <v/>
      </c>
      <c r="AJ224" s="59" t="str">
        <f aca="false">IF(ISBLANK($C224),"",IF(AI224,Constants!$B$4,IF(COUNTA(E224:R224)=0,Constants!$B$5,IF(COUNTA(J224,L224,N224,P224,R224)=0,Constants!$B$6,Constants!$B$7))))</f>
        <v/>
      </c>
      <c r="AK224" s="59" t="str">
        <f aca="false">IF(ISBLANK($C224),"",IF($AJ224&lt;&gt;Constants!$B$7,$AJ224,IF(OR(NOT(X224),AND(NOT(U224),COUNTIFS(Y224:AG224,Constants!$B$18,Z224:AH224,"&gt;=0")&gt;0),AND(NOT(V224),COUNTIFS(Y224:AG224,Constants!$B$19,Z224:AH224,"&gt;=0")&gt;0)),Constants!$B$12,Constants!$B$11)))</f>
        <v/>
      </c>
      <c r="AL224" s="59" t="str">
        <f aca="false">IF($AJ224=Constants!$B$7,IF(Z224="",Constants!$B$13,Z224),"")</f>
        <v/>
      </c>
      <c r="AM224" s="59" t="str">
        <f aca="false">IF($AJ224=Constants!$B$7,IF(AB224="",Constants!$B$13,AB224),"")</f>
        <v/>
      </c>
      <c r="AN224" s="59" t="str">
        <f aca="false">IF($AJ224=Constants!$B$7,IF(AD224="",Constants!$B$13,AD224),"")</f>
        <v/>
      </c>
      <c r="AO224" s="59" t="str">
        <f aca="false">IF($AJ224=Constants!$B$7,IF(AF224="",Constants!$B$13,AF224),"")</f>
        <v/>
      </c>
      <c r="AP224" s="59" t="str">
        <f aca="false">IF($AJ224=Constants!$B$7,IF(AH224="",Constants!$B$13,AH224),"")</f>
        <v/>
      </c>
      <c r="AQ224" s="59" t="str">
        <f aca="false">IF($AJ224=Constants!$B$7,IF(SUMPRODUCT(--($AL224:$AP224&gt;AL224))+SUMPRODUCT(--($AL224:AL224=AL224))=1,1,IF(SUMPRODUCT(--($AL224:$AP224&gt;AM224))+SUMPRODUCT(--($AL224:AM224=AM224))=1,2,IF(SUMPRODUCT(--($AL224:$AP224&gt;AN224))+SUMPRODUCT(--($AL224:AN224=AN224))=1,3,IF(SUMPRODUCT(--($AL224:$AP224&gt;AO224))+SUMPRODUCT(--($AL224:AO224=AO224))=1,4,5)))),"")</f>
        <v/>
      </c>
      <c r="AR224" s="59" t="str">
        <f aca="false">IF($AJ224=Constants!$B$7,IF(SUMPRODUCT(--($AL224:$AP224&gt;AL224))+SUMPRODUCT(--($AL224:AL224=AL224))=2,1,IF(SUMPRODUCT(--($AL224:$AP224&gt;AM224))+SUMPRODUCT(--($AL224:AM224=AM224))=2,2,IF(SUMPRODUCT(--($AL224:$AP224&gt;AN224))+SUMPRODUCT(--($AL224:AN224=AN224))=2,3,IF(SUMPRODUCT(--($AL224:$AP224&gt;AO224))+SUMPRODUCT(--($AL224:AO224=AO224))=2,4,5)))),"")</f>
        <v/>
      </c>
      <c r="AS224" s="59" t="str">
        <f aca="false">IF($AJ224=Constants!$B$7,IF(SUMPRODUCT(--($AL224:$AP224&gt;AL224))+SUMPRODUCT(--($AL224:AL224=AL224))=3,1,IF(SUMPRODUCT(--($AL224:$AP224&gt;AM224))+SUMPRODUCT(--($AL224:AM224=AM224))=3,2,IF(SUMPRODUCT(--($AL224:$AP224&gt;AN224))+SUMPRODUCT(--($AL224:AN224=AN224))=3,3,IF(SUMPRODUCT(--($AL224:$AP224&gt;AO224))+SUMPRODUCT(--($AL224:AO224=AO224))=3,4,5)))),"")</f>
        <v/>
      </c>
      <c r="AT224" s="59" t="str">
        <f aca="false">IF($AJ224=Constants!$B$7,LARGE(AL224:AP224,1)+LARGE(AL224:AP224,2)+LARGE(AL224:AP224,3),"")</f>
        <v/>
      </c>
      <c r="AU224" s="59" t="str">
        <f aca="false">IF(ISBLANK($C224),"",IF($AJ224&lt;&gt;Constants!$B$7,$AJ224,AT224*W224))</f>
        <v/>
      </c>
      <c r="AV224" s="59" t="str">
        <f aca="false">IF(ISBLANK($C224),"",IF($AJ224=Constants!$B$7,IF(ISNUMBER(AU224),RANK(AU224,$AU$8:$AU$507),Constants!$B$14),$AJ224))</f>
        <v/>
      </c>
      <c r="AW224" s="59" t="str">
        <f aca="false">IF(ISBLANK($C224),"",IF($AJ224=Constants!$B$7,IF(ISNUMBER(AV224),COUNTIFS($AK$8:$AK$507,"&lt;"&amp;$AK224)+COUNTIFS($AK$8:$AK$507,$AK224,$AV$8:$AV$507,"&lt;"&amp;$AV224)+1,Constants!$B$14),$AJ224))</f>
        <v/>
      </c>
      <c r="AX224" s="59" t="str">
        <f aca="false">IF(ISBLANK($C224),"",IF($AJ224=Constants!$B$7,LARGE(AL224:AP224,4)*W224,""))</f>
        <v/>
      </c>
      <c r="AY224" s="59" t="str">
        <f aca="false">IF(ISBLANK($C224),"",IF($AJ224=Constants!$B$7,RANK(AX224,$AX$8:$AX$507),$AJ224))</f>
        <v/>
      </c>
      <c r="AZ224" s="59" t="str">
        <f aca="false">IF(ISBLANK($C224),"",IF($AJ224=Constants!$B$7,IF(ISNUMBER(AV224),COUNTIFS($AK$8:$AK$507,"&lt;"&amp;$AK224)+COUNTIFS($AK$8:$AK$507,$AK224,$AV$8:$AV$507,"&lt;"&amp;$AV224)+COUNTIFS($AK$8:$AK$507,$AK224,$AV$8:$AV$507,$AV224,$AY$8:$AY$507,"&lt;"&amp;$AY224)+1,Constants!$B$14),$AJ224))</f>
        <v/>
      </c>
      <c r="BA224" s="59" t="str">
        <f aca="false">IF(ISBLANK($C224),"",IF($AJ224=Constants!$B$7,IF(ISNUMBER(AW224),AW224-AZ224,Constants!$B$14),$AJ224))</f>
        <v/>
      </c>
      <c r="BB224" s="61"/>
      <c r="BC224" s="62" t="str">
        <f aca="false">IF(ISBLANK($C224),"",IF($AJ224&lt;&gt;Constants!$B$7,$AJ224,SMALL(AQ224:AS224,1)&amp;", "&amp;SMALL(AQ224:AS224,2)&amp;", "&amp;SMALL(AQ224:AS224,3)))</f>
        <v/>
      </c>
      <c r="BD224" s="63" t="str">
        <f aca="false">IF(ISBLANK($C224),"",IF($AJ224&lt;&gt;Constants!$B$7,$AJ224,W224))</f>
        <v/>
      </c>
      <c r="BE224" s="64" t="str">
        <f aca="false">IF(ISBLANK($C224),"",IF($AJ224&lt;&gt;Constants!$B$7,$AJ224,AU224))</f>
        <v/>
      </c>
      <c r="BF224" s="65" t="str">
        <f aca="false">IF(ISBLANK($C224),"",IF($AJ224&lt;&gt;Constants!$B$7,$AJ224,AK224))</f>
        <v/>
      </c>
      <c r="BG224" s="63" t="str">
        <f aca="false">IF(ISBLANK($C224),"",BA224)</f>
        <v/>
      </c>
      <c r="BH224" s="63" t="str">
        <f aca="false">IF(ISBLANK($C224),"",AZ224)</f>
        <v/>
      </c>
      <c r="BI224" s="66" t="str">
        <f aca="false">IF(ISBLANK($C224),"",IF(BH224=Constants!$B$4,COUNTA($C$8:$C$507)+2,IF(BH224=Constants!$B$5,COUNTA($C$8:$C$507)+1,IF(BH224=Constants!$B$6,COUNTA($C$8:$C$507),BH224))))</f>
        <v/>
      </c>
      <c r="BJ224" s="5"/>
      <c r="BK224" s="67" t="n">
        <f aca="false">IF(OR(ISNUMBER(BH224),BH224=Constants!$B$4,BH224=Constants!$B$6,BH224=Constants!$B$5),1,0)</f>
        <v>0</v>
      </c>
      <c r="BL224" s="67" t="n">
        <v>217</v>
      </c>
      <c r="BM224" s="67" t="str">
        <f aca="false">IF(ISBLANK($C224),"",IF(ISNUMBER(BI224),BI224+ROW($B224)/1000,""))</f>
        <v/>
      </c>
      <c r="BN224" s="67" t="str">
        <f aca="false">IF(ISNUMBER(BM224),RANK(BM224,$BM$8:$BM$507,1),"")</f>
        <v/>
      </c>
      <c r="BO224" s="67" t="str">
        <f aca="false">IF(ISBLANK($C224),"",$B224)</f>
        <v/>
      </c>
      <c r="BP224" s="67" t="str">
        <f aca="false">IF(ISBLANK($C224),"",$C224)</f>
        <v/>
      </c>
      <c r="BQ224" s="67" t="str">
        <f aca="false">IF(ISBLANK($C224),"",$D224)</f>
        <v/>
      </c>
      <c r="BR224" s="68" t="str">
        <f aca="false">BF224</f>
        <v/>
      </c>
      <c r="BS224" s="69" t="str">
        <f aca="false">BE224</f>
        <v/>
      </c>
      <c r="BT224" s="67" t="str">
        <f aca="false">IF(ISBLANK($C224),"",BH224)</f>
        <v/>
      </c>
      <c r="BU224" s="70" t="str">
        <f aca="false">IF($BL224&gt;$BK$7,"",VLOOKUP($BL224,$BN$8:$BT$507,7,FALSE()))</f>
        <v/>
      </c>
      <c r="BV224" s="71" t="str">
        <f aca="false">IF($BL224&gt;$BK$7,"",VLOOKUP($BL224,$BN$8:$BT$507,2,FALSE()))</f>
        <v/>
      </c>
      <c r="BW224" s="71" t="str">
        <f aca="false">IF($BL224&gt;$BK$7,"",VLOOKUP($BL224,$BN$8:$BT$507,3,FALSE()))</f>
        <v/>
      </c>
      <c r="BX224" s="71" t="str">
        <f aca="false">IF($BL224&gt;$BK$7,"",VLOOKUP($BL224,$BN$8:$BT$507,4,FALSE()))</f>
        <v/>
      </c>
      <c r="BY224" s="71" t="str">
        <f aca="false">IF($BL224&gt;$BK$7,"",VLOOKUP($BL224,$BN$8:$BT$507,5,FALSE()))</f>
        <v/>
      </c>
      <c r="BZ224" s="72" t="str">
        <f aca="false">IF($BL224&gt;$BK$7,"",VLOOKUP($BL224,$BN$8:$BT$507,6,FALSE()))</f>
        <v/>
      </c>
      <c r="CA224" s="48"/>
    </row>
    <row r="225" customFormat="false" ht="15.75" hidden="false" customHeight="false" outlineLevel="0" collapsed="false">
      <c r="A225" s="5"/>
      <c r="B225" s="121"/>
      <c r="C225" s="50"/>
      <c r="D225" s="51"/>
      <c r="E225" s="74"/>
      <c r="F225" s="122"/>
      <c r="G225" s="54"/>
      <c r="H225" s="123"/>
      <c r="I225" s="124"/>
      <c r="J225" s="54"/>
      <c r="K225" s="123"/>
      <c r="L225" s="54"/>
      <c r="M225" s="123"/>
      <c r="N225" s="54"/>
      <c r="O225" s="123"/>
      <c r="P225" s="54"/>
      <c r="Q225" s="123"/>
      <c r="R225" s="54"/>
      <c r="S225" s="74"/>
      <c r="T225" s="58"/>
      <c r="U225" s="59" t="str">
        <f aca="false">IF(ISBLANK($C225),"",IF(E225=Constants!$B$2, TRUE(), IF(E225=Constants!$B$3, FALSE(), TRUE())))</f>
        <v/>
      </c>
      <c r="V225" s="59" t="str">
        <f aca="false">IF(ISBLANK($C225),"",IF(F225=Constants!$B$2, TRUE(), IF(F225=Constants!$B$3, FALSE(), TRUE())))</f>
        <v/>
      </c>
      <c r="W225" s="59" t="str">
        <f aca="false">IF(ISBLANK($C225),"",IF(G225=Constants!$B$15,Constants!$B$8,IF(G225=Constants!$B$16,Constants!$B$9,Constants!$B$10)))</f>
        <v/>
      </c>
      <c r="X225" s="59" t="str">
        <f aca="false">IF(ISBLANK($C225),"",IF(H225=Constants!$B$2, TRUE(), IF(H225=Constants!$B$3, FALSE(), TRUE())))</f>
        <v/>
      </c>
      <c r="Y225" s="59" t="str">
        <f aca="false">IF(ISBLANK($C225),"",IF(I225=Constants!$B$19,Constants!$B$19,Constants!$B$18))</f>
        <v/>
      </c>
      <c r="Z225" s="59" t="str">
        <f aca="false">IF(ISBLANK($C225),"",IF(ISNUMBER(J225),IF(J225&gt;=0,J225,""),""))</f>
        <v/>
      </c>
      <c r="AA225" s="59" t="str">
        <f aca="false">IF(ISBLANK($C225),"",IF(K225=Constants!$B$19,Constants!$B$19,Constants!$B$18))</f>
        <v/>
      </c>
      <c r="AB225" s="59" t="str">
        <f aca="false">IF(ISBLANK($C225),"",IF(ISNUMBER(L225),IF(L225&gt;=0,L225,""),""))</f>
        <v/>
      </c>
      <c r="AC225" s="59" t="str">
        <f aca="false">IF(ISBLANK($C225),"",IF(M225=Constants!$B$19,Constants!$B$19,Constants!$B$18))</f>
        <v/>
      </c>
      <c r="AD225" s="59" t="str">
        <f aca="false">IF(ISBLANK($C225),"",IF(ISNUMBER(N225),IF(N225&gt;=0,N225,""),""))</f>
        <v/>
      </c>
      <c r="AE225" s="59" t="str">
        <f aca="false">IF(ISBLANK($C225),"",IF(O225=Constants!$B$19,Constants!$B$19,Constants!$B$18))</f>
        <v/>
      </c>
      <c r="AF225" s="59" t="str">
        <f aca="false">IF(ISBLANK($C225),"",IF(ISNUMBER(P225),IF(P225&gt;=0,P225,""),""))</f>
        <v/>
      </c>
      <c r="AG225" s="59" t="str">
        <f aca="false">IF(ISBLANK($C225),"",IF(Q225=Constants!$B$19,Constants!$B$19,Constants!$B$18))</f>
        <v/>
      </c>
      <c r="AH225" s="59" t="str">
        <f aca="false">IF(ISBLANK($C225),"",IF(ISNUMBER(R225),IF(R225&gt;=0,R225,""),""))</f>
        <v/>
      </c>
      <c r="AI225" s="59" t="str">
        <f aca="false">IF(ISBLANK($C225),"",IF(S225=Constants!$B$2, TRUE(), IF(S225=Constants!$B$3, FALSE(), FALSE())))</f>
        <v/>
      </c>
      <c r="AJ225" s="59" t="str">
        <f aca="false">IF(ISBLANK($C225),"",IF(AI225,Constants!$B$4,IF(COUNTA(E225:R225)=0,Constants!$B$5,IF(COUNTA(J225,L225,N225,P225,R225)=0,Constants!$B$6,Constants!$B$7))))</f>
        <v/>
      </c>
      <c r="AK225" s="59" t="str">
        <f aca="false">IF(ISBLANK($C225),"",IF($AJ225&lt;&gt;Constants!$B$7,$AJ225,IF(OR(NOT(X225),AND(NOT(U225),COUNTIFS(Y225:AG225,Constants!$B$18,Z225:AH225,"&gt;=0")&gt;0),AND(NOT(V225),COUNTIFS(Y225:AG225,Constants!$B$19,Z225:AH225,"&gt;=0")&gt;0)),Constants!$B$12,Constants!$B$11)))</f>
        <v/>
      </c>
      <c r="AL225" s="59" t="str">
        <f aca="false">IF($AJ225=Constants!$B$7,IF(Z225="",Constants!$B$13,Z225),"")</f>
        <v/>
      </c>
      <c r="AM225" s="59" t="str">
        <f aca="false">IF($AJ225=Constants!$B$7,IF(AB225="",Constants!$B$13,AB225),"")</f>
        <v/>
      </c>
      <c r="AN225" s="59" t="str">
        <f aca="false">IF($AJ225=Constants!$B$7,IF(AD225="",Constants!$B$13,AD225),"")</f>
        <v/>
      </c>
      <c r="AO225" s="59" t="str">
        <f aca="false">IF($AJ225=Constants!$B$7,IF(AF225="",Constants!$B$13,AF225),"")</f>
        <v/>
      </c>
      <c r="AP225" s="59" t="str">
        <f aca="false">IF($AJ225=Constants!$B$7,IF(AH225="",Constants!$B$13,AH225),"")</f>
        <v/>
      </c>
      <c r="AQ225" s="59" t="str">
        <f aca="false">IF($AJ225=Constants!$B$7,IF(SUMPRODUCT(--($AL225:$AP225&gt;AL225))+SUMPRODUCT(--($AL225:AL225=AL225))=1,1,IF(SUMPRODUCT(--($AL225:$AP225&gt;AM225))+SUMPRODUCT(--($AL225:AM225=AM225))=1,2,IF(SUMPRODUCT(--($AL225:$AP225&gt;AN225))+SUMPRODUCT(--($AL225:AN225=AN225))=1,3,IF(SUMPRODUCT(--($AL225:$AP225&gt;AO225))+SUMPRODUCT(--($AL225:AO225=AO225))=1,4,5)))),"")</f>
        <v/>
      </c>
      <c r="AR225" s="59" t="str">
        <f aca="false">IF($AJ225=Constants!$B$7,IF(SUMPRODUCT(--($AL225:$AP225&gt;AL225))+SUMPRODUCT(--($AL225:AL225=AL225))=2,1,IF(SUMPRODUCT(--($AL225:$AP225&gt;AM225))+SUMPRODUCT(--($AL225:AM225=AM225))=2,2,IF(SUMPRODUCT(--($AL225:$AP225&gt;AN225))+SUMPRODUCT(--($AL225:AN225=AN225))=2,3,IF(SUMPRODUCT(--($AL225:$AP225&gt;AO225))+SUMPRODUCT(--($AL225:AO225=AO225))=2,4,5)))),"")</f>
        <v/>
      </c>
      <c r="AS225" s="59" t="str">
        <f aca="false">IF($AJ225=Constants!$B$7,IF(SUMPRODUCT(--($AL225:$AP225&gt;AL225))+SUMPRODUCT(--($AL225:AL225=AL225))=3,1,IF(SUMPRODUCT(--($AL225:$AP225&gt;AM225))+SUMPRODUCT(--($AL225:AM225=AM225))=3,2,IF(SUMPRODUCT(--($AL225:$AP225&gt;AN225))+SUMPRODUCT(--($AL225:AN225=AN225))=3,3,IF(SUMPRODUCT(--($AL225:$AP225&gt;AO225))+SUMPRODUCT(--($AL225:AO225=AO225))=3,4,5)))),"")</f>
        <v/>
      </c>
      <c r="AT225" s="59" t="str">
        <f aca="false">IF($AJ225=Constants!$B$7,LARGE(AL225:AP225,1)+LARGE(AL225:AP225,2)+LARGE(AL225:AP225,3),"")</f>
        <v/>
      </c>
      <c r="AU225" s="59" t="str">
        <f aca="false">IF(ISBLANK($C225),"",IF($AJ225&lt;&gt;Constants!$B$7,$AJ225,AT225*W225))</f>
        <v/>
      </c>
      <c r="AV225" s="59" t="str">
        <f aca="false">IF(ISBLANK($C225),"",IF($AJ225=Constants!$B$7,IF(ISNUMBER(AU225),RANK(AU225,$AU$8:$AU$507),Constants!$B$14),$AJ225))</f>
        <v/>
      </c>
      <c r="AW225" s="59" t="str">
        <f aca="false">IF(ISBLANK($C225),"",IF($AJ225=Constants!$B$7,IF(ISNUMBER(AV225),COUNTIFS($AK$8:$AK$507,"&lt;"&amp;$AK225)+COUNTIFS($AK$8:$AK$507,$AK225,$AV$8:$AV$507,"&lt;"&amp;$AV225)+1,Constants!$B$14),$AJ225))</f>
        <v/>
      </c>
      <c r="AX225" s="59" t="str">
        <f aca="false">IF(ISBLANK($C225),"",IF($AJ225=Constants!$B$7,LARGE(AL225:AP225,4)*W225,""))</f>
        <v/>
      </c>
      <c r="AY225" s="59" t="str">
        <f aca="false">IF(ISBLANK($C225),"",IF($AJ225=Constants!$B$7,RANK(AX225,$AX$8:$AX$507),$AJ225))</f>
        <v/>
      </c>
      <c r="AZ225" s="59" t="str">
        <f aca="false">IF(ISBLANK($C225),"",IF($AJ225=Constants!$B$7,IF(ISNUMBER(AV225),COUNTIFS($AK$8:$AK$507,"&lt;"&amp;$AK225)+COUNTIFS($AK$8:$AK$507,$AK225,$AV$8:$AV$507,"&lt;"&amp;$AV225)+COUNTIFS($AK$8:$AK$507,$AK225,$AV$8:$AV$507,$AV225,$AY$8:$AY$507,"&lt;"&amp;$AY225)+1,Constants!$B$14),$AJ225))</f>
        <v/>
      </c>
      <c r="BA225" s="59" t="str">
        <f aca="false">IF(ISBLANK($C225),"",IF($AJ225=Constants!$B$7,IF(ISNUMBER(AW225),AW225-AZ225,Constants!$B$14),$AJ225))</f>
        <v/>
      </c>
      <c r="BB225" s="61"/>
      <c r="BC225" s="62" t="str">
        <f aca="false">IF(ISBLANK($C225),"",IF($AJ225&lt;&gt;Constants!$B$7,$AJ225,SMALL(AQ225:AS225,1)&amp;", "&amp;SMALL(AQ225:AS225,2)&amp;", "&amp;SMALL(AQ225:AS225,3)))</f>
        <v/>
      </c>
      <c r="BD225" s="63" t="str">
        <f aca="false">IF(ISBLANK($C225),"",IF($AJ225&lt;&gt;Constants!$B$7,$AJ225,W225))</f>
        <v/>
      </c>
      <c r="BE225" s="64" t="str">
        <f aca="false">IF(ISBLANK($C225),"",IF($AJ225&lt;&gt;Constants!$B$7,$AJ225,AU225))</f>
        <v/>
      </c>
      <c r="BF225" s="65" t="str">
        <f aca="false">IF(ISBLANK($C225),"",IF($AJ225&lt;&gt;Constants!$B$7,$AJ225,AK225))</f>
        <v/>
      </c>
      <c r="BG225" s="63" t="str">
        <f aca="false">IF(ISBLANK($C225),"",BA225)</f>
        <v/>
      </c>
      <c r="BH225" s="63" t="str">
        <f aca="false">IF(ISBLANK($C225),"",AZ225)</f>
        <v/>
      </c>
      <c r="BI225" s="66" t="str">
        <f aca="false">IF(ISBLANK($C225),"",IF(BH225=Constants!$B$4,COUNTA($C$8:$C$507)+2,IF(BH225=Constants!$B$5,COUNTA($C$8:$C$507)+1,IF(BH225=Constants!$B$6,COUNTA($C$8:$C$507),BH225))))</f>
        <v/>
      </c>
      <c r="BJ225" s="5"/>
      <c r="BK225" s="67" t="n">
        <f aca="false">IF(OR(ISNUMBER(BH225),BH225=Constants!$B$4,BH225=Constants!$B$6,BH225=Constants!$B$5),1,0)</f>
        <v>0</v>
      </c>
      <c r="BL225" s="67" t="n">
        <v>218</v>
      </c>
      <c r="BM225" s="67" t="str">
        <f aca="false">IF(ISBLANK($C225),"",IF(ISNUMBER(BI225),BI225+ROW($B225)/1000,""))</f>
        <v/>
      </c>
      <c r="BN225" s="67" t="str">
        <f aca="false">IF(ISNUMBER(BM225),RANK(BM225,$BM$8:$BM$507,1),"")</f>
        <v/>
      </c>
      <c r="BO225" s="67" t="str">
        <f aca="false">IF(ISBLANK($C225),"",$B225)</f>
        <v/>
      </c>
      <c r="BP225" s="67" t="str">
        <f aca="false">IF(ISBLANK($C225),"",$C225)</f>
        <v/>
      </c>
      <c r="BQ225" s="67" t="str">
        <f aca="false">IF(ISBLANK($C225),"",$D225)</f>
        <v/>
      </c>
      <c r="BR225" s="68" t="str">
        <f aca="false">BF225</f>
        <v/>
      </c>
      <c r="BS225" s="69" t="str">
        <f aca="false">BE225</f>
        <v/>
      </c>
      <c r="BT225" s="67" t="str">
        <f aca="false">IF(ISBLANK($C225),"",BH225)</f>
        <v/>
      </c>
      <c r="BU225" s="70" t="str">
        <f aca="false">IF($BL225&gt;$BK$7,"",VLOOKUP($BL225,$BN$8:$BT$507,7,FALSE()))</f>
        <v/>
      </c>
      <c r="BV225" s="71" t="str">
        <f aca="false">IF($BL225&gt;$BK$7,"",VLOOKUP($BL225,$BN$8:$BT$507,2,FALSE()))</f>
        <v/>
      </c>
      <c r="BW225" s="71" t="str">
        <f aca="false">IF($BL225&gt;$BK$7,"",VLOOKUP($BL225,$BN$8:$BT$507,3,FALSE()))</f>
        <v/>
      </c>
      <c r="BX225" s="71" t="str">
        <f aca="false">IF($BL225&gt;$BK$7,"",VLOOKUP($BL225,$BN$8:$BT$507,4,FALSE()))</f>
        <v/>
      </c>
      <c r="BY225" s="71" t="str">
        <f aca="false">IF($BL225&gt;$BK$7,"",VLOOKUP($BL225,$BN$8:$BT$507,5,FALSE()))</f>
        <v/>
      </c>
      <c r="BZ225" s="72" t="str">
        <f aca="false">IF($BL225&gt;$BK$7,"",VLOOKUP($BL225,$BN$8:$BT$507,6,FALSE()))</f>
        <v/>
      </c>
      <c r="CA225" s="48"/>
    </row>
    <row r="226" customFormat="false" ht="15.75" hidden="false" customHeight="false" outlineLevel="0" collapsed="false">
      <c r="A226" s="5"/>
      <c r="B226" s="121"/>
      <c r="C226" s="50"/>
      <c r="D226" s="51"/>
      <c r="E226" s="74"/>
      <c r="F226" s="122"/>
      <c r="G226" s="54"/>
      <c r="H226" s="123"/>
      <c r="I226" s="124"/>
      <c r="J226" s="54"/>
      <c r="K226" s="123"/>
      <c r="L226" s="54"/>
      <c r="M226" s="123"/>
      <c r="N226" s="54"/>
      <c r="O226" s="123"/>
      <c r="P226" s="54"/>
      <c r="Q226" s="123"/>
      <c r="R226" s="54"/>
      <c r="S226" s="74"/>
      <c r="T226" s="58"/>
      <c r="U226" s="59" t="str">
        <f aca="false">IF(ISBLANK($C226),"",IF(E226=Constants!$B$2, TRUE(), IF(E226=Constants!$B$3, FALSE(), TRUE())))</f>
        <v/>
      </c>
      <c r="V226" s="59" t="str">
        <f aca="false">IF(ISBLANK($C226),"",IF(F226=Constants!$B$2, TRUE(), IF(F226=Constants!$B$3, FALSE(), TRUE())))</f>
        <v/>
      </c>
      <c r="W226" s="59" t="str">
        <f aca="false">IF(ISBLANK($C226),"",IF(G226=Constants!$B$15,Constants!$B$8,IF(G226=Constants!$B$16,Constants!$B$9,Constants!$B$10)))</f>
        <v/>
      </c>
      <c r="X226" s="59" t="str">
        <f aca="false">IF(ISBLANK($C226),"",IF(H226=Constants!$B$2, TRUE(), IF(H226=Constants!$B$3, FALSE(), TRUE())))</f>
        <v/>
      </c>
      <c r="Y226" s="59" t="str">
        <f aca="false">IF(ISBLANK($C226),"",IF(I226=Constants!$B$19,Constants!$B$19,Constants!$B$18))</f>
        <v/>
      </c>
      <c r="Z226" s="59" t="str">
        <f aca="false">IF(ISBLANK($C226),"",IF(ISNUMBER(J226),IF(J226&gt;=0,J226,""),""))</f>
        <v/>
      </c>
      <c r="AA226" s="59" t="str">
        <f aca="false">IF(ISBLANK($C226),"",IF(K226=Constants!$B$19,Constants!$B$19,Constants!$B$18))</f>
        <v/>
      </c>
      <c r="AB226" s="59" t="str">
        <f aca="false">IF(ISBLANK($C226),"",IF(ISNUMBER(L226),IF(L226&gt;=0,L226,""),""))</f>
        <v/>
      </c>
      <c r="AC226" s="59" t="str">
        <f aca="false">IF(ISBLANK($C226),"",IF(M226=Constants!$B$19,Constants!$B$19,Constants!$B$18))</f>
        <v/>
      </c>
      <c r="AD226" s="59" t="str">
        <f aca="false">IF(ISBLANK($C226),"",IF(ISNUMBER(N226),IF(N226&gt;=0,N226,""),""))</f>
        <v/>
      </c>
      <c r="AE226" s="59" t="str">
        <f aca="false">IF(ISBLANK($C226),"",IF(O226=Constants!$B$19,Constants!$B$19,Constants!$B$18))</f>
        <v/>
      </c>
      <c r="AF226" s="59" t="str">
        <f aca="false">IF(ISBLANK($C226),"",IF(ISNUMBER(P226),IF(P226&gt;=0,P226,""),""))</f>
        <v/>
      </c>
      <c r="AG226" s="59" t="str">
        <f aca="false">IF(ISBLANK($C226),"",IF(Q226=Constants!$B$19,Constants!$B$19,Constants!$B$18))</f>
        <v/>
      </c>
      <c r="AH226" s="59" t="str">
        <f aca="false">IF(ISBLANK($C226),"",IF(ISNUMBER(R226),IF(R226&gt;=0,R226,""),""))</f>
        <v/>
      </c>
      <c r="AI226" s="59" t="str">
        <f aca="false">IF(ISBLANK($C226),"",IF(S226=Constants!$B$2, TRUE(), IF(S226=Constants!$B$3, FALSE(), FALSE())))</f>
        <v/>
      </c>
      <c r="AJ226" s="59" t="str">
        <f aca="false">IF(ISBLANK($C226),"",IF(AI226,Constants!$B$4,IF(COUNTA(E226:R226)=0,Constants!$B$5,IF(COUNTA(J226,L226,N226,P226,R226)=0,Constants!$B$6,Constants!$B$7))))</f>
        <v/>
      </c>
      <c r="AK226" s="59" t="str">
        <f aca="false">IF(ISBLANK($C226),"",IF($AJ226&lt;&gt;Constants!$B$7,$AJ226,IF(OR(NOT(X226),AND(NOT(U226),COUNTIFS(Y226:AG226,Constants!$B$18,Z226:AH226,"&gt;=0")&gt;0),AND(NOT(V226),COUNTIFS(Y226:AG226,Constants!$B$19,Z226:AH226,"&gt;=0")&gt;0)),Constants!$B$12,Constants!$B$11)))</f>
        <v/>
      </c>
      <c r="AL226" s="59" t="str">
        <f aca="false">IF($AJ226=Constants!$B$7,IF(Z226="",Constants!$B$13,Z226),"")</f>
        <v/>
      </c>
      <c r="AM226" s="59" t="str">
        <f aca="false">IF($AJ226=Constants!$B$7,IF(AB226="",Constants!$B$13,AB226),"")</f>
        <v/>
      </c>
      <c r="AN226" s="59" t="str">
        <f aca="false">IF($AJ226=Constants!$B$7,IF(AD226="",Constants!$B$13,AD226),"")</f>
        <v/>
      </c>
      <c r="AO226" s="59" t="str">
        <f aca="false">IF($AJ226=Constants!$B$7,IF(AF226="",Constants!$B$13,AF226),"")</f>
        <v/>
      </c>
      <c r="AP226" s="59" t="str">
        <f aca="false">IF($AJ226=Constants!$B$7,IF(AH226="",Constants!$B$13,AH226),"")</f>
        <v/>
      </c>
      <c r="AQ226" s="59" t="str">
        <f aca="false">IF($AJ226=Constants!$B$7,IF(SUMPRODUCT(--($AL226:$AP226&gt;AL226))+SUMPRODUCT(--($AL226:AL226=AL226))=1,1,IF(SUMPRODUCT(--($AL226:$AP226&gt;AM226))+SUMPRODUCT(--($AL226:AM226=AM226))=1,2,IF(SUMPRODUCT(--($AL226:$AP226&gt;AN226))+SUMPRODUCT(--($AL226:AN226=AN226))=1,3,IF(SUMPRODUCT(--($AL226:$AP226&gt;AO226))+SUMPRODUCT(--($AL226:AO226=AO226))=1,4,5)))),"")</f>
        <v/>
      </c>
      <c r="AR226" s="59" t="str">
        <f aca="false">IF($AJ226=Constants!$B$7,IF(SUMPRODUCT(--($AL226:$AP226&gt;AL226))+SUMPRODUCT(--($AL226:AL226=AL226))=2,1,IF(SUMPRODUCT(--($AL226:$AP226&gt;AM226))+SUMPRODUCT(--($AL226:AM226=AM226))=2,2,IF(SUMPRODUCT(--($AL226:$AP226&gt;AN226))+SUMPRODUCT(--($AL226:AN226=AN226))=2,3,IF(SUMPRODUCT(--($AL226:$AP226&gt;AO226))+SUMPRODUCT(--($AL226:AO226=AO226))=2,4,5)))),"")</f>
        <v/>
      </c>
      <c r="AS226" s="59" t="str">
        <f aca="false">IF($AJ226=Constants!$B$7,IF(SUMPRODUCT(--($AL226:$AP226&gt;AL226))+SUMPRODUCT(--($AL226:AL226=AL226))=3,1,IF(SUMPRODUCT(--($AL226:$AP226&gt;AM226))+SUMPRODUCT(--($AL226:AM226=AM226))=3,2,IF(SUMPRODUCT(--($AL226:$AP226&gt;AN226))+SUMPRODUCT(--($AL226:AN226=AN226))=3,3,IF(SUMPRODUCT(--($AL226:$AP226&gt;AO226))+SUMPRODUCT(--($AL226:AO226=AO226))=3,4,5)))),"")</f>
        <v/>
      </c>
      <c r="AT226" s="59" t="str">
        <f aca="false">IF($AJ226=Constants!$B$7,LARGE(AL226:AP226,1)+LARGE(AL226:AP226,2)+LARGE(AL226:AP226,3),"")</f>
        <v/>
      </c>
      <c r="AU226" s="59" t="str">
        <f aca="false">IF(ISBLANK($C226),"",IF($AJ226&lt;&gt;Constants!$B$7,$AJ226,AT226*W226))</f>
        <v/>
      </c>
      <c r="AV226" s="59" t="str">
        <f aca="false">IF(ISBLANK($C226),"",IF($AJ226=Constants!$B$7,IF(ISNUMBER(AU226),RANK(AU226,$AU$8:$AU$507),Constants!$B$14),$AJ226))</f>
        <v/>
      </c>
      <c r="AW226" s="59" t="str">
        <f aca="false">IF(ISBLANK($C226),"",IF($AJ226=Constants!$B$7,IF(ISNUMBER(AV226),COUNTIFS($AK$8:$AK$507,"&lt;"&amp;$AK226)+COUNTIFS($AK$8:$AK$507,$AK226,$AV$8:$AV$507,"&lt;"&amp;$AV226)+1,Constants!$B$14),$AJ226))</f>
        <v/>
      </c>
      <c r="AX226" s="59" t="str">
        <f aca="false">IF(ISBLANK($C226),"",IF($AJ226=Constants!$B$7,LARGE(AL226:AP226,4)*W226,""))</f>
        <v/>
      </c>
      <c r="AY226" s="59" t="str">
        <f aca="false">IF(ISBLANK($C226),"",IF($AJ226=Constants!$B$7,RANK(AX226,$AX$8:$AX$507),$AJ226))</f>
        <v/>
      </c>
      <c r="AZ226" s="59" t="str">
        <f aca="false">IF(ISBLANK($C226),"",IF($AJ226=Constants!$B$7,IF(ISNUMBER(AV226),COUNTIFS($AK$8:$AK$507,"&lt;"&amp;$AK226)+COUNTIFS($AK$8:$AK$507,$AK226,$AV$8:$AV$507,"&lt;"&amp;$AV226)+COUNTIFS($AK$8:$AK$507,$AK226,$AV$8:$AV$507,$AV226,$AY$8:$AY$507,"&lt;"&amp;$AY226)+1,Constants!$B$14),$AJ226))</f>
        <v/>
      </c>
      <c r="BA226" s="59" t="str">
        <f aca="false">IF(ISBLANK($C226),"",IF($AJ226=Constants!$B$7,IF(ISNUMBER(AW226),AW226-AZ226,Constants!$B$14),$AJ226))</f>
        <v/>
      </c>
      <c r="BB226" s="61"/>
      <c r="BC226" s="62" t="str">
        <f aca="false">IF(ISBLANK($C226),"",IF($AJ226&lt;&gt;Constants!$B$7,$AJ226,SMALL(AQ226:AS226,1)&amp;", "&amp;SMALL(AQ226:AS226,2)&amp;", "&amp;SMALL(AQ226:AS226,3)))</f>
        <v/>
      </c>
      <c r="BD226" s="63" t="str">
        <f aca="false">IF(ISBLANK($C226),"",IF($AJ226&lt;&gt;Constants!$B$7,$AJ226,W226))</f>
        <v/>
      </c>
      <c r="BE226" s="64" t="str">
        <f aca="false">IF(ISBLANK($C226),"",IF($AJ226&lt;&gt;Constants!$B$7,$AJ226,AU226))</f>
        <v/>
      </c>
      <c r="BF226" s="65" t="str">
        <f aca="false">IF(ISBLANK($C226),"",IF($AJ226&lt;&gt;Constants!$B$7,$AJ226,AK226))</f>
        <v/>
      </c>
      <c r="BG226" s="63" t="str">
        <f aca="false">IF(ISBLANK($C226),"",BA226)</f>
        <v/>
      </c>
      <c r="BH226" s="63" t="str">
        <f aca="false">IF(ISBLANK($C226),"",AZ226)</f>
        <v/>
      </c>
      <c r="BI226" s="66" t="str">
        <f aca="false">IF(ISBLANK($C226),"",IF(BH226=Constants!$B$4,COUNTA($C$8:$C$507)+2,IF(BH226=Constants!$B$5,COUNTA($C$8:$C$507)+1,IF(BH226=Constants!$B$6,COUNTA($C$8:$C$507),BH226))))</f>
        <v/>
      </c>
      <c r="BJ226" s="5"/>
      <c r="BK226" s="67" t="n">
        <f aca="false">IF(OR(ISNUMBER(BH226),BH226=Constants!$B$4,BH226=Constants!$B$6,BH226=Constants!$B$5),1,0)</f>
        <v>0</v>
      </c>
      <c r="BL226" s="67" t="n">
        <v>219</v>
      </c>
      <c r="BM226" s="67" t="str">
        <f aca="false">IF(ISBLANK($C226),"",IF(ISNUMBER(BI226),BI226+ROW($B226)/1000,""))</f>
        <v/>
      </c>
      <c r="BN226" s="67" t="str">
        <f aca="false">IF(ISNUMBER(BM226),RANK(BM226,$BM$8:$BM$507,1),"")</f>
        <v/>
      </c>
      <c r="BO226" s="67" t="str">
        <f aca="false">IF(ISBLANK($C226),"",$B226)</f>
        <v/>
      </c>
      <c r="BP226" s="67" t="str">
        <f aca="false">IF(ISBLANK($C226),"",$C226)</f>
        <v/>
      </c>
      <c r="BQ226" s="67" t="str">
        <f aca="false">IF(ISBLANK($C226),"",$D226)</f>
        <v/>
      </c>
      <c r="BR226" s="68" t="str">
        <f aca="false">BF226</f>
        <v/>
      </c>
      <c r="BS226" s="69" t="str">
        <f aca="false">BE226</f>
        <v/>
      </c>
      <c r="BT226" s="67" t="str">
        <f aca="false">IF(ISBLANK($C226),"",BH226)</f>
        <v/>
      </c>
      <c r="BU226" s="70" t="str">
        <f aca="false">IF($BL226&gt;$BK$7,"",VLOOKUP($BL226,$BN$8:$BT$507,7,FALSE()))</f>
        <v/>
      </c>
      <c r="BV226" s="71" t="str">
        <f aca="false">IF($BL226&gt;$BK$7,"",VLOOKUP($BL226,$BN$8:$BT$507,2,FALSE()))</f>
        <v/>
      </c>
      <c r="BW226" s="71" t="str">
        <f aca="false">IF($BL226&gt;$BK$7,"",VLOOKUP($BL226,$BN$8:$BT$507,3,FALSE()))</f>
        <v/>
      </c>
      <c r="BX226" s="71" t="str">
        <f aca="false">IF($BL226&gt;$BK$7,"",VLOOKUP($BL226,$BN$8:$BT$507,4,FALSE()))</f>
        <v/>
      </c>
      <c r="BY226" s="71" t="str">
        <f aca="false">IF($BL226&gt;$BK$7,"",VLOOKUP($BL226,$BN$8:$BT$507,5,FALSE()))</f>
        <v/>
      </c>
      <c r="BZ226" s="72" t="str">
        <f aca="false">IF($BL226&gt;$BK$7,"",VLOOKUP($BL226,$BN$8:$BT$507,6,FALSE()))</f>
        <v/>
      </c>
      <c r="CA226" s="48"/>
    </row>
    <row r="227" customFormat="false" ht="15.75" hidden="false" customHeight="false" outlineLevel="0" collapsed="false">
      <c r="A227" s="5"/>
      <c r="B227" s="114"/>
      <c r="C227" s="115"/>
      <c r="D227" s="100"/>
      <c r="E227" s="120"/>
      <c r="F227" s="125"/>
      <c r="G227" s="82"/>
      <c r="H227" s="126"/>
      <c r="I227" s="127"/>
      <c r="J227" s="82"/>
      <c r="K227" s="126"/>
      <c r="L227" s="82"/>
      <c r="M227" s="126"/>
      <c r="N227" s="82"/>
      <c r="O227" s="126"/>
      <c r="P227" s="82"/>
      <c r="Q227" s="126"/>
      <c r="R227" s="82"/>
      <c r="S227" s="120"/>
      <c r="T227" s="86"/>
      <c r="U227" s="87" t="str">
        <f aca="false">IF(ISBLANK($C227),"",IF(E227=Constants!$B$2, TRUE(), IF(E227=Constants!$B$3, FALSE(), TRUE())))</f>
        <v/>
      </c>
      <c r="V227" s="87" t="str">
        <f aca="false">IF(ISBLANK($C227),"",IF(F227=Constants!$B$2, TRUE(), IF(F227=Constants!$B$3, FALSE(), TRUE())))</f>
        <v/>
      </c>
      <c r="W227" s="87" t="str">
        <f aca="false">IF(ISBLANK($C227),"",IF(G227=Constants!$B$15,Constants!$B$8,IF(G227=Constants!$B$16,Constants!$B$9,Constants!$B$10)))</f>
        <v/>
      </c>
      <c r="X227" s="87" t="str">
        <f aca="false">IF(ISBLANK($C227),"",IF(H227=Constants!$B$2, TRUE(), IF(H227=Constants!$B$3, FALSE(), TRUE())))</f>
        <v/>
      </c>
      <c r="Y227" s="87" t="str">
        <f aca="false">IF(ISBLANK($C227),"",IF(I227=Constants!$B$19,Constants!$B$19,Constants!$B$18))</f>
        <v/>
      </c>
      <c r="Z227" s="87" t="str">
        <f aca="false">IF(ISBLANK($C227),"",IF(ISNUMBER(J227),IF(J227&gt;=0,J227,""),""))</f>
        <v/>
      </c>
      <c r="AA227" s="87" t="str">
        <f aca="false">IF(ISBLANK($C227),"",IF(K227=Constants!$B$19,Constants!$B$19,Constants!$B$18))</f>
        <v/>
      </c>
      <c r="AB227" s="87" t="str">
        <f aca="false">IF(ISBLANK($C227),"",IF(ISNUMBER(L227),IF(L227&gt;=0,L227,""),""))</f>
        <v/>
      </c>
      <c r="AC227" s="87" t="str">
        <f aca="false">IF(ISBLANK($C227),"",IF(M227=Constants!$B$19,Constants!$B$19,Constants!$B$18))</f>
        <v/>
      </c>
      <c r="AD227" s="87" t="str">
        <f aca="false">IF(ISBLANK($C227),"",IF(ISNUMBER(N227),IF(N227&gt;=0,N227,""),""))</f>
        <v/>
      </c>
      <c r="AE227" s="87" t="str">
        <f aca="false">IF(ISBLANK($C227),"",IF(O227=Constants!$B$19,Constants!$B$19,Constants!$B$18))</f>
        <v/>
      </c>
      <c r="AF227" s="87" t="str">
        <f aca="false">IF(ISBLANK($C227),"",IF(ISNUMBER(P227),IF(P227&gt;=0,P227,""),""))</f>
        <v/>
      </c>
      <c r="AG227" s="87" t="str">
        <f aca="false">IF(ISBLANK($C227),"",IF(Q227=Constants!$B$19,Constants!$B$19,Constants!$B$18))</f>
        <v/>
      </c>
      <c r="AH227" s="87" t="str">
        <f aca="false">IF(ISBLANK($C227),"",IF(ISNUMBER(R227),IF(R227&gt;=0,R227,""),""))</f>
        <v/>
      </c>
      <c r="AI227" s="87" t="str">
        <f aca="false">IF(ISBLANK($C227),"",IF(S227=Constants!$B$2, TRUE(), IF(S227=Constants!$B$3, FALSE(), FALSE())))</f>
        <v/>
      </c>
      <c r="AJ227" s="87" t="str">
        <f aca="false">IF(ISBLANK($C227),"",IF(AI227,Constants!$B$4,IF(COUNTA(E227:R227)=0,Constants!$B$5,IF(COUNTA(J227,L227,N227,P227,R227)=0,Constants!$B$6,Constants!$B$7))))</f>
        <v/>
      </c>
      <c r="AK227" s="87" t="str">
        <f aca="false">IF(ISBLANK($C227),"",IF($AJ227&lt;&gt;Constants!$B$7,$AJ227,IF(OR(NOT(X227),AND(NOT(U227),COUNTIFS(Y227:AG227,Constants!$B$18,Z227:AH227,"&gt;=0")&gt;0),AND(NOT(V227),COUNTIFS(Y227:AG227,Constants!$B$19,Z227:AH227,"&gt;=0")&gt;0)),Constants!$B$12,Constants!$B$11)))</f>
        <v/>
      </c>
      <c r="AL227" s="87" t="str">
        <f aca="false">IF($AJ227=Constants!$B$7,IF(Z227="",Constants!$B$13,Z227),"")</f>
        <v/>
      </c>
      <c r="AM227" s="87" t="str">
        <f aca="false">IF($AJ227=Constants!$B$7,IF(AB227="",Constants!$B$13,AB227),"")</f>
        <v/>
      </c>
      <c r="AN227" s="87" t="str">
        <f aca="false">IF($AJ227=Constants!$B$7,IF(AD227="",Constants!$B$13,AD227),"")</f>
        <v/>
      </c>
      <c r="AO227" s="87" t="str">
        <f aca="false">IF($AJ227=Constants!$B$7,IF(AF227="",Constants!$B$13,AF227),"")</f>
        <v/>
      </c>
      <c r="AP227" s="87" t="str">
        <f aca="false">IF($AJ227=Constants!$B$7,IF(AH227="",Constants!$B$13,AH227),"")</f>
        <v/>
      </c>
      <c r="AQ227" s="87" t="str">
        <f aca="false">IF($AJ227=Constants!$B$7,IF(SUMPRODUCT(--($AL227:$AP227&gt;AL227))+SUMPRODUCT(--($AL227:AL227=AL227))=1,1,IF(SUMPRODUCT(--($AL227:$AP227&gt;AM227))+SUMPRODUCT(--($AL227:AM227=AM227))=1,2,IF(SUMPRODUCT(--($AL227:$AP227&gt;AN227))+SUMPRODUCT(--($AL227:AN227=AN227))=1,3,IF(SUMPRODUCT(--($AL227:$AP227&gt;AO227))+SUMPRODUCT(--($AL227:AO227=AO227))=1,4,5)))),"")</f>
        <v/>
      </c>
      <c r="AR227" s="87" t="str">
        <f aca="false">IF($AJ227=Constants!$B$7,IF(SUMPRODUCT(--($AL227:$AP227&gt;AL227))+SUMPRODUCT(--($AL227:AL227=AL227))=2,1,IF(SUMPRODUCT(--($AL227:$AP227&gt;AM227))+SUMPRODUCT(--($AL227:AM227=AM227))=2,2,IF(SUMPRODUCT(--($AL227:$AP227&gt;AN227))+SUMPRODUCT(--($AL227:AN227=AN227))=2,3,IF(SUMPRODUCT(--($AL227:$AP227&gt;AO227))+SUMPRODUCT(--($AL227:AO227=AO227))=2,4,5)))),"")</f>
        <v/>
      </c>
      <c r="AS227" s="87" t="str">
        <f aca="false">IF($AJ227=Constants!$B$7,IF(SUMPRODUCT(--($AL227:$AP227&gt;AL227))+SUMPRODUCT(--($AL227:AL227=AL227))=3,1,IF(SUMPRODUCT(--($AL227:$AP227&gt;AM227))+SUMPRODUCT(--($AL227:AM227=AM227))=3,2,IF(SUMPRODUCT(--($AL227:$AP227&gt;AN227))+SUMPRODUCT(--($AL227:AN227=AN227))=3,3,IF(SUMPRODUCT(--($AL227:$AP227&gt;AO227))+SUMPRODUCT(--($AL227:AO227=AO227))=3,4,5)))),"")</f>
        <v/>
      </c>
      <c r="AT227" s="87" t="str">
        <f aca="false">IF($AJ227=Constants!$B$7,LARGE(AL227:AP227,1)+LARGE(AL227:AP227,2)+LARGE(AL227:AP227,3),"")</f>
        <v/>
      </c>
      <c r="AU227" s="87" t="str">
        <f aca="false">IF(ISBLANK($C227),"",IF($AJ227&lt;&gt;Constants!$B$7,$AJ227,AT227*W227))</f>
        <v/>
      </c>
      <c r="AV227" s="87" t="str">
        <f aca="false">IF(ISBLANK($C227),"",IF($AJ227=Constants!$B$7,IF(ISNUMBER(AU227),RANK(AU227,$AU$8:$AU$507),Constants!$B$14),$AJ227))</f>
        <v/>
      </c>
      <c r="AW227" s="87" t="str">
        <f aca="false">IF(ISBLANK($C227),"",IF($AJ227=Constants!$B$7,IF(ISNUMBER(AV227),COUNTIFS($AK$8:$AK$507,"&lt;"&amp;$AK227)+COUNTIFS($AK$8:$AK$507,$AK227,$AV$8:$AV$507,"&lt;"&amp;$AV227)+1,Constants!$B$14),$AJ227))</f>
        <v/>
      </c>
      <c r="AX227" s="87" t="str">
        <f aca="false">IF(ISBLANK($C227),"",IF($AJ227=Constants!$B$7,LARGE(AL227:AP227,4)*W227,""))</f>
        <v/>
      </c>
      <c r="AY227" s="87" t="str">
        <f aca="false">IF(ISBLANK($C227),"",IF($AJ227=Constants!$B$7,RANK(AX227,$AX$8:$AX$507),$AJ227))</f>
        <v/>
      </c>
      <c r="AZ227" s="87" t="str">
        <f aca="false">IF(ISBLANK($C227),"",IF($AJ227=Constants!$B$7,IF(ISNUMBER(AV227),COUNTIFS($AK$8:$AK$507,"&lt;"&amp;$AK227)+COUNTIFS($AK$8:$AK$507,$AK227,$AV$8:$AV$507,"&lt;"&amp;$AV227)+COUNTIFS($AK$8:$AK$507,$AK227,$AV$8:$AV$507,$AV227,$AY$8:$AY$507,"&lt;"&amp;$AY227)+1,Constants!$B$14),$AJ227))</f>
        <v/>
      </c>
      <c r="BA227" s="87" t="str">
        <f aca="false">IF(ISBLANK($C227),"",IF($AJ227=Constants!$B$7,IF(ISNUMBER(AW227),AW227-AZ227,Constants!$B$14),$AJ227))</f>
        <v/>
      </c>
      <c r="BB227" s="88"/>
      <c r="BC227" s="89" t="str">
        <f aca="false">IF(ISBLANK($C227),"",IF($AJ227&lt;&gt;Constants!$B$7,$AJ227,SMALL(AQ227:AS227,1)&amp;", "&amp;SMALL(AQ227:AS227,2)&amp;", "&amp;SMALL(AQ227:AS227,3)))</f>
        <v/>
      </c>
      <c r="BD227" s="90" t="str">
        <f aca="false">IF(ISBLANK($C227),"",IF($AJ227&lt;&gt;Constants!$B$7,$AJ227,W227))</f>
        <v/>
      </c>
      <c r="BE227" s="91" t="str">
        <f aca="false">IF(ISBLANK($C227),"",IF($AJ227&lt;&gt;Constants!$B$7,$AJ227,AU227))</f>
        <v/>
      </c>
      <c r="BF227" s="92" t="str">
        <f aca="false">IF(ISBLANK($C227),"",IF($AJ227&lt;&gt;Constants!$B$7,$AJ227,AK227))</f>
        <v/>
      </c>
      <c r="BG227" s="90" t="str">
        <f aca="false">IF(ISBLANK($C227),"",BA227)</f>
        <v/>
      </c>
      <c r="BH227" s="90" t="str">
        <f aca="false">IF(ISBLANK($C227),"",AZ227)</f>
        <v/>
      </c>
      <c r="BI227" s="93" t="str">
        <f aca="false">IF(ISBLANK($C227),"",IF(BH227=Constants!$B$4,COUNTA($C$8:$C$507)+2,IF(BH227=Constants!$B$5,COUNTA($C$8:$C$507)+1,IF(BH227=Constants!$B$6,COUNTA($C$8:$C$507),BH227))))</f>
        <v/>
      </c>
      <c r="BJ227" s="5"/>
      <c r="BK227" s="94" t="n">
        <f aca="false">IF(OR(ISNUMBER(BH227),BH227=Constants!$B$4,BH227=Constants!$B$6,BH227=Constants!$B$5),1,0)</f>
        <v>0</v>
      </c>
      <c r="BL227" s="94" t="n">
        <v>220</v>
      </c>
      <c r="BM227" s="94" t="str">
        <f aca="false">IF(ISBLANK($C227),"",IF(ISNUMBER(BI227),BI227+ROW($B227)/1000,""))</f>
        <v/>
      </c>
      <c r="BN227" s="94" t="str">
        <f aca="false">IF(ISNUMBER(BM227),RANK(BM227,$BM$8:$BM$507,1),"")</f>
        <v/>
      </c>
      <c r="BO227" s="94" t="str">
        <f aca="false">IF(ISBLANK($C227),"",$B227)</f>
        <v/>
      </c>
      <c r="BP227" s="94" t="str">
        <f aca="false">IF(ISBLANK($C227),"",$C227)</f>
        <v/>
      </c>
      <c r="BQ227" s="94" t="str">
        <f aca="false">IF(ISBLANK($C227),"",$D227)</f>
        <v/>
      </c>
      <c r="BR227" s="95" t="str">
        <f aca="false">BF227</f>
        <v/>
      </c>
      <c r="BS227" s="96" t="str">
        <f aca="false">BE227</f>
        <v/>
      </c>
      <c r="BT227" s="94" t="str">
        <f aca="false">IF(ISBLANK($C227),"",BH227)</f>
        <v/>
      </c>
      <c r="BU227" s="97" t="str">
        <f aca="false">IF($BL227&gt;$BK$7,"",VLOOKUP($BL227,$BN$8:$BT$507,7,FALSE()))</f>
        <v/>
      </c>
      <c r="BV227" s="98" t="str">
        <f aca="false">IF($BL227&gt;$BK$7,"",VLOOKUP($BL227,$BN$8:$BT$507,2,FALSE()))</f>
        <v/>
      </c>
      <c r="BW227" s="98" t="str">
        <f aca="false">IF($BL227&gt;$BK$7,"",VLOOKUP($BL227,$BN$8:$BT$507,3,FALSE()))</f>
        <v/>
      </c>
      <c r="BX227" s="98" t="str">
        <f aca="false">IF($BL227&gt;$BK$7,"",VLOOKUP($BL227,$BN$8:$BT$507,4,FALSE()))</f>
        <v/>
      </c>
      <c r="BY227" s="98" t="str">
        <f aca="false">IF($BL227&gt;$BK$7,"",VLOOKUP($BL227,$BN$8:$BT$507,5,FALSE()))</f>
        <v/>
      </c>
      <c r="BZ227" s="99" t="str">
        <f aca="false">IF($BL227&gt;$BK$7,"",VLOOKUP($BL227,$BN$8:$BT$507,6,FALSE()))</f>
        <v/>
      </c>
      <c r="CA227" s="48"/>
    </row>
    <row r="228" customFormat="false" ht="15.75" hidden="false" customHeight="false" outlineLevel="0" collapsed="false">
      <c r="A228" s="5"/>
      <c r="B228" s="114"/>
      <c r="C228" s="115"/>
      <c r="D228" s="100"/>
      <c r="E228" s="120"/>
      <c r="F228" s="125"/>
      <c r="G228" s="82"/>
      <c r="H228" s="126"/>
      <c r="I228" s="127"/>
      <c r="J228" s="82"/>
      <c r="K228" s="126"/>
      <c r="L228" s="82"/>
      <c r="M228" s="126"/>
      <c r="N228" s="82"/>
      <c r="O228" s="126"/>
      <c r="P228" s="82"/>
      <c r="Q228" s="126"/>
      <c r="R228" s="82"/>
      <c r="S228" s="120"/>
      <c r="T228" s="86"/>
      <c r="U228" s="87" t="str">
        <f aca="false">IF(ISBLANK($C228),"",IF(E228=Constants!$B$2, TRUE(), IF(E228=Constants!$B$3, FALSE(), TRUE())))</f>
        <v/>
      </c>
      <c r="V228" s="87" t="str">
        <f aca="false">IF(ISBLANK($C228),"",IF(F228=Constants!$B$2, TRUE(), IF(F228=Constants!$B$3, FALSE(), TRUE())))</f>
        <v/>
      </c>
      <c r="W228" s="87" t="str">
        <f aca="false">IF(ISBLANK($C228),"",IF(G228=Constants!$B$15,Constants!$B$8,IF(G228=Constants!$B$16,Constants!$B$9,Constants!$B$10)))</f>
        <v/>
      </c>
      <c r="X228" s="87" t="str">
        <f aca="false">IF(ISBLANK($C228),"",IF(H228=Constants!$B$2, TRUE(), IF(H228=Constants!$B$3, FALSE(), TRUE())))</f>
        <v/>
      </c>
      <c r="Y228" s="87" t="str">
        <f aca="false">IF(ISBLANK($C228),"",IF(I228=Constants!$B$19,Constants!$B$19,Constants!$B$18))</f>
        <v/>
      </c>
      <c r="Z228" s="87" t="str">
        <f aca="false">IF(ISBLANK($C228),"",IF(ISNUMBER(J228),IF(J228&gt;=0,J228,""),""))</f>
        <v/>
      </c>
      <c r="AA228" s="87" t="str">
        <f aca="false">IF(ISBLANK($C228),"",IF(K228=Constants!$B$19,Constants!$B$19,Constants!$B$18))</f>
        <v/>
      </c>
      <c r="AB228" s="87" t="str">
        <f aca="false">IF(ISBLANK($C228),"",IF(ISNUMBER(L228),IF(L228&gt;=0,L228,""),""))</f>
        <v/>
      </c>
      <c r="AC228" s="87" t="str">
        <f aca="false">IF(ISBLANK($C228),"",IF(M228=Constants!$B$19,Constants!$B$19,Constants!$B$18))</f>
        <v/>
      </c>
      <c r="AD228" s="87" t="str">
        <f aca="false">IF(ISBLANK($C228),"",IF(ISNUMBER(N228),IF(N228&gt;=0,N228,""),""))</f>
        <v/>
      </c>
      <c r="AE228" s="87" t="str">
        <f aca="false">IF(ISBLANK($C228),"",IF(O228=Constants!$B$19,Constants!$B$19,Constants!$B$18))</f>
        <v/>
      </c>
      <c r="AF228" s="87" t="str">
        <f aca="false">IF(ISBLANK($C228),"",IF(ISNUMBER(P228),IF(P228&gt;=0,P228,""),""))</f>
        <v/>
      </c>
      <c r="AG228" s="87" t="str">
        <f aca="false">IF(ISBLANK($C228),"",IF(Q228=Constants!$B$19,Constants!$B$19,Constants!$B$18))</f>
        <v/>
      </c>
      <c r="AH228" s="87" t="str">
        <f aca="false">IF(ISBLANK($C228),"",IF(ISNUMBER(R228),IF(R228&gt;=0,R228,""),""))</f>
        <v/>
      </c>
      <c r="AI228" s="87" t="str">
        <f aca="false">IF(ISBLANK($C228),"",IF(S228=Constants!$B$2, TRUE(), IF(S228=Constants!$B$3, FALSE(), FALSE())))</f>
        <v/>
      </c>
      <c r="AJ228" s="87" t="str">
        <f aca="false">IF(ISBLANK($C228),"",IF(AI228,Constants!$B$4,IF(COUNTA(E228:R228)=0,Constants!$B$5,IF(COUNTA(J228,L228,N228,P228,R228)=0,Constants!$B$6,Constants!$B$7))))</f>
        <v/>
      </c>
      <c r="AK228" s="87" t="str">
        <f aca="false">IF(ISBLANK($C228),"",IF($AJ228&lt;&gt;Constants!$B$7,$AJ228,IF(OR(NOT(X228),AND(NOT(U228),COUNTIFS(Y228:AG228,Constants!$B$18,Z228:AH228,"&gt;=0")&gt;0),AND(NOT(V228),COUNTIFS(Y228:AG228,Constants!$B$19,Z228:AH228,"&gt;=0")&gt;0)),Constants!$B$12,Constants!$B$11)))</f>
        <v/>
      </c>
      <c r="AL228" s="87" t="str">
        <f aca="false">IF($AJ228=Constants!$B$7,IF(Z228="",Constants!$B$13,Z228),"")</f>
        <v/>
      </c>
      <c r="AM228" s="87" t="str">
        <f aca="false">IF($AJ228=Constants!$B$7,IF(AB228="",Constants!$B$13,AB228),"")</f>
        <v/>
      </c>
      <c r="AN228" s="87" t="str">
        <f aca="false">IF($AJ228=Constants!$B$7,IF(AD228="",Constants!$B$13,AD228),"")</f>
        <v/>
      </c>
      <c r="AO228" s="87" t="str">
        <f aca="false">IF($AJ228=Constants!$B$7,IF(AF228="",Constants!$B$13,AF228),"")</f>
        <v/>
      </c>
      <c r="AP228" s="87" t="str">
        <f aca="false">IF($AJ228=Constants!$B$7,IF(AH228="",Constants!$B$13,AH228),"")</f>
        <v/>
      </c>
      <c r="AQ228" s="87" t="str">
        <f aca="false">IF($AJ228=Constants!$B$7,IF(SUMPRODUCT(--($AL228:$AP228&gt;AL228))+SUMPRODUCT(--($AL228:AL228=AL228))=1,1,IF(SUMPRODUCT(--($AL228:$AP228&gt;AM228))+SUMPRODUCT(--($AL228:AM228=AM228))=1,2,IF(SUMPRODUCT(--($AL228:$AP228&gt;AN228))+SUMPRODUCT(--($AL228:AN228=AN228))=1,3,IF(SUMPRODUCT(--($AL228:$AP228&gt;AO228))+SUMPRODUCT(--($AL228:AO228=AO228))=1,4,5)))),"")</f>
        <v/>
      </c>
      <c r="AR228" s="87" t="str">
        <f aca="false">IF($AJ228=Constants!$B$7,IF(SUMPRODUCT(--($AL228:$AP228&gt;AL228))+SUMPRODUCT(--($AL228:AL228=AL228))=2,1,IF(SUMPRODUCT(--($AL228:$AP228&gt;AM228))+SUMPRODUCT(--($AL228:AM228=AM228))=2,2,IF(SUMPRODUCT(--($AL228:$AP228&gt;AN228))+SUMPRODUCT(--($AL228:AN228=AN228))=2,3,IF(SUMPRODUCT(--($AL228:$AP228&gt;AO228))+SUMPRODUCT(--($AL228:AO228=AO228))=2,4,5)))),"")</f>
        <v/>
      </c>
      <c r="AS228" s="87" t="str">
        <f aca="false">IF($AJ228=Constants!$B$7,IF(SUMPRODUCT(--($AL228:$AP228&gt;AL228))+SUMPRODUCT(--($AL228:AL228=AL228))=3,1,IF(SUMPRODUCT(--($AL228:$AP228&gt;AM228))+SUMPRODUCT(--($AL228:AM228=AM228))=3,2,IF(SUMPRODUCT(--($AL228:$AP228&gt;AN228))+SUMPRODUCT(--($AL228:AN228=AN228))=3,3,IF(SUMPRODUCT(--($AL228:$AP228&gt;AO228))+SUMPRODUCT(--($AL228:AO228=AO228))=3,4,5)))),"")</f>
        <v/>
      </c>
      <c r="AT228" s="87" t="str">
        <f aca="false">IF($AJ228=Constants!$B$7,LARGE(AL228:AP228,1)+LARGE(AL228:AP228,2)+LARGE(AL228:AP228,3),"")</f>
        <v/>
      </c>
      <c r="AU228" s="87" t="str">
        <f aca="false">IF(ISBLANK($C228),"",IF($AJ228&lt;&gt;Constants!$B$7,$AJ228,AT228*W228))</f>
        <v/>
      </c>
      <c r="AV228" s="87" t="str">
        <f aca="false">IF(ISBLANK($C228),"",IF($AJ228=Constants!$B$7,IF(ISNUMBER(AU228),RANK(AU228,$AU$8:$AU$507),Constants!$B$14),$AJ228))</f>
        <v/>
      </c>
      <c r="AW228" s="87" t="str">
        <f aca="false">IF(ISBLANK($C228),"",IF($AJ228=Constants!$B$7,IF(ISNUMBER(AV228),COUNTIFS($AK$8:$AK$507,"&lt;"&amp;$AK228)+COUNTIFS($AK$8:$AK$507,$AK228,$AV$8:$AV$507,"&lt;"&amp;$AV228)+1,Constants!$B$14),$AJ228))</f>
        <v/>
      </c>
      <c r="AX228" s="87" t="str">
        <f aca="false">IF(ISBLANK($C228),"",IF($AJ228=Constants!$B$7,LARGE(AL228:AP228,4)*W228,""))</f>
        <v/>
      </c>
      <c r="AY228" s="87" t="str">
        <f aca="false">IF(ISBLANK($C228),"",IF($AJ228=Constants!$B$7,RANK(AX228,$AX$8:$AX$507),$AJ228))</f>
        <v/>
      </c>
      <c r="AZ228" s="87" t="str">
        <f aca="false">IF(ISBLANK($C228),"",IF($AJ228=Constants!$B$7,IF(ISNUMBER(AV228),COUNTIFS($AK$8:$AK$507,"&lt;"&amp;$AK228)+COUNTIFS($AK$8:$AK$507,$AK228,$AV$8:$AV$507,"&lt;"&amp;$AV228)+COUNTIFS($AK$8:$AK$507,$AK228,$AV$8:$AV$507,$AV228,$AY$8:$AY$507,"&lt;"&amp;$AY228)+1,Constants!$B$14),$AJ228))</f>
        <v/>
      </c>
      <c r="BA228" s="87" t="str">
        <f aca="false">IF(ISBLANK($C228),"",IF($AJ228=Constants!$B$7,IF(ISNUMBER(AW228),AW228-AZ228,Constants!$B$14),$AJ228))</f>
        <v/>
      </c>
      <c r="BB228" s="88"/>
      <c r="BC228" s="89" t="str">
        <f aca="false">IF(ISBLANK($C228),"",IF($AJ228&lt;&gt;Constants!$B$7,$AJ228,SMALL(AQ228:AS228,1)&amp;", "&amp;SMALL(AQ228:AS228,2)&amp;", "&amp;SMALL(AQ228:AS228,3)))</f>
        <v/>
      </c>
      <c r="BD228" s="90" t="str">
        <f aca="false">IF(ISBLANK($C228),"",IF($AJ228&lt;&gt;Constants!$B$7,$AJ228,W228))</f>
        <v/>
      </c>
      <c r="BE228" s="91" t="str">
        <f aca="false">IF(ISBLANK($C228),"",IF($AJ228&lt;&gt;Constants!$B$7,$AJ228,AU228))</f>
        <v/>
      </c>
      <c r="BF228" s="92" t="str">
        <f aca="false">IF(ISBLANK($C228),"",IF($AJ228&lt;&gt;Constants!$B$7,$AJ228,AK228))</f>
        <v/>
      </c>
      <c r="BG228" s="90" t="str">
        <f aca="false">IF(ISBLANK($C228),"",BA228)</f>
        <v/>
      </c>
      <c r="BH228" s="90" t="str">
        <f aca="false">IF(ISBLANK($C228),"",AZ228)</f>
        <v/>
      </c>
      <c r="BI228" s="93" t="str">
        <f aca="false">IF(ISBLANK($C228),"",IF(BH228=Constants!$B$4,COUNTA($C$8:$C$507)+2,IF(BH228=Constants!$B$5,COUNTA($C$8:$C$507)+1,IF(BH228=Constants!$B$6,COUNTA($C$8:$C$507),BH228))))</f>
        <v/>
      </c>
      <c r="BJ228" s="5"/>
      <c r="BK228" s="94" t="n">
        <f aca="false">IF(OR(ISNUMBER(BH228),BH228=Constants!$B$4,BH228=Constants!$B$6,BH228=Constants!$B$5),1,0)</f>
        <v>0</v>
      </c>
      <c r="BL228" s="94" t="n">
        <v>221</v>
      </c>
      <c r="BM228" s="94" t="str">
        <f aca="false">IF(ISBLANK($C228),"",IF(ISNUMBER(BI228),BI228+ROW($B228)/1000,""))</f>
        <v/>
      </c>
      <c r="BN228" s="94" t="str">
        <f aca="false">IF(ISNUMBER(BM228),RANK(BM228,$BM$8:$BM$507,1),"")</f>
        <v/>
      </c>
      <c r="BO228" s="94" t="str">
        <f aca="false">IF(ISBLANK($C228),"",$B228)</f>
        <v/>
      </c>
      <c r="BP228" s="94" t="str">
        <f aca="false">IF(ISBLANK($C228),"",$C228)</f>
        <v/>
      </c>
      <c r="BQ228" s="94" t="str">
        <f aca="false">IF(ISBLANK($C228),"",$D228)</f>
        <v/>
      </c>
      <c r="BR228" s="95" t="str">
        <f aca="false">BF228</f>
        <v/>
      </c>
      <c r="BS228" s="96" t="str">
        <f aca="false">BE228</f>
        <v/>
      </c>
      <c r="BT228" s="94" t="str">
        <f aca="false">IF(ISBLANK($C228),"",BH228)</f>
        <v/>
      </c>
      <c r="BU228" s="97" t="str">
        <f aca="false">IF($BL228&gt;$BK$7,"",VLOOKUP($BL228,$BN$8:$BT$507,7,FALSE()))</f>
        <v/>
      </c>
      <c r="BV228" s="98" t="str">
        <f aca="false">IF($BL228&gt;$BK$7,"",VLOOKUP($BL228,$BN$8:$BT$507,2,FALSE()))</f>
        <v/>
      </c>
      <c r="BW228" s="98" t="str">
        <f aca="false">IF($BL228&gt;$BK$7,"",VLOOKUP($BL228,$BN$8:$BT$507,3,FALSE()))</f>
        <v/>
      </c>
      <c r="BX228" s="98" t="str">
        <f aca="false">IF($BL228&gt;$BK$7,"",VLOOKUP($BL228,$BN$8:$BT$507,4,FALSE()))</f>
        <v/>
      </c>
      <c r="BY228" s="98" t="str">
        <f aca="false">IF($BL228&gt;$BK$7,"",VLOOKUP($BL228,$BN$8:$BT$507,5,FALSE()))</f>
        <v/>
      </c>
      <c r="BZ228" s="99" t="str">
        <f aca="false">IF($BL228&gt;$BK$7,"",VLOOKUP($BL228,$BN$8:$BT$507,6,FALSE()))</f>
        <v/>
      </c>
      <c r="CA228" s="48"/>
    </row>
    <row r="229" customFormat="false" ht="15.75" hidden="false" customHeight="false" outlineLevel="0" collapsed="false">
      <c r="A229" s="5"/>
      <c r="B229" s="114"/>
      <c r="C229" s="115"/>
      <c r="D229" s="100"/>
      <c r="E229" s="120"/>
      <c r="F229" s="125"/>
      <c r="G229" s="82"/>
      <c r="H229" s="126"/>
      <c r="I229" s="127"/>
      <c r="J229" s="82"/>
      <c r="K229" s="126"/>
      <c r="L229" s="82"/>
      <c r="M229" s="126"/>
      <c r="N229" s="82"/>
      <c r="O229" s="126"/>
      <c r="P229" s="82"/>
      <c r="Q229" s="126"/>
      <c r="R229" s="82"/>
      <c r="S229" s="120"/>
      <c r="T229" s="86"/>
      <c r="U229" s="87" t="str">
        <f aca="false">IF(ISBLANK($C229),"",IF(E229=Constants!$B$2, TRUE(), IF(E229=Constants!$B$3, FALSE(), TRUE())))</f>
        <v/>
      </c>
      <c r="V229" s="87" t="str">
        <f aca="false">IF(ISBLANK($C229),"",IF(F229=Constants!$B$2, TRUE(), IF(F229=Constants!$B$3, FALSE(), TRUE())))</f>
        <v/>
      </c>
      <c r="W229" s="87" t="str">
        <f aca="false">IF(ISBLANK($C229),"",IF(G229=Constants!$B$15,Constants!$B$8,IF(G229=Constants!$B$16,Constants!$B$9,Constants!$B$10)))</f>
        <v/>
      </c>
      <c r="X229" s="87" t="str">
        <f aca="false">IF(ISBLANK($C229),"",IF(H229=Constants!$B$2, TRUE(), IF(H229=Constants!$B$3, FALSE(), TRUE())))</f>
        <v/>
      </c>
      <c r="Y229" s="87" t="str">
        <f aca="false">IF(ISBLANK($C229),"",IF(I229=Constants!$B$19,Constants!$B$19,Constants!$B$18))</f>
        <v/>
      </c>
      <c r="Z229" s="87" t="str">
        <f aca="false">IF(ISBLANK($C229),"",IF(ISNUMBER(J229),IF(J229&gt;=0,J229,""),""))</f>
        <v/>
      </c>
      <c r="AA229" s="87" t="str">
        <f aca="false">IF(ISBLANK($C229),"",IF(K229=Constants!$B$19,Constants!$B$19,Constants!$B$18))</f>
        <v/>
      </c>
      <c r="AB229" s="87" t="str">
        <f aca="false">IF(ISBLANK($C229),"",IF(ISNUMBER(L229),IF(L229&gt;=0,L229,""),""))</f>
        <v/>
      </c>
      <c r="AC229" s="87" t="str">
        <f aca="false">IF(ISBLANK($C229),"",IF(M229=Constants!$B$19,Constants!$B$19,Constants!$B$18))</f>
        <v/>
      </c>
      <c r="AD229" s="87" t="str">
        <f aca="false">IF(ISBLANK($C229),"",IF(ISNUMBER(N229),IF(N229&gt;=0,N229,""),""))</f>
        <v/>
      </c>
      <c r="AE229" s="87" t="str">
        <f aca="false">IF(ISBLANK($C229),"",IF(O229=Constants!$B$19,Constants!$B$19,Constants!$B$18))</f>
        <v/>
      </c>
      <c r="AF229" s="87" t="str">
        <f aca="false">IF(ISBLANK($C229),"",IF(ISNUMBER(P229),IF(P229&gt;=0,P229,""),""))</f>
        <v/>
      </c>
      <c r="AG229" s="87" t="str">
        <f aca="false">IF(ISBLANK($C229),"",IF(Q229=Constants!$B$19,Constants!$B$19,Constants!$B$18))</f>
        <v/>
      </c>
      <c r="AH229" s="87" t="str">
        <f aca="false">IF(ISBLANK($C229),"",IF(ISNUMBER(R229),IF(R229&gt;=0,R229,""),""))</f>
        <v/>
      </c>
      <c r="AI229" s="87" t="str">
        <f aca="false">IF(ISBLANK($C229),"",IF(S229=Constants!$B$2, TRUE(), IF(S229=Constants!$B$3, FALSE(), FALSE())))</f>
        <v/>
      </c>
      <c r="AJ229" s="87" t="str">
        <f aca="false">IF(ISBLANK($C229),"",IF(AI229,Constants!$B$4,IF(COUNTA(E229:R229)=0,Constants!$B$5,IF(COUNTA(J229,L229,N229,P229,R229)=0,Constants!$B$6,Constants!$B$7))))</f>
        <v/>
      </c>
      <c r="AK229" s="87" t="str">
        <f aca="false">IF(ISBLANK($C229),"",IF($AJ229&lt;&gt;Constants!$B$7,$AJ229,IF(OR(NOT(X229),AND(NOT(U229),COUNTIFS(Y229:AG229,Constants!$B$18,Z229:AH229,"&gt;=0")&gt;0),AND(NOT(V229),COUNTIFS(Y229:AG229,Constants!$B$19,Z229:AH229,"&gt;=0")&gt;0)),Constants!$B$12,Constants!$B$11)))</f>
        <v/>
      </c>
      <c r="AL229" s="87" t="str">
        <f aca="false">IF($AJ229=Constants!$B$7,IF(Z229="",Constants!$B$13,Z229),"")</f>
        <v/>
      </c>
      <c r="AM229" s="87" t="str">
        <f aca="false">IF($AJ229=Constants!$B$7,IF(AB229="",Constants!$B$13,AB229),"")</f>
        <v/>
      </c>
      <c r="AN229" s="87" t="str">
        <f aca="false">IF($AJ229=Constants!$B$7,IF(AD229="",Constants!$B$13,AD229),"")</f>
        <v/>
      </c>
      <c r="AO229" s="87" t="str">
        <f aca="false">IF($AJ229=Constants!$B$7,IF(AF229="",Constants!$B$13,AF229),"")</f>
        <v/>
      </c>
      <c r="AP229" s="87" t="str">
        <f aca="false">IF($AJ229=Constants!$B$7,IF(AH229="",Constants!$B$13,AH229),"")</f>
        <v/>
      </c>
      <c r="AQ229" s="87" t="str">
        <f aca="false">IF($AJ229=Constants!$B$7,IF(SUMPRODUCT(--($AL229:$AP229&gt;AL229))+SUMPRODUCT(--($AL229:AL229=AL229))=1,1,IF(SUMPRODUCT(--($AL229:$AP229&gt;AM229))+SUMPRODUCT(--($AL229:AM229=AM229))=1,2,IF(SUMPRODUCT(--($AL229:$AP229&gt;AN229))+SUMPRODUCT(--($AL229:AN229=AN229))=1,3,IF(SUMPRODUCT(--($AL229:$AP229&gt;AO229))+SUMPRODUCT(--($AL229:AO229=AO229))=1,4,5)))),"")</f>
        <v/>
      </c>
      <c r="AR229" s="87" t="str">
        <f aca="false">IF($AJ229=Constants!$B$7,IF(SUMPRODUCT(--($AL229:$AP229&gt;AL229))+SUMPRODUCT(--($AL229:AL229=AL229))=2,1,IF(SUMPRODUCT(--($AL229:$AP229&gt;AM229))+SUMPRODUCT(--($AL229:AM229=AM229))=2,2,IF(SUMPRODUCT(--($AL229:$AP229&gt;AN229))+SUMPRODUCT(--($AL229:AN229=AN229))=2,3,IF(SUMPRODUCT(--($AL229:$AP229&gt;AO229))+SUMPRODUCT(--($AL229:AO229=AO229))=2,4,5)))),"")</f>
        <v/>
      </c>
      <c r="AS229" s="87" t="str">
        <f aca="false">IF($AJ229=Constants!$B$7,IF(SUMPRODUCT(--($AL229:$AP229&gt;AL229))+SUMPRODUCT(--($AL229:AL229=AL229))=3,1,IF(SUMPRODUCT(--($AL229:$AP229&gt;AM229))+SUMPRODUCT(--($AL229:AM229=AM229))=3,2,IF(SUMPRODUCT(--($AL229:$AP229&gt;AN229))+SUMPRODUCT(--($AL229:AN229=AN229))=3,3,IF(SUMPRODUCT(--($AL229:$AP229&gt;AO229))+SUMPRODUCT(--($AL229:AO229=AO229))=3,4,5)))),"")</f>
        <v/>
      </c>
      <c r="AT229" s="87" t="str">
        <f aca="false">IF($AJ229=Constants!$B$7,LARGE(AL229:AP229,1)+LARGE(AL229:AP229,2)+LARGE(AL229:AP229,3),"")</f>
        <v/>
      </c>
      <c r="AU229" s="87" t="str">
        <f aca="false">IF(ISBLANK($C229),"",IF($AJ229&lt;&gt;Constants!$B$7,$AJ229,AT229*W229))</f>
        <v/>
      </c>
      <c r="AV229" s="87" t="str">
        <f aca="false">IF(ISBLANK($C229),"",IF($AJ229=Constants!$B$7,IF(ISNUMBER(AU229),RANK(AU229,$AU$8:$AU$507),Constants!$B$14),$AJ229))</f>
        <v/>
      </c>
      <c r="AW229" s="87" t="str">
        <f aca="false">IF(ISBLANK($C229),"",IF($AJ229=Constants!$B$7,IF(ISNUMBER(AV229),COUNTIFS($AK$8:$AK$507,"&lt;"&amp;$AK229)+COUNTIFS($AK$8:$AK$507,$AK229,$AV$8:$AV$507,"&lt;"&amp;$AV229)+1,Constants!$B$14),$AJ229))</f>
        <v/>
      </c>
      <c r="AX229" s="87" t="str">
        <f aca="false">IF(ISBLANK($C229),"",IF($AJ229=Constants!$B$7,LARGE(AL229:AP229,4)*W229,""))</f>
        <v/>
      </c>
      <c r="AY229" s="87" t="str">
        <f aca="false">IF(ISBLANK($C229),"",IF($AJ229=Constants!$B$7,RANK(AX229,$AX$8:$AX$507),$AJ229))</f>
        <v/>
      </c>
      <c r="AZ229" s="87" t="str">
        <f aca="false">IF(ISBLANK($C229),"",IF($AJ229=Constants!$B$7,IF(ISNUMBER(AV229),COUNTIFS($AK$8:$AK$507,"&lt;"&amp;$AK229)+COUNTIFS($AK$8:$AK$507,$AK229,$AV$8:$AV$507,"&lt;"&amp;$AV229)+COUNTIFS($AK$8:$AK$507,$AK229,$AV$8:$AV$507,$AV229,$AY$8:$AY$507,"&lt;"&amp;$AY229)+1,Constants!$B$14),$AJ229))</f>
        <v/>
      </c>
      <c r="BA229" s="87" t="str">
        <f aca="false">IF(ISBLANK($C229),"",IF($AJ229=Constants!$B$7,IF(ISNUMBER(AW229),AW229-AZ229,Constants!$B$14),$AJ229))</f>
        <v/>
      </c>
      <c r="BB229" s="88"/>
      <c r="BC229" s="89" t="str">
        <f aca="false">IF(ISBLANK($C229),"",IF($AJ229&lt;&gt;Constants!$B$7,$AJ229,SMALL(AQ229:AS229,1)&amp;", "&amp;SMALL(AQ229:AS229,2)&amp;", "&amp;SMALL(AQ229:AS229,3)))</f>
        <v/>
      </c>
      <c r="BD229" s="90" t="str">
        <f aca="false">IF(ISBLANK($C229),"",IF($AJ229&lt;&gt;Constants!$B$7,$AJ229,W229))</f>
        <v/>
      </c>
      <c r="BE229" s="91" t="str">
        <f aca="false">IF(ISBLANK($C229),"",IF($AJ229&lt;&gt;Constants!$B$7,$AJ229,AU229))</f>
        <v/>
      </c>
      <c r="BF229" s="92" t="str">
        <f aca="false">IF(ISBLANK($C229),"",IF($AJ229&lt;&gt;Constants!$B$7,$AJ229,AK229))</f>
        <v/>
      </c>
      <c r="BG229" s="90" t="str">
        <f aca="false">IF(ISBLANK($C229),"",BA229)</f>
        <v/>
      </c>
      <c r="BH229" s="90" t="str">
        <f aca="false">IF(ISBLANK($C229),"",AZ229)</f>
        <v/>
      </c>
      <c r="BI229" s="93" t="str">
        <f aca="false">IF(ISBLANK($C229),"",IF(BH229=Constants!$B$4,COUNTA($C$8:$C$507)+2,IF(BH229=Constants!$B$5,COUNTA($C$8:$C$507)+1,IF(BH229=Constants!$B$6,COUNTA($C$8:$C$507),BH229))))</f>
        <v/>
      </c>
      <c r="BJ229" s="5"/>
      <c r="BK229" s="94" t="n">
        <f aca="false">IF(OR(ISNUMBER(BH229),BH229=Constants!$B$4,BH229=Constants!$B$6,BH229=Constants!$B$5),1,0)</f>
        <v>0</v>
      </c>
      <c r="BL229" s="94" t="n">
        <v>222</v>
      </c>
      <c r="BM229" s="94" t="str">
        <f aca="false">IF(ISBLANK($C229),"",IF(ISNUMBER(BI229),BI229+ROW($B229)/1000,""))</f>
        <v/>
      </c>
      <c r="BN229" s="94" t="str">
        <f aca="false">IF(ISNUMBER(BM229),RANK(BM229,$BM$8:$BM$507,1),"")</f>
        <v/>
      </c>
      <c r="BO229" s="94" t="str">
        <f aca="false">IF(ISBLANK($C229),"",$B229)</f>
        <v/>
      </c>
      <c r="BP229" s="94" t="str">
        <f aca="false">IF(ISBLANK($C229),"",$C229)</f>
        <v/>
      </c>
      <c r="BQ229" s="94" t="str">
        <f aca="false">IF(ISBLANK($C229),"",$D229)</f>
        <v/>
      </c>
      <c r="BR229" s="95" t="str">
        <f aca="false">BF229</f>
        <v/>
      </c>
      <c r="BS229" s="96" t="str">
        <f aca="false">BE229</f>
        <v/>
      </c>
      <c r="BT229" s="94" t="str">
        <f aca="false">IF(ISBLANK($C229),"",BH229)</f>
        <v/>
      </c>
      <c r="BU229" s="97" t="str">
        <f aca="false">IF($BL229&gt;$BK$7,"",VLOOKUP($BL229,$BN$8:$BT$507,7,FALSE()))</f>
        <v/>
      </c>
      <c r="BV229" s="98" t="str">
        <f aca="false">IF($BL229&gt;$BK$7,"",VLOOKUP($BL229,$BN$8:$BT$507,2,FALSE()))</f>
        <v/>
      </c>
      <c r="BW229" s="98" t="str">
        <f aca="false">IF($BL229&gt;$BK$7,"",VLOOKUP($BL229,$BN$8:$BT$507,3,FALSE()))</f>
        <v/>
      </c>
      <c r="BX229" s="98" t="str">
        <f aca="false">IF($BL229&gt;$BK$7,"",VLOOKUP($BL229,$BN$8:$BT$507,4,FALSE()))</f>
        <v/>
      </c>
      <c r="BY229" s="98" t="str">
        <f aca="false">IF($BL229&gt;$BK$7,"",VLOOKUP($BL229,$BN$8:$BT$507,5,FALSE()))</f>
        <v/>
      </c>
      <c r="BZ229" s="99" t="str">
        <f aca="false">IF($BL229&gt;$BK$7,"",VLOOKUP($BL229,$BN$8:$BT$507,6,FALSE()))</f>
        <v/>
      </c>
      <c r="CA229" s="48"/>
    </row>
    <row r="230" customFormat="false" ht="15.75" hidden="false" customHeight="false" outlineLevel="0" collapsed="false">
      <c r="A230" s="5"/>
      <c r="B230" s="121"/>
      <c r="C230" s="50"/>
      <c r="D230" s="51"/>
      <c r="E230" s="74"/>
      <c r="F230" s="122"/>
      <c r="G230" s="54"/>
      <c r="H230" s="123"/>
      <c r="I230" s="124"/>
      <c r="J230" s="54"/>
      <c r="K230" s="123"/>
      <c r="L230" s="54"/>
      <c r="M230" s="123"/>
      <c r="N230" s="54"/>
      <c r="O230" s="123"/>
      <c r="P230" s="54"/>
      <c r="Q230" s="123"/>
      <c r="R230" s="54"/>
      <c r="S230" s="74"/>
      <c r="T230" s="58"/>
      <c r="U230" s="59" t="str">
        <f aca="false">IF(ISBLANK($C230),"",IF(E230=Constants!$B$2, TRUE(), IF(E230=Constants!$B$3, FALSE(), TRUE())))</f>
        <v/>
      </c>
      <c r="V230" s="59" t="str">
        <f aca="false">IF(ISBLANK($C230),"",IF(F230=Constants!$B$2, TRUE(), IF(F230=Constants!$B$3, FALSE(), TRUE())))</f>
        <v/>
      </c>
      <c r="W230" s="59" t="str">
        <f aca="false">IF(ISBLANK($C230),"",IF(G230=Constants!$B$15,Constants!$B$8,IF(G230=Constants!$B$16,Constants!$B$9,Constants!$B$10)))</f>
        <v/>
      </c>
      <c r="X230" s="59" t="str">
        <f aca="false">IF(ISBLANK($C230),"",IF(H230=Constants!$B$2, TRUE(), IF(H230=Constants!$B$3, FALSE(), TRUE())))</f>
        <v/>
      </c>
      <c r="Y230" s="59" t="str">
        <f aca="false">IF(ISBLANK($C230),"",IF(I230=Constants!$B$19,Constants!$B$19,Constants!$B$18))</f>
        <v/>
      </c>
      <c r="Z230" s="59" t="str">
        <f aca="false">IF(ISBLANK($C230),"",IF(ISNUMBER(J230),IF(J230&gt;=0,J230,""),""))</f>
        <v/>
      </c>
      <c r="AA230" s="59" t="str">
        <f aca="false">IF(ISBLANK($C230),"",IF(K230=Constants!$B$19,Constants!$B$19,Constants!$B$18))</f>
        <v/>
      </c>
      <c r="AB230" s="59" t="str">
        <f aca="false">IF(ISBLANK($C230),"",IF(ISNUMBER(L230),IF(L230&gt;=0,L230,""),""))</f>
        <v/>
      </c>
      <c r="AC230" s="59" t="str">
        <f aca="false">IF(ISBLANK($C230),"",IF(M230=Constants!$B$19,Constants!$B$19,Constants!$B$18))</f>
        <v/>
      </c>
      <c r="AD230" s="59" t="str">
        <f aca="false">IF(ISBLANK($C230),"",IF(ISNUMBER(N230),IF(N230&gt;=0,N230,""),""))</f>
        <v/>
      </c>
      <c r="AE230" s="59" t="str">
        <f aca="false">IF(ISBLANK($C230),"",IF(O230=Constants!$B$19,Constants!$B$19,Constants!$B$18))</f>
        <v/>
      </c>
      <c r="AF230" s="59" t="str">
        <f aca="false">IF(ISBLANK($C230),"",IF(ISNUMBER(P230),IF(P230&gt;=0,P230,""),""))</f>
        <v/>
      </c>
      <c r="AG230" s="59" t="str">
        <f aca="false">IF(ISBLANK($C230),"",IF(Q230=Constants!$B$19,Constants!$B$19,Constants!$B$18))</f>
        <v/>
      </c>
      <c r="AH230" s="59" t="str">
        <f aca="false">IF(ISBLANK($C230),"",IF(ISNUMBER(R230),IF(R230&gt;=0,R230,""),""))</f>
        <v/>
      </c>
      <c r="AI230" s="59" t="str">
        <f aca="false">IF(ISBLANK($C230),"",IF(S230=Constants!$B$2, TRUE(), IF(S230=Constants!$B$3, FALSE(), FALSE())))</f>
        <v/>
      </c>
      <c r="AJ230" s="59" t="str">
        <f aca="false">IF(ISBLANK($C230),"",IF(AI230,Constants!$B$4,IF(COUNTA(E230:R230)=0,Constants!$B$5,IF(COUNTA(J230,L230,N230,P230,R230)=0,Constants!$B$6,Constants!$B$7))))</f>
        <v/>
      </c>
      <c r="AK230" s="59" t="str">
        <f aca="false">IF(ISBLANK($C230),"",IF($AJ230&lt;&gt;Constants!$B$7,$AJ230,IF(OR(NOT(X230),AND(NOT(U230),COUNTIFS(Y230:AG230,Constants!$B$18,Z230:AH230,"&gt;=0")&gt;0),AND(NOT(V230),COUNTIFS(Y230:AG230,Constants!$B$19,Z230:AH230,"&gt;=0")&gt;0)),Constants!$B$12,Constants!$B$11)))</f>
        <v/>
      </c>
      <c r="AL230" s="59" t="str">
        <f aca="false">IF($AJ230=Constants!$B$7,IF(Z230="",Constants!$B$13,Z230),"")</f>
        <v/>
      </c>
      <c r="AM230" s="59" t="str">
        <f aca="false">IF($AJ230=Constants!$B$7,IF(AB230="",Constants!$B$13,AB230),"")</f>
        <v/>
      </c>
      <c r="AN230" s="59" t="str">
        <f aca="false">IF($AJ230=Constants!$B$7,IF(AD230="",Constants!$B$13,AD230),"")</f>
        <v/>
      </c>
      <c r="AO230" s="59" t="str">
        <f aca="false">IF($AJ230=Constants!$B$7,IF(AF230="",Constants!$B$13,AF230),"")</f>
        <v/>
      </c>
      <c r="AP230" s="59" t="str">
        <f aca="false">IF($AJ230=Constants!$B$7,IF(AH230="",Constants!$B$13,AH230),"")</f>
        <v/>
      </c>
      <c r="AQ230" s="59" t="str">
        <f aca="false">IF($AJ230=Constants!$B$7,IF(SUMPRODUCT(--($AL230:$AP230&gt;AL230))+SUMPRODUCT(--($AL230:AL230=AL230))=1,1,IF(SUMPRODUCT(--($AL230:$AP230&gt;AM230))+SUMPRODUCT(--($AL230:AM230=AM230))=1,2,IF(SUMPRODUCT(--($AL230:$AP230&gt;AN230))+SUMPRODUCT(--($AL230:AN230=AN230))=1,3,IF(SUMPRODUCT(--($AL230:$AP230&gt;AO230))+SUMPRODUCT(--($AL230:AO230=AO230))=1,4,5)))),"")</f>
        <v/>
      </c>
      <c r="AR230" s="59" t="str">
        <f aca="false">IF($AJ230=Constants!$B$7,IF(SUMPRODUCT(--($AL230:$AP230&gt;AL230))+SUMPRODUCT(--($AL230:AL230=AL230))=2,1,IF(SUMPRODUCT(--($AL230:$AP230&gt;AM230))+SUMPRODUCT(--($AL230:AM230=AM230))=2,2,IF(SUMPRODUCT(--($AL230:$AP230&gt;AN230))+SUMPRODUCT(--($AL230:AN230=AN230))=2,3,IF(SUMPRODUCT(--($AL230:$AP230&gt;AO230))+SUMPRODUCT(--($AL230:AO230=AO230))=2,4,5)))),"")</f>
        <v/>
      </c>
      <c r="AS230" s="59" t="str">
        <f aca="false">IF($AJ230=Constants!$B$7,IF(SUMPRODUCT(--($AL230:$AP230&gt;AL230))+SUMPRODUCT(--($AL230:AL230=AL230))=3,1,IF(SUMPRODUCT(--($AL230:$AP230&gt;AM230))+SUMPRODUCT(--($AL230:AM230=AM230))=3,2,IF(SUMPRODUCT(--($AL230:$AP230&gt;AN230))+SUMPRODUCT(--($AL230:AN230=AN230))=3,3,IF(SUMPRODUCT(--($AL230:$AP230&gt;AO230))+SUMPRODUCT(--($AL230:AO230=AO230))=3,4,5)))),"")</f>
        <v/>
      </c>
      <c r="AT230" s="59" t="str">
        <f aca="false">IF($AJ230=Constants!$B$7,LARGE(AL230:AP230,1)+LARGE(AL230:AP230,2)+LARGE(AL230:AP230,3),"")</f>
        <v/>
      </c>
      <c r="AU230" s="59" t="str">
        <f aca="false">IF(ISBLANK($C230),"",IF($AJ230&lt;&gt;Constants!$B$7,$AJ230,AT230*W230))</f>
        <v/>
      </c>
      <c r="AV230" s="59" t="str">
        <f aca="false">IF(ISBLANK($C230),"",IF($AJ230=Constants!$B$7,IF(ISNUMBER(AU230),RANK(AU230,$AU$8:$AU$507),Constants!$B$14),$AJ230))</f>
        <v/>
      </c>
      <c r="AW230" s="59" t="str">
        <f aca="false">IF(ISBLANK($C230),"",IF($AJ230=Constants!$B$7,IF(ISNUMBER(AV230),COUNTIFS($AK$8:$AK$507,"&lt;"&amp;$AK230)+COUNTIFS($AK$8:$AK$507,$AK230,$AV$8:$AV$507,"&lt;"&amp;$AV230)+1,Constants!$B$14),$AJ230))</f>
        <v/>
      </c>
      <c r="AX230" s="59" t="str">
        <f aca="false">IF(ISBLANK($C230),"",IF($AJ230=Constants!$B$7,LARGE(AL230:AP230,4)*W230,""))</f>
        <v/>
      </c>
      <c r="AY230" s="59" t="str">
        <f aca="false">IF(ISBLANK($C230),"",IF($AJ230=Constants!$B$7,RANK(AX230,$AX$8:$AX$507),$AJ230))</f>
        <v/>
      </c>
      <c r="AZ230" s="59" t="str">
        <f aca="false">IF(ISBLANK($C230),"",IF($AJ230=Constants!$B$7,IF(ISNUMBER(AV230),COUNTIFS($AK$8:$AK$507,"&lt;"&amp;$AK230)+COUNTIFS($AK$8:$AK$507,$AK230,$AV$8:$AV$507,"&lt;"&amp;$AV230)+COUNTIFS($AK$8:$AK$507,$AK230,$AV$8:$AV$507,$AV230,$AY$8:$AY$507,"&lt;"&amp;$AY230)+1,Constants!$B$14),$AJ230))</f>
        <v/>
      </c>
      <c r="BA230" s="59" t="str">
        <f aca="false">IF(ISBLANK($C230),"",IF($AJ230=Constants!$B$7,IF(ISNUMBER(AW230),AW230-AZ230,Constants!$B$14),$AJ230))</f>
        <v/>
      </c>
      <c r="BB230" s="61"/>
      <c r="BC230" s="62" t="str">
        <f aca="false">IF(ISBLANK($C230),"",IF($AJ230&lt;&gt;Constants!$B$7,$AJ230,SMALL(AQ230:AS230,1)&amp;", "&amp;SMALL(AQ230:AS230,2)&amp;", "&amp;SMALL(AQ230:AS230,3)))</f>
        <v/>
      </c>
      <c r="BD230" s="63" t="str">
        <f aca="false">IF(ISBLANK($C230),"",IF($AJ230&lt;&gt;Constants!$B$7,$AJ230,W230))</f>
        <v/>
      </c>
      <c r="BE230" s="64" t="str">
        <f aca="false">IF(ISBLANK($C230),"",IF($AJ230&lt;&gt;Constants!$B$7,$AJ230,AU230))</f>
        <v/>
      </c>
      <c r="BF230" s="65" t="str">
        <f aca="false">IF(ISBLANK($C230),"",IF($AJ230&lt;&gt;Constants!$B$7,$AJ230,AK230))</f>
        <v/>
      </c>
      <c r="BG230" s="63" t="str">
        <f aca="false">IF(ISBLANK($C230),"",BA230)</f>
        <v/>
      </c>
      <c r="BH230" s="63" t="str">
        <f aca="false">IF(ISBLANK($C230),"",AZ230)</f>
        <v/>
      </c>
      <c r="BI230" s="66" t="str">
        <f aca="false">IF(ISBLANK($C230),"",IF(BH230=Constants!$B$4,COUNTA($C$8:$C$507)+2,IF(BH230=Constants!$B$5,COUNTA($C$8:$C$507)+1,IF(BH230=Constants!$B$6,COUNTA($C$8:$C$507),BH230))))</f>
        <v/>
      </c>
      <c r="BJ230" s="5"/>
      <c r="BK230" s="67" t="n">
        <f aca="false">IF(OR(ISNUMBER(BH230),BH230=Constants!$B$4,BH230=Constants!$B$6,BH230=Constants!$B$5),1,0)</f>
        <v>0</v>
      </c>
      <c r="BL230" s="67" t="n">
        <v>223</v>
      </c>
      <c r="BM230" s="67" t="str">
        <f aca="false">IF(ISBLANK($C230),"",IF(ISNUMBER(BI230),BI230+ROW($B230)/1000,""))</f>
        <v/>
      </c>
      <c r="BN230" s="67" t="str">
        <f aca="false">IF(ISNUMBER(BM230),RANK(BM230,$BM$8:$BM$507,1),"")</f>
        <v/>
      </c>
      <c r="BO230" s="67" t="str">
        <f aca="false">IF(ISBLANK($C230),"",$B230)</f>
        <v/>
      </c>
      <c r="BP230" s="67" t="str">
        <f aca="false">IF(ISBLANK($C230),"",$C230)</f>
        <v/>
      </c>
      <c r="BQ230" s="67" t="str">
        <f aca="false">IF(ISBLANK($C230),"",$D230)</f>
        <v/>
      </c>
      <c r="BR230" s="68" t="str">
        <f aca="false">BF230</f>
        <v/>
      </c>
      <c r="BS230" s="69" t="str">
        <f aca="false">BE230</f>
        <v/>
      </c>
      <c r="BT230" s="67" t="str">
        <f aca="false">IF(ISBLANK($C230),"",BH230)</f>
        <v/>
      </c>
      <c r="BU230" s="70" t="str">
        <f aca="false">IF($BL230&gt;$BK$7,"",VLOOKUP($BL230,$BN$8:$BT$507,7,FALSE()))</f>
        <v/>
      </c>
      <c r="BV230" s="71" t="str">
        <f aca="false">IF($BL230&gt;$BK$7,"",VLOOKUP($BL230,$BN$8:$BT$507,2,FALSE()))</f>
        <v/>
      </c>
      <c r="BW230" s="71" t="str">
        <f aca="false">IF($BL230&gt;$BK$7,"",VLOOKUP($BL230,$BN$8:$BT$507,3,FALSE()))</f>
        <v/>
      </c>
      <c r="BX230" s="71" t="str">
        <f aca="false">IF($BL230&gt;$BK$7,"",VLOOKUP($BL230,$BN$8:$BT$507,4,FALSE()))</f>
        <v/>
      </c>
      <c r="BY230" s="71" t="str">
        <f aca="false">IF($BL230&gt;$BK$7,"",VLOOKUP($BL230,$BN$8:$BT$507,5,FALSE()))</f>
        <v/>
      </c>
      <c r="BZ230" s="72" t="str">
        <f aca="false">IF($BL230&gt;$BK$7,"",VLOOKUP($BL230,$BN$8:$BT$507,6,FALSE()))</f>
        <v/>
      </c>
      <c r="CA230" s="48"/>
    </row>
    <row r="231" customFormat="false" ht="15.75" hidden="false" customHeight="false" outlineLevel="0" collapsed="false">
      <c r="A231" s="5"/>
      <c r="B231" s="121"/>
      <c r="C231" s="50"/>
      <c r="D231" s="51"/>
      <c r="E231" s="74"/>
      <c r="F231" s="122"/>
      <c r="G231" s="54"/>
      <c r="H231" s="123"/>
      <c r="I231" s="124"/>
      <c r="J231" s="54"/>
      <c r="K231" s="123"/>
      <c r="L231" s="54"/>
      <c r="M231" s="123"/>
      <c r="N231" s="54"/>
      <c r="O231" s="123"/>
      <c r="P231" s="54"/>
      <c r="Q231" s="123"/>
      <c r="R231" s="54"/>
      <c r="S231" s="74"/>
      <c r="T231" s="58"/>
      <c r="U231" s="59" t="str">
        <f aca="false">IF(ISBLANK($C231),"",IF(E231=Constants!$B$2, TRUE(), IF(E231=Constants!$B$3, FALSE(), TRUE())))</f>
        <v/>
      </c>
      <c r="V231" s="59" t="str">
        <f aca="false">IF(ISBLANK($C231),"",IF(F231=Constants!$B$2, TRUE(), IF(F231=Constants!$B$3, FALSE(), TRUE())))</f>
        <v/>
      </c>
      <c r="W231" s="59" t="str">
        <f aca="false">IF(ISBLANK($C231),"",IF(G231=Constants!$B$15,Constants!$B$8,IF(G231=Constants!$B$16,Constants!$B$9,Constants!$B$10)))</f>
        <v/>
      </c>
      <c r="X231" s="59" t="str">
        <f aca="false">IF(ISBLANK($C231),"",IF(H231=Constants!$B$2, TRUE(), IF(H231=Constants!$B$3, FALSE(), TRUE())))</f>
        <v/>
      </c>
      <c r="Y231" s="59" t="str">
        <f aca="false">IF(ISBLANK($C231),"",IF(I231=Constants!$B$19,Constants!$B$19,Constants!$B$18))</f>
        <v/>
      </c>
      <c r="Z231" s="59" t="str">
        <f aca="false">IF(ISBLANK($C231),"",IF(ISNUMBER(J231),IF(J231&gt;=0,J231,""),""))</f>
        <v/>
      </c>
      <c r="AA231" s="59" t="str">
        <f aca="false">IF(ISBLANK($C231),"",IF(K231=Constants!$B$19,Constants!$B$19,Constants!$B$18))</f>
        <v/>
      </c>
      <c r="AB231" s="59" t="str">
        <f aca="false">IF(ISBLANK($C231),"",IF(ISNUMBER(L231),IF(L231&gt;=0,L231,""),""))</f>
        <v/>
      </c>
      <c r="AC231" s="59" t="str">
        <f aca="false">IF(ISBLANK($C231),"",IF(M231=Constants!$B$19,Constants!$B$19,Constants!$B$18))</f>
        <v/>
      </c>
      <c r="AD231" s="59" t="str">
        <f aca="false">IF(ISBLANK($C231),"",IF(ISNUMBER(N231),IF(N231&gt;=0,N231,""),""))</f>
        <v/>
      </c>
      <c r="AE231" s="59" t="str">
        <f aca="false">IF(ISBLANK($C231),"",IF(O231=Constants!$B$19,Constants!$B$19,Constants!$B$18))</f>
        <v/>
      </c>
      <c r="AF231" s="59" t="str">
        <f aca="false">IF(ISBLANK($C231),"",IF(ISNUMBER(P231),IF(P231&gt;=0,P231,""),""))</f>
        <v/>
      </c>
      <c r="AG231" s="59" t="str">
        <f aca="false">IF(ISBLANK($C231),"",IF(Q231=Constants!$B$19,Constants!$B$19,Constants!$B$18))</f>
        <v/>
      </c>
      <c r="AH231" s="59" t="str">
        <f aca="false">IF(ISBLANK($C231),"",IF(ISNUMBER(R231),IF(R231&gt;=0,R231,""),""))</f>
        <v/>
      </c>
      <c r="AI231" s="59" t="str">
        <f aca="false">IF(ISBLANK($C231),"",IF(S231=Constants!$B$2, TRUE(), IF(S231=Constants!$B$3, FALSE(), FALSE())))</f>
        <v/>
      </c>
      <c r="AJ231" s="59" t="str">
        <f aca="false">IF(ISBLANK($C231),"",IF(AI231,Constants!$B$4,IF(COUNTA(E231:R231)=0,Constants!$B$5,IF(COUNTA(J231,L231,N231,P231,R231)=0,Constants!$B$6,Constants!$B$7))))</f>
        <v/>
      </c>
      <c r="AK231" s="59" t="str">
        <f aca="false">IF(ISBLANK($C231),"",IF($AJ231&lt;&gt;Constants!$B$7,$AJ231,IF(OR(NOT(X231),AND(NOT(U231),COUNTIFS(Y231:AG231,Constants!$B$18,Z231:AH231,"&gt;=0")&gt;0),AND(NOT(V231),COUNTIFS(Y231:AG231,Constants!$B$19,Z231:AH231,"&gt;=0")&gt;0)),Constants!$B$12,Constants!$B$11)))</f>
        <v/>
      </c>
      <c r="AL231" s="59" t="str">
        <f aca="false">IF($AJ231=Constants!$B$7,IF(Z231="",Constants!$B$13,Z231),"")</f>
        <v/>
      </c>
      <c r="AM231" s="59" t="str">
        <f aca="false">IF($AJ231=Constants!$B$7,IF(AB231="",Constants!$B$13,AB231),"")</f>
        <v/>
      </c>
      <c r="AN231" s="59" t="str">
        <f aca="false">IF($AJ231=Constants!$B$7,IF(AD231="",Constants!$B$13,AD231),"")</f>
        <v/>
      </c>
      <c r="AO231" s="59" t="str">
        <f aca="false">IF($AJ231=Constants!$B$7,IF(AF231="",Constants!$B$13,AF231),"")</f>
        <v/>
      </c>
      <c r="AP231" s="59" t="str">
        <f aca="false">IF($AJ231=Constants!$B$7,IF(AH231="",Constants!$B$13,AH231),"")</f>
        <v/>
      </c>
      <c r="AQ231" s="59" t="str">
        <f aca="false">IF($AJ231=Constants!$B$7,IF(SUMPRODUCT(--($AL231:$AP231&gt;AL231))+SUMPRODUCT(--($AL231:AL231=AL231))=1,1,IF(SUMPRODUCT(--($AL231:$AP231&gt;AM231))+SUMPRODUCT(--($AL231:AM231=AM231))=1,2,IF(SUMPRODUCT(--($AL231:$AP231&gt;AN231))+SUMPRODUCT(--($AL231:AN231=AN231))=1,3,IF(SUMPRODUCT(--($AL231:$AP231&gt;AO231))+SUMPRODUCT(--($AL231:AO231=AO231))=1,4,5)))),"")</f>
        <v/>
      </c>
      <c r="AR231" s="59" t="str">
        <f aca="false">IF($AJ231=Constants!$B$7,IF(SUMPRODUCT(--($AL231:$AP231&gt;AL231))+SUMPRODUCT(--($AL231:AL231=AL231))=2,1,IF(SUMPRODUCT(--($AL231:$AP231&gt;AM231))+SUMPRODUCT(--($AL231:AM231=AM231))=2,2,IF(SUMPRODUCT(--($AL231:$AP231&gt;AN231))+SUMPRODUCT(--($AL231:AN231=AN231))=2,3,IF(SUMPRODUCT(--($AL231:$AP231&gt;AO231))+SUMPRODUCT(--($AL231:AO231=AO231))=2,4,5)))),"")</f>
        <v/>
      </c>
      <c r="AS231" s="59" t="str">
        <f aca="false">IF($AJ231=Constants!$B$7,IF(SUMPRODUCT(--($AL231:$AP231&gt;AL231))+SUMPRODUCT(--($AL231:AL231=AL231))=3,1,IF(SUMPRODUCT(--($AL231:$AP231&gt;AM231))+SUMPRODUCT(--($AL231:AM231=AM231))=3,2,IF(SUMPRODUCT(--($AL231:$AP231&gt;AN231))+SUMPRODUCT(--($AL231:AN231=AN231))=3,3,IF(SUMPRODUCT(--($AL231:$AP231&gt;AO231))+SUMPRODUCT(--($AL231:AO231=AO231))=3,4,5)))),"")</f>
        <v/>
      </c>
      <c r="AT231" s="59" t="str">
        <f aca="false">IF($AJ231=Constants!$B$7,LARGE(AL231:AP231,1)+LARGE(AL231:AP231,2)+LARGE(AL231:AP231,3),"")</f>
        <v/>
      </c>
      <c r="AU231" s="59" t="str">
        <f aca="false">IF(ISBLANK($C231),"",IF($AJ231&lt;&gt;Constants!$B$7,$AJ231,AT231*W231))</f>
        <v/>
      </c>
      <c r="AV231" s="59" t="str">
        <f aca="false">IF(ISBLANK($C231),"",IF($AJ231=Constants!$B$7,IF(ISNUMBER(AU231),RANK(AU231,$AU$8:$AU$507),Constants!$B$14),$AJ231))</f>
        <v/>
      </c>
      <c r="AW231" s="59" t="str">
        <f aca="false">IF(ISBLANK($C231),"",IF($AJ231=Constants!$B$7,IF(ISNUMBER(AV231),COUNTIFS($AK$8:$AK$507,"&lt;"&amp;$AK231)+COUNTIFS($AK$8:$AK$507,$AK231,$AV$8:$AV$507,"&lt;"&amp;$AV231)+1,Constants!$B$14),$AJ231))</f>
        <v/>
      </c>
      <c r="AX231" s="59" t="str">
        <f aca="false">IF(ISBLANK($C231),"",IF($AJ231=Constants!$B$7,LARGE(AL231:AP231,4)*W231,""))</f>
        <v/>
      </c>
      <c r="AY231" s="59" t="str">
        <f aca="false">IF(ISBLANK($C231),"",IF($AJ231=Constants!$B$7,RANK(AX231,$AX$8:$AX$507),$AJ231))</f>
        <v/>
      </c>
      <c r="AZ231" s="59" t="str">
        <f aca="false">IF(ISBLANK($C231),"",IF($AJ231=Constants!$B$7,IF(ISNUMBER(AV231),COUNTIFS($AK$8:$AK$507,"&lt;"&amp;$AK231)+COUNTIFS($AK$8:$AK$507,$AK231,$AV$8:$AV$507,"&lt;"&amp;$AV231)+COUNTIFS($AK$8:$AK$507,$AK231,$AV$8:$AV$507,$AV231,$AY$8:$AY$507,"&lt;"&amp;$AY231)+1,Constants!$B$14),$AJ231))</f>
        <v/>
      </c>
      <c r="BA231" s="59" t="str">
        <f aca="false">IF(ISBLANK($C231),"",IF($AJ231=Constants!$B$7,IF(ISNUMBER(AW231),AW231-AZ231,Constants!$B$14),$AJ231))</f>
        <v/>
      </c>
      <c r="BB231" s="61"/>
      <c r="BC231" s="62" t="str">
        <f aca="false">IF(ISBLANK($C231),"",IF($AJ231&lt;&gt;Constants!$B$7,$AJ231,SMALL(AQ231:AS231,1)&amp;", "&amp;SMALL(AQ231:AS231,2)&amp;", "&amp;SMALL(AQ231:AS231,3)))</f>
        <v/>
      </c>
      <c r="BD231" s="63" t="str">
        <f aca="false">IF(ISBLANK($C231),"",IF($AJ231&lt;&gt;Constants!$B$7,$AJ231,W231))</f>
        <v/>
      </c>
      <c r="BE231" s="64" t="str">
        <f aca="false">IF(ISBLANK($C231),"",IF($AJ231&lt;&gt;Constants!$B$7,$AJ231,AU231))</f>
        <v/>
      </c>
      <c r="BF231" s="65" t="str">
        <f aca="false">IF(ISBLANK($C231),"",IF($AJ231&lt;&gt;Constants!$B$7,$AJ231,AK231))</f>
        <v/>
      </c>
      <c r="BG231" s="63" t="str">
        <f aca="false">IF(ISBLANK($C231),"",BA231)</f>
        <v/>
      </c>
      <c r="BH231" s="63" t="str">
        <f aca="false">IF(ISBLANK($C231),"",AZ231)</f>
        <v/>
      </c>
      <c r="BI231" s="66" t="str">
        <f aca="false">IF(ISBLANK($C231),"",IF(BH231=Constants!$B$4,COUNTA($C$8:$C$507)+2,IF(BH231=Constants!$B$5,COUNTA($C$8:$C$507)+1,IF(BH231=Constants!$B$6,COUNTA($C$8:$C$507),BH231))))</f>
        <v/>
      </c>
      <c r="BJ231" s="5"/>
      <c r="BK231" s="67" t="n">
        <f aca="false">IF(OR(ISNUMBER(BH231),BH231=Constants!$B$4,BH231=Constants!$B$6,BH231=Constants!$B$5),1,0)</f>
        <v>0</v>
      </c>
      <c r="BL231" s="67" t="n">
        <v>224</v>
      </c>
      <c r="BM231" s="67" t="str">
        <f aca="false">IF(ISBLANK($C231),"",IF(ISNUMBER(BI231),BI231+ROW($B231)/1000,""))</f>
        <v/>
      </c>
      <c r="BN231" s="67" t="str">
        <f aca="false">IF(ISNUMBER(BM231),RANK(BM231,$BM$8:$BM$507,1),"")</f>
        <v/>
      </c>
      <c r="BO231" s="67" t="str">
        <f aca="false">IF(ISBLANK($C231),"",$B231)</f>
        <v/>
      </c>
      <c r="BP231" s="67" t="str">
        <f aca="false">IF(ISBLANK($C231),"",$C231)</f>
        <v/>
      </c>
      <c r="BQ231" s="67" t="str">
        <f aca="false">IF(ISBLANK($C231),"",$D231)</f>
        <v/>
      </c>
      <c r="BR231" s="68" t="str">
        <f aca="false">BF231</f>
        <v/>
      </c>
      <c r="BS231" s="69" t="str">
        <f aca="false">BE231</f>
        <v/>
      </c>
      <c r="BT231" s="67" t="str">
        <f aca="false">IF(ISBLANK($C231),"",BH231)</f>
        <v/>
      </c>
      <c r="BU231" s="70" t="str">
        <f aca="false">IF($BL231&gt;$BK$7,"",VLOOKUP($BL231,$BN$8:$BT$507,7,FALSE()))</f>
        <v/>
      </c>
      <c r="BV231" s="71" t="str">
        <f aca="false">IF($BL231&gt;$BK$7,"",VLOOKUP($BL231,$BN$8:$BT$507,2,FALSE()))</f>
        <v/>
      </c>
      <c r="BW231" s="71" t="str">
        <f aca="false">IF($BL231&gt;$BK$7,"",VLOOKUP($BL231,$BN$8:$BT$507,3,FALSE()))</f>
        <v/>
      </c>
      <c r="BX231" s="71" t="str">
        <f aca="false">IF($BL231&gt;$BK$7,"",VLOOKUP($BL231,$BN$8:$BT$507,4,FALSE()))</f>
        <v/>
      </c>
      <c r="BY231" s="71" t="str">
        <f aca="false">IF($BL231&gt;$BK$7,"",VLOOKUP($BL231,$BN$8:$BT$507,5,FALSE()))</f>
        <v/>
      </c>
      <c r="BZ231" s="72" t="str">
        <f aca="false">IF($BL231&gt;$BK$7,"",VLOOKUP($BL231,$BN$8:$BT$507,6,FALSE()))</f>
        <v/>
      </c>
      <c r="CA231" s="48"/>
    </row>
    <row r="232" customFormat="false" ht="15.75" hidden="false" customHeight="false" outlineLevel="0" collapsed="false">
      <c r="A232" s="5"/>
      <c r="B232" s="121"/>
      <c r="C232" s="50"/>
      <c r="D232" s="51"/>
      <c r="E232" s="74"/>
      <c r="F232" s="122"/>
      <c r="G232" s="54"/>
      <c r="H232" s="123"/>
      <c r="I232" s="124"/>
      <c r="J232" s="54"/>
      <c r="K232" s="123"/>
      <c r="L232" s="54"/>
      <c r="M232" s="123"/>
      <c r="N232" s="54"/>
      <c r="O232" s="123"/>
      <c r="P232" s="54"/>
      <c r="Q232" s="123"/>
      <c r="R232" s="54"/>
      <c r="S232" s="74"/>
      <c r="T232" s="58"/>
      <c r="U232" s="59" t="str">
        <f aca="false">IF(ISBLANK($C232),"",IF(E232=Constants!$B$2, TRUE(), IF(E232=Constants!$B$3, FALSE(), TRUE())))</f>
        <v/>
      </c>
      <c r="V232" s="59" t="str">
        <f aca="false">IF(ISBLANK($C232),"",IF(F232=Constants!$B$2, TRUE(), IF(F232=Constants!$B$3, FALSE(), TRUE())))</f>
        <v/>
      </c>
      <c r="W232" s="59" t="str">
        <f aca="false">IF(ISBLANK($C232),"",IF(G232=Constants!$B$15,Constants!$B$8,IF(G232=Constants!$B$16,Constants!$B$9,Constants!$B$10)))</f>
        <v/>
      </c>
      <c r="X232" s="59" t="str">
        <f aca="false">IF(ISBLANK($C232),"",IF(H232=Constants!$B$2, TRUE(), IF(H232=Constants!$B$3, FALSE(), TRUE())))</f>
        <v/>
      </c>
      <c r="Y232" s="59" t="str">
        <f aca="false">IF(ISBLANK($C232),"",IF(I232=Constants!$B$19,Constants!$B$19,Constants!$B$18))</f>
        <v/>
      </c>
      <c r="Z232" s="59" t="str">
        <f aca="false">IF(ISBLANK($C232),"",IF(ISNUMBER(J232),IF(J232&gt;=0,J232,""),""))</f>
        <v/>
      </c>
      <c r="AA232" s="59" t="str">
        <f aca="false">IF(ISBLANK($C232),"",IF(K232=Constants!$B$19,Constants!$B$19,Constants!$B$18))</f>
        <v/>
      </c>
      <c r="AB232" s="59" t="str">
        <f aca="false">IF(ISBLANK($C232),"",IF(ISNUMBER(L232),IF(L232&gt;=0,L232,""),""))</f>
        <v/>
      </c>
      <c r="AC232" s="59" t="str">
        <f aca="false">IF(ISBLANK($C232),"",IF(M232=Constants!$B$19,Constants!$B$19,Constants!$B$18))</f>
        <v/>
      </c>
      <c r="AD232" s="59" t="str">
        <f aca="false">IF(ISBLANK($C232),"",IF(ISNUMBER(N232),IF(N232&gt;=0,N232,""),""))</f>
        <v/>
      </c>
      <c r="AE232" s="59" t="str">
        <f aca="false">IF(ISBLANK($C232),"",IF(O232=Constants!$B$19,Constants!$B$19,Constants!$B$18))</f>
        <v/>
      </c>
      <c r="AF232" s="59" t="str">
        <f aca="false">IF(ISBLANK($C232),"",IF(ISNUMBER(P232),IF(P232&gt;=0,P232,""),""))</f>
        <v/>
      </c>
      <c r="AG232" s="59" t="str">
        <f aca="false">IF(ISBLANK($C232),"",IF(Q232=Constants!$B$19,Constants!$B$19,Constants!$B$18))</f>
        <v/>
      </c>
      <c r="AH232" s="59" t="str">
        <f aca="false">IF(ISBLANK($C232),"",IF(ISNUMBER(R232),IF(R232&gt;=0,R232,""),""))</f>
        <v/>
      </c>
      <c r="AI232" s="59" t="str">
        <f aca="false">IF(ISBLANK($C232),"",IF(S232=Constants!$B$2, TRUE(), IF(S232=Constants!$B$3, FALSE(), FALSE())))</f>
        <v/>
      </c>
      <c r="AJ232" s="59" t="str">
        <f aca="false">IF(ISBLANK($C232),"",IF(AI232,Constants!$B$4,IF(COUNTA(E232:R232)=0,Constants!$B$5,IF(COUNTA(J232,L232,N232,P232,R232)=0,Constants!$B$6,Constants!$B$7))))</f>
        <v/>
      </c>
      <c r="AK232" s="59" t="str">
        <f aca="false">IF(ISBLANK($C232),"",IF($AJ232&lt;&gt;Constants!$B$7,$AJ232,IF(OR(NOT(X232),AND(NOT(U232),COUNTIFS(Y232:AG232,Constants!$B$18,Z232:AH232,"&gt;=0")&gt;0),AND(NOT(V232),COUNTIFS(Y232:AG232,Constants!$B$19,Z232:AH232,"&gt;=0")&gt;0)),Constants!$B$12,Constants!$B$11)))</f>
        <v/>
      </c>
      <c r="AL232" s="59" t="str">
        <f aca="false">IF($AJ232=Constants!$B$7,IF(Z232="",Constants!$B$13,Z232),"")</f>
        <v/>
      </c>
      <c r="AM232" s="59" t="str">
        <f aca="false">IF($AJ232=Constants!$B$7,IF(AB232="",Constants!$B$13,AB232),"")</f>
        <v/>
      </c>
      <c r="AN232" s="59" t="str">
        <f aca="false">IF($AJ232=Constants!$B$7,IF(AD232="",Constants!$B$13,AD232),"")</f>
        <v/>
      </c>
      <c r="AO232" s="59" t="str">
        <f aca="false">IF($AJ232=Constants!$B$7,IF(AF232="",Constants!$B$13,AF232),"")</f>
        <v/>
      </c>
      <c r="AP232" s="59" t="str">
        <f aca="false">IF($AJ232=Constants!$B$7,IF(AH232="",Constants!$B$13,AH232),"")</f>
        <v/>
      </c>
      <c r="AQ232" s="59" t="str">
        <f aca="false">IF($AJ232=Constants!$B$7,IF(SUMPRODUCT(--($AL232:$AP232&gt;AL232))+SUMPRODUCT(--($AL232:AL232=AL232))=1,1,IF(SUMPRODUCT(--($AL232:$AP232&gt;AM232))+SUMPRODUCT(--($AL232:AM232=AM232))=1,2,IF(SUMPRODUCT(--($AL232:$AP232&gt;AN232))+SUMPRODUCT(--($AL232:AN232=AN232))=1,3,IF(SUMPRODUCT(--($AL232:$AP232&gt;AO232))+SUMPRODUCT(--($AL232:AO232=AO232))=1,4,5)))),"")</f>
        <v/>
      </c>
      <c r="AR232" s="59" t="str">
        <f aca="false">IF($AJ232=Constants!$B$7,IF(SUMPRODUCT(--($AL232:$AP232&gt;AL232))+SUMPRODUCT(--($AL232:AL232=AL232))=2,1,IF(SUMPRODUCT(--($AL232:$AP232&gt;AM232))+SUMPRODUCT(--($AL232:AM232=AM232))=2,2,IF(SUMPRODUCT(--($AL232:$AP232&gt;AN232))+SUMPRODUCT(--($AL232:AN232=AN232))=2,3,IF(SUMPRODUCT(--($AL232:$AP232&gt;AO232))+SUMPRODUCT(--($AL232:AO232=AO232))=2,4,5)))),"")</f>
        <v/>
      </c>
      <c r="AS232" s="59" t="str">
        <f aca="false">IF($AJ232=Constants!$B$7,IF(SUMPRODUCT(--($AL232:$AP232&gt;AL232))+SUMPRODUCT(--($AL232:AL232=AL232))=3,1,IF(SUMPRODUCT(--($AL232:$AP232&gt;AM232))+SUMPRODUCT(--($AL232:AM232=AM232))=3,2,IF(SUMPRODUCT(--($AL232:$AP232&gt;AN232))+SUMPRODUCT(--($AL232:AN232=AN232))=3,3,IF(SUMPRODUCT(--($AL232:$AP232&gt;AO232))+SUMPRODUCT(--($AL232:AO232=AO232))=3,4,5)))),"")</f>
        <v/>
      </c>
      <c r="AT232" s="59" t="str">
        <f aca="false">IF($AJ232=Constants!$B$7,LARGE(AL232:AP232,1)+LARGE(AL232:AP232,2)+LARGE(AL232:AP232,3),"")</f>
        <v/>
      </c>
      <c r="AU232" s="59" t="str">
        <f aca="false">IF(ISBLANK($C232),"",IF($AJ232&lt;&gt;Constants!$B$7,$AJ232,AT232*W232))</f>
        <v/>
      </c>
      <c r="AV232" s="59" t="str">
        <f aca="false">IF(ISBLANK($C232),"",IF($AJ232=Constants!$B$7,IF(ISNUMBER(AU232),RANK(AU232,$AU$8:$AU$507),Constants!$B$14),$AJ232))</f>
        <v/>
      </c>
      <c r="AW232" s="59" t="str">
        <f aca="false">IF(ISBLANK($C232),"",IF($AJ232=Constants!$B$7,IF(ISNUMBER(AV232),COUNTIFS($AK$8:$AK$507,"&lt;"&amp;$AK232)+COUNTIFS($AK$8:$AK$507,$AK232,$AV$8:$AV$507,"&lt;"&amp;$AV232)+1,Constants!$B$14),$AJ232))</f>
        <v/>
      </c>
      <c r="AX232" s="59" t="str">
        <f aca="false">IF(ISBLANK($C232),"",IF($AJ232=Constants!$B$7,LARGE(AL232:AP232,4)*W232,""))</f>
        <v/>
      </c>
      <c r="AY232" s="59" t="str">
        <f aca="false">IF(ISBLANK($C232),"",IF($AJ232=Constants!$B$7,RANK(AX232,$AX$8:$AX$507),$AJ232))</f>
        <v/>
      </c>
      <c r="AZ232" s="59" t="str">
        <f aca="false">IF(ISBLANK($C232),"",IF($AJ232=Constants!$B$7,IF(ISNUMBER(AV232),COUNTIFS($AK$8:$AK$507,"&lt;"&amp;$AK232)+COUNTIFS($AK$8:$AK$507,$AK232,$AV$8:$AV$507,"&lt;"&amp;$AV232)+COUNTIFS($AK$8:$AK$507,$AK232,$AV$8:$AV$507,$AV232,$AY$8:$AY$507,"&lt;"&amp;$AY232)+1,Constants!$B$14),$AJ232))</f>
        <v/>
      </c>
      <c r="BA232" s="59" t="str">
        <f aca="false">IF(ISBLANK($C232),"",IF($AJ232=Constants!$B$7,IF(ISNUMBER(AW232),AW232-AZ232,Constants!$B$14),$AJ232))</f>
        <v/>
      </c>
      <c r="BB232" s="61"/>
      <c r="BC232" s="62" t="str">
        <f aca="false">IF(ISBLANK($C232),"",IF($AJ232&lt;&gt;Constants!$B$7,$AJ232,SMALL(AQ232:AS232,1)&amp;", "&amp;SMALL(AQ232:AS232,2)&amp;", "&amp;SMALL(AQ232:AS232,3)))</f>
        <v/>
      </c>
      <c r="BD232" s="63" t="str">
        <f aca="false">IF(ISBLANK($C232),"",IF($AJ232&lt;&gt;Constants!$B$7,$AJ232,W232))</f>
        <v/>
      </c>
      <c r="BE232" s="64" t="str">
        <f aca="false">IF(ISBLANK($C232),"",IF($AJ232&lt;&gt;Constants!$B$7,$AJ232,AU232))</f>
        <v/>
      </c>
      <c r="BF232" s="65" t="str">
        <f aca="false">IF(ISBLANK($C232),"",IF($AJ232&lt;&gt;Constants!$B$7,$AJ232,AK232))</f>
        <v/>
      </c>
      <c r="BG232" s="63" t="str">
        <f aca="false">IF(ISBLANK($C232),"",BA232)</f>
        <v/>
      </c>
      <c r="BH232" s="63" t="str">
        <f aca="false">IF(ISBLANK($C232),"",AZ232)</f>
        <v/>
      </c>
      <c r="BI232" s="66" t="str">
        <f aca="false">IF(ISBLANK($C232),"",IF(BH232=Constants!$B$4,COUNTA($C$8:$C$507)+2,IF(BH232=Constants!$B$5,COUNTA($C$8:$C$507)+1,IF(BH232=Constants!$B$6,COUNTA($C$8:$C$507),BH232))))</f>
        <v/>
      </c>
      <c r="BJ232" s="5"/>
      <c r="BK232" s="67" t="n">
        <f aca="false">IF(OR(ISNUMBER(BH232),BH232=Constants!$B$4,BH232=Constants!$B$6,BH232=Constants!$B$5),1,0)</f>
        <v>0</v>
      </c>
      <c r="BL232" s="67" t="n">
        <v>225</v>
      </c>
      <c r="BM232" s="67" t="str">
        <f aca="false">IF(ISBLANK($C232),"",IF(ISNUMBER(BI232),BI232+ROW($B232)/1000,""))</f>
        <v/>
      </c>
      <c r="BN232" s="67" t="str">
        <f aca="false">IF(ISNUMBER(BM232),RANK(BM232,$BM$8:$BM$507,1),"")</f>
        <v/>
      </c>
      <c r="BO232" s="67" t="str">
        <f aca="false">IF(ISBLANK($C232),"",$B232)</f>
        <v/>
      </c>
      <c r="BP232" s="67" t="str">
        <f aca="false">IF(ISBLANK($C232),"",$C232)</f>
        <v/>
      </c>
      <c r="BQ232" s="67" t="str">
        <f aca="false">IF(ISBLANK($C232),"",$D232)</f>
        <v/>
      </c>
      <c r="BR232" s="68" t="str">
        <f aca="false">BF232</f>
        <v/>
      </c>
      <c r="BS232" s="69" t="str">
        <f aca="false">BE232</f>
        <v/>
      </c>
      <c r="BT232" s="67" t="str">
        <f aca="false">IF(ISBLANK($C232),"",BH232)</f>
        <v/>
      </c>
      <c r="BU232" s="70" t="str">
        <f aca="false">IF($BL232&gt;$BK$7,"",VLOOKUP($BL232,$BN$8:$BT$507,7,FALSE()))</f>
        <v/>
      </c>
      <c r="BV232" s="71" t="str">
        <f aca="false">IF($BL232&gt;$BK$7,"",VLOOKUP($BL232,$BN$8:$BT$507,2,FALSE()))</f>
        <v/>
      </c>
      <c r="BW232" s="71" t="str">
        <f aca="false">IF($BL232&gt;$BK$7,"",VLOOKUP($BL232,$BN$8:$BT$507,3,FALSE()))</f>
        <v/>
      </c>
      <c r="BX232" s="71" t="str">
        <f aca="false">IF($BL232&gt;$BK$7,"",VLOOKUP($BL232,$BN$8:$BT$507,4,FALSE()))</f>
        <v/>
      </c>
      <c r="BY232" s="71" t="str">
        <f aca="false">IF($BL232&gt;$BK$7,"",VLOOKUP($BL232,$BN$8:$BT$507,5,FALSE()))</f>
        <v/>
      </c>
      <c r="BZ232" s="72" t="str">
        <f aca="false">IF($BL232&gt;$BK$7,"",VLOOKUP($BL232,$BN$8:$BT$507,6,FALSE()))</f>
        <v/>
      </c>
      <c r="CA232" s="48"/>
    </row>
    <row r="233" customFormat="false" ht="15.75" hidden="false" customHeight="false" outlineLevel="0" collapsed="false">
      <c r="A233" s="5"/>
      <c r="B233" s="114"/>
      <c r="C233" s="115"/>
      <c r="D233" s="100"/>
      <c r="E233" s="120"/>
      <c r="F233" s="125"/>
      <c r="G233" s="82"/>
      <c r="H233" s="126"/>
      <c r="I233" s="127"/>
      <c r="J233" s="82"/>
      <c r="K233" s="126"/>
      <c r="L233" s="82"/>
      <c r="M233" s="126"/>
      <c r="N233" s="82"/>
      <c r="O233" s="126"/>
      <c r="P233" s="82"/>
      <c r="Q233" s="126"/>
      <c r="R233" s="82"/>
      <c r="S233" s="120"/>
      <c r="T233" s="86"/>
      <c r="U233" s="87" t="str">
        <f aca="false">IF(ISBLANK($C233),"",IF(E233=Constants!$B$2, TRUE(), IF(E233=Constants!$B$3, FALSE(), TRUE())))</f>
        <v/>
      </c>
      <c r="V233" s="87" t="str">
        <f aca="false">IF(ISBLANK($C233),"",IF(F233=Constants!$B$2, TRUE(), IF(F233=Constants!$B$3, FALSE(), TRUE())))</f>
        <v/>
      </c>
      <c r="W233" s="87" t="str">
        <f aca="false">IF(ISBLANK($C233),"",IF(G233=Constants!$B$15,Constants!$B$8,IF(G233=Constants!$B$16,Constants!$B$9,Constants!$B$10)))</f>
        <v/>
      </c>
      <c r="X233" s="87" t="str">
        <f aca="false">IF(ISBLANK($C233),"",IF(H233=Constants!$B$2, TRUE(), IF(H233=Constants!$B$3, FALSE(), TRUE())))</f>
        <v/>
      </c>
      <c r="Y233" s="87" t="str">
        <f aca="false">IF(ISBLANK($C233),"",IF(I233=Constants!$B$19,Constants!$B$19,Constants!$B$18))</f>
        <v/>
      </c>
      <c r="Z233" s="87" t="str">
        <f aca="false">IF(ISBLANK($C233),"",IF(ISNUMBER(J233),IF(J233&gt;=0,J233,""),""))</f>
        <v/>
      </c>
      <c r="AA233" s="87" t="str">
        <f aca="false">IF(ISBLANK($C233),"",IF(K233=Constants!$B$19,Constants!$B$19,Constants!$B$18))</f>
        <v/>
      </c>
      <c r="AB233" s="87" t="str">
        <f aca="false">IF(ISBLANK($C233),"",IF(ISNUMBER(L233),IF(L233&gt;=0,L233,""),""))</f>
        <v/>
      </c>
      <c r="AC233" s="87" t="str">
        <f aca="false">IF(ISBLANK($C233),"",IF(M233=Constants!$B$19,Constants!$B$19,Constants!$B$18))</f>
        <v/>
      </c>
      <c r="AD233" s="87" t="str">
        <f aca="false">IF(ISBLANK($C233),"",IF(ISNUMBER(N233),IF(N233&gt;=0,N233,""),""))</f>
        <v/>
      </c>
      <c r="AE233" s="87" t="str">
        <f aca="false">IF(ISBLANK($C233),"",IF(O233=Constants!$B$19,Constants!$B$19,Constants!$B$18))</f>
        <v/>
      </c>
      <c r="AF233" s="87" t="str">
        <f aca="false">IF(ISBLANK($C233),"",IF(ISNUMBER(P233),IF(P233&gt;=0,P233,""),""))</f>
        <v/>
      </c>
      <c r="AG233" s="87" t="str">
        <f aca="false">IF(ISBLANK($C233),"",IF(Q233=Constants!$B$19,Constants!$B$19,Constants!$B$18))</f>
        <v/>
      </c>
      <c r="AH233" s="87" t="str">
        <f aca="false">IF(ISBLANK($C233),"",IF(ISNUMBER(R233),IF(R233&gt;=0,R233,""),""))</f>
        <v/>
      </c>
      <c r="AI233" s="87" t="str">
        <f aca="false">IF(ISBLANK($C233),"",IF(S233=Constants!$B$2, TRUE(), IF(S233=Constants!$B$3, FALSE(), FALSE())))</f>
        <v/>
      </c>
      <c r="AJ233" s="87" t="str">
        <f aca="false">IF(ISBLANK($C233),"",IF(AI233,Constants!$B$4,IF(COUNTA(E233:R233)=0,Constants!$B$5,IF(COUNTA(J233,L233,N233,P233,R233)=0,Constants!$B$6,Constants!$B$7))))</f>
        <v/>
      </c>
      <c r="AK233" s="87" t="str">
        <f aca="false">IF(ISBLANK($C233),"",IF($AJ233&lt;&gt;Constants!$B$7,$AJ233,IF(OR(NOT(X233),AND(NOT(U233),COUNTIFS(Y233:AG233,Constants!$B$18,Z233:AH233,"&gt;=0")&gt;0),AND(NOT(V233),COUNTIFS(Y233:AG233,Constants!$B$19,Z233:AH233,"&gt;=0")&gt;0)),Constants!$B$12,Constants!$B$11)))</f>
        <v/>
      </c>
      <c r="AL233" s="87" t="str">
        <f aca="false">IF($AJ233=Constants!$B$7,IF(Z233="",Constants!$B$13,Z233),"")</f>
        <v/>
      </c>
      <c r="AM233" s="87" t="str">
        <f aca="false">IF($AJ233=Constants!$B$7,IF(AB233="",Constants!$B$13,AB233),"")</f>
        <v/>
      </c>
      <c r="AN233" s="87" t="str">
        <f aca="false">IF($AJ233=Constants!$B$7,IF(AD233="",Constants!$B$13,AD233),"")</f>
        <v/>
      </c>
      <c r="AO233" s="87" t="str">
        <f aca="false">IF($AJ233=Constants!$B$7,IF(AF233="",Constants!$B$13,AF233),"")</f>
        <v/>
      </c>
      <c r="AP233" s="87" t="str">
        <f aca="false">IF($AJ233=Constants!$B$7,IF(AH233="",Constants!$B$13,AH233),"")</f>
        <v/>
      </c>
      <c r="AQ233" s="87" t="str">
        <f aca="false">IF($AJ233=Constants!$B$7,IF(SUMPRODUCT(--($AL233:$AP233&gt;AL233))+SUMPRODUCT(--($AL233:AL233=AL233))=1,1,IF(SUMPRODUCT(--($AL233:$AP233&gt;AM233))+SUMPRODUCT(--($AL233:AM233=AM233))=1,2,IF(SUMPRODUCT(--($AL233:$AP233&gt;AN233))+SUMPRODUCT(--($AL233:AN233=AN233))=1,3,IF(SUMPRODUCT(--($AL233:$AP233&gt;AO233))+SUMPRODUCT(--($AL233:AO233=AO233))=1,4,5)))),"")</f>
        <v/>
      </c>
      <c r="AR233" s="87" t="str">
        <f aca="false">IF($AJ233=Constants!$B$7,IF(SUMPRODUCT(--($AL233:$AP233&gt;AL233))+SUMPRODUCT(--($AL233:AL233=AL233))=2,1,IF(SUMPRODUCT(--($AL233:$AP233&gt;AM233))+SUMPRODUCT(--($AL233:AM233=AM233))=2,2,IF(SUMPRODUCT(--($AL233:$AP233&gt;AN233))+SUMPRODUCT(--($AL233:AN233=AN233))=2,3,IF(SUMPRODUCT(--($AL233:$AP233&gt;AO233))+SUMPRODUCT(--($AL233:AO233=AO233))=2,4,5)))),"")</f>
        <v/>
      </c>
      <c r="AS233" s="87" t="str">
        <f aca="false">IF($AJ233=Constants!$B$7,IF(SUMPRODUCT(--($AL233:$AP233&gt;AL233))+SUMPRODUCT(--($AL233:AL233=AL233))=3,1,IF(SUMPRODUCT(--($AL233:$AP233&gt;AM233))+SUMPRODUCT(--($AL233:AM233=AM233))=3,2,IF(SUMPRODUCT(--($AL233:$AP233&gt;AN233))+SUMPRODUCT(--($AL233:AN233=AN233))=3,3,IF(SUMPRODUCT(--($AL233:$AP233&gt;AO233))+SUMPRODUCT(--($AL233:AO233=AO233))=3,4,5)))),"")</f>
        <v/>
      </c>
      <c r="AT233" s="87" t="str">
        <f aca="false">IF($AJ233=Constants!$B$7,LARGE(AL233:AP233,1)+LARGE(AL233:AP233,2)+LARGE(AL233:AP233,3),"")</f>
        <v/>
      </c>
      <c r="AU233" s="87" t="str">
        <f aca="false">IF(ISBLANK($C233),"",IF($AJ233&lt;&gt;Constants!$B$7,$AJ233,AT233*W233))</f>
        <v/>
      </c>
      <c r="AV233" s="87" t="str">
        <f aca="false">IF(ISBLANK($C233),"",IF($AJ233=Constants!$B$7,IF(ISNUMBER(AU233),RANK(AU233,$AU$8:$AU$507),Constants!$B$14),$AJ233))</f>
        <v/>
      </c>
      <c r="AW233" s="87" t="str">
        <f aca="false">IF(ISBLANK($C233),"",IF($AJ233=Constants!$B$7,IF(ISNUMBER(AV233),COUNTIFS($AK$8:$AK$507,"&lt;"&amp;$AK233)+COUNTIFS($AK$8:$AK$507,$AK233,$AV$8:$AV$507,"&lt;"&amp;$AV233)+1,Constants!$B$14),$AJ233))</f>
        <v/>
      </c>
      <c r="AX233" s="87" t="str">
        <f aca="false">IF(ISBLANK($C233),"",IF($AJ233=Constants!$B$7,LARGE(AL233:AP233,4)*W233,""))</f>
        <v/>
      </c>
      <c r="AY233" s="87" t="str">
        <f aca="false">IF(ISBLANK($C233),"",IF($AJ233=Constants!$B$7,RANK(AX233,$AX$8:$AX$507),$AJ233))</f>
        <v/>
      </c>
      <c r="AZ233" s="87" t="str">
        <f aca="false">IF(ISBLANK($C233),"",IF($AJ233=Constants!$B$7,IF(ISNUMBER(AV233),COUNTIFS($AK$8:$AK$507,"&lt;"&amp;$AK233)+COUNTIFS($AK$8:$AK$507,$AK233,$AV$8:$AV$507,"&lt;"&amp;$AV233)+COUNTIFS($AK$8:$AK$507,$AK233,$AV$8:$AV$507,$AV233,$AY$8:$AY$507,"&lt;"&amp;$AY233)+1,Constants!$B$14),$AJ233))</f>
        <v/>
      </c>
      <c r="BA233" s="87" t="str">
        <f aca="false">IF(ISBLANK($C233),"",IF($AJ233=Constants!$B$7,IF(ISNUMBER(AW233),AW233-AZ233,Constants!$B$14),$AJ233))</f>
        <v/>
      </c>
      <c r="BB233" s="88"/>
      <c r="BC233" s="89" t="str">
        <f aca="false">IF(ISBLANK($C233),"",IF($AJ233&lt;&gt;Constants!$B$7,$AJ233,SMALL(AQ233:AS233,1)&amp;", "&amp;SMALL(AQ233:AS233,2)&amp;", "&amp;SMALL(AQ233:AS233,3)))</f>
        <v/>
      </c>
      <c r="BD233" s="90" t="str">
        <f aca="false">IF(ISBLANK($C233),"",IF($AJ233&lt;&gt;Constants!$B$7,$AJ233,W233))</f>
        <v/>
      </c>
      <c r="BE233" s="91" t="str">
        <f aca="false">IF(ISBLANK($C233),"",IF($AJ233&lt;&gt;Constants!$B$7,$AJ233,AU233))</f>
        <v/>
      </c>
      <c r="BF233" s="92" t="str">
        <f aca="false">IF(ISBLANK($C233),"",IF($AJ233&lt;&gt;Constants!$B$7,$AJ233,AK233))</f>
        <v/>
      </c>
      <c r="BG233" s="90" t="str">
        <f aca="false">IF(ISBLANK($C233),"",BA233)</f>
        <v/>
      </c>
      <c r="BH233" s="90" t="str">
        <f aca="false">IF(ISBLANK($C233),"",AZ233)</f>
        <v/>
      </c>
      <c r="BI233" s="93" t="str">
        <f aca="false">IF(ISBLANK($C233),"",IF(BH233=Constants!$B$4,COUNTA($C$8:$C$507)+2,IF(BH233=Constants!$B$5,COUNTA($C$8:$C$507)+1,IF(BH233=Constants!$B$6,COUNTA($C$8:$C$507),BH233))))</f>
        <v/>
      </c>
      <c r="BJ233" s="5"/>
      <c r="BK233" s="94" t="n">
        <f aca="false">IF(OR(ISNUMBER(BH233),BH233=Constants!$B$4,BH233=Constants!$B$6,BH233=Constants!$B$5),1,0)</f>
        <v>0</v>
      </c>
      <c r="BL233" s="94" t="n">
        <v>226</v>
      </c>
      <c r="BM233" s="94" t="str">
        <f aca="false">IF(ISBLANK($C233),"",IF(ISNUMBER(BI233),BI233+ROW($B233)/1000,""))</f>
        <v/>
      </c>
      <c r="BN233" s="94" t="str">
        <f aca="false">IF(ISNUMBER(BM233),RANK(BM233,$BM$8:$BM$507,1),"")</f>
        <v/>
      </c>
      <c r="BO233" s="94" t="str">
        <f aca="false">IF(ISBLANK($C233),"",$B233)</f>
        <v/>
      </c>
      <c r="BP233" s="94" t="str">
        <f aca="false">IF(ISBLANK($C233),"",$C233)</f>
        <v/>
      </c>
      <c r="BQ233" s="94" t="str">
        <f aca="false">IF(ISBLANK($C233),"",$D233)</f>
        <v/>
      </c>
      <c r="BR233" s="95" t="str">
        <f aca="false">BF233</f>
        <v/>
      </c>
      <c r="BS233" s="96" t="str">
        <f aca="false">BE233</f>
        <v/>
      </c>
      <c r="BT233" s="94" t="str">
        <f aca="false">IF(ISBLANK($C233),"",BH233)</f>
        <v/>
      </c>
      <c r="BU233" s="97" t="str">
        <f aca="false">IF($BL233&gt;$BK$7,"",VLOOKUP($BL233,$BN$8:$BT$507,7,FALSE()))</f>
        <v/>
      </c>
      <c r="BV233" s="98" t="str">
        <f aca="false">IF($BL233&gt;$BK$7,"",VLOOKUP($BL233,$BN$8:$BT$507,2,FALSE()))</f>
        <v/>
      </c>
      <c r="BW233" s="98" t="str">
        <f aca="false">IF($BL233&gt;$BK$7,"",VLOOKUP($BL233,$BN$8:$BT$507,3,FALSE()))</f>
        <v/>
      </c>
      <c r="BX233" s="98" t="str">
        <f aca="false">IF($BL233&gt;$BK$7,"",VLOOKUP($BL233,$BN$8:$BT$507,4,FALSE()))</f>
        <v/>
      </c>
      <c r="BY233" s="98" t="str">
        <f aca="false">IF($BL233&gt;$BK$7,"",VLOOKUP($BL233,$BN$8:$BT$507,5,FALSE()))</f>
        <v/>
      </c>
      <c r="BZ233" s="99" t="str">
        <f aca="false">IF($BL233&gt;$BK$7,"",VLOOKUP($BL233,$BN$8:$BT$507,6,FALSE()))</f>
        <v/>
      </c>
      <c r="CA233" s="48"/>
    </row>
    <row r="234" customFormat="false" ht="15.75" hidden="false" customHeight="false" outlineLevel="0" collapsed="false">
      <c r="A234" s="5"/>
      <c r="B234" s="114"/>
      <c r="C234" s="115"/>
      <c r="D234" s="100"/>
      <c r="E234" s="120"/>
      <c r="F234" s="125"/>
      <c r="G234" s="82"/>
      <c r="H234" s="126"/>
      <c r="I234" s="127"/>
      <c r="J234" s="82"/>
      <c r="K234" s="126"/>
      <c r="L234" s="82"/>
      <c r="M234" s="126"/>
      <c r="N234" s="82"/>
      <c r="O234" s="126"/>
      <c r="P234" s="82"/>
      <c r="Q234" s="126"/>
      <c r="R234" s="82"/>
      <c r="S234" s="120"/>
      <c r="T234" s="86"/>
      <c r="U234" s="87" t="str">
        <f aca="false">IF(ISBLANK($C234),"",IF(E234=Constants!$B$2, TRUE(), IF(E234=Constants!$B$3, FALSE(), TRUE())))</f>
        <v/>
      </c>
      <c r="V234" s="87" t="str">
        <f aca="false">IF(ISBLANK($C234),"",IF(F234=Constants!$B$2, TRUE(), IF(F234=Constants!$B$3, FALSE(), TRUE())))</f>
        <v/>
      </c>
      <c r="W234" s="87" t="str">
        <f aca="false">IF(ISBLANK($C234),"",IF(G234=Constants!$B$15,Constants!$B$8,IF(G234=Constants!$B$16,Constants!$B$9,Constants!$B$10)))</f>
        <v/>
      </c>
      <c r="X234" s="87" t="str">
        <f aca="false">IF(ISBLANK($C234),"",IF(H234=Constants!$B$2, TRUE(), IF(H234=Constants!$B$3, FALSE(), TRUE())))</f>
        <v/>
      </c>
      <c r="Y234" s="87" t="str">
        <f aca="false">IF(ISBLANK($C234),"",IF(I234=Constants!$B$19,Constants!$B$19,Constants!$B$18))</f>
        <v/>
      </c>
      <c r="Z234" s="87" t="str">
        <f aca="false">IF(ISBLANK($C234),"",IF(ISNUMBER(J234),IF(J234&gt;=0,J234,""),""))</f>
        <v/>
      </c>
      <c r="AA234" s="87" t="str">
        <f aca="false">IF(ISBLANK($C234),"",IF(K234=Constants!$B$19,Constants!$B$19,Constants!$B$18))</f>
        <v/>
      </c>
      <c r="AB234" s="87" t="str">
        <f aca="false">IF(ISBLANK($C234),"",IF(ISNUMBER(L234),IF(L234&gt;=0,L234,""),""))</f>
        <v/>
      </c>
      <c r="AC234" s="87" t="str">
        <f aca="false">IF(ISBLANK($C234),"",IF(M234=Constants!$B$19,Constants!$B$19,Constants!$B$18))</f>
        <v/>
      </c>
      <c r="AD234" s="87" t="str">
        <f aca="false">IF(ISBLANK($C234),"",IF(ISNUMBER(N234),IF(N234&gt;=0,N234,""),""))</f>
        <v/>
      </c>
      <c r="AE234" s="87" t="str">
        <f aca="false">IF(ISBLANK($C234),"",IF(O234=Constants!$B$19,Constants!$B$19,Constants!$B$18))</f>
        <v/>
      </c>
      <c r="AF234" s="87" t="str">
        <f aca="false">IF(ISBLANK($C234),"",IF(ISNUMBER(P234),IF(P234&gt;=0,P234,""),""))</f>
        <v/>
      </c>
      <c r="AG234" s="87" t="str">
        <f aca="false">IF(ISBLANK($C234),"",IF(Q234=Constants!$B$19,Constants!$B$19,Constants!$B$18))</f>
        <v/>
      </c>
      <c r="AH234" s="87" t="str">
        <f aca="false">IF(ISBLANK($C234),"",IF(ISNUMBER(R234),IF(R234&gt;=0,R234,""),""))</f>
        <v/>
      </c>
      <c r="AI234" s="87" t="str">
        <f aca="false">IF(ISBLANK($C234),"",IF(S234=Constants!$B$2, TRUE(), IF(S234=Constants!$B$3, FALSE(), FALSE())))</f>
        <v/>
      </c>
      <c r="AJ234" s="87" t="str">
        <f aca="false">IF(ISBLANK($C234),"",IF(AI234,Constants!$B$4,IF(COUNTA(E234:R234)=0,Constants!$B$5,IF(COUNTA(J234,L234,N234,P234,R234)=0,Constants!$B$6,Constants!$B$7))))</f>
        <v/>
      </c>
      <c r="AK234" s="87" t="str">
        <f aca="false">IF(ISBLANK($C234),"",IF($AJ234&lt;&gt;Constants!$B$7,$AJ234,IF(OR(NOT(X234),AND(NOT(U234),COUNTIFS(Y234:AG234,Constants!$B$18,Z234:AH234,"&gt;=0")&gt;0),AND(NOT(V234),COUNTIFS(Y234:AG234,Constants!$B$19,Z234:AH234,"&gt;=0")&gt;0)),Constants!$B$12,Constants!$B$11)))</f>
        <v/>
      </c>
      <c r="AL234" s="87" t="str">
        <f aca="false">IF($AJ234=Constants!$B$7,IF(Z234="",Constants!$B$13,Z234),"")</f>
        <v/>
      </c>
      <c r="AM234" s="87" t="str">
        <f aca="false">IF($AJ234=Constants!$B$7,IF(AB234="",Constants!$B$13,AB234),"")</f>
        <v/>
      </c>
      <c r="AN234" s="87" t="str">
        <f aca="false">IF($AJ234=Constants!$B$7,IF(AD234="",Constants!$B$13,AD234),"")</f>
        <v/>
      </c>
      <c r="AO234" s="87" t="str">
        <f aca="false">IF($AJ234=Constants!$B$7,IF(AF234="",Constants!$B$13,AF234),"")</f>
        <v/>
      </c>
      <c r="AP234" s="87" t="str">
        <f aca="false">IF($AJ234=Constants!$B$7,IF(AH234="",Constants!$B$13,AH234),"")</f>
        <v/>
      </c>
      <c r="AQ234" s="87" t="str">
        <f aca="false">IF($AJ234=Constants!$B$7,IF(SUMPRODUCT(--($AL234:$AP234&gt;AL234))+SUMPRODUCT(--($AL234:AL234=AL234))=1,1,IF(SUMPRODUCT(--($AL234:$AP234&gt;AM234))+SUMPRODUCT(--($AL234:AM234=AM234))=1,2,IF(SUMPRODUCT(--($AL234:$AP234&gt;AN234))+SUMPRODUCT(--($AL234:AN234=AN234))=1,3,IF(SUMPRODUCT(--($AL234:$AP234&gt;AO234))+SUMPRODUCT(--($AL234:AO234=AO234))=1,4,5)))),"")</f>
        <v/>
      </c>
      <c r="AR234" s="87" t="str">
        <f aca="false">IF($AJ234=Constants!$B$7,IF(SUMPRODUCT(--($AL234:$AP234&gt;AL234))+SUMPRODUCT(--($AL234:AL234=AL234))=2,1,IF(SUMPRODUCT(--($AL234:$AP234&gt;AM234))+SUMPRODUCT(--($AL234:AM234=AM234))=2,2,IF(SUMPRODUCT(--($AL234:$AP234&gt;AN234))+SUMPRODUCT(--($AL234:AN234=AN234))=2,3,IF(SUMPRODUCT(--($AL234:$AP234&gt;AO234))+SUMPRODUCT(--($AL234:AO234=AO234))=2,4,5)))),"")</f>
        <v/>
      </c>
      <c r="AS234" s="87" t="str">
        <f aca="false">IF($AJ234=Constants!$B$7,IF(SUMPRODUCT(--($AL234:$AP234&gt;AL234))+SUMPRODUCT(--($AL234:AL234=AL234))=3,1,IF(SUMPRODUCT(--($AL234:$AP234&gt;AM234))+SUMPRODUCT(--($AL234:AM234=AM234))=3,2,IF(SUMPRODUCT(--($AL234:$AP234&gt;AN234))+SUMPRODUCT(--($AL234:AN234=AN234))=3,3,IF(SUMPRODUCT(--($AL234:$AP234&gt;AO234))+SUMPRODUCT(--($AL234:AO234=AO234))=3,4,5)))),"")</f>
        <v/>
      </c>
      <c r="AT234" s="87" t="str">
        <f aca="false">IF($AJ234=Constants!$B$7,LARGE(AL234:AP234,1)+LARGE(AL234:AP234,2)+LARGE(AL234:AP234,3),"")</f>
        <v/>
      </c>
      <c r="AU234" s="87" t="str">
        <f aca="false">IF(ISBLANK($C234),"",IF($AJ234&lt;&gt;Constants!$B$7,$AJ234,AT234*W234))</f>
        <v/>
      </c>
      <c r="AV234" s="87" t="str">
        <f aca="false">IF(ISBLANK($C234),"",IF($AJ234=Constants!$B$7,IF(ISNUMBER(AU234),RANK(AU234,$AU$8:$AU$507),Constants!$B$14),$AJ234))</f>
        <v/>
      </c>
      <c r="AW234" s="87" t="str">
        <f aca="false">IF(ISBLANK($C234),"",IF($AJ234=Constants!$B$7,IF(ISNUMBER(AV234),COUNTIFS($AK$8:$AK$507,"&lt;"&amp;$AK234)+COUNTIFS($AK$8:$AK$507,$AK234,$AV$8:$AV$507,"&lt;"&amp;$AV234)+1,Constants!$B$14),$AJ234))</f>
        <v/>
      </c>
      <c r="AX234" s="87" t="str">
        <f aca="false">IF(ISBLANK($C234),"",IF($AJ234=Constants!$B$7,LARGE(AL234:AP234,4)*W234,""))</f>
        <v/>
      </c>
      <c r="AY234" s="87" t="str">
        <f aca="false">IF(ISBLANK($C234),"",IF($AJ234=Constants!$B$7,RANK(AX234,$AX$8:$AX$507),$AJ234))</f>
        <v/>
      </c>
      <c r="AZ234" s="87" t="str">
        <f aca="false">IF(ISBLANK($C234),"",IF($AJ234=Constants!$B$7,IF(ISNUMBER(AV234),COUNTIFS($AK$8:$AK$507,"&lt;"&amp;$AK234)+COUNTIFS($AK$8:$AK$507,$AK234,$AV$8:$AV$507,"&lt;"&amp;$AV234)+COUNTIFS($AK$8:$AK$507,$AK234,$AV$8:$AV$507,$AV234,$AY$8:$AY$507,"&lt;"&amp;$AY234)+1,Constants!$B$14),$AJ234))</f>
        <v/>
      </c>
      <c r="BA234" s="87" t="str">
        <f aca="false">IF(ISBLANK($C234),"",IF($AJ234=Constants!$B$7,IF(ISNUMBER(AW234),AW234-AZ234,Constants!$B$14),$AJ234))</f>
        <v/>
      </c>
      <c r="BB234" s="88"/>
      <c r="BC234" s="89" t="str">
        <f aca="false">IF(ISBLANK($C234),"",IF($AJ234&lt;&gt;Constants!$B$7,$AJ234,SMALL(AQ234:AS234,1)&amp;", "&amp;SMALL(AQ234:AS234,2)&amp;", "&amp;SMALL(AQ234:AS234,3)))</f>
        <v/>
      </c>
      <c r="BD234" s="90" t="str">
        <f aca="false">IF(ISBLANK($C234),"",IF($AJ234&lt;&gt;Constants!$B$7,$AJ234,W234))</f>
        <v/>
      </c>
      <c r="BE234" s="91" t="str">
        <f aca="false">IF(ISBLANK($C234),"",IF($AJ234&lt;&gt;Constants!$B$7,$AJ234,AU234))</f>
        <v/>
      </c>
      <c r="BF234" s="92" t="str">
        <f aca="false">IF(ISBLANK($C234),"",IF($AJ234&lt;&gt;Constants!$B$7,$AJ234,AK234))</f>
        <v/>
      </c>
      <c r="BG234" s="90" t="str">
        <f aca="false">IF(ISBLANK($C234),"",BA234)</f>
        <v/>
      </c>
      <c r="BH234" s="90" t="str">
        <f aca="false">IF(ISBLANK($C234),"",AZ234)</f>
        <v/>
      </c>
      <c r="BI234" s="93" t="str">
        <f aca="false">IF(ISBLANK($C234),"",IF(BH234=Constants!$B$4,COUNTA($C$8:$C$507)+2,IF(BH234=Constants!$B$5,COUNTA($C$8:$C$507)+1,IF(BH234=Constants!$B$6,COUNTA($C$8:$C$507),BH234))))</f>
        <v/>
      </c>
      <c r="BJ234" s="5"/>
      <c r="BK234" s="94" t="n">
        <f aca="false">IF(OR(ISNUMBER(BH234),BH234=Constants!$B$4,BH234=Constants!$B$6,BH234=Constants!$B$5),1,0)</f>
        <v>0</v>
      </c>
      <c r="BL234" s="94" t="n">
        <v>227</v>
      </c>
      <c r="BM234" s="94" t="str">
        <f aca="false">IF(ISBLANK($C234),"",IF(ISNUMBER(BI234),BI234+ROW($B234)/1000,""))</f>
        <v/>
      </c>
      <c r="BN234" s="94" t="str">
        <f aca="false">IF(ISNUMBER(BM234),RANK(BM234,$BM$8:$BM$507,1),"")</f>
        <v/>
      </c>
      <c r="BO234" s="94" t="str">
        <f aca="false">IF(ISBLANK($C234),"",$B234)</f>
        <v/>
      </c>
      <c r="BP234" s="94" t="str">
        <f aca="false">IF(ISBLANK($C234),"",$C234)</f>
        <v/>
      </c>
      <c r="BQ234" s="94" t="str">
        <f aca="false">IF(ISBLANK($C234),"",$D234)</f>
        <v/>
      </c>
      <c r="BR234" s="95" t="str">
        <f aca="false">BF234</f>
        <v/>
      </c>
      <c r="BS234" s="96" t="str">
        <f aca="false">BE234</f>
        <v/>
      </c>
      <c r="BT234" s="94" t="str">
        <f aca="false">IF(ISBLANK($C234),"",BH234)</f>
        <v/>
      </c>
      <c r="BU234" s="97" t="str">
        <f aca="false">IF($BL234&gt;$BK$7,"",VLOOKUP($BL234,$BN$8:$BT$507,7,FALSE()))</f>
        <v/>
      </c>
      <c r="BV234" s="98" t="str">
        <f aca="false">IF($BL234&gt;$BK$7,"",VLOOKUP($BL234,$BN$8:$BT$507,2,FALSE()))</f>
        <v/>
      </c>
      <c r="BW234" s="98" t="str">
        <f aca="false">IF($BL234&gt;$BK$7,"",VLOOKUP($BL234,$BN$8:$BT$507,3,FALSE()))</f>
        <v/>
      </c>
      <c r="BX234" s="98" t="str">
        <f aca="false">IF($BL234&gt;$BK$7,"",VLOOKUP($BL234,$BN$8:$BT$507,4,FALSE()))</f>
        <v/>
      </c>
      <c r="BY234" s="98" t="str">
        <f aca="false">IF($BL234&gt;$BK$7,"",VLOOKUP($BL234,$BN$8:$BT$507,5,FALSE()))</f>
        <v/>
      </c>
      <c r="BZ234" s="99" t="str">
        <f aca="false">IF($BL234&gt;$BK$7,"",VLOOKUP($BL234,$BN$8:$BT$507,6,FALSE()))</f>
        <v/>
      </c>
      <c r="CA234" s="48"/>
    </row>
    <row r="235" customFormat="false" ht="15.75" hidden="false" customHeight="false" outlineLevel="0" collapsed="false">
      <c r="A235" s="5"/>
      <c r="B235" s="114"/>
      <c r="C235" s="115"/>
      <c r="D235" s="100"/>
      <c r="E235" s="120"/>
      <c r="F235" s="125"/>
      <c r="G235" s="82"/>
      <c r="H235" s="126"/>
      <c r="I235" s="127"/>
      <c r="J235" s="82"/>
      <c r="K235" s="126"/>
      <c r="L235" s="82"/>
      <c r="M235" s="126"/>
      <c r="N235" s="82"/>
      <c r="O235" s="126"/>
      <c r="P235" s="82"/>
      <c r="Q235" s="126"/>
      <c r="R235" s="82"/>
      <c r="S235" s="120"/>
      <c r="T235" s="86"/>
      <c r="U235" s="87" t="str">
        <f aca="false">IF(ISBLANK($C235),"",IF(E235=Constants!$B$2, TRUE(), IF(E235=Constants!$B$3, FALSE(), TRUE())))</f>
        <v/>
      </c>
      <c r="V235" s="87" t="str">
        <f aca="false">IF(ISBLANK($C235),"",IF(F235=Constants!$B$2, TRUE(), IF(F235=Constants!$B$3, FALSE(), TRUE())))</f>
        <v/>
      </c>
      <c r="W235" s="87" t="str">
        <f aca="false">IF(ISBLANK($C235),"",IF(G235=Constants!$B$15,Constants!$B$8,IF(G235=Constants!$B$16,Constants!$B$9,Constants!$B$10)))</f>
        <v/>
      </c>
      <c r="X235" s="87" t="str">
        <f aca="false">IF(ISBLANK($C235),"",IF(H235=Constants!$B$2, TRUE(), IF(H235=Constants!$B$3, FALSE(), TRUE())))</f>
        <v/>
      </c>
      <c r="Y235" s="87" t="str">
        <f aca="false">IF(ISBLANK($C235),"",IF(I235=Constants!$B$19,Constants!$B$19,Constants!$B$18))</f>
        <v/>
      </c>
      <c r="Z235" s="87" t="str">
        <f aca="false">IF(ISBLANK($C235),"",IF(ISNUMBER(J235),IF(J235&gt;=0,J235,""),""))</f>
        <v/>
      </c>
      <c r="AA235" s="87" t="str">
        <f aca="false">IF(ISBLANK($C235),"",IF(K235=Constants!$B$19,Constants!$B$19,Constants!$B$18))</f>
        <v/>
      </c>
      <c r="AB235" s="87" t="str">
        <f aca="false">IF(ISBLANK($C235),"",IF(ISNUMBER(L235),IF(L235&gt;=0,L235,""),""))</f>
        <v/>
      </c>
      <c r="AC235" s="87" t="str">
        <f aca="false">IF(ISBLANK($C235),"",IF(M235=Constants!$B$19,Constants!$B$19,Constants!$B$18))</f>
        <v/>
      </c>
      <c r="AD235" s="87" t="str">
        <f aca="false">IF(ISBLANK($C235),"",IF(ISNUMBER(N235),IF(N235&gt;=0,N235,""),""))</f>
        <v/>
      </c>
      <c r="AE235" s="87" t="str">
        <f aca="false">IF(ISBLANK($C235),"",IF(O235=Constants!$B$19,Constants!$B$19,Constants!$B$18))</f>
        <v/>
      </c>
      <c r="AF235" s="87" t="str">
        <f aca="false">IF(ISBLANK($C235),"",IF(ISNUMBER(P235),IF(P235&gt;=0,P235,""),""))</f>
        <v/>
      </c>
      <c r="AG235" s="87" t="str">
        <f aca="false">IF(ISBLANK($C235),"",IF(Q235=Constants!$B$19,Constants!$B$19,Constants!$B$18))</f>
        <v/>
      </c>
      <c r="AH235" s="87" t="str">
        <f aca="false">IF(ISBLANK($C235),"",IF(ISNUMBER(R235),IF(R235&gt;=0,R235,""),""))</f>
        <v/>
      </c>
      <c r="AI235" s="87" t="str">
        <f aca="false">IF(ISBLANK($C235),"",IF(S235=Constants!$B$2, TRUE(), IF(S235=Constants!$B$3, FALSE(), FALSE())))</f>
        <v/>
      </c>
      <c r="AJ235" s="87" t="str">
        <f aca="false">IF(ISBLANK($C235),"",IF(AI235,Constants!$B$4,IF(COUNTA(E235:R235)=0,Constants!$B$5,IF(COUNTA(J235,L235,N235,P235,R235)=0,Constants!$B$6,Constants!$B$7))))</f>
        <v/>
      </c>
      <c r="AK235" s="87" t="str">
        <f aca="false">IF(ISBLANK($C235),"",IF($AJ235&lt;&gt;Constants!$B$7,$AJ235,IF(OR(NOT(X235),AND(NOT(U235),COUNTIFS(Y235:AG235,Constants!$B$18,Z235:AH235,"&gt;=0")&gt;0),AND(NOT(V235),COUNTIFS(Y235:AG235,Constants!$B$19,Z235:AH235,"&gt;=0")&gt;0)),Constants!$B$12,Constants!$B$11)))</f>
        <v/>
      </c>
      <c r="AL235" s="87" t="str">
        <f aca="false">IF($AJ235=Constants!$B$7,IF(Z235="",Constants!$B$13,Z235),"")</f>
        <v/>
      </c>
      <c r="AM235" s="87" t="str">
        <f aca="false">IF($AJ235=Constants!$B$7,IF(AB235="",Constants!$B$13,AB235),"")</f>
        <v/>
      </c>
      <c r="AN235" s="87" t="str">
        <f aca="false">IF($AJ235=Constants!$B$7,IF(AD235="",Constants!$B$13,AD235),"")</f>
        <v/>
      </c>
      <c r="AO235" s="87" t="str">
        <f aca="false">IF($AJ235=Constants!$B$7,IF(AF235="",Constants!$B$13,AF235),"")</f>
        <v/>
      </c>
      <c r="AP235" s="87" t="str">
        <f aca="false">IF($AJ235=Constants!$B$7,IF(AH235="",Constants!$B$13,AH235),"")</f>
        <v/>
      </c>
      <c r="AQ235" s="87" t="str">
        <f aca="false">IF($AJ235=Constants!$B$7,IF(SUMPRODUCT(--($AL235:$AP235&gt;AL235))+SUMPRODUCT(--($AL235:AL235=AL235))=1,1,IF(SUMPRODUCT(--($AL235:$AP235&gt;AM235))+SUMPRODUCT(--($AL235:AM235=AM235))=1,2,IF(SUMPRODUCT(--($AL235:$AP235&gt;AN235))+SUMPRODUCT(--($AL235:AN235=AN235))=1,3,IF(SUMPRODUCT(--($AL235:$AP235&gt;AO235))+SUMPRODUCT(--($AL235:AO235=AO235))=1,4,5)))),"")</f>
        <v/>
      </c>
      <c r="AR235" s="87" t="str">
        <f aca="false">IF($AJ235=Constants!$B$7,IF(SUMPRODUCT(--($AL235:$AP235&gt;AL235))+SUMPRODUCT(--($AL235:AL235=AL235))=2,1,IF(SUMPRODUCT(--($AL235:$AP235&gt;AM235))+SUMPRODUCT(--($AL235:AM235=AM235))=2,2,IF(SUMPRODUCT(--($AL235:$AP235&gt;AN235))+SUMPRODUCT(--($AL235:AN235=AN235))=2,3,IF(SUMPRODUCT(--($AL235:$AP235&gt;AO235))+SUMPRODUCT(--($AL235:AO235=AO235))=2,4,5)))),"")</f>
        <v/>
      </c>
      <c r="AS235" s="87" t="str">
        <f aca="false">IF($AJ235=Constants!$B$7,IF(SUMPRODUCT(--($AL235:$AP235&gt;AL235))+SUMPRODUCT(--($AL235:AL235=AL235))=3,1,IF(SUMPRODUCT(--($AL235:$AP235&gt;AM235))+SUMPRODUCT(--($AL235:AM235=AM235))=3,2,IF(SUMPRODUCT(--($AL235:$AP235&gt;AN235))+SUMPRODUCT(--($AL235:AN235=AN235))=3,3,IF(SUMPRODUCT(--($AL235:$AP235&gt;AO235))+SUMPRODUCT(--($AL235:AO235=AO235))=3,4,5)))),"")</f>
        <v/>
      </c>
      <c r="AT235" s="87" t="str">
        <f aca="false">IF($AJ235=Constants!$B$7,LARGE(AL235:AP235,1)+LARGE(AL235:AP235,2)+LARGE(AL235:AP235,3),"")</f>
        <v/>
      </c>
      <c r="AU235" s="87" t="str">
        <f aca="false">IF(ISBLANK($C235),"",IF($AJ235&lt;&gt;Constants!$B$7,$AJ235,AT235*W235))</f>
        <v/>
      </c>
      <c r="AV235" s="87" t="str">
        <f aca="false">IF(ISBLANK($C235),"",IF($AJ235=Constants!$B$7,IF(ISNUMBER(AU235),RANK(AU235,$AU$8:$AU$507),Constants!$B$14),$AJ235))</f>
        <v/>
      </c>
      <c r="AW235" s="87" t="str">
        <f aca="false">IF(ISBLANK($C235),"",IF($AJ235=Constants!$B$7,IF(ISNUMBER(AV235),COUNTIFS($AK$8:$AK$507,"&lt;"&amp;$AK235)+COUNTIFS($AK$8:$AK$507,$AK235,$AV$8:$AV$507,"&lt;"&amp;$AV235)+1,Constants!$B$14),$AJ235))</f>
        <v/>
      </c>
      <c r="AX235" s="87" t="str">
        <f aca="false">IF(ISBLANK($C235),"",IF($AJ235=Constants!$B$7,LARGE(AL235:AP235,4)*W235,""))</f>
        <v/>
      </c>
      <c r="AY235" s="87" t="str">
        <f aca="false">IF(ISBLANK($C235),"",IF($AJ235=Constants!$B$7,RANK(AX235,$AX$8:$AX$507),$AJ235))</f>
        <v/>
      </c>
      <c r="AZ235" s="87" t="str">
        <f aca="false">IF(ISBLANK($C235),"",IF($AJ235=Constants!$B$7,IF(ISNUMBER(AV235),COUNTIFS($AK$8:$AK$507,"&lt;"&amp;$AK235)+COUNTIFS($AK$8:$AK$507,$AK235,$AV$8:$AV$507,"&lt;"&amp;$AV235)+COUNTIFS($AK$8:$AK$507,$AK235,$AV$8:$AV$507,$AV235,$AY$8:$AY$507,"&lt;"&amp;$AY235)+1,Constants!$B$14),$AJ235))</f>
        <v/>
      </c>
      <c r="BA235" s="87" t="str">
        <f aca="false">IF(ISBLANK($C235),"",IF($AJ235=Constants!$B$7,IF(ISNUMBER(AW235),AW235-AZ235,Constants!$B$14),$AJ235))</f>
        <v/>
      </c>
      <c r="BB235" s="88"/>
      <c r="BC235" s="89" t="str">
        <f aca="false">IF(ISBLANK($C235),"",IF($AJ235&lt;&gt;Constants!$B$7,$AJ235,SMALL(AQ235:AS235,1)&amp;", "&amp;SMALL(AQ235:AS235,2)&amp;", "&amp;SMALL(AQ235:AS235,3)))</f>
        <v/>
      </c>
      <c r="BD235" s="90" t="str">
        <f aca="false">IF(ISBLANK($C235),"",IF($AJ235&lt;&gt;Constants!$B$7,$AJ235,W235))</f>
        <v/>
      </c>
      <c r="BE235" s="91" t="str">
        <f aca="false">IF(ISBLANK($C235),"",IF($AJ235&lt;&gt;Constants!$B$7,$AJ235,AU235))</f>
        <v/>
      </c>
      <c r="BF235" s="92" t="str">
        <f aca="false">IF(ISBLANK($C235),"",IF($AJ235&lt;&gt;Constants!$B$7,$AJ235,AK235))</f>
        <v/>
      </c>
      <c r="BG235" s="90" t="str">
        <f aca="false">IF(ISBLANK($C235),"",BA235)</f>
        <v/>
      </c>
      <c r="BH235" s="90" t="str">
        <f aca="false">IF(ISBLANK($C235),"",AZ235)</f>
        <v/>
      </c>
      <c r="BI235" s="93" t="str">
        <f aca="false">IF(ISBLANK($C235),"",IF(BH235=Constants!$B$4,COUNTA($C$8:$C$507)+2,IF(BH235=Constants!$B$5,COUNTA($C$8:$C$507)+1,IF(BH235=Constants!$B$6,COUNTA($C$8:$C$507),BH235))))</f>
        <v/>
      </c>
      <c r="BJ235" s="5"/>
      <c r="BK235" s="94" t="n">
        <f aca="false">IF(OR(ISNUMBER(BH235),BH235=Constants!$B$4,BH235=Constants!$B$6,BH235=Constants!$B$5),1,0)</f>
        <v>0</v>
      </c>
      <c r="BL235" s="94" t="n">
        <v>228</v>
      </c>
      <c r="BM235" s="94" t="str">
        <f aca="false">IF(ISBLANK($C235),"",IF(ISNUMBER(BI235),BI235+ROW($B235)/1000,""))</f>
        <v/>
      </c>
      <c r="BN235" s="94" t="str">
        <f aca="false">IF(ISNUMBER(BM235),RANK(BM235,$BM$8:$BM$507,1),"")</f>
        <v/>
      </c>
      <c r="BO235" s="94" t="str">
        <f aca="false">IF(ISBLANK($C235),"",$B235)</f>
        <v/>
      </c>
      <c r="BP235" s="94" t="str">
        <f aca="false">IF(ISBLANK($C235),"",$C235)</f>
        <v/>
      </c>
      <c r="BQ235" s="94" t="str">
        <f aca="false">IF(ISBLANK($C235),"",$D235)</f>
        <v/>
      </c>
      <c r="BR235" s="95" t="str">
        <f aca="false">BF235</f>
        <v/>
      </c>
      <c r="BS235" s="96" t="str">
        <f aca="false">BE235</f>
        <v/>
      </c>
      <c r="BT235" s="94" t="str">
        <f aca="false">IF(ISBLANK($C235),"",BH235)</f>
        <v/>
      </c>
      <c r="BU235" s="97" t="str">
        <f aca="false">IF($BL235&gt;$BK$7,"",VLOOKUP($BL235,$BN$8:$BT$507,7,FALSE()))</f>
        <v/>
      </c>
      <c r="BV235" s="98" t="str">
        <f aca="false">IF($BL235&gt;$BK$7,"",VLOOKUP($BL235,$BN$8:$BT$507,2,FALSE()))</f>
        <v/>
      </c>
      <c r="BW235" s="98" t="str">
        <f aca="false">IF($BL235&gt;$BK$7,"",VLOOKUP($BL235,$BN$8:$BT$507,3,FALSE()))</f>
        <v/>
      </c>
      <c r="BX235" s="98" t="str">
        <f aca="false">IF($BL235&gt;$BK$7,"",VLOOKUP($BL235,$BN$8:$BT$507,4,FALSE()))</f>
        <v/>
      </c>
      <c r="BY235" s="98" t="str">
        <f aca="false">IF($BL235&gt;$BK$7,"",VLOOKUP($BL235,$BN$8:$BT$507,5,FALSE()))</f>
        <v/>
      </c>
      <c r="BZ235" s="99" t="str">
        <f aca="false">IF($BL235&gt;$BK$7,"",VLOOKUP($BL235,$BN$8:$BT$507,6,FALSE()))</f>
        <v/>
      </c>
      <c r="CA235" s="48"/>
    </row>
    <row r="236" customFormat="false" ht="15.75" hidden="false" customHeight="false" outlineLevel="0" collapsed="false">
      <c r="A236" s="5"/>
      <c r="B236" s="121"/>
      <c r="C236" s="50"/>
      <c r="D236" s="51"/>
      <c r="E236" s="74"/>
      <c r="F236" s="122"/>
      <c r="G236" s="54"/>
      <c r="H236" s="123"/>
      <c r="I236" s="124"/>
      <c r="J236" s="54"/>
      <c r="K236" s="123"/>
      <c r="L236" s="54"/>
      <c r="M236" s="123"/>
      <c r="N236" s="54"/>
      <c r="O236" s="123"/>
      <c r="P236" s="54"/>
      <c r="Q236" s="123"/>
      <c r="R236" s="54"/>
      <c r="S236" s="74"/>
      <c r="T236" s="58"/>
      <c r="U236" s="59" t="str">
        <f aca="false">IF(ISBLANK($C236),"",IF(E236=Constants!$B$2, TRUE(), IF(E236=Constants!$B$3, FALSE(), TRUE())))</f>
        <v/>
      </c>
      <c r="V236" s="59" t="str">
        <f aca="false">IF(ISBLANK($C236),"",IF(F236=Constants!$B$2, TRUE(), IF(F236=Constants!$B$3, FALSE(), TRUE())))</f>
        <v/>
      </c>
      <c r="W236" s="59" t="str">
        <f aca="false">IF(ISBLANK($C236),"",IF(G236=Constants!$B$15,Constants!$B$8,IF(G236=Constants!$B$16,Constants!$B$9,Constants!$B$10)))</f>
        <v/>
      </c>
      <c r="X236" s="59" t="str">
        <f aca="false">IF(ISBLANK($C236),"",IF(H236=Constants!$B$2, TRUE(), IF(H236=Constants!$B$3, FALSE(), TRUE())))</f>
        <v/>
      </c>
      <c r="Y236" s="59" t="str">
        <f aca="false">IF(ISBLANK($C236),"",IF(I236=Constants!$B$19,Constants!$B$19,Constants!$B$18))</f>
        <v/>
      </c>
      <c r="Z236" s="59" t="str">
        <f aca="false">IF(ISBLANK($C236),"",IF(ISNUMBER(J236),IF(J236&gt;=0,J236,""),""))</f>
        <v/>
      </c>
      <c r="AA236" s="59" t="str">
        <f aca="false">IF(ISBLANK($C236),"",IF(K236=Constants!$B$19,Constants!$B$19,Constants!$B$18))</f>
        <v/>
      </c>
      <c r="AB236" s="59" t="str">
        <f aca="false">IF(ISBLANK($C236),"",IF(ISNUMBER(L236),IF(L236&gt;=0,L236,""),""))</f>
        <v/>
      </c>
      <c r="AC236" s="59" t="str">
        <f aca="false">IF(ISBLANK($C236),"",IF(M236=Constants!$B$19,Constants!$B$19,Constants!$B$18))</f>
        <v/>
      </c>
      <c r="AD236" s="59" t="str">
        <f aca="false">IF(ISBLANK($C236),"",IF(ISNUMBER(N236),IF(N236&gt;=0,N236,""),""))</f>
        <v/>
      </c>
      <c r="AE236" s="59" t="str">
        <f aca="false">IF(ISBLANK($C236),"",IF(O236=Constants!$B$19,Constants!$B$19,Constants!$B$18))</f>
        <v/>
      </c>
      <c r="AF236" s="59" t="str">
        <f aca="false">IF(ISBLANK($C236),"",IF(ISNUMBER(P236),IF(P236&gt;=0,P236,""),""))</f>
        <v/>
      </c>
      <c r="AG236" s="59" t="str">
        <f aca="false">IF(ISBLANK($C236),"",IF(Q236=Constants!$B$19,Constants!$B$19,Constants!$B$18))</f>
        <v/>
      </c>
      <c r="AH236" s="59" t="str">
        <f aca="false">IF(ISBLANK($C236),"",IF(ISNUMBER(R236),IF(R236&gt;=0,R236,""),""))</f>
        <v/>
      </c>
      <c r="AI236" s="59" t="str">
        <f aca="false">IF(ISBLANK($C236),"",IF(S236=Constants!$B$2, TRUE(), IF(S236=Constants!$B$3, FALSE(), FALSE())))</f>
        <v/>
      </c>
      <c r="AJ236" s="59" t="str">
        <f aca="false">IF(ISBLANK($C236),"",IF(AI236,Constants!$B$4,IF(COUNTA(E236:R236)=0,Constants!$B$5,IF(COUNTA(J236,L236,N236,P236,R236)=0,Constants!$B$6,Constants!$B$7))))</f>
        <v/>
      </c>
      <c r="AK236" s="59" t="str">
        <f aca="false">IF(ISBLANK($C236),"",IF($AJ236&lt;&gt;Constants!$B$7,$AJ236,IF(OR(NOT(X236),AND(NOT(U236),COUNTIFS(Y236:AG236,Constants!$B$18,Z236:AH236,"&gt;=0")&gt;0),AND(NOT(V236),COUNTIFS(Y236:AG236,Constants!$B$19,Z236:AH236,"&gt;=0")&gt;0)),Constants!$B$12,Constants!$B$11)))</f>
        <v/>
      </c>
      <c r="AL236" s="59" t="str">
        <f aca="false">IF($AJ236=Constants!$B$7,IF(Z236="",Constants!$B$13,Z236),"")</f>
        <v/>
      </c>
      <c r="AM236" s="59" t="str">
        <f aca="false">IF($AJ236=Constants!$B$7,IF(AB236="",Constants!$B$13,AB236),"")</f>
        <v/>
      </c>
      <c r="AN236" s="59" t="str">
        <f aca="false">IF($AJ236=Constants!$B$7,IF(AD236="",Constants!$B$13,AD236),"")</f>
        <v/>
      </c>
      <c r="AO236" s="59" t="str">
        <f aca="false">IF($AJ236=Constants!$B$7,IF(AF236="",Constants!$B$13,AF236),"")</f>
        <v/>
      </c>
      <c r="AP236" s="59" t="str">
        <f aca="false">IF($AJ236=Constants!$B$7,IF(AH236="",Constants!$B$13,AH236),"")</f>
        <v/>
      </c>
      <c r="AQ236" s="59" t="str">
        <f aca="false">IF($AJ236=Constants!$B$7,IF(SUMPRODUCT(--($AL236:$AP236&gt;AL236))+SUMPRODUCT(--($AL236:AL236=AL236))=1,1,IF(SUMPRODUCT(--($AL236:$AP236&gt;AM236))+SUMPRODUCT(--($AL236:AM236=AM236))=1,2,IF(SUMPRODUCT(--($AL236:$AP236&gt;AN236))+SUMPRODUCT(--($AL236:AN236=AN236))=1,3,IF(SUMPRODUCT(--($AL236:$AP236&gt;AO236))+SUMPRODUCT(--($AL236:AO236=AO236))=1,4,5)))),"")</f>
        <v/>
      </c>
      <c r="AR236" s="59" t="str">
        <f aca="false">IF($AJ236=Constants!$B$7,IF(SUMPRODUCT(--($AL236:$AP236&gt;AL236))+SUMPRODUCT(--($AL236:AL236=AL236))=2,1,IF(SUMPRODUCT(--($AL236:$AP236&gt;AM236))+SUMPRODUCT(--($AL236:AM236=AM236))=2,2,IF(SUMPRODUCT(--($AL236:$AP236&gt;AN236))+SUMPRODUCT(--($AL236:AN236=AN236))=2,3,IF(SUMPRODUCT(--($AL236:$AP236&gt;AO236))+SUMPRODUCT(--($AL236:AO236=AO236))=2,4,5)))),"")</f>
        <v/>
      </c>
      <c r="AS236" s="59" t="str">
        <f aca="false">IF($AJ236=Constants!$B$7,IF(SUMPRODUCT(--($AL236:$AP236&gt;AL236))+SUMPRODUCT(--($AL236:AL236=AL236))=3,1,IF(SUMPRODUCT(--($AL236:$AP236&gt;AM236))+SUMPRODUCT(--($AL236:AM236=AM236))=3,2,IF(SUMPRODUCT(--($AL236:$AP236&gt;AN236))+SUMPRODUCT(--($AL236:AN236=AN236))=3,3,IF(SUMPRODUCT(--($AL236:$AP236&gt;AO236))+SUMPRODUCT(--($AL236:AO236=AO236))=3,4,5)))),"")</f>
        <v/>
      </c>
      <c r="AT236" s="59" t="str">
        <f aca="false">IF($AJ236=Constants!$B$7,LARGE(AL236:AP236,1)+LARGE(AL236:AP236,2)+LARGE(AL236:AP236,3),"")</f>
        <v/>
      </c>
      <c r="AU236" s="59" t="str">
        <f aca="false">IF(ISBLANK($C236),"",IF($AJ236&lt;&gt;Constants!$B$7,$AJ236,AT236*W236))</f>
        <v/>
      </c>
      <c r="AV236" s="59" t="str">
        <f aca="false">IF(ISBLANK($C236),"",IF($AJ236=Constants!$B$7,IF(ISNUMBER(AU236),RANK(AU236,$AU$8:$AU$507),Constants!$B$14),$AJ236))</f>
        <v/>
      </c>
      <c r="AW236" s="59" t="str">
        <f aca="false">IF(ISBLANK($C236),"",IF($AJ236=Constants!$B$7,IF(ISNUMBER(AV236),COUNTIFS($AK$8:$AK$507,"&lt;"&amp;$AK236)+COUNTIFS($AK$8:$AK$507,$AK236,$AV$8:$AV$507,"&lt;"&amp;$AV236)+1,Constants!$B$14),$AJ236))</f>
        <v/>
      </c>
      <c r="AX236" s="59" t="str">
        <f aca="false">IF(ISBLANK($C236),"",IF($AJ236=Constants!$B$7,LARGE(AL236:AP236,4)*W236,""))</f>
        <v/>
      </c>
      <c r="AY236" s="59" t="str">
        <f aca="false">IF(ISBLANK($C236),"",IF($AJ236=Constants!$B$7,RANK(AX236,$AX$8:$AX$507),$AJ236))</f>
        <v/>
      </c>
      <c r="AZ236" s="59" t="str">
        <f aca="false">IF(ISBLANK($C236),"",IF($AJ236=Constants!$B$7,IF(ISNUMBER(AV236),COUNTIFS($AK$8:$AK$507,"&lt;"&amp;$AK236)+COUNTIFS($AK$8:$AK$507,$AK236,$AV$8:$AV$507,"&lt;"&amp;$AV236)+COUNTIFS($AK$8:$AK$507,$AK236,$AV$8:$AV$507,$AV236,$AY$8:$AY$507,"&lt;"&amp;$AY236)+1,Constants!$B$14),$AJ236))</f>
        <v/>
      </c>
      <c r="BA236" s="59" t="str">
        <f aca="false">IF(ISBLANK($C236),"",IF($AJ236=Constants!$B$7,IF(ISNUMBER(AW236),AW236-AZ236,Constants!$B$14),$AJ236))</f>
        <v/>
      </c>
      <c r="BB236" s="61"/>
      <c r="BC236" s="62" t="str">
        <f aca="false">IF(ISBLANK($C236),"",IF($AJ236&lt;&gt;Constants!$B$7,$AJ236,SMALL(AQ236:AS236,1)&amp;", "&amp;SMALL(AQ236:AS236,2)&amp;", "&amp;SMALL(AQ236:AS236,3)))</f>
        <v/>
      </c>
      <c r="BD236" s="63" t="str">
        <f aca="false">IF(ISBLANK($C236),"",IF($AJ236&lt;&gt;Constants!$B$7,$AJ236,W236))</f>
        <v/>
      </c>
      <c r="BE236" s="64" t="str">
        <f aca="false">IF(ISBLANK($C236),"",IF($AJ236&lt;&gt;Constants!$B$7,$AJ236,AU236))</f>
        <v/>
      </c>
      <c r="BF236" s="65" t="str">
        <f aca="false">IF(ISBLANK($C236),"",IF($AJ236&lt;&gt;Constants!$B$7,$AJ236,AK236))</f>
        <v/>
      </c>
      <c r="BG236" s="63" t="str">
        <f aca="false">IF(ISBLANK($C236),"",BA236)</f>
        <v/>
      </c>
      <c r="BH236" s="63" t="str">
        <f aca="false">IF(ISBLANK($C236),"",AZ236)</f>
        <v/>
      </c>
      <c r="BI236" s="66" t="str">
        <f aca="false">IF(ISBLANK($C236),"",IF(BH236=Constants!$B$4,COUNTA($C$8:$C$507)+2,IF(BH236=Constants!$B$5,COUNTA($C$8:$C$507)+1,IF(BH236=Constants!$B$6,COUNTA($C$8:$C$507),BH236))))</f>
        <v/>
      </c>
      <c r="BJ236" s="5"/>
      <c r="BK236" s="67" t="n">
        <f aca="false">IF(OR(ISNUMBER(BH236),BH236=Constants!$B$4,BH236=Constants!$B$6,BH236=Constants!$B$5),1,0)</f>
        <v>0</v>
      </c>
      <c r="BL236" s="67" t="n">
        <v>229</v>
      </c>
      <c r="BM236" s="67" t="str">
        <f aca="false">IF(ISBLANK($C236),"",IF(ISNUMBER(BI236),BI236+ROW($B236)/1000,""))</f>
        <v/>
      </c>
      <c r="BN236" s="67" t="str">
        <f aca="false">IF(ISNUMBER(BM236),RANK(BM236,$BM$8:$BM$507,1),"")</f>
        <v/>
      </c>
      <c r="BO236" s="67" t="str">
        <f aca="false">IF(ISBLANK($C236),"",$B236)</f>
        <v/>
      </c>
      <c r="BP236" s="67" t="str">
        <f aca="false">IF(ISBLANK($C236),"",$C236)</f>
        <v/>
      </c>
      <c r="BQ236" s="67" t="str">
        <f aca="false">IF(ISBLANK($C236),"",$D236)</f>
        <v/>
      </c>
      <c r="BR236" s="68" t="str">
        <f aca="false">BF236</f>
        <v/>
      </c>
      <c r="BS236" s="69" t="str">
        <f aca="false">BE236</f>
        <v/>
      </c>
      <c r="BT236" s="67" t="str">
        <f aca="false">IF(ISBLANK($C236),"",BH236)</f>
        <v/>
      </c>
      <c r="BU236" s="70" t="str">
        <f aca="false">IF($BL236&gt;$BK$7,"",VLOOKUP($BL236,$BN$8:$BT$507,7,FALSE()))</f>
        <v/>
      </c>
      <c r="BV236" s="71" t="str">
        <f aca="false">IF($BL236&gt;$BK$7,"",VLOOKUP($BL236,$BN$8:$BT$507,2,FALSE()))</f>
        <v/>
      </c>
      <c r="BW236" s="71" t="str">
        <f aca="false">IF($BL236&gt;$BK$7,"",VLOOKUP($BL236,$BN$8:$BT$507,3,FALSE()))</f>
        <v/>
      </c>
      <c r="BX236" s="71" t="str">
        <f aca="false">IF($BL236&gt;$BK$7,"",VLOOKUP($BL236,$BN$8:$BT$507,4,FALSE()))</f>
        <v/>
      </c>
      <c r="BY236" s="71" t="str">
        <f aca="false">IF($BL236&gt;$BK$7,"",VLOOKUP($BL236,$BN$8:$BT$507,5,FALSE()))</f>
        <v/>
      </c>
      <c r="BZ236" s="72" t="str">
        <f aca="false">IF($BL236&gt;$BK$7,"",VLOOKUP($BL236,$BN$8:$BT$507,6,FALSE()))</f>
        <v/>
      </c>
      <c r="CA236" s="48"/>
    </row>
    <row r="237" customFormat="false" ht="15.75" hidden="false" customHeight="false" outlineLevel="0" collapsed="false">
      <c r="A237" s="5"/>
      <c r="B237" s="121"/>
      <c r="C237" s="50"/>
      <c r="D237" s="51"/>
      <c r="E237" s="74"/>
      <c r="F237" s="122"/>
      <c r="G237" s="54"/>
      <c r="H237" s="123"/>
      <c r="I237" s="124"/>
      <c r="J237" s="54"/>
      <c r="K237" s="123"/>
      <c r="L237" s="54"/>
      <c r="M237" s="123"/>
      <c r="N237" s="54"/>
      <c r="O237" s="123"/>
      <c r="P237" s="54"/>
      <c r="Q237" s="123"/>
      <c r="R237" s="54"/>
      <c r="S237" s="74"/>
      <c r="T237" s="58"/>
      <c r="U237" s="59" t="str">
        <f aca="false">IF(ISBLANK($C237),"",IF(E237=Constants!$B$2, TRUE(), IF(E237=Constants!$B$3, FALSE(), TRUE())))</f>
        <v/>
      </c>
      <c r="V237" s="59" t="str">
        <f aca="false">IF(ISBLANK($C237),"",IF(F237=Constants!$B$2, TRUE(), IF(F237=Constants!$B$3, FALSE(), TRUE())))</f>
        <v/>
      </c>
      <c r="W237" s="59" t="str">
        <f aca="false">IF(ISBLANK($C237),"",IF(G237=Constants!$B$15,Constants!$B$8,IF(G237=Constants!$B$16,Constants!$B$9,Constants!$B$10)))</f>
        <v/>
      </c>
      <c r="X237" s="59" t="str">
        <f aca="false">IF(ISBLANK($C237),"",IF(H237=Constants!$B$2, TRUE(), IF(H237=Constants!$B$3, FALSE(), TRUE())))</f>
        <v/>
      </c>
      <c r="Y237" s="59" t="str">
        <f aca="false">IF(ISBLANK($C237),"",IF(I237=Constants!$B$19,Constants!$B$19,Constants!$B$18))</f>
        <v/>
      </c>
      <c r="Z237" s="59" t="str">
        <f aca="false">IF(ISBLANK($C237),"",IF(ISNUMBER(J237),IF(J237&gt;=0,J237,""),""))</f>
        <v/>
      </c>
      <c r="AA237" s="59" t="str">
        <f aca="false">IF(ISBLANK($C237),"",IF(K237=Constants!$B$19,Constants!$B$19,Constants!$B$18))</f>
        <v/>
      </c>
      <c r="AB237" s="59" t="str">
        <f aca="false">IF(ISBLANK($C237),"",IF(ISNUMBER(L237),IF(L237&gt;=0,L237,""),""))</f>
        <v/>
      </c>
      <c r="AC237" s="59" t="str">
        <f aca="false">IF(ISBLANK($C237),"",IF(M237=Constants!$B$19,Constants!$B$19,Constants!$B$18))</f>
        <v/>
      </c>
      <c r="AD237" s="59" t="str">
        <f aca="false">IF(ISBLANK($C237),"",IF(ISNUMBER(N237),IF(N237&gt;=0,N237,""),""))</f>
        <v/>
      </c>
      <c r="AE237" s="59" t="str">
        <f aca="false">IF(ISBLANK($C237),"",IF(O237=Constants!$B$19,Constants!$B$19,Constants!$B$18))</f>
        <v/>
      </c>
      <c r="AF237" s="59" t="str">
        <f aca="false">IF(ISBLANK($C237),"",IF(ISNUMBER(P237),IF(P237&gt;=0,P237,""),""))</f>
        <v/>
      </c>
      <c r="AG237" s="59" t="str">
        <f aca="false">IF(ISBLANK($C237),"",IF(Q237=Constants!$B$19,Constants!$B$19,Constants!$B$18))</f>
        <v/>
      </c>
      <c r="AH237" s="59" t="str">
        <f aca="false">IF(ISBLANK($C237),"",IF(ISNUMBER(R237),IF(R237&gt;=0,R237,""),""))</f>
        <v/>
      </c>
      <c r="AI237" s="59" t="str">
        <f aca="false">IF(ISBLANK($C237),"",IF(S237=Constants!$B$2, TRUE(), IF(S237=Constants!$B$3, FALSE(), FALSE())))</f>
        <v/>
      </c>
      <c r="AJ237" s="59" t="str">
        <f aca="false">IF(ISBLANK($C237),"",IF(AI237,Constants!$B$4,IF(COUNTA(E237:R237)=0,Constants!$B$5,IF(COUNTA(J237,L237,N237,P237,R237)=0,Constants!$B$6,Constants!$B$7))))</f>
        <v/>
      </c>
      <c r="AK237" s="59" t="str">
        <f aca="false">IF(ISBLANK($C237),"",IF($AJ237&lt;&gt;Constants!$B$7,$AJ237,IF(OR(NOT(X237),AND(NOT(U237),COUNTIFS(Y237:AG237,Constants!$B$18,Z237:AH237,"&gt;=0")&gt;0),AND(NOT(V237),COUNTIFS(Y237:AG237,Constants!$B$19,Z237:AH237,"&gt;=0")&gt;0)),Constants!$B$12,Constants!$B$11)))</f>
        <v/>
      </c>
      <c r="AL237" s="59" t="str">
        <f aca="false">IF($AJ237=Constants!$B$7,IF(Z237="",Constants!$B$13,Z237),"")</f>
        <v/>
      </c>
      <c r="AM237" s="59" t="str">
        <f aca="false">IF($AJ237=Constants!$B$7,IF(AB237="",Constants!$B$13,AB237),"")</f>
        <v/>
      </c>
      <c r="AN237" s="59" t="str">
        <f aca="false">IF($AJ237=Constants!$B$7,IF(AD237="",Constants!$B$13,AD237),"")</f>
        <v/>
      </c>
      <c r="AO237" s="59" t="str">
        <f aca="false">IF($AJ237=Constants!$B$7,IF(AF237="",Constants!$B$13,AF237),"")</f>
        <v/>
      </c>
      <c r="AP237" s="59" t="str">
        <f aca="false">IF($AJ237=Constants!$B$7,IF(AH237="",Constants!$B$13,AH237),"")</f>
        <v/>
      </c>
      <c r="AQ237" s="59" t="str">
        <f aca="false">IF($AJ237=Constants!$B$7,IF(SUMPRODUCT(--($AL237:$AP237&gt;AL237))+SUMPRODUCT(--($AL237:AL237=AL237))=1,1,IF(SUMPRODUCT(--($AL237:$AP237&gt;AM237))+SUMPRODUCT(--($AL237:AM237=AM237))=1,2,IF(SUMPRODUCT(--($AL237:$AP237&gt;AN237))+SUMPRODUCT(--($AL237:AN237=AN237))=1,3,IF(SUMPRODUCT(--($AL237:$AP237&gt;AO237))+SUMPRODUCT(--($AL237:AO237=AO237))=1,4,5)))),"")</f>
        <v/>
      </c>
      <c r="AR237" s="59" t="str">
        <f aca="false">IF($AJ237=Constants!$B$7,IF(SUMPRODUCT(--($AL237:$AP237&gt;AL237))+SUMPRODUCT(--($AL237:AL237=AL237))=2,1,IF(SUMPRODUCT(--($AL237:$AP237&gt;AM237))+SUMPRODUCT(--($AL237:AM237=AM237))=2,2,IF(SUMPRODUCT(--($AL237:$AP237&gt;AN237))+SUMPRODUCT(--($AL237:AN237=AN237))=2,3,IF(SUMPRODUCT(--($AL237:$AP237&gt;AO237))+SUMPRODUCT(--($AL237:AO237=AO237))=2,4,5)))),"")</f>
        <v/>
      </c>
      <c r="AS237" s="59" t="str">
        <f aca="false">IF($AJ237=Constants!$B$7,IF(SUMPRODUCT(--($AL237:$AP237&gt;AL237))+SUMPRODUCT(--($AL237:AL237=AL237))=3,1,IF(SUMPRODUCT(--($AL237:$AP237&gt;AM237))+SUMPRODUCT(--($AL237:AM237=AM237))=3,2,IF(SUMPRODUCT(--($AL237:$AP237&gt;AN237))+SUMPRODUCT(--($AL237:AN237=AN237))=3,3,IF(SUMPRODUCT(--($AL237:$AP237&gt;AO237))+SUMPRODUCT(--($AL237:AO237=AO237))=3,4,5)))),"")</f>
        <v/>
      </c>
      <c r="AT237" s="59" t="str">
        <f aca="false">IF($AJ237=Constants!$B$7,LARGE(AL237:AP237,1)+LARGE(AL237:AP237,2)+LARGE(AL237:AP237,3),"")</f>
        <v/>
      </c>
      <c r="AU237" s="59" t="str">
        <f aca="false">IF(ISBLANK($C237),"",IF($AJ237&lt;&gt;Constants!$B$7,$AJ237,AT237*W237))</f>
        <v/>
      </c>
      <c r="AV237" s="59" t="str">
        <f aca="false">IF(ISBLANK($C237),"",IF($AJ237=Constants!$B$7,IF(ISNUMBER(AU237),RANK(AU237,$AU$8:$AU$507),Constants!$B$14),$AJ237))</f>
        <v/>
      </c>
      <c r="AW237" s="59" t="str">
        <f aca="false">IF(ISBLANK($C237),"",IF($AJ237=Constants!$B$7,IF(ISNUMBER(AV237),COUNTIFS($AK$8:$AK$507,"&lt;"&amp;$AK237)+COUNTIFS($AK$8:$AK$507,$AK237,$AV$8:$AV$507,"&lt;"&amp;$AV237)+1,Constants!$B$14),$AJ237))</f>
        <v/>
      </c>
      <c r="AX237" s="59" t="str">
        <f aca="false">IF(ISBLANK($C237),"",IF($AJ237=Constants!$B$7,LARGE(AL237:AP237,4)*W237,""))</f>
        <v/>
      </c>
      <c r="AY237" s="59" t="str">
        <f aca="false">IF(ISBLANK($C237),"",IF($AJ237=Constants!$B$7,RANK(AX237,$AX$8:$AX$507),$AJ237))</f>
        <v/>
      </c>
      <c r="AZ237" s="59" t="str">
        <f aca="false">IF(ISBLANK($C237),"",IF($AJ237=Constants!$B$7,IF(ISNUMBER(AV237),COUNTIFS($AK$8:$AK$507,"&lt;"&amp;$AK237)+COUNTIFS($AK$8:$AK$507,$AK237,$AV$8:$AV$507,"&lt;"&amp;$AV237)+COUNTIFS($AK$8:$AK$507,$AK237,$AV$8:$AV$507,$AV237,$AY$8:$AY$507,"&lt;"&amp;$AY237)+1,Constants!$B$14),$AJ237))</f>
        <v/>
      </c>
      <c r="BA237" s="59" t="str">
        <f aca="false">IF(ISBLANK($C237),"",IF($AJ237=Constants!$B$7,IF(ISNUMBER(AW237),AW237-AZ237,Constants!$B$14),$AJ237))</f>
        <v/>
      </c>
      <c r="BB237" s="61"/>
      <c r="BC237" s="62" t="str">
        <f aca="false">IF(ISBLANK($C237),"",IF($AJ237&lt;&gt;Constants!$B$7,$AJ237,SMALL(AQ237:AS237,1)&amp;", "&amp;SMALL(AQ237:AS237,2)&amp;", "&amp;SMALL(AQ237:AS237,3)))</f>
        <v/>
      </c>
      <c r="BD237" s="63" t="str">
        <f aca="false">IF(ISBLANK($C237),"",IF($AJ237&lt;&gt;Constants!$B$7,$AJ237,W237))</f>
        <v/>
      </c>
      <c r="BE237" s="64" t="str">
        <f aca="false">IF(ISBLANK($C237),"",IF($AJ237&lt;&gt;Constants!$B$7,$AJ237,AU237))</f>
        <v/>
      </c>
      <c r="BF237" s="65" t="str">
        <f aca="false">IF(ISBLANK($C237),"",IF($AJ237&lt;&gt;Constants!$B$7,$AJ237,AK237))</f>
        <v/>
      </c>
      <c r="BG237" s="63" t="str">
        <f aca="false">IF(ISBLANK($C237),"",BA237)</f>
        <v/>
      </c>
      <c r="BH237" s="63" t="str">
        <f aca="false">IF(ISBLANK($C237),"",AZ237)</f>
        <v/>
      </c>
      <c r="BI237" s="66" t="str">
        <f aca="false">IF(ISBLANK($C237),"",IF(BH237=Constants!$B$4,COUNTA($C$8:$C$507)+2,IF(BH237=Constants!$B$5,COUNTA($C$8:$C$507)+1,IF(BH237=Constants!$B$6,COUNTA($C$8:$C$507),BH237))))</f>
        <v/>
      </c>
      <c r="BJ237" s="5"/>
      <c r="BK237" s="67" t="n">
        <f aca="false">IF(OR(ISNUMBER(BH237),BH237=Constants!$B$4,BH237=Constants!$B$6,BH237=Constants!$B$5),1,0)</f>
        <v>0</v>
      </c>
      <c r="BL237" s="67" t="n">
        <v>230</v>
      </c>
      <c r="BM237" s="67" t="str">
        <f aca="false">IF(ISBLANK($C237),"",IF(ISNUMBER(BI237),BI237+ROW($B237)/1000,""))</f>
        <v/>
      </c>
      <c r="BN237" s="67" t="str">
        <f aca="false">IF(ISNUMBER(BM237),RANK(BM237,$BM$8:$BM$507,1),"")</f>
        <v/>
      </c>
      <c r="BO237" s="67" t="str">
        <f aca="false">IF(ISBLANK($C237),"",$B237)</f>
        <v/>
      </c>
      <c r="BP237" s="67" t="str">
        <f aca="false">IF(ISBLANK($C237),"",$C237)</f>
        <v/>
      </c>
      <c r="BQ237" s="67" t="str">
        <f aca="false">IF(ISBLANK($C237),"",$D237)</f>
        <v/>
      </c>
      <c r="BR237" s="68" t="str">
        <f aca="false">BF237</f>
        <v/>
      </c>
      <c r="BS237" s="69" t="str">
        <f aca="false">BE237</f>
        <v/>
      </c>
      <c r="BT237" s="67" t="str">
        <f aca="false">IF(ISBLANK($C237),"",BH237)</f>
        <v/>
      </c>
      <c r="BU237" s="70" t="str">
        <f aca="false">IF($BL237&gt;$BK$7,"",VLOOKUP($BL237,$BN$8:$BT$507,7,FALSE()))</f>
        <v/>
      </c>
      <c r="BV237" s="71" t="str">
        <f aca="false">IF($BL237&gt;$BK$7,"",VLOOKUP($BL237,$BN$8:$BT$507,2,FALSE()))</f>
        <v/>
      </c>
      <c r="BW237" s="71" t="str">
        <f aca="false">IF($BL237&gt;$BK$7,"",VLOOKUP($BL237,$BN$8:$BT$507,3,FALSE()))</f>
        <v/>
      </c>
      <c r="BX237" s="71" t="str">
        <f aca="false">IF($BL237&gt;$BK$7,"",VLOOKUP($BL237,$BN$8:$BT$507,4,FALSE()))</f>
        <v/>
      </c>
      <c r="BY237" s="71" t="str">
        <f aca="false">IF($BL237&gt;$BK$7,"",VLOOKUP($BL237,$BN$8:$BT$507,5,FALSE()))</f>
        <v/>
      </c>
      <c r="BZ237" s="72" t="str">
        <f aca="false">IF($BL237&gt;$BK$7,"",VLOOKUP($BL237,$BN$8:$BT$507,6,FALSE()))</f>
        <v/>
      </c>
      <c r="CA237" s="48"/>
    </row>
    <row r="238" customFormat="false" ht="15.75" hidden="false" customHeight="false" outlineLevel="0" collapsed="false">
      <c r="A238" s="5"/>
      <c r="B238" s="121"/>
      <c r="C238" s="50"/>
      <c r="D238" s="51"/>
      <c r="E238" s="74"/>
      <c r="F238" s="122"/>
      <c r="G238" s="54"/>
      <c r="H238" s="123"/>
      <c r="I238" s="124"/>
      <c r="J238" s="54"/>
      <c r="K238" s="123"/>
      <c r="L238" s="54"/>
      <c r="M238" s="123"/>
      <c r="N238" s="54"/>
      <c r="O238" s="123"/>
      <c r="P238" s="54"/>
      <c r="Q238" s="123"/>
      <c r="R238" s="54"/>
      <c r="S238" s="74"/>
      <c r="T238" s="58"/>
      <c r="U238" s="59" t="str">
        <f aca="false">IF(ISBLANK($C238),"",IF(E238=Constants!$B$2, TRUE(), IF(E238=Constants!$B$3, FALSE(), TRUE())))</f>
        <v/>
      </c>
      <c r="V238" s="59" t="str">
        <f aca="false">IF(ISBLANK($C238),"",IF(F238=Constants!$B$2, TRUE(), IF(F238=Constants!$B$3, FALSE(), TRUE())))</f>
        <v/>
      </c>
      <c r="W238" s="59" t="str">
        <f aca="false">IF(ISBLANK($C238),"",IF(G238=Constants!$B$15,Constants!$B$8,IF(G238=Constants!$B$16,Constants!$B$9,Constants!$B$10)))</f>
        <v/>
      </c>
      <c r="X238" s="59" t="str">
        <f aca="false">IF(ISBLANK($C238),"",IF(H238=Constants!$B$2, TRUE(), IF(H238=Constants!$B$3, FALSE(), TRUE())))</f>
        <v/>
      </c>
      <c r="Y238" s="59" t="str">
        <f aca="false">IF(ISBLANK($C238),"",IF(I238=Constants!$B$19,Constants!$B$19,Constants!$B$18))</f>
        <v/>
      </c>
      <c r="Z238" s="59" t="str">
        <f aca="false">IF(ISBLANK($C238),"",IF(ISNUMBER(J238),IF(J238&gt;=0,J238,""),""))</f>
        <v/>
      </c>
      <c r="AA238" s="59" t="str">
        <f aca="false">IF(ISBLANK($C238),"",IF(K238=Constants!$B$19,Constants!$B$19,Constants!$B$18))</f>
        <v/>
      </c>
      <c r="AB238" s="59" t="str">
        <f aca="false">IF(ISBLANK($C238),"",IF(ISNUMBER(L238),IF(L238&gt;=0,L238,""),""))</f>
        <v/>
      </c>
      <c r="AC238" s="59" t="str">
        <f aca="false">IF(ISBLANK($C238),"",IF(M238=Constants!$B$19,Constants!$B$19,Constants!$B$18))</f>
        <v/>
      </c>
      <c r="AD238" s="59" t="str">
        <f aca="false">IF(ISBLANK($C238),"",IF(ISNUMBER(N238),IF(N238&gt;=0,N238,""),""))</f>
        <v/>
      </c>
      <c r="AE238" s="59" t="str">
        <f aca="false">IF(ISBLANK($C238),"",IF(O238=Constants!$B$19,Constants!$B$19,Constants!$B$18))</f>
        <v/>
      </c>
      <c r="AF238" s="59" t="str">
        <f aca="false">IF(ISBLANK($C238),"",IF(ISNUMBER(P238),IF(P238&gt;=0,P238,""),""))</f>
        <v/>
      </c>
      <c r="AG238" s="59" t="str">
        <f aca="false">IF(ISBLANK($C238),"",IF(Q238=Constants!$B$19,Constants!$B$19,Constants!$B$18))</f>
        <v/>
      </c>
      <c r="AH238" s="59" t="str">
        <f aca="false">IF(ISBLANK($C238),"",IF(ISNUMBER(R238),IF(R238&gt;=0,R238,""),""))</f>
        <v/>
      </c>
      <c r="AI238" s="59" t="str">
        <f aca="false">IF(ISBLANK($C238),"",IF(S238=Constants!$B$2, TRUE(), IF(S238=Constants!$B$3, FALSE(), FALSE())))</f>
        <v/>
      </c>
      <c r="AJ238" s="59" t="str">
        <f aca="false">IF(ISBLANK($C238),"",IF(AI238,Constants!$B$4,IF(COUNTA(E238:R238)=0,Constants!$B$5,IF(COUNTA(J238,L238,N238,P238,R238)=0,Constants!$B$6,Constants!$B$7))))</f>
        <v/>
      </c>
      <c r="AK238" s="59" t="str">
        <f aca="false">IF(ISBLANK($C238),"",IF($AJ238&lt;&gt;Constants!$B$7,$AJ238,IF(OR(NOT(X238),AND(NOT(U238),COUNTIFS(Y238:AG238,Constants!$B$18,Z238:AH238,"&gt;=0")&gt;0),AND(NOT(V238),COUNTIFS(Y238:AG238,Constants!$B$19,Z238:AH238,"&gt;=0")&gt;0)),Constants!$B$12,Constants!$B$11)))</f>
        <v/>
      </c>
      <c r="AL238" s="59" t="str">
        <f aca="false">IF($AJ238=Constants!$B$7,IF(Z238="",Constants!$B$13,Z238),"")</f>
        <v/>
      </c>
      <c r="AM238" s="59" t="str">
        <f aca="false">IF($AJ238=Constants!$B$7,IF(AB238="",Constants!$B$13,AB238),"")</f>
        <v/>
      </c>
      <c r="AN238" s="59" t="str">
        <f aca="false">IF($AJ238=Constants!$B$7,IF(AD238="",Constants!$B$13,AD238),"")</f>
        <v/>
      </c>
      <c r="AO238" s="59" t="str">
        <f aca="false">IF($AJ238=Constants!$B$7,IF(AF238="",Constants!$B$13,AF238),"")</f>
        <v/>
      </c>
      <c r="AP238" s="59" t="str">
        <f aca="false">IF($AJ238=Constants!$B$7,IF(AH238="",Constants!$B$13,AH238),"")</f>
        <v/>
      </c>
      <c r="AQ238" s="59" t="str">
        <f aca="false">IF($AJ238=Constants!$B$7,IF(SUMPRODUCT(--($AL238:$AP238&gt;AL238))+SUMPRODUCT(--($AL238:AL238=AL238))=1,1,IF(SUMPRODUCT(--($AL238:$AP238&gt;AM238))+SUMPRODUCT(--($AL238:AM238=AM238))=1,2,IF(SUMPRODUCT(--($AL238:$AP238&gt;AN238))+SUMPRODUCT(--($AL238:AN238=AN238))=1,3,IF(SUMPRODUCT(--($AL238:$AP238&gt;AO238))+SUMPRODUCT(--($AL238:AO238=AO238))=1,4,5)))),"")</f>
        <v/>
      </c>
      <c r="AR238" s="59" t="str">
        <f aca="false">IF($AJ238=Constants!$B$7,IF(SUMPRODUCT(--($AL238:$AP238&gt;AL238))+SUMPRODUCT(--($AL238:AL238=AL238))=2,1,IF(SUMPRODUCT(--($AL238:$AP238&gt;AM238))+SUMPRODUCT(--($AL238:AM238=AM238))=2,2,IF(SUMPRODUCT(--($AL238:$AP238&gt;AN238))+SUMPRODUCT(--($AL238:AN238=AN238))=2,3,IF(SUMPRODUCT(--($AL238:$AP238&gt;AO238))+SUMPRODUCT(--($AL238:AO238=AO238))=2,4,5)))),"")</f>
        <v/>
      </c>
      <c r="AS238" s="59" t="str">
        <f aca="false">IF($AJ238=Constants!$B$7,IF(SUMPRODUCT(--($AL238:$AP238&gt;AL238))+SUMPRODUCT(--($AL238:AL238=AL238))=3,1,IF(SUMPRODUCT(--($AL238:$AP238&gt;AM238))+SUMPRODUCT(--($AL238:AM238=AM238))=3,2,IF(SUMPRODUCT(--($AL238:$AP238&gt;AN238))+SUMPRODUCT(--($AL238:AN238=AN238))=3,3,IF(SUMPRODUCT(--($AL238:$AP238&gt;AO238))+SUMPRODUCT(--($AL238:AO238=AO238))=3,4,5)))),"")</f>
        <v/>
      </c>
      <c r="AT238" s="59" t="str">
        <f aca="false">IF($AJ238=Constants!$B$7,LARGE(AL238:AP238,1)+LARGE(AL238:AP238,2)+LARGE(AL238:AP238,3),"")</f>
        <v/>
      </c>
      <c r="AU238" s="59" t="str">
        <f aca="false">IF(ISBLANK($C238),"",IF($AJ238&lt;&gt;Constants!$B$7,$AJ238,AT238*W238))</f>
        <v/>
      </c>
      <c r="AV238" s="59" t="str">
        <f aca="false">IF(ISBLANK($C238),"",IF($AJ238=Constants!$B$7,IF(ISNUMBER(AU238),RANK(AU238,$AU$8:$AU$507),Constants!$B$14),$AJ238))</f>
        <v/>
      </c>
      <c r="AW238" s="59" t="str">
        <f aca="false">IF(ISBLANK($C238),"",IF($AJ238=Constants!$B$7,IF(ISNUMBER(AV238),COUNTIFS($AK$8:$AK$507,"&lt;"&amp;$AK238)+COUNTIFS($AK$8:$AK$507,$AK238,$AV$8:$AV$507,"&lt;"&amp;$AV238)+1,Constants!$B$14),$AJ238))</f>
        <v/>
      </c>
      <c r="AX238" s="59" t="str">
        <f aca="false">IF(ISBLANK($C238),"",IF($AJ238=Constants!$B$7,LARGE(AL238:AP238,4)*W238,""))</f>
        <v/>
      </c>
      <c r="AY238" s="59" t="str">
        <f aca="false">IF(ISBLANK($C238),"",IF($AJ238=Constants!$B$7,RANK(AX238,$AX$8:$AX$507),$AJ238))</f>
        <v/>
      </c>
      <c r="AZ238" s="59" t="str">
        <f aca="false">IF(ISBLANK($C238),"",IF($AJ238=Constants!$B$7,IF(ISNUMBER(AV238),COUNTIFS($AK$8:$AK$507,"&lt;"&amp;$AK238)+COUNTIFS($AK$8:$AK$507,$AK238,$AV$8:$AV$507,"&lt;"&amp;$AV238)+COUNTIFS($AK$8:$AK$507,$AK238,$AV$8:$AV$507,$AV238,$AY$8:$AY$507,"&lt;"&amp;$AY238)+1,Constants!$B$14),$AJ238))</f>
        <v/>
      </c>
      <c r="BA238" s="59" t="str">
        <f aca="false">IF(ISBLANK($C238),"",IF($AJ238=Constants!$B$7,IF(ISNUMBER(AW238),AW238-AZ238,Constants!$B$14),$AJ238))</f>
        <v/>
      </c>
      <c r="BB238" s="61"/>
      <c r="BC238" s="62" t="str">
        <f aca="false">IF(ISBLANK($C238),"",IF($AJ238&lt;&gt;Constants!$B$7,$AJ238,SMALL(AQ238:AS238,1)&amp;", "&amp;SMALL(AQ238:AS238,2)&amp;", "&amp;SMALL(AQ238:AS238,3)))</f>
        <v/>
      </c>
      <c r="BD238" s="63" t="str">
        <f aca="false">IF(ISBLANK($C238),"",IF($AJ238&lt;&gt;Constants!$B$7,$AJ238,W238))</f>
        <v/>
      </c>
      <c r="BE238" s="64" t="str">
        <f aca="false">IF(ISBLANK($C238),"",IF($AJ238&lt;&gt;Constants!$B$7,$AJ238,AU238))</f>
        <v/>
      </c>
      <c r="BF238" s="65" t="str">
        <f aca="false">IF(ISBLANK($C238),"",IF($AJ238&lt;&gt;Constants!$B$7,$AJ238,AK238))</f>
        <v/>
      </c>
      <c r="BG238" s="63" t="str">
        <f aca="false">IF(ISBLANK($C238),"",BA238)</f>
        <v/>
      </c>
      <c r="BH238" s="63" t="str">
        <f aca="false">IF(ISBLANK($C238),"",AZ238)</f>
        <v/>
      </c>
      <c r="BI238" s="66" t="str">
        <f aca="false">IF(ISBLANK($C238),"",IF(BH238=Constants!$B$4,COUNTA($C$8:$C$507)+2,IF(BH238=Constants!$B$5,COUNTA($C$8:$C$507)+1,IF(BH238=Constants!$B$6,COUNTA($C$8:$C$507),BH238))))</f>
        <v/>
      </c>
      <c r="BJ238" s="5"/>
      <c r="BK238" s="67" t="n">
        <f aca="false">IF(OR(ISNUMBER(BH238),BH238=Constants!$B$4,BH238=Constants!$B$6,BH238=Constants!$B$5),1,0)</f>
        <v>0</v>
      </c>
      <c r="BL238" s="67" t="n">
        <v>231</v>
      </c>
      <c r="BM238" s="67" t="str">
        <f aca="false">IF(ISBLANK($C238),"",IF(ISNUMBER(BI238),BI238+ROW($B238)/1000,""))</f>
        <v/>
      </c>
      <c r="BN238" s="67" t="str">
        <f aca="false">IF(ISNUMBER(BM238),RANK(BM238,$BM$8:$BM$507,1),"")</f>
        <v/>
      </c>
      <c r="BO238" s="67" t="str">
        <f aca="false">IF(ISBLANK($C238),"",$B238)</f>
        <v/>
      </c>
      <c r="BP238" s="67" t="str">
        <f aca="false">IF(ISBLANK($C238),"",$C238)</f>
        <v/>
      </c>
      <c r="BQ238" s="67" t="str">
        <f aca="false">IF(ISBLANK($C238),"",$D238)</f>
        <v/>
      </c>
      <c r="BR238" s="68" t="str">
        <f aca="false">BF238</f>
        <v/>
      </c>
      <c r="BS238" s="69" t="str">
        <f aca="false">BE238</f>
        <v/>
      </c>
      <c r="BT238" s="67" t="str">
        <f aca="false">IF(ISBLANK($C238),"",BH238)</f>
        <v/>
      </c>
      <c r="BU238" s="70" t="str">
        <f aca="false">IF($BL238&gt;$BK$7,"",VLOOKUP($BL238,$BN$8:$BT$507,7,FALSE()))</f>
        <v/>
      </c>
      <c r="BV238" s="71" t="str">
        <f aca="false">IF($BL238&gt;$BK$7,"",VLOOKUP($BL238,$BN$8:$BT$507,2,FALSE()))</f>
        <v/>
      </c>
      <c r="BW238" s="71" t="str">
        <f aca="false">IF($BL238&gt;$BK$7,"",VLOOKUP($BL238,$BN$8:$BT$507,3,FALSE()))</f>
        <v/>
      </c>
      <c r="BX238" s="71" t="str">
        <f aca="false">IF($BL238&gt;$BK$7,"",VLOOKUP($BL238,$BN$8:$BT$507,4,FALSE()))</f>
        <v/>
      </c>
      <c r="BY238" s="71" t="str">
        <f aca="false">IF($BL238&gt;$BK$7,"",VLOOKUP($BL238,$BN$8:$BT$507,5,FALSE()))</f>
        <v/>
      </c>
      <c r="BZ238" s="72" t="str">
        <f aca="false">IF($BL238&gt;$BK$7,"",VLOOKUP($BL238,$BN$8:$BT$507,6,FALSE()))</f>
        <v/>
      </c>
      <c r="CA238" s="48"/>
    </row>
    <row r="239" customFormat="false" ht="15.75" hidden="false" customHeight="false" outlineLevel="0" collapsed="false">
      <c r="A239" s="5"/>
      <c r="B239" s="114"/>
      <c r="C239" s="115"/>
      <c r="D239" s="100"/>
      <c r="E239" s="120"/>
      <c r="F239" s="125"/>
      <c r="G239" s="82"/>
      <c r="H239" s="126"/>
      <c r="I239" s="127"/>
      <c r="J239" s="82"/>
      <c r="K239" s="126"/>
      <c r="L239" s="82"/>
      <c r="M239" s="126"/>
      <c r="N239" s="82"/>
      <c r="O239" s="126"/>
      <c r="P239" s="82"/>
      <c r="Q239" s="126"/>
      <c r="R239" s="82"/>
      <c r="S239" s="120"/>
      <c r="T239" s="86"/>
      <c r="U239" s="87" t="str">
        <f aca="false">IF(ISBLANK($C239),"",IF(E239=Constants!$B$2, TRUE(), IF(E239=Constants!$B$3, FALSE(), TRUE())))</f>
        <v/>
      </c>
      <c r="V239" s="87" t="str">
        <f aca="false">IF(ISBLANK($C239),"",IF(F239=Constants!$B$2, TRUE(), IF(F239=Constants!$B$3, FALSE(), TRUE())))</f>
        <v/>
      </c>
      <c r="W239" s="87" t="str">
        <f aca="false">IF(ISBLANK($C239),"",IF(G239=Constants!$B$15,Constants!$B$8,IF(G239=Constants!$B$16,Constants!$B$9,Constants!$B$10)))</f>
        <v/>
      </c>
      <c r="X239" s="87" t="str">
        <f aca="false">IF(ISBLANK($C239),"",IF(H239=Constants!$B$2, TRUE(), IF(H239=Constants!$B$3, FALSE(), TRUE())))</f>
        <v/>
      </c>
      <c r="Y239" s="87" t="str">
        <f aca="false">IF(ISBLANK($C239),"",IF(I239=Constants!$B$19,Constants!$B$19,Constants!$B$18))</f>
        <v/>
      </c>
      <c r="Z239" s="87" t="str">
        <f aca="false">IF(ISBLANK($C239),"",IF(ISNUMBER(J239),IF(J239&gt;=0,J239,""),""))</f>
        <v/>
      </c>
      <c r="AA239" s="87" t="str">
        <f aca="false">IF(ISBLANK($C239),"",IF(K239=Constants!$B$19,Constants!$B$19,Constants!$B$18))</f>
        <v/>
      </c>
      <c r="AB239" s="87" t="str">
        <f aca="false">IF(ISBLANK($C239),"",IF(ISNUMBER(L239),IF(L239&gt;=0,L239,""),""))</f>
        <v/>
      </c>
      <c r="AC239" s="87" t="str">
        <f aca="false">IF(ISBLANK($C239),"",IF(M239=Constants!$B$19,Constants!$B$19,Constants!$B$18))</f>
        <v/>
      </c>
      <c r="AD239" s="87" t="str">
        <f aca="false">IF(ISBLANK($C239),"",IF(ISNUMBER(N239),IF(N239&gt;=0,N239,""),""))</f>
        <v/>
      </c>
      <c r="AE239" s="87" t="str">
        <f aca="false">IF(ISBLANK($C239),"",IF(O239=Constants!$B$19,Constants!$B$19,Constants!$B$18))</f>
        <v/>
      </c>
      <c r="AF239" s="87" t="str">
        <f aca="false">IF(ISBLANK($C239),"",IF(ISNUMBER(P239),IF(P239&gt;=0,P239,""),""))</f>
        <v/>
      </c>
      <c r="AG239" s="87" t="str">
        <f aca="false">IF(ISBLANK($C239),"",IF(Q239=Constants!$B$19,Constants!$B$19,Constants!$B$18))</f>
        <v/>
      </c>
      <c r="AH239" s="87" t="str">
        <f aca="false">IF(ISBLANK($C239),"",IF(ISNUMBER(R239),IF(R239&gt;=0,R239,""),""))</f>
        <v/>
      </c>
      <c r="AI239" s="87" t="str">
        <f aca="false">IF(ISBLANK($C239),"",IF(S239=Constants!$B$2, TRUE(), IF(S239=Constants!$B$3, FALSE(), FALSE())))</f>
        <v/>
      </c>
      <c r="AJ239" s="87" t="str">
        <f aca="false">IF(ISBLANK($C239),"",IF(AI239,Constants!$B$4,IF(COUNTA(E239:R239)=0,Constants!$B$5,IF(COUNTA(J239,L239,N239,P239,R239)=0,Constants!$B$6,Constants!$B$7))))</f>
        <v/>
      </c>
      <c r="AK239" s="87" t="str">
        <f aca="false">IF(ISBLANK($C239),"",IF($AJ239&lt;&gt;Constants!$B$7,$AJ239,IF(OR(NOT(X239),AND(NOT(U239),COUNTIFS(Y239:AG239,Constants!$B$18,Z239:AH239,"&gt;=0")&gt;0),AND(NOT(V239),COUNTIFS(Y239:AG239,Constants!$B$19,Z239:AH239,"&gt;=0")&gt;0)),Constants!$B$12,Constants!$B$11)))</f>
        <v/>
      </c>
      <c r="AL239" s="87" t="str">
        <f aca="false">IF($AJ239=Constants!$B$7,IF(Z239="",Constants!$B$13,Z239),"")</f>
        <v/>
      </c>
      <c r="AM239" s="87" t="str">
        <f aca="false">IF($AJ239=Constants!$B$7,IF(AB239="",Constants!$B$13,AB239),"")</f>
        <v/>
      </c>
      <c r="AN239" s="87" t="str">
        <f aca="false">IF($AJ239=Constants!$B$7,IF(AD239="",Constants!$B$13,AD239),"")</f>
        <v/>
      </c>
      <c r="AO239" s="87" t="str">
        <f aca="false">IF($AJ239=Constants!$B$7,IF(AF239="",Constants!$B$13,AF239),"")</f>
        <v/>
      </c>
      <c r="AP239" s="87" t="str">
        <f aca="false">IF($AJ239=Constants!$B$7,IF(AH239="",Constants!$B$13,AH239),"")</f>
        <v/>
      </c>
      <c r="AQ239" s="87" t="str">
        <f aca="false">IF($AJ239=Constants!$B$7,IF(SUMPRODUCT(--($AL239:$AP239&gt;AL239))+SUMPRODUCT(--($AL239:AL239=AL239))=1,1,IF(SUMPRODUCT(--($AL239:$AP239&gt;AM239))+SUMPRODUCT(--($AL239:AM239=AM239))=1,2,IF(SUMPRODUCT(--($AL239:$AP239&gt;AN239))+SUMPRODUCT(--($AL239:AN239=AN239))=1,3,IF(SUMPRODUCT(--($AL239:$AP239&gt;AO239))+SUMPRODUCT(--($AL239:AO239=AO239))=1,4,5)))),"")</f>
        <v/>
      </c>
      <c r="AR239" s="87" t="str">
        <f aca="false">IF($AJ239=Constants!$B$7,IF(SUMPRODUCT(--($AL239:$AP239&gt;AL239))+SUMPRODUCT(--($AL239:AL239=AL239))=2,1,IF(SUMPRODUCT(--($AL239:$AP239&gt;AM239))+SUMPRODUCT(--($AL239:AM239=AM239))=2,2,IF(SUMPRODUCT(--($AL239:$AP239&gt;AN239))+SUMPRODUCT(--($AL239:AN239=AN239))=2,3,IF(SUMPRODUCT(--($AL239:$AP239&gt;AO239))+SUMPRODUCT(--($AL239:AO239=AO239))=2,4,5)))),"")</f>
        <v/>
      </c>
      <c r="AS239" s="87" t="str">
        <f aca="false">IF($AJ239=Constants!$B$7,IF(SUMPRODUCT(--($AL239:$AP239&gt;AL239))+SUMPRODUCT(--($AL239:AL239=AL239))=3,1,IF(SUMPRODUCT(--($AL239:$AP239&gt;AM239))+SUMPRODUCT(--($AL239:AM239=AM239))=3,2,IF(SUMPRODUCT(--($AL239:$AP239&gt;AN239))+SUMPRODUCT(--($AL239:AN239=AN239))=3,3,IF(SUMPRODUCT(--($AL239:$AP239&gt;AO239))+SUMPRODUCT(--($AL239:AO239=AO239))=3,4,5)))),"")</f>
        <v/>
      </c>
      <c r="AT239" s="87" t="str">
        <f aca="false">IF($AJ239=Constants!$B$7,LARGE(AL239:AP239,1)+LARGE(AL239:AP239,2)+LARGE(AL239:AP239,3),"")</f>
        <v/>
      </c>
      <c r="AU239" s="87" t="str">
        <f aca="false">IF(ISBLANK($C239),"",IF($AJ239&lt;&gt;Constants!$B$7,$AJ239,AT239*W239))</f>
        <v/>
      </c>
      <c r="AV239" s="87" t="str">
        <f aca="false">IF(ISBLANK($C239),"",IF($AJ239=Constants!$B$7,IF(ISNUMBER(AU239),RANK(AU239,$AU$8:$AU$507),Constants!$B$14),$AJ239))</f>
        <v/>
      </c>
      <c r="AW239" s="87" t="str">
        <f aca="false">IF(ISBLANK($C239),"",IF($AJ239=Constants!$B$7,IF(ISNUMBER(AV239),COUNTIFS($AK$8:$AK$507,"&lt;"&amp;$AK239)+COUNTIFS($AK$8:$AK$507,$AK239,$AV$8:$AV$507,"&lt;"&amp;$AV239)+1,Constants!$B$14),$AJ239))</f>
        <v/>
      </c>
      <c r="AX239" s="87" t="str">
        <f aca="false">IF(ISBLANK($C239),"",IF($AJ239=Constants!$B$7,LARGE(AL239:AP239,4)*W239,""))</f>
        <v/>
      </c>
      <c r="AY239" s="87" t="str">
        <f aca="false">IF(ISBLANK($C239),"",IF($AJ239=Constants!$B$7,RANK(AX239,$AX$8:$AX$507),$AJ239))</f>
        <v/>
      </c>
      <c r="AZ239" s="87" t="str">
        <f aca="false">IF(ISBLANK($C239),"",IF($AJ239=Constants!$B$7,IF(ISNUMBER(AV239),COUNTIFS($AK$8:$AK$507,"&lt;"&amp;$AK239)+COUNTIFS($AK$8:$AK$507,$AK239,$AV$8:$AV$507,"&lt;"&amp;$AV239)+COUNTIFS($AK$8:$AK$507,$AK239,$AV$8:$AV$507,$AV239,$AY$8:$AY$507,"&lt;"&amp;$AY239)+1,Constants!$B$14),$AJ239))</f>
        <v/>
      </c>
      <c r="BA239" s="87" t="str">
        <f aca="false">IF(ISBLANK($C239),"",IF($AJ239=Constants!$B$7,IF(ISNUMBER(AW239),AW239-AZ239,Constants!$B$14),$AJ239))</f>
        <v/>
      </c>
      <c r="BB239" s="88"/>
      <c r="BC239" s="89" t="str">
        <f aca="false">IF(ISBLANK($C239),"",IF($AJ239&lt;&gt;Constants!$B$7,$AJ239,SMALL(AQ239:AS239,1)&amp;", "&amp;SMALL(AQ239:AS239,2)&amp;", "&amp;SMALL(AQ239:AS239,3)))</f>
        <v/>
      </c>
      <c r="BD239" s="90" t="str">
        <f aca="false">IF(ISBLANK($C239),"",IF($AJ239&lt;&gt;Constants!$B$7,$AJ239,W239))</f>
        <v/>
      </c>
      <c r="BE239" s="91" t="str">
        <f aca="false">IF(ISBLANK($C239),"",IF($AJ239&lt;&gt;Constants!$B$7,$AJ239,AU239))</f>
        <v/>
      </c>
      <c r="BF239" s="92" t="str">
        <f aca="false">IF(ISBLANK($C239),"",IF($AJ239&lt;&gt;Constants!$B$7,$AJ239,AK239))</f>
        <v/>
      </c>
      <c r="BG239" s="90" t="str">
        <f aca="false">IF(ISBLANK($C239),"",BA239)</f>
        <v/>
      </c>
      <c r="BH239" s="90" t="str">
        <f aca="false">IF(ISBLANK($C239),"",AZ239)</f>
        <v/>
      </c>
      <c r="BI239" s="93" t="str">
        <f aca="false">IF(ISBLANK($C239),"",IF(BH239=Constants!$B$4,COUNTA($C$8:$C$507)+2,IF(BH239=Constants!$B$5,COUNTA($C$8:$C$507)+1,IF(BH239=Constants!$B$6,COUNTA($C$8:$C$507),BH239))))</f>
        <v/>
      </c>
      <c r="BJ239" s="5"/>
      <c r="BK239" s="94" t="n">
        <f aca="false">IF(OR(ISNUMBER(BH239),BH239=Constants!$B$4,BH239=Constants!$B$6,BH239=Constants!$B$5),1,0)</f>
        <v>0</v>
      </c>
      <c r="BL239" s="94" t="n">
        <v>232</v>
      </c>
      <c r="BM239" s="94" t="str">
        <f aca="false">IF(ISBLANK($C239),"",IF(ISNUMBER(BI239),BI239+ROW($B239)/1000,""))</f>
        <v/>
      </c>
      <c r="BN239" s="94" t="str">
        <f aca="false">IF(ISNUMBER(BM239),RANK(BM239,$BM$8:$BM$507,1),"")</f>
        <v/>
      </c>
      <c r="BO239" s="94" t="str">
        <f aca="false">IF(ISBLANK($C239),"",$B239)</f>
        <v/>
      </c>
      <c r="BP239" s="94" t="str">
        <f aca="false">IF(ISBLANK($C239),"",$C239)</f>
        <v/>
      </c>
      <c r="BQ239" s="94" t="str">
        <f aca="false">IF(ISBLANK($C239),"",$D239)</f>
        <v/>
      </c>
      <c r="BR239" s="95" t="str">
        <f aca="false">BF239</f>
        <v/>
      </c>
      <c r="BS239" s="96" t="str">
        <f aca="false">BE239</f>
        <v/>
      </c>
      <c r="BT239" s="94" t="str">
        <f aca="false">IF(ISBLANK($C239),"",BH239)</f>
        <v/>
      </c>
      <c r="BU239" s="97" t="str">
        <f aca="false">IF($BL239&gt;$BK$7,"",VLOOKUP($BL239,$BN$8:$BT$507,7,FALSE()))</f>
        <v/>
      </c>
      <c r="BV239" s="98" t="str">
        <f aca="false">IF($BL239&gt;$BK$7,"",VLOOKUP($BL239,$BN$8:$BT$507,2,FALSE()))</f>
        <v/>
      </c>
      <c r="BW239" s="98" t="str">
        <f aca="false">IF($BL239&gt;$BK$7,"",VLOOKUP($BL239,$BN$8:$BT$507,3,FALSE()))</f>
        <v/>
      </c>
      <c r="BX239" s="98" t="str">
        <f aca="false">IF($BL239&gt;$BK$7,"",VLOOKUP($BL239,$BN$8:$BT$507,4,FALSE()))</f>
        <v/>
      </c>
      <c r="BY239" s="98" t="str">
        <f aca="false">IF($BL239&gt;$BK$7,"",VLOOKUP($BL239,$BN$8:$BT$507,5,FALSE()))</f>
        <v/>
      </c>
      <c r="BZ239" s="99" t="str">
        <f aca="false">IF($BL239&gt;$BK$7,"",VLOOKUP($BL239,$BN$8:$BT$507,6,FALSE()))</f>
        <v/>
      </c>
      <c r="CA239" s="48"/>
    </row>
    <row r="240" customFormat="false" ht="15.75" hidden="false" customHeight="false" outlineLevel="0" collapsed="false">
      <c r="A240" s="5"/>
      <c r="B240" s="114"/>
      <c r="C240" s="115"/>
      <c r="D240" s="100"/>
      <c r="E240" s="120"/>
      <c r="F240" s="125"/>
      <c r="G240" s="82"/>
      <c r="H240" s="126"/>
      <c r="I240" s="127"/>
      <c r="J240" s="82"/>
      <c r="K240" s="126"/>
      <c r="L240" s="82"/>
      <c r="M240" s="126"/>
      <c r="N240" s="82"/>
      <c r="O240" s="126"/>
      <c r="P240" s="82"/>
      <c r="Q240" s="126"/>
      <c r="R240" s="82"/>
      <c r="S240" s="120"/>
      <c r="T240" s="86"/>
      <c r="U240" s="87" t="str">
        <f aca="false">IF(ISBLANK($C240),"",IF(E240=Constants!$B$2, TRUE(), IF(E240=Constants!$B$3, FALSE(), TRUE())))</f>
        <v/>
      </c>
      <c r="V240" s="87" t="str">
        <f aca="false">IF(ISBLANK($C240),"",IF(F240=Constants!$B$2, TRUE(), IF(F240=Constants!$B$3, FALSE(), TRUE())))</f>
        <v/>
      </c>
      <c r="W240" s="87" t="str">
        <f aca="false">IF(ISBLANK($C240),"",IF(G240=Constants!$B$15,Constants!$B$8,IF(G240=Constants!$B$16,Constants!$B$9,Constants!$B$10)))</f>
        <v/>
      </c>
      <c r="X240" s="87" t="str">
        <f aca="false">IF(ISBLANK($C240),"",IF(H240=Constants!$B$2, TRUE(), IF(H240=Constants!$B$3, FALSE(), TRUE())))</f>
        <v/>
      </c>
      <c r="Y240" s="87" t="str">
        <f aca="false">IF(ISBLANK($C240),"",IF(I240=Constants!$B$19,Constants!$B$19,Constants!$B$18))</f>
        <v/>
      </c>
      <c r="Z240" s="87" t="str">
        <f aca="false">IF(ISBLANK($C240),"",IF(ISNUMBER(J240),IF(J240&gt;=0,J240,""),""))</f>
        <v/>
      </c>
      <c r="AA240" s="87" t="str">
        <f aca="false">IF(ISBLANK($C240),"",IF(K240=Constants!$B$19,Constants!$B$19,Constants!$B$18))</f>
        <v/>
      </c>
      <c r="AB240" s="87" t="str">
        <f aca="false">IF(ISBLANK($C240),"",IF(ISNUMBER(L240),IF(L240&gt;=0,L240,""),""))</f>
        <v/>
      </c>
      <c r="AC240" s="87" t="str">
        <f aca="false">IF(ISBLANK($C240),"",IF(M240=Constants!$B$19,Constants!$B$19,Constants!$B$18))</f>
        <v/>
      </c>
      <c r="AD240" s="87" t="str">
        <f aca="false">IF(ISBLANK($C240),"",IF(ISNUMBER(N240),IF(N240&gt;=0,N240,""),""))</f>
        <v/>
      </c>
      <c r="AE240" s="87" t="str">
        <f aca="false">IF(ISBLANK($C240),"",IF(O240=Constants!$B$19,Constants!$B$19,Constants!$B$18))</f>
        <v/>
      </c>
      <c r="AF240" s="87" t="str">
        <f aca="false">IF(ISBLANK($C240),"",IF(ISNUMBER(P240),IF(P240&gt;=0,P240,""),""))</f>
        <v/>
      </c>
      <c r="AG240" s="87" t="str">
        <f aca="false">IF(ISBLANK($C240),"",IF(Q240=Constants!$B$19,Constants!$B$19,Constants!$B$18))</f>
        <v/>
      </c>
      <c r="AH240" s="87" t="str">
        <f aca="false">IF(ISBLANK($C240),"",IF(ISNUMBER(R240),IF(R240&gt;=0,R240,""),""))</f>
        <v/>
      </c>
      <c r="AI240" s="87" t="str">
        <f aca="false">IF(ISBLANK($C240),"",IF(S240=Constants!$B$2, TRUE(), IF(S240=Constants!$B$3, FALSE(), FALSE())))</f>
        <v/>
      </c>
      <c r="AJ240" s="87" t="str">
        <f aca="false">IF(ISBLANK($C240),"",IF(AI240,Constants!$B$4,IF(COUNTA(E240:R240)=0,Constants!$B$5,IF(COUNTA(J240,L240,N240,P240,R240)=0,Constants!$B$6,Constants!$B$7))))</f>
        <v/>
      </c>
      <c r="AK240" s="87" t="str">
        <f aca="false">IF(ISBLANK($C240),"",IF($AJ240&lt;&gt;Constants!$B$7,$AJ240,IF(OR(NOT(X240),AND(NOT(U240),COUNTIFS(Y240:AG240,Constants!$B$18,Z240:AH240,"&gt;=0")&gt;0),AND(NOT(V240),COUNTIFS(Y240:AG240,Constants!$B$19,Z240:AH240,"&gt;=0")&gt;0)),Constants!$B$12,Constants!$B$11)))</f>
        <v/>
      </c>
      <c r="AL240" s="87" t="str">
        <f aca="false">IF($AJ240=Constants!$B$7,IF(Z240="",Constants!$B$13,Z240),"")</f>
        <v/>
      </c>
      <c r="AM240" s="87" t="str">
        <f aca="false">IF($AJ240=Constants!$B$7,IF(AB240="",Constants!$B$13,AB240),"")</f>
        <v/>
      </c>
      <c r="AN240" s="87" t="str">
        <f aca="false">IF($AJ240=Constants!$B$7,IF(AD240="",Constants!$B$13,AD240),"")</f>
        <v/>
      </c>
      <c r="AO240" s="87" t="str">
        <f aca="false">IF($AJ240=Constants!$B$7,IF(AF240="",Constants!$B$13,AF240),"")</f>
        <v/>
      </c>
      <c r="AP240" s="87" t="str">
        <f aca="false">IF($AJ240=Constants!$B$7,IF(AH240="",Constants!$B$13,AH240),"")</f>
        <v/>
      </c>
      <c r="AQ240" s="87" t="str">
        <f aca="false">IF($AJ240=Constants!$B$7,IF(SUMPRODUCT(--($AL240:$AP240&gt;AL240))+SUMPRODUCT(--($AL240:AL240=AL240))=1,1,IF(SUMPRODUCT(--($AL240:$AP240&gt;AM240))+SUMPRODUCT(--($AL240:AM240=AM240))=1,2,IF(SUMPRODUCT(--($AL240:$AP240&gt;AN240))+SUMPRODUCT(--($AL240:AN240=AN240))=1,3,IF(SUMPRODUCT(--($AL240:$AP240&gt;AO240))+SUMPRODUCT(--($AL240:AO240=AO240))=1,4,5)))),"")</f>
        <v/>
      </c>
      <c r="AR240" s="87" t="str">
        <f aca="false">IF($AJ240=Constants!$B$7,IF(SUMPRODUCT(--($AL240:$AP240&gt;AL240))+SUMPRODUCT(--($AL240:AL240=AL240))=2,1,IF(SUMPRODUCT(--($AL240:$AP240&gt;AM240))+SUMPRODUCT(--($AL240:AM240=AM240))=2,2,IF(SUMPRODUCT(--($AL240:$AP240&gt;AN240))+SUMPRODUCT(--($AL240:AN240=AN240))=2,3,IF(SUMPRODUCT(--($AL240:$AP240&gt;AO240))+SUMPRODUCT(--($AL240:AO240=AO240))=2,4,5)))),"")</f>
        <v/>
      </c>
      <c r="AS240" s="87" t="str">
        <f aca="false">IF($AJ240=Constants!$B$7,IF(SUMPRODUCT(--($AL240:$AP240&gt;AL240))+SUMPRODUCT(--($AL240:AL240=AL240))=3,1,IF(SUMPRODUCT(--($AL240:$AP240&gt;AM240))+SUMPRODUCT(--($AL240:AM240=AM240))=3,2,IF(SUMPRODUCT(--($AL240:$AP240&gt;AN240))+SUMPRODUCT(--($AL240:AN240=AN240))=3,3,IF(SUMPRODUCT(--($AL240:$AP240&gt;AO240))+SUMPRODUCT(--($AL240:AO240=AO240))=3,4,5)))),"")</f>
        <v/>
      </c>
      <c r="AT240" s="87" t="str">
        <f aca="false">IF($AJ240=Constants!$B$7,LARGE(AL240:AP240,1)+LARGE(AL240:AP240,2)+LARGE(AL240:AP240,3),"")</f>
        <v/>
      </c>
      <c r="AU240" s="87" t="str">
        <f aca="false">IF(ISBLANK($C240),"",IF($AJ240&lt;&gt;Constants!$B$7,$AJ240,AT240*W240))</f>
        <v/>
      </c>
      <c r="AV240" s="87" t="str">
        <f aca="false">IF(ISBLANK($C240),"",IF($AJ240=Constants!$B$7,IF(ISNUMBER(AU240),RANK(AU240,$AU$8:$AU$507),Constants!$B$14),$AJ240))</f>
        <v/>
      </c>
      <c r="AW240" s="87" t="str">
        <f aca="false">IF(ISBLANK($C240),"",IF($AJ240=Constants!$B$7,IF(ISNUMBER(AV240),COUNTIFS($AK$8:$AK$507,"&lt;"&amp;$AK240)+COUNTIFS($AK$8:$AK$507,$AK240,$AV$8:$AV$507,"&lt;"&amp;$AV240)+1,Constants!$B$14),$AJ240))</f>
        <v/>
      </c>
      <c r="AX240" s="87" t="str">
        <f aca="false">IF(ISBLANK($C240),"",IF($AJ240=Constants!$B$7,LARGE(AL240:AP240,4)*W240,""))</f>
        <v/>
      </c>
      <c r="AY240" s="87" t="str">
        <f aca="false">IF(ISBLANK($C240),"",IF($AJ240=Constants!$B$7,RANK(AX240,$AX$8:$AX$507),$AJ240))</f>
        <v/>
      </c>
      <c r="AZ240" s="87" t="str">
        <f aca="false">IF(ISBLANK($C240),"",IF($AJ240=Constants!$B$7,IF(ISNUMBER(AV240),COUNTIFS($AK$8:$AK$507,"&lt;"&amp;$AK240)+COUNTIFS($AK$8:$AK$507,$AK240,$AV$8:$AV$507,"&lt;"&amp;$AV240)+COUNTIFS($AK$8:$AK$507,$AK240,$AV$8:$AV$507,$AV240,$AY$8:$AY$507,"&lt;"&amp;$AY240)+1,Constants!$B$14),$AJ240))</f>
        <v/>
      </c>
      <c r="BA240" s="87" t="str">
        <f aca="false">IF(ISBLANK($C240),"",IF($AJ240=Constants!$B$7,IF(ISNUMBER(AW240),AW240-AZ240,Constants!$B$14),$AJ240))</f>
        <v/>
      </c>
      <c r="BB240" s="88"/>
      <c r="BC240" s="89" t="str">
        <f aca="false">IF(ISBLANK($C240),"",IF($AJ240&lt;&gt;Constants!$B$7,$AJ240,SMALL(AQ240:AS240,1)&amp;", "&amp;SMALL(AQ240:AS240,2)&amp;", "&amp;SMALL(AQ240:AS240,3)))</f>
        <v/>
      </c>
      <c r="BD240" s="90" t="str">
        <f aca="false">IF(ISBLANK($C240),"",IF($AJ240&lt;&gt;Constants!$B$7,$AJ240,W240))</f>
        <v/>
      </c>
      <c r="BE240" s="91" t="str">
        <f aca="false">IF(ISBLANK($C240),"",IF($AJ240&lt;&gt;Constants!$B$7,$AJ240,AU240))</f>
        <v/>
      </c>
      <c r="BF240" s="92" t="str">
        <f aca="false">IF(ISBLANK($C240),"",IF($AJ240&lt;&gt;Constants!$B$7,$AJ240,AK240))</f>
        <v/>
      </c>
      <c r="BG240" s="90" t="str">
        <f aca="false">IF(ISBLANK($C240),"",BA240)</f>
        <v/>
      </c>
      <c r="BH240" s="90" t="str">
        <f aca="false">IF(ISBLANK($C240),"",AZ240)</f>
        <v/>
      </c>
      <c r="BI240" s="93" t="str">
        <f aca="false">IF(ISBLANK($C240),"",IF(BH240=Constants!$B$4,COUNTA($C$8:$C$507)+2,IF(BH240=Constants!$B$5,COUNTA($C$8:$C$507)+1,IF(BH240=Constants!$B$6,COUNTA($C$8:$C$507),BH240))))</f>
        <v/>
      </c>
      <c r="BJ240" s="5"/>
      <c r="BK240" s="94" t="n">
        <f aca="false">IF(OR(ISNUMBER(BH240),BH240=Constants!$B$4,BH240=Constants!$B$6,BH240=Constants!$B$5),1,0)</f>
        <v>0</v>
      </c>
      <c r="BL240" s="94" t="n">
        <v>233</v>
      </c>
      <c r="BM240" s="94" t="str">
        <f aca="false">IF(ISBLANK($C240),"",IF(ISNUMBER(BI240),BI240+ROW($B240)/1000,""))</f>
        <v/>
      </c>
      <c r="BN240" s="94" t="str">
        <f aca="false">IF(ISNUMBER(BM240),RANK(BM240,$BM$8:$BM$507,1),"")</f>
        <v/>
      </c>
      <c r="BO240" s="94" t="str">
        <f aca="false">IF(ISBLANK($C240),"",$B240)</f>
        <v/>
      </c>
      <c r="BP240" s="94" t="str">
        <f aca="false">IF(ISBLANK($C240),"",$C240)</f>
        <v/>
      </c>
      <c r="BQ240" s="94" t="str">
        <f aca="false">IF(ISBLANK($C240),"",$D240)</f>
        <v/>
      </c>
      <c r="BR240" s="95" t="str">
        <f aca="false">BF240</f>
        <v/>
      </c>
      <c r="BS240" s="96" t="str">
        <f aca="false">BE240</f>
        <v/>
      </c>
      <c r="BT240" s="94" t="str">
        <f aca="false">IF(ISBLANK($C240),"",BH240)</f>
        <v/>
      </c>
      <c r="BU240" s="97" t="str">
        <f aca="false">IF($BL240&gt;$BK$7,"",VLOOKUP($BL240,$BN$8:$BT$507,7,FALSE()))</f>
        <v/>
      </c>
      <c r="BV240" s="98" t="str">
        <f aca="false">IF($BL240&gt;$BK$7,"",VLOOKUP($BL240,$BN$8:$BT$507,2,FALSE()))</f>
        <v/>
      </c>
      <c r="BW240" s="98" t="str">
        <f aca="false">IF($BL240&gt;$BK$7,"",VLOOKUP($BL240,$BN$8:$BT$507,3,FALSE()))</f>
        <v/>
      </c>
      <c r="BX240" s="98" t="str">
        <f aca="false">IF($BL240&gt;$BK$7,"",VLOOKUP($BL240,$BN$8:$BT$507,4,FALSE()))</f>
        <v/>
      </c>
      <c r="BY240" s="98" t="str">
        <f aca="false">IF($BL240&gt;$BK$7,"",VLOOKUP($BL240,$BN$8:$BT$507,5,FALSE()))</f>
        <v/>
      </c>
      <c r="BZ240" s="99" t="str">
        <f aca="false">IF($BL240&gt;$BK$7,"",VLOOKUP($BL240,$BN$8:$BT$507,6,FALSE()))</f>
        <v/>
      </c>
      <c r="CA240" s="48"/>
    </row>
    <row r="241" customFormat="false" ht="15.75" hidden="false" customHeight="false" outlineLevel="0" collapsed="false">
      <c r="A241" s="5"/>
      <c r="B241" s="114"/>
      <c r="C241" s="115"/>
      <c r="D241" s="100"/>
      <c r="E241" s="120"/>
      <c r="F241" s="125"/>
      <c r="G241" s="82"/>
      <c r="H241" s="126"/>
      <c r="I241" s="127"/>
      <c r="J241" s="82"/>
      <c r="K241" s="126"/>
      <c r="L241" s="82"/>
      <c r="M241" s="126"/>
      <c r="N241" s="82"/>
      <c r="O241" s="126"/>
      <c r="P241" s="82"/>
      <c r="Q241" s="126"/>
      <c r="R241" s="82"/>
      <c r="S241" s="120"/>
      <c r="T241" s="86"/>
      <c r="U241" s="87" t="str">
        <f aca="false">IF(ISBLANK($C241),"",IF(E241=Constants!$B$2, TRUE(), IF(E241=Constants!$B$3, FALSE(), TRUE())))</f>
        <v/>
      </c>
      <c r="V241" s="87" t="str">
        <f aca="false">IF(ISBLANK($C241),"",IF(F241=Constants!$B$2, TRUE(), IF(F241=Constants!$B$3, FALSE(), TRUE())))</f>
        <v/>
      </c>
      <c r="W241" s="87" t="str">
        <f aca="false">IF(ISBLANK($C241),"",IF(G241=Constants!$B$15,Constants!$B$8,IF(G241=Constants!$B$16,Constants!$B$9,Constants!$B$10)))</f>
        <v/>
      </c>
      <c r="X241" s="87" t="str">
        <f aca="false">IF(ISBLANK($C241),"",IF(H241=Constants!$B$2, TRUE(), IF(H241=Constants!$B$3, FALSE(), TRUE())))</f>
        <v/>
      </c>
      <c r="Y241" s="87" t="str">
        <f aca="false">IF(ISBLANK($C241),"",IF(I241=Constants!$B$19,Constants!$B$19,Constants!$B$18))</f>
        <v/>
      </c>
      <c r="Z241" s="87" t="str">
        <f aca="false">IF(ISBLANK($C241),"",IF(ISNUMBER(J241),IF(J241&gt;=0,J241,""),""))</f>
        <v/>
      </c>
      <c r="AA241" s="87" t="str">
        <f aca="false">IF(ISBLANK($C241),"",IF(K241=Constants!$B$19,Constants!$B$19,Constants!$B$18))</f>
        <v/>
      </c>
      <c r="AB241" s="87" t="str">
        <f aca="false">IF(ISBLANK($C241),"",IF(ISNUMBER(L241),IF(L241&gt;=0,L241,""),""))</f>
        <v/>
      </c>
      <c r="AC241" s="87" t="str">
        <f aca="false">IF(ISBLANK($C241),"",IF(M241=Constants!$B$19,Constants!$B$19,Constants!$B$18))</f>
        <v/>
      </c>
      <c r="AD241" s="87" t="str">
        <f aca="false">IF(ISBLANK($C241),"",IF(ISNUMBER(N241),IF(N241&gt;=0,N241,""),""))</f>
        <v/>
      </c>
      <c r="AE241" s="87" t="str">
        <f aca="false">IF(ISBLANK($C241),"",IF(O241=Constants!$B$19,Constants!$B$19,Constants!$B$18))</f>
        <v/>
      </c>
      <c r="AF241" s="87" t="str">
        <f aca="false">IF(ISBLANK($C241),"",IF(ISNUMBER(P241),IF(P241&gt;=0,P241,""),""))</f>
        <v/>
      </c>
      <c r="AG241" s="87" t="str">
        <f aca="false">IF(ISBLANK($C241),"",IF(Q241=Constants!$B$19,Constants!$B$19,Constants!$B$18))</f>
        <v/>
      </c>
      <c r="AH241" s="87" t="str">
        <f aca="false">IF(ISBLANK($C241),"",IF(ISNUMBER(R241),IF(R241&gt;=0,R241,""),""))</f>
        <v/>
      </c>
      <c r="AI241" s="87" t="str">
        <f aca="false">IF(ISBLANK($C241),"",IF(S241=Constants!$B$2, TRUE(), IF(S241=Constants!$B$3, FALSE(), FALSE())))</f>
        <v/>
      </c>
      <c r="AJ241" s="87" t="str">
        <f aca="false">IF(ISBLANK($C241),"",IF(AI241,Constants!$B$4,IF(COUNTA(E241:R241)=0,Constants!$B$5,IF(COUNTA(J241,L241,N241,P241,R241)=0,Constants!$B$6,Constants!$B$7))))</f>
        <v/>
      </c>
      <c r="AK241" s="87" t="str">
        <f aca="false">IF(ISBLANK($C241),"",IF($AJ241&lt;&gt;Constants!$B$7,$AJ241,IF(OR(NOT(X241),AND(NOT(U241),COUNTIFS(Y241:AG241,Constants!$B$18,Z241:AH241,"&gt;=0")&gt;0),AND(NOT(V241),COUNTIFS(Y241:AG241,Constants!$B$19,Z241:AH241,"&gt;=0")&gt;0)),Constants!$B$12,Constants!$B$11)))</f>
        <v/>
      </c>
      <c r="AL241" s="87" t="str">
        <f aca="false">IF($AJ241=Constants!$B$7,IF(Z241="",Constants!$B$13,Z241),"")</f>
        <v/>
      </c>
      <c r="AM241" s="87" t="str">
        <f aca="false">IF($AJ241=Constants!$B$7,IF(AB241="",Constants!$B$13,AB241),"")</f>
        <v/>
      </c>
      <c r="AN241" s="87" t="str">
        <f aca="false">IF($AJ241=Constants!$B$7,IF(AD241="",Constants!$B$13,AD241),"")</f>
        <v/>
      </c>
      <c r="AO241" s="87" t="str">
        <f aca="false">IF($AJ241=Constants!$B$7,IF(AF241="",Constants!$B$13,AF241),"")</f>
        <v/>
      </c>
      <c r="AP241" s="87" t="str">
        <f aca="false">IF($AJ241=Constants!$B$7,IF(AH241="",Constants!$B$13,AH241),"")</f>
        <v/>
      </c>
      <c r="AQ241" s="87" t="str">
        <f aca="false">IF($AJ241=Constants!$B$7,IF(SUMPRODUCT(--($AL241:$AP241&gt;AL241))+SUMPRODUCT(--($AL241:AL241=AL241))=1,1,IF(SUMPRODUCT(--($AL241:$AP241&gt;AM241))+SUMPRODUCT(--($AL241:AM241=AM241))=1,2,IF(SUMPRODUCT(--($AL241:$AP241&gt;AN241))+SUMPRODUCT(--($AL241:AN241=AN241))=1,3,IF(SUMPRODUCT(--($AL241:$AP241&gt;AO241))+SUMPRODUCT(--($AL241:AO241=AO241))=1,4,5)))),"")</f>
        <v/>
      </c>
      <c r="AR241" s="87" t="str">
        <f aca="false">IF($AJ241=Constants!$B$7,IF(SUMPRODUCT(--($AL241:$AP241&gt;AL241))+SUMPRODUCT(--($AL241:AL241=AL241))=2,1,IF(SUMPRODUCT(--($AL241:$AP241&gt;AM241))+SUMPRODUCT(--($AL241:AM241=AM241))=2,2,IF(SUMPRODUCT(--($AL241:$AP241&gt;AN241))+SUMPRODUCT(--($AL241:AN241=AN241))=2,3,IF(SUMPRODUCT(--($AL241:$AP241&gt;AO241))+SUMPRODUCT(--($AL241:AO241=AO241))=2,4,5)))),"")</f>
        <v/>
      </c>
      <c r="AS241" s="87" t="str">
        <f aca="false">IF($AJ241=Constants!$B$7,IF(SUMPRODUCT(--($AL241:$AP241&gt;AL241))+SUMPRODUCT(--($AL241:AL241=AL241))=3,1,IF(SUMPRODUCT(--($AL241:$AP241&gt;AM241))+SUMPRODUCT(--($AL241:AM241=AM241))=3,2,IF(SUMPRODUCT(--($AL241:$AP241&gt;AN241))+SUMPRODUCT(--($AL241:AN241=AN241))=3,3,IF(SUMPRODUCT(--($AL241:$AP241&gt;AO241))+SUMPRODUCT(--($AL241:AO241=AO241))=3,4,5)))),"")</f>
        <v/>
      </c>
      <c r="AT241" s="87" t="str">
        <f aca="false">IF($AJ241=Constants!$B$7,LARGE(AL241:AP241,1)+LARGE(AL241:AP241,2)+LARGE(AL241:AP241,3),"")</f>
        <v/>
      </c>
      <c r="AU241" s="87" t="str">
        <f aca="false">IF(ISBLANK($C241),"",IF($AJ241&lt;&gt;Constants!$B$7,$AJ241,AT241*W241))</f>
        <v/>
      </c>
      <c r="AV241" s="87" t="str">
        <f aca="false">IF(ISBLANK($C241),"",IF($AJ241=Constants!$B$7,IF(ISNUMBER(AU241),RANK(AU241,$AU$8:$AU$507),Constants!$B$14),$AJ241))</f>
        <v/>
      </c>
      <c r="AW241" s="87" t="str">
        <f aca="false">IF(ISBLANK($C241),"",IF($AJ241=Constants!$B$7,IF(ISNUMBER(AV241),COUNTIFS($AK$8:$AK$507,"&lt;"&amp;$AK241)+COUNTIFS($AK$8:$AK$507,$AK241,$AV$8:$AV$507,"&lt;"&amp;$AV241)+1,Constants!$B$14),$AJ241))</f>
        <v/>
      </c>
      <c r="AX241" s="87" t="str">
        <f aca="false">IF(ISBLANK($C241),"",IF($AJ241=Constants!$B$7,LARGE(AL241:AP241,4)*W241,""))</f>
        <v/>
      </c>
      <c r="AY241" s="87" t="str">
        <f aca="false">IF(ISBLANK($C241),"",IF($AJ241=Constants!$B$7,RANK(AX241,$AX$8:$AX$507),$AJ241))</f>
        <v/>
      </c>
      <c r="AZ241" s="87" t="str">
        <f aca="false">IF(ISBLANK($C241),"",IF($AJ241=Constants!$B$7,IF(ISNUMBER(AV241),COUNTIFS($AK$8:$AK$507,"&lt;"&amp;$AK241)+COUNTIFS($AK$8:$AK$507,$AK241,$AV$8:$AV$507,"&lt;"&amp;$AV241)+COUNTIFS($AK$8:$AK$507,$AK241,$AV$8:$AV$507,$AV241,$AY$8:$AY$507,"&lt;"&amp;$AY241)+1,Constants!$B$14),$AJ241))</f>
        <v/>
      </c>
      <c r="BA241" s="87" t="str">
        <f aca="false">IF(ISBLANK($C241),"",IF($AJ241=Constants!$B$7,IF(ISNUMBER(AW241),AW241-AZ241,Constants!$B$14),$AJ241))</f>
        <v/>
      </c>
      <c r="BB241" s="88"/>
      <c r="BC241" s="89" t="str">
        <f aca="false">IF(ISBLANK($C241),"",IF($AJ241&lt;&gt;Constants!$B$7,$AJ241,SMALL(AQ241:AS241,1)&amp;", "&amp;SMALL(AQ241:AS241,2)&amp;", "&amp;SMALL(AQ241:AS241,3)))</f>
        <v/>
      </c>
      <c r="BD241" s="90" t="str">
        <f aca="false">IF(ISBLANK($C241),"",IF($AJ241&lt;&gt;Constants!$B$7,$AJ241,W241))</f>
        <v/>
      </c>
      <c r="BE241" s="91" t="str">
        <f aca="false">IF(ISBLANK($C241),"",IF($AJ241&lt;&gt;Constants!$B$7,$AJ241,AU241))</f>
        <v/>
      </c>
      <c r="BF241" s="92" t="str">
        <f aca="false">IF(ISBLANK($C241),"",IF($AJ241&lt;&gt;Constants!$B$7,$AJ241,AK241))</f>
        <v/>
      </c>
      <c r="BG241" s="90" t="str">
        <f aca="false">IF(ISBLANK($C241),"",BA241)</f>
        <v/>
      </c>
      <c r="BH241" s="90" t="str">
        <f aca="false">IF(ISBLANK($C241),"",AZ241)</f>
        <v/>
      </c>
      <c r="BI241" s="93" t="str">
        <f aca="false">IF(ISBLANK($C241),"",IF(BH241=Constants!$B$4,COUNTA($C$8:$C$507)+2,IF(BH241=Constants!$B$5,COUNTA($C$8:$C$507)+1,IF(BH241=Constants!$B$6,COUNTA($C$8:$C$507),BH241))))</f>
        <v/>
      </c>
      <c r="BJ241" s="5"/>
      <c r="BK241" s="94" t="n">
        <f aca="false">IF(OR(ISNUMBER(BH241),BH241=Constants!$B$4,BH241=Constants!$B$6,BH241=Constants!$B$5),1,0)</f>
        <v>0</v>
      </c>
      <c r="BL241" s="94" t="n">
        <v>234</v>
      </c>
      <c r="BM241" s="94" t="str">
        <f aca="false">IF(ISBLANK($C241),"",IF(ISNUMBER(BI241),BI241+ROW($B241)/1000,""))</f>
        <v/>
      </c>
      <c r="BN241" s="94" t="str">
        <f aca="false">IF(ISNUMBER(BM241),RANK(BM241,$BM$8:$BM$507,1),"")</f>
        <v/>
      </c>
      <c r="BO241" s="94" t="str">
        <f aca="false">IF(ISBLANK($C241),"",$B241)</f>
        <v/>
      </c>
      <c r="BP241" s="94" t="str">
        <f aca="false">IF(ISBLANK($C241),"",$C241)</f>
        <v/>
      </c>
      <c r="BQ241" s="94" t="str">
        <f aca="false">IF(ISBLANK($C241),"",$D241)</f>
        <v/>
      </c>
      <c r="BR241" s="95" t="str">
        <f aca="false">BF241</f>
        <v/>
      </c>
      <c r="BS241" s="96" t="str">
        <f aca="false">BE241</f>
        <v/>
      </c>
      <c r="BT241" s="94" t="str">
        <f aca="false">IF(ISBLANK($C241),"",BH241)</f>
        <v/>
      </c>
      <c r="BU241" s="97" t="str">
        <f aca="false">IF($BL241&gt;$BK$7,"",VLOOKUP($BL241,$BN$8:$BT$507,7,FALSE()))</f>
        <v/>
      </c>
      <c r="BV241" s="98" t="str">
        <f aca="false">IF($BL241&gt;$BK$7,"",VLOOKUP($BL241,$BN$8:$BT$507,2,FALSE()))</f>
        <v/>
      </c>
      <c r="BW241" s="98" t="str">
        <f aca="false">IF($BL241&gt;$BK$7,"",VLOOKUP($BL241,$BN$8:$BT$507,3,FALSE()))</f>
        <v/>
      </c>
      <c r="BX241" s="98" t="str">
        <f aca="false">IF($BL241&gt;$BK$7,"",VLOOKUP($BL241,$BN$8:$BT$507,4,FALSE()))</f>
        <v/>
      </c>
      <c r="BY241" s="98" t="str">
        <f aca="false">IF($BL241&gt;$BK$7,"",VLOOKUP($BL241,$BN$8:$BT$507,5,FALSE()))</f>
        <v/>
      </c>
      <c r="BZ241" s="99" t="str">
        <f aca="false">IF($BL241&gt;$BK$7,"",VLOOKUP($BL241,$BN$8:$BT$507,6,FALSE()))</f>
        <v/>
      </c>
      <c r="CA241" s="48"/>
    </row>
    <row r="242" customFormat="false" ht="15.75" hidden="false" customHeight="false" outlineLevel="0" collapsed="false">
      <c r="A242" s="5"/>
      <c r="B242" s="121"/>
      <c r="C242" s="50"/>
      <c r="D242" s="51"/>
      <c r="E242" s="74"/>
      <c r="F242" s="122"/>
      <c r="G242" s="54"/>
      <c r="H242" s="123"/>
      <c r="I242" s="124"/>
      <c r="J242" s="54"/>
      <c r="K242" s="123"/>
      <c r="L242" s="54"/>
      <c r="M242" s="123"/>
      <c r="N242" s="54"/>
      <c r="O242" s="123"/>
      <c r="P242" s="54"/>
      <c r="Q242" s="123"/>
      <c r="R242" s="54"/>
      <c r="S242" s="74"/>
      <c r="T242" s="58"/>
      <c r="U242" s="59" t="str">
        <f aca="false">IF(ISBLANK($C242),"",IF(E242=Constants!$B$2, TRUE(), IF(E242=Constants!$B$3, FALSE(), TRUE())))</f>
        <v/>
      </c>
      <c r="V242" s="59" t="str">
        <f aca="false">IF(ISBLANK($C242),"",IF(F242=Constants!$B$2, TRUE(), IF(F242=Constants!$B$3, FALSE(), TRUE())))</f>
        <v/>
      </c>
      <c r="W242" s="59" t="str">
        <f aca="false">IF(ISBLANK($C242),"",IF(G242=Constants!$B$15,Constants!$B$8,IF(G242=Constants!$B$16,Constants!$B$9,Constants!$B$10)))</f>
        <v/>
      </c>
      <c r="X242" s="59" t="str">
        <f aca="false">IF(ISBLANK($C242),"",IF(H242=Constants!$B$2, TRUE(), IF(H242=Constants!$B$3, FALSE(), TRUE())))</f>
        <v/>
      </c>
      <c r="Y242" s="59" t="str">
        <f aca="false">IF(ISBLANK($C242),"",IF(I242=Constants!$B$19,Constants!$B$19,Constants!$B$18))</f>
        <v/>
      </c>
      <c r="Z242" s="59" t="str">
        <f aca="false">IF(ISBLANK($C242),"",IF(ISNUMBER(J242),IF(J242&gt;=0,J242,""),""))</f>
        <v/>
      </c>
      <c r="AA242" s="59" t="str">
        <f aca="false">IF(ISBLANK($C242),"",IF(K242=Constants!$B$19,Constants!$B$19,Constants!$B$18))</f>
        <v/>
      </c>
      <c r="AB242" s="59" t="str">
        <f aca="false">IF(ISBLANK($C242),"",IF(ISNUMBER(L242),IF(L242&gt;=0,L242,""),""))</f>
        <v/>
      </c>
      <c r="AC242" s="59" t="str">
        <f aca="false">IF(ISBLANK($C242),"",IF(M242=Constants!$B$19,Constants!$B$19,Constants!$B$18))</f>
        <v/>
      </c>
      <c r="AD242" s="59" t="str">
        <f aca="false">IF(ISBLANK($C242),"",IF(ISNUMBER(N242),IF(N242&gt;=0,N242,""),""))</f>
        <v/>
      </c>
      <c r="AE242" s="59" t="str">
        <f aca="false">IF(ISBLANK($C242),"",IF(O242=Constants!$B$19,Constants!$B$19,Constants!$B$18))</f>
        <v/>
      </c>
      <c r="AF242" s="59" t="str">
        <f aca="false">IF(ISBLANK($C242),"",IF(ISNUMBER(P242),IF(P242&gt;=0,P242,""),""))</f>
        <v/>
      </c>
      <c r="AG242" s="59" t="str">
        <f aca="false">IF(ISBLANK($C242),"",IF(Q242=Constants!$B$19,Constants!$B$19,Constants!$B$18))</f>
        <v/>
      </c>
      <c r="AH242" s="59" t="str">
        <f aca="false">IF(ISBLANK($C242),"",IF(ISNUMBER(R242),IF(R242&gt;=0,R242,""),""))</f>
        <v/>
      </c>
      <c r="AI242" s="59" t="str">
        <f aca="false">IF(ISBLANK($C242),"",IF(S242=Constants!$B$2, TRUE(), IF(S242=Constants!$B$3, FALSE(), FALSE())))</f>
        <v/>
      </c>
      <c r="AJ242" s="59" t="str">
        <f aca="false">IF(ISBLANK($C242),"",IF(AI242,Constants!$B$4,IF(COUNTA(E242:R242)=0,Constants!$B$5,IF(COUNTA(J242,L242,N242,P242,R242)=0,Constants!$B$6,Constants!$B$7))))</f>
        <v/>
      </c>
      <c r="AK242" s="59" t="str">
        <f aca="false">IF(ISBLANK($C242),"",IF($AJ242&lt;&gt;Constants!$B$7,$AJ242,IF(OR(NOT(X242),AND(NOT(U242),COUNTIFS(Y242:AG242,Constants!$B$18,Z242:AH242,"&gt;=0")&gt;0),AND(NOT(V242),COUNTIFS(Y242:AG242,Constants!$B$19,Z242:AH242,"&gt;=0")&gt;0)),Constants!$B$12,Constants!$B$11)))</f>
        <v/>
      </c>
      <c r="AL242" s="59" t="str">
        <f aca="false">IF($AJ242=Constants!$B$7,IF(Z242="",Constants!$B$13,Z242),"")</f>
        <v/>
      </c>
      <c r="AM242" s="59" t="str">
        <f aca="false">IF($AJ242=Constants!$B$7,IF(AB242="",Constants!$B$13,AB242),"")</f>
        <v/>
      </c>
      <c r="AN242" s="59" t="str">
        <f aca="false">IF($AJ242=Constants!$B$7,IF(AD242="",Constants!$B$13,AD242),"")</f>
        <v/>
      </c>
      <c r="AO242" s="59" t="str">
        <f aca="false">IF($AJ242=Constants!$B$7,IF(AF242="",Constants!$B$13,AF242),"")</f>
        <v/>
      </c>
      <c r="AP242" s="59" t="str">
        <f aca="false">IF($AJ242=Constants!$B$7,IF(AH242="",Constants!$B$13,AH242),"")</f>
        <v/>
      </c>
      <c r="AQ242" s="59" t="str">
        <f aca="false">IF($AJ242=Constants!$B$7,IF(SUMPRODUCT(--($AL242:$AP242&gt;AL242))+SUMPRODUCT(--($AL242:AL242=AL242))=1,1,IF(SUMPRODUCT(--($AL242:$AP242&gt;AM242))+SUMPRODUCT(--($AL242:AM242=AM242))=1,2,IF(SUMPRODUCT(--($AL242:$AP242&gt;AN242))+SUMPRODUCT(--($AL242:AN242=AN242))=1,3,IF(SUMPRODUCT(--($AL242:$AP242&gt;AO242))+SUMPRODUCT(--($AL242:AO242=AO242))=1,4,5)))),"")</f>
        <v/>
      </c>
      <c r="AR242" s="59" t="str">
        <f aca="false">IF($AJ242=Constants!$B$7,IF(SUMPRODUCT(--($AL242:$AP242&gt;AL242))+SUMPRODUCT(--($AL242:AL242=AL242))=2,1,IF(SUMPRODUCT(--($AL242:$AP242&gt;AM242))+SUMPRODUCT(--($AL242:AM242=AM242))=2,2,IF(SUMPRODUCT(--($AL242:$AP242&gt;AN242))+SUMPRODUCT(--($AL242:AN242=AN242))=2,3,IF(SUMPRODUCT(--($AL242:$AP242&gt;AO242))+SUMPRODUCT(--($AL242:AO242=AO242))=2,4,5)))),"")</f>
        <v/>
      </c>
      <c r="AS242" s="59" t="str">
        <f aca="false">IF($AJ242=Constants!$B$7,IF(SUMPRODUCT(--($AL242:$AP242&gt;AL242))+SUMPRODUCT(--($AL242:AL242=AL242))=3,1,IF(SUMPRODUCT(--($AL242:$AP242&gt;AM242))+SUMPRODUCT(--($AL242:AM242=AM242))=3,2,IF(SUMPRODUCT(--($AL242:$AP242&gt;AN242))+SUMPRODUCT(--($AL242:AN242=AN242))=3,3,IF(SUMPRODUCT(--($AL242:$AP242&gt;AO242))+SUMPRODUCT(--($AL242:AO242=AO242))=3,4,5)))),"")</f>
        <v/>
      </c>
      <c r="AT242" s="59" t="str">
        <f aca="false">IF($AJ242=Constants!$B$7,LARGE(AL242:AP242,1)+LARGE(AL242:AP242,2)+LARGE(AL242:AP242,3),"")</f>
        <v/>
      </c>
      <c r="AU242" s="59" t="str">
        <f aca="false">IF(ISBLANK($C242),"",IF($AJ242&lt;&gt;Constants!$B$7,$AJ242,AT242*W242))</f>
        <v/>
      </c>
      <c r="AV242" s="59" t="str">
        <f aca="false">IF(ISBLANK($C242),"",IF($AJ242=Constants!$B$7,IF(ISNUMBER(AU242),RANK(AU242,$AU$8:$AU$507),Constants!$B$14),$AJ242))</f>
        <v/>
      </c>
      <c r="AW242" s="59" t="str">
        <f aca="false">IF(ISBLANK($C242),"",IF($AJ242=Constants!$B$7,IF(ISNUMBER(AV242),COUNTIFS($AK$8:$AK$507,"&lt;"&amp;$AK242)+COUNTIFS($AK$8:$AK$507,$AK242,$AV$8:$AV$507,"&lt;"&amp;$AV242)+1,Constants!$B$14),$AJ242))</f>
        <v/>
      </c>
      <c r="AX242" s="59" t="str">
        <f aca="false">IF(ISBLANK($C242),"",IF($AJ242=Constants!$B$7,LARGE(AL242:AP242,4)*W242,""))</f>
        <v/>
      </c>
      <c r="AY242" s="59" t="str">
        <f aca="false">IF(ISBLANK($C242),"",IF($AJ242=Constants!$B$7,RANK(AX242,$AX$8:$AX$507),$AJ242))</f>
        <v/>
      </c>
      <c r="AZ242" s="59" t="str">
        <f aca="false">IF(ISBLANK($C242),"",IF($AJ242=Constants!$B$7,IF(ISNUMBER(AV242),COUNTIFS($AK$8:$AK$507,"&lt;"&amp;$AK242)+COUNTIFS($AK$8:$AK$507,$AK242,$AV$8:$AV$507,"&lt;"&amp;$AV242)+COUNTIFS($AK$8:$AK$507,$AK242,$AV$8:$AV$507,$AV242,$AY$8:$AY$507,"&lt;"&amp;$AY242)+1,Constants!$B$14),$AJ242))</f>
        <v/>
      </c>
      <c r="BA242" s="59" t="str">
        <f aca="false">IF(ISBLANK($C242),"",IF($AJ242=Constants!$B$7,IF(ISNUMBER(AW242),AW242-AZ242,Constants!$B$14),$AJ242))</f>
        <v/>
      </c>
      <c r="BB242" s="61"/>
      <c r="BC242" s="62" t="str">
        <f aca="false">IF(ISBLANK($C242),"",IF($AJ242&lt;&gt;Constants!$B$7,$AJ242,SMALL(AQ242:AS242,1)&amp;", "&amp;SMALL(AQ242:AS242,2)&amp;", "&amp;SMALL(AQ242:AS242,3)))</f>
        <v/>
      </c>
      <c r="BD242" s="63" t="str">
        <f aca="false">IF(ISBLANK($C242),"",IF($AJ242&lt;&gt;Constants!$B$7,$AJ242,W242))</f>
        <v/>
      </c>
      <c r="BE242" s="64" t="str">
        <f aca="false">IF(ISBLANK($C242),"",IF($AJ242&lt;&gt;Constants!$B$7,$AJ242,AU242))</f>
        <v/>
      </c>
      <c r="BF242" s="65" t="str">
        <f aca="false">IF(ISBLANK($C242),"",IF($AJ242&lt;&gt;Constants!$B$7,$AJ242,AK242))</f>
        <v/>
      </c>
      <c r="BG242" s="63" t="str">
        <f aca="false">IF(ISBLANK($C242),"",BA242)</f>
        <v/>
      </c>
      <c r="BH242" s="63" t="str">
        <f aca="false">IF(ISBLANK($C242),"",AZ242)</f>
        <v/>
      </c>
      <c r="BI242" s="66" t="str">
        <f aca="false">IF(ISBLANK($C242),"",IF(BH242=Constants!$B$4,COUNTA($C$8:$C$507)+2,IF(BH242=Constants!$B$5,COUNTA($C$8:$C$507)+1,IF(BH242=Constants!$B$6,COUNTA($C$8:$C$507),BH242))))</f>
        <v/>
      </c>
      <c r="BJ242" s="5"/>
      <c r="BK242" s="67" t="n">
        <f aca="false">IF(OR(ISNUMBER(BH242),BH242=Constants!$B$4,BH242=Constants!$B$6,BH242=Constants!$B$5),1,0)</f>
        <v>0</v>
      </c>
      <c r="BL242" s="67" t="n">
        <v>235</v>
      </c>
      <c r="BM242" s="67" t="str">
        <f aca="false">IF(ISBLANK($C242),"",IF(ISNUMBER(BI242),BI242+ROW($B242)/1000,""))</f>
        <v/>
      </c>
      <c r="BN242" s="67" t="str">
        <f aca="false">IF(ISNUMBER(BM242),RANK(BM242,$BM$8:$BM$507,1),"")</f>
        <v/>
      </c>
      <c r="BO242" s="67" t="str">
        <f aca="false">IF(ISBLANK($C242),"",$B242)</f>
        <v/>
      </c>
      <c r="BP242" s="67" t="str">
        <f aca="false">IF(ISBLANK($C242),"",$C242)</f>
        <v/>
      </c>
      <c r="BQ242" s="67" t="str">
        <f aca="false">IF(ISBLANK($C242),"",$D242)</f>
        <v/>
      </c>
      <c r="BR242" s="68" t="str">
        <f aca="false">BF242</f>
        <v/>
      </c>
      <c r="BS242" s="69" t="str">
        <f aca="false">BE242</f>
        <v/>
      </c>
      <c r="BT242" s="67" t="str">
        <f aca="false">IF(ISBLANK($C242),"",BH242)</f>
        <v/>
      </c>
      <c r="BU242" s="70" t="str">
        <f aca="false">IF($BL242&gt;$BK$7,"",VLOOKUP($BL242,$BN$8:$BT$507,7,FALSE()))</f>
        <v/>
      </c>
      <c r="BV242" s="71" t="str">
        <f aca="false">IF($BL242&gt;$BK$7,"",VLOOKUP($BL242,$BN$8:$BT$507,2,FALSE()))</f>
        <v/>
      </c>
      <c r="BW242" s="71" t="str">
        <f aca="false">IF($BL242&gt;$BK$7,"",VLOOKUP($BL242,$BN$8:$BT$507,3,FALSE()))</f>
        <v/>
      </c>
      <c r="BX242" s="71" t="str">
        <f aca="false">IF($BL242&gt;$BK$7,"",VLOOKUP($BL242,$BN$8:$BT$507,4,FALSE()))</f>
        <v/>
      </c>
      <c r="BY242" s="71" t="str">
        <f aca="false">IF($BL242&gt;$BK$7,"",VLOOKUP($BL242,$BN$8:$BT$507,5,FALSE()))</f>
        <v/>
      </c>
      <c r="BZ242" s="72" t="str">
        <f aca="false">IF($BL242&gt;$BK$7,"",VLOOKUP($BL242,$BN$8:$BT$507,6,FALSE()))</f>
        <v/>
      </c>
      <c r="CA242" s="48"/>
    </row>
    <row r="243" customFormat="false" ht="15.75" hidden="false" customHeight="false" outlineLevel="0" collapsed="false">
      <c r="A243" s="5"/>
      <c r="B243" s="121"/>
      <c r="C243" s="50"/>
      <c r="D243" s="51"/>
      <c r="E243" s="74"/>
      <c r="F243" s="122"/>
      <c r="G243" s="54"/>
      <c r="H243" s="123"/>
      <c r="I243" s="124"/>
      <c r="J243" s="54"/>
      <c r="K243" s="123"/>
      <c r="L243" s="54"/>
      <c r="M243" s="123"/>
      <c r="N243" s="54"/>
      <c r="O243" s="123"/>
      <c r="P243" s="54"/>
      <c r="Q243" s="123"/>
      <c r="R243" s="54"/>
      <c r="S243" s="74"/>
      <c r="T243" s="58"/>
      <c r="U243" s="59" t="str">
        <f aca="false">IF(ISBLANK($C243),"",IF(E243=Constants!$B$2, TRUE(), IF(E243=Constants!$B$3, FALSE(), TRUE())))</f>
        <v/>
      </c>
      <c r="V243" s="59" t="str">
        <f aca="false">IF(ISBLANK($C243),"",IF(F243=Constants!$B$2, TRUE(), IF(F243=Constants!$B$3, FALSE(), TRUE())))</f>
        <v/>
      </c>
      <c r="W243" s="59" t="str">
        <f aca="false">IF(ISBLANK($C243),"",IF(G243=Constants!$B$15,Constants!$B$8,IF(G243=Constants!$B$16,Constants!$B$9,Constants!$B$10)))</f>
        <v/>
      </c>
      <c r="X243" s="59" t="str">
        <f aca="false">IF(ISBLANK($C243),"",IF(H243=Constants!$B$2, TRUE(), IF(H243=Constants!$B$3, FALSE(), TRUE())))</f>
        <v/>
      </c>
      <c r="Y243" s="59" t="str">
        <f aca="false">IF(ISBLANK($C243),"",IF(I243=Constants!$B$19,Constants!$B$19,Constants!$B$18))</f>
        <v/>
      </c>
      <c r="Z243" s="59" t="str">
        <f aca="false">IF(ISBLANK($C243),"",IF(ISNUMBER(J243),IF(J243&gt;=0,J243,""),""))</f>
        <v/>
      </c>
      <c r="AA243" s="59" t="str">
        <f aca="false">IF(ISBLANK($C243),"",IF(K243=Constants!$B$19,Constants!$B$19,Constants!$B$18))</f>
        <v/>
      </c>
      <c r="AB243" s="59" t="str">
        <f aca="false">IF(ISBLANK($C243),"",IF(ISNUMBER(L243),IF(L243&gt;=0,L243,""),""))</f>
        <v/>
      </c>
      <c r="AC243" s="59" t="str">
        <f aca="false">IF(ISBLANK($C243),"",IF(M243=Constants!$B$19,Constants!$B$19,Constants!$B$18))</f>
        <v/>
      </c>
      <c r="AD243" s="59" t="str">
        <f aca="false">IF(ISBLANK($C243),"",IF(ISNUMBER(N243),IF(N243&gt;=0,N243,""),""))</f>
        <v/>
      </c>
      <c r="AE243" s="59" t="str">
        <f aca="false">IF(ISBLANK($C243),"",IF(O243=Constants!$B$19,Constants!$B$19,Constants!$B$18))</f>
        <v/>
      </c>
      <c r="AF243" s="59" t="str">
        <f aca="false">IF(ISBLANK($C243),"",IF(ISNUMBER(P243),IF(P243&gt;=0,P243,""),""))</f>
        <v/>
      </c>
      <c r="AG243" s="59" t="str">
        <f aca="false">IF(ISBLANK($C243),"",IF(Q243=Constants!$B$19,Constants!$B$19,Constants!$B$18))</f>
        <v/>
      </c>
      <c r="AH243" s="59" t="str">
        <f aca="false">IF(ISBLANK($C243),"",IF(ISNUMBER(R243),IF(R243&gt;=0,R243,""),""))</f>
        <v/>
      </c>
      <c r="AI243" s="59" t="str">
        <f aca="false">IF(ISBLANK($C243),"",IF(S243=Constants!$B$2, TRUE(), IF(S243=Constants!$B$3, FALSE(), FALSE())))</f>
        <v/>
      </c>
      <c r="AJ243" s="59" t="str">
        <f aca="false">IF(ISBLANK($C243),"",IF(AI243,Constants!$B$4,IF(COUNTA(E243:R243)=0,Constants!$B$5,IF(COUNTA(J243,L243,N243,P243,R243)=0,Constants!$B$6,Constants!$B$7))))</f>
        <v/>
      </c>
      <c r="AK243" s="59" t="str">
        <f aca="false">IF(ISBLANK($C243),"",IF($AJ243&lt;&gt;Constants!$B$7,$AJ243,IF(OR(NOT(X243),AND(NOT(U243),COUNTIFS(Y243:AG243,Constants!$B$18,Z243:AH243,"&gt;=0")&gt;0),AND(NOT(V243),COUNTIFS(Y243:AG243,Constants!$B$19,Z243:AH243,"&gt;=0")&gt;0)),Constants!$B$12,Constants!$B$11)))</f>
        <v/>
      </c>
      <c r="AL243" s="59" t="str">
        <f aca="false">IF($AJ243=Constants!$B$7,IF(Z243="",Constants!$B$13,Z243),"")</f>
        <v/>
      </c>
      <c r="AM243" s="59" t="str">
        <f aca="false">IF($AJ243=Constants!$B$7,IF(AB243="",Constants!$B$13,AB243),"")</f>
        <v/>
      </c>
      <c r="AN243" s="59" t="str">
        <f aca="false">IF($AJ243=Constants!$B$7,IF(AD243="",Constants!$B$13,AD243),"")</f>
        <v/>
      </c>
      <c r="AO243" s="59" t="str">
        <f aca="false">IF($AJ243=Constants!$B$7,IF(AF243="",Constants!$B$13,AF243),"")</f>
        <v/>
      </c>
      <c r="AP243" s="59" t="str">
        <f aca="false">IF($AJ243=Constants!$B$7,IF(AH243="",Constants!$B$13,AH243),"")</f>
        <v/>
      </c>
      <c r="AQ243" s="59" t="str">
        <f aca="false">IF($AJ243=Constants!$B$7,IF(SUMPRODUCT(--($AL243:$AP243&gt;AL243))+SUMPRODUCT(--($AL243:AL243=AL243))=1,1,IF(SUMPRODUCT(--($AL243:$AP243&gt;AM243))+SUMPRODUCT(--($AL243:AM243=AM243))=1,2,IF(SUMPRODUCT(--($AL243:$AP243&gt;AN243))+SUMPRODUCT(--($AL243:AN243=AN243))=1,3,IF(SUMPRODUCT(--($AL243:$AP243&gt;AO243))+SUMPRODUCT(--($AL243:AO243=AO243))=1,4,5)))),"")</f>
        <v/>
      </c>
      <c r="AR243" s="59" t="str">
        <f aca="false">IF($AJ243=Constants!$B$7,IF(SUMPRODUCT(--($AL243:$AP243&gt;AL243))+SUMPRODUCT(--($AL243:AL243=AL243))=2,1,IF(SUMPRODUCT(--($AL243:$AP243&gt;AM243))+SUMPRODUCT(--($AL243:AM243=AM243))=2,2,IF(SUMPRODUCT(--($AL243:$AP243&gt;AN243))+SUMPRODUCT(--($AL243:AN243=AN243))=2,3,IF(SUMPRODUCT(--($AL243:$AP243&gt;AO243))+SUMPRODUCT(--($AL243:AO243=AO243))=2,4,5)))),"")</f>
        <v/>
      </c>
      <c r="AS243" s="59" t="str">
        <f aca="false">IF($AJ243=Constants!$B$7,IF(SUMPRODUCT(--($AL243:$AP243&gt;AL243))+SUMPRODUCT(--($AL243:AL243=AL243))=3,1,IF(SUMPRODUCT(--($AL243:$AP243&gt;AM243))+SUMPRODUCT(--($AL243:AM243=AM243))=3,2,IF(SUMPRODUCT(--($AL243:$AP243&gt;AN243))+SUMPRODUCT(--($AL243:AN243=AN243))=3,3,IF(SUMPRODUCT(--($AL243:$AP243&gt;AO243))+SUMPRODUCT(--($AL243:AO243=AO243))=3,4,5)))),"")</f>
        <v/>
      </c>
      <c r="AT243" s="59" t="str">
        <f aca="false">IF($AJ243=Constants!$B$7,LARGE(AL243:AP243,1)+LARGE(AL243:AP243,2)+LARGE(AL243:AP243,3),"")</f>
        <v/>
      </c>
      <c r="AU243" s="59" t="str">
        <f aca="false">IF(ISBLANK($C243),"",IF($AJ243&lt;&gt;Constants!$B$7,$AJ243,AT243*W243))</f>
        <v/>
      </c>
      <c r="AV243" s="59" t="str">
        <f aca="false">IF(ISBLANK($C243),"",IF($AJ243=Constants!$B$7,IF(ISNUMBER(AU243),RANK(AU243,$AU$8:$AU$507),Constants!$B$14),$AJ243))</f>
        <v/>
      </c>
      <c r="AW243" s="59" t="str">
        <f aca="false">IF(ISBLANK($C243),"",IF($AJ243=Constants!$B$7,IF(ISNUMBER(AV243),COUNTIFS($AK$8:$AK$507,"&lt;"&amp;$AK243)+COUNTIFS($AK$8:$AK$507,$AK243,$AV$8:$AV$507,"&lt;"&amp;$AV243)+1,Constants!$B$14),$AJ243))</f>
        <v/>
      </c>
      <c r="AX243" s="59" t="str">
        <f aca="false">IF(ISBLANK($C243),"",IF($AJ243=Constants!$B$7,LARGE(AL243:AP243,4)*W243,""))</f>
        <v/>
      </c>
      <c r="AY243" s="59" t="str">
        <f aca="false">IF(ISBLANK($C243),"",IF($AJ243=Constants!$B$7,RANK(AX243,$AX$8:$AX$507),$AJ243))</f>
        <v/>
      </c>
      <c r="AZ243" s="59" t="str">
        <f aca="false">IF(ISBLANK($C243),"",IF($AJ243=Constants!$B$7,IF(ISNUMBER(AV243),COUNTIFS($AK$8:$AK$507,"&lt;"&amp;$AK243)+COUNTIFS($AK$8:$AK$507,$AK243,$AV$8:$AV$507,"&lt;"&amp;$AV243)+COUNTIFS($AK$8:$AK$507,$AK243,$AV$8:$AV$507,$AV243,$AY$8:$AY$507,"&lt;"&amp;$AY243)+1,Constants!$B$14),$AJ243))</f>
        <v/>
      </c>
      <c r="BA243" s="59" t="str">
        <f aca="false">IF(ISBLANK($C243),"",IF($AJ243=Constants!$B$7,IF(ISNUMBER(AW243),AW243-AZ243,Constants!$B$14),$AJ243))</f>
        <v/>
      </c>
      <c r="BB243" s="61"/>
      <c r="BC243" s="62" t="str">
        <f aca="false">IF(ISBLANK($C243),"",IF($AJ243&lt;&gt;Constants!$B$7,$AJ243,SMALL(AQ243:AS243,1)&amp;", "&amp;SMALL(AQ243:AS243,2)&amp;", "&amp;SMALL(AQ243:AS243,3)))</f>
        <v/>
      </c>
      <c r="BD243" s="63" t="str">
        <f aca="false">IF(ISBLANK($C243),"",IF($AJ243&lt;&gt;Constants!$B$7,$AJ243,W243))</f>
        <v/>
      </c>
      <c r="BE243" s="64" t="str">
        <f aca="false">IF(ISBLANK($C243),"",IF($AJ243&lt;&gt;Constants!$B$7,$AJ243,AU243))</f>
        <v/>
      </c>
      <c r="BF243" s="65" t="str">
        <f aca="false">IF(ISBLANK($C243),"",IF($AJ243&lt;&gt;Constants!$B$7,$AJ243,AK243))</f>
        <v/>
      </c>
      <c r="BG243" s="63" t="str">
        <f aca="false">IF(ISBLANK($C243),"",BA243)</f>
        <v/>
      </c>
      <c r="BH243" s="63" t="str">
        <f aca="false">IF(ISBLANK($C243),"",AZ243)</f>
        <v/>
      </c>
      <c r="BI243" s="66" t="str">
        <f aca="false">IF(ISBLANK($C243),"",IF(BH243=Constants!$B$4,COUNTA($C$8:$C$507)+2,IF(BH243=Constants!$B$5,COUNTA($C$8:$C$507)+1,IF(BH243=Constants!$B$6,COUNTA($C$8:$C$507),BH243))))</f>
        <v/>
      </c>
      <c r="BJ243" s="5"/>
      <c r="BK243" s="67" t="n">
        <f aca="false">IF(OR(ISNUMBER(BH243),BH243=Constants!$B$4,BH243=Constants!$B$6,BH243=Constants!$B$5),1,0)</f>
        <v>0</v>
      </c>
      <c r="BL243" s="67" t="n">
        <v>236</v>
      </c>
      <c r="BM243" s="67" t="str">
        <f aca="false">IF(ISBLANK($C243),"",IF(ISNUMBER(BI243),BI243+ROW($B243)/1000,""))</f>
        <v/>
      </c>
      <c r="BN243" s="67" t="str">
        <f aca="false">IF(ISNUMBER(BM243),RANK(BM243,$BM$8:$BM$507,1),"")</f>
        <v/>
      </c>
      <c r="BO243" s="67" t="str">
        <f aca="false">IF(ISBLANK($C243),"",$B243)</f>
        <v/>
      </c>
      <c r="BP243" s="67" t="str">
        <f aca="false">IF(ISBLANK($C243),"",$C243)</f>
        <v/>
      </c>
      <c r="BQ243" s="67" t="str">
        <f aca="false">IF(ISBLANK($C243),"",$D243)</f>
        <v/>
      </c>
      <c r="BR243" s="68" t="str">
        <f aca="false">BF243</f>
        <v/>
      </c>
      <c r="BS243" s="69" t="str">
        <f aca="false">BE243</f>
        <v/>
      </c>
      <c r="BT243" s="67" t="str">
        <f aca="false">IF(ISBLANK($C243),"",BH243)</f>
        <v/>
      </c>
      <c r="BU243" s="70" t="str">
        <f aca="false">IF($BL243&gt;$BK$7,"",VLOOKUP($BL243,$BN$8:$BT$507,7,FALSE()))</f>
        <v/>
      </c>
      <c r="BV243" s="71" t="str">
        <f aca="false">IF($BL243&gt;$BK$7,"",VLOOKUP($BL243,$BN$8:$BT$507,2,FALSE()))</f>
        <v/>
      </c>
      <c r="BW243" s="71" t="str">
        <f aca="false">IF($BL243&gt;$BK$7,"",VLOOKUP($BL243,$BN$8:$BT$507,3,FALSE()))</f>
        <v/>
      </c>
      <c r="BX243" s="71" t="str">
        <f aca="false">IF($BL243&gt;$BK$7,"",VLOOKUP($BL243,$BN$8:$BT$507,4,FALSE()))</f>
        <v/>
      </c>
      <c r="BY243" s="71" t="str">
        <f aca="false">IF($BL243&gt;$BK$7,"",VLOOKUP($BL243,$BN$8:$BT$507,5,FALSE()))</f>
        <v/>
      </c>
      <c r="BZ243" s="72" t="str">
        <f aca="false">IF($BL243&gt;$BK$7,"",VLOOKUP($BL243,$BN$8:$BT$507,6,FALSE()))</f>
        <v/>
      </c>
      <c r="CA243" s="48"/>
    </row>
    <row r="244" customFormat="false" ht="15.75" hidden="false" customHeight="false" outlineLevel="0" collapsed="false">
      <c r="A244" s="5"/>
      <c r="B244" s="121"/>
      <c r="C244" s="50"/>
      <c r="D244" s="51"/>
      <c r="E244" s="74"/>
      <c r="F244" s="122"/>
      <c r="G244" s="54"/>
      <c r="H244" s="123"/>
      <c r="I244" s="124"/>
      <c r="J244" s="54"/>
      <c r="K244" s="123"/>
      <c r="L244" s="54"/>
      <c r="M244" s="123"/>
      <c r="N244" s="54"/>
      <c r="O244" s="123"/>
      <c r="P244" s="54"/>
      <c r="Q244" s="123"/>
      <c r="R244" s="54"/>
      <c r="S244" s="74"/>
      <c r="T244" s="58"/>
      <c r="U244" s="59" t="str">
        <f aca="false">IF(ISBLANK($C244),"",IF(E244=Constants!$B$2, TRUE(), IF(E244=Constants!$B$3, FALSE(), TRUE())))</f>
        <v/>
      </c>
      <c r="V244" s="59" t="str">
        <f aca="false">IF(ISBLANK($C244),"",IF(F244=Constants!$B$2, TRUE(), IF(F244=Constants!$B$3, FALSE(), TRUE())))</f>
        <v/>
      </c>
      <c r="W244" s="59" t="str">
        <f aca="false">IF(ISBLANK($C244),"",IF(G244=Constants!$B$15,Constants!$B$8,IF(G244=Constants!$B$16,Constants!$B$9,Constants!$B$10)))</f>
        <v/>
      </c>
      <c r="X244" s="59" t="str">
        <f aca="false">IF(ISBLANK($C244),"",IF(H244=Constants!$B$2, TRUE(), IF(H244=Constants!$B$3, FALSE(), TRUE())))</f>
        <v/>
      </c>
      <c r="Y244" s="59" t="str">
        <f aca="false">IF(ISBLANK($C244),"",IF(I244=Constants!$B$19,Constants!$B$19,Constants!$B$18))</f>
        <v/>
      </c>
      <c r="Z244" s="59" t="str">
        <f aca="false">IF(ISBLANK($C244),"",IF(ISNUMBER(J244),IF(J244&gt;=0,J244,""),""))</f>
        <v/>
      </c>
      <c r="AA244" s="59" t="str">
        <f aca="false">IF(ISBLANK($C244),"",IF(K244=Constants!$B$19,Constants!$B$19,Constants!$B$18))</f>
        <v/>
      </c>
      <c r="AB244" s="59" t="str">
        <f aca="false">IF(ISBLANK($C244),"",IF(ISNUMBER(L244),IF(L244&gt;=0,L244,""),""))</f>
        <v/>
      </c>
      <c r="AC244" s="59" t="str">
        <f aca="false">IF(ISBLANK($C244),"",IF(M244=Constants!$B$19,Constants!$B$19,Constants!$B$18))</f>
        <v/>
      </c>
      <c r="AD244" s="59" t="str">
        <f aca="false">IF(ISBLANK($C244),"",IF(ISNUMBER(N244),IF(N244&gt;=0,N244,""),""))</f>
        <v/>
      </c>
      <c r="AE244" s="59" t="str">
        <f aca="false">IF(ISBLANK($C244),"",IF(O244=Constants!$B$19,Constants!$B$19,Constants!$B$18))</f>
        <v/>
      </c>
      <c r="AF244" s="59" t="str">
        <f aca="false">IF(ISBLANK($C244),"",IF(ISNUMBER(P244),IF(P244&gt;=0,P244,""),""))</f>
        <v/>
      </c>
      <c r="AG244" s="59" t="str">
        <f aca="false">IF(ISBLANK($C244),"",IF(Q244=Constants!$B$19,Constants!$B$19,Constants!$B$18))</f>
        <v/>
      </c>
      <c r="AH244" s="59" t="str">
        <f aca="false">IF(ISBLANK($C244),"",IF(ISNUMBER(R244),IF(R244&gt;=0,R244,""),""))</f>
        <v/>
      </c>
      <c r="AI244" s="59" t="str">
        <f aca="false">IF(ISBLANK($C244),"",IF(S244=Constants!$B$2, TRUE(), IF(S244=Constants!$B$3, FALSE(), FALSE())))</f>
        <v/>
      </c>
      <c r="AJ244" s="59" t="str">
        <f aca="false">IF(ISBLANK($C244),"",IF(AI244,Constants!$B$4,IF(COUNTA(E244:R244)=0,Constants!$B$5,IF(COUNTA(J244,L244,N244,P244,R244)=0,Constants!$B$6,Constants!$B$7))))</f>
        <v/>
      </c>
      <c r="AK244" s="59" t="str">
        <f aca="false">IF(ISBLANK($C244),"",IF($AJ244&lt;&gt;Constants!$B$7,$AJ244,IF(OR(NOT(X244),AND(NOT(U244),COUNTIFS(Y244:AG244,Constants!$B$18,Z244:AH244,"&gt;=0")&gt;0),AND(NOT(V244),COUNTIFS(Y244:AG244,Constants!$B$19,Z244:AH244,"&gt;=0")&gt;0)),Constants!$B$12,Constants!$B$11)))</f>
        <v/>
      </c>
      <c r="AL244" s="59" t="str">
        <f aca="false">IF($AJ244=Constants!$B$7,IF(Z244="",Constants!$B$13,Z244),"")</f>
        <v/>
      </c>
      <c r="AM244" s="59" t="str">
        <f aca="false">IF($AJ244=Constants!$B$7,IF(AB244="",Constants!$B$13,AB244),"")</f>
        <v/>
      </c>
      <c r="AN244" s="59" t="str">
        <f aca="false">IF($AJ244=Constants!$B$7,IF(AD244="",Constants!$B$13,AD244),"")</f>
        <v/>
      </c>
      <c r="AO244" s="59" t="str">
        <f aca="false">IF($AJ244=Constants!$B$7,IF(AF244="",Constants!$B$13,AF244),"")</f>
        <v/>
      </c>
      <c r="AP244" s="59" t="str">
        <f aca="false">IF($AJ244=Constants!$B$7,IF(AH244="",Constants!$B$13,AH244),"")</f>
        <v/>
      </c>
      <c r="AQ244" s="59" t="str">
        <f aca="false">IF($AJ244=Constants!$B$7,IF(SUMPRODUCT(--($AL244:$AP244&gt;AL244))+SUMPRODUCT(--($AL244:AL244=AL244))=1,1,IF(SUMPRODUCT(--($AL244:$AP244&gt;AM244))+SUMPRODUCT(--($AL244:AM244=AM244))=1,2,IF(SUMPRODUCT(--($AL244:$AP244&gt;AN244))+SUMPRODUCT(--($AL244:AN244=AN244))=1,3,IF(SUMPRODUCT(--($AL244:$AP244&gt;AO244))+SUMPRODUCT(--($AL244:AO244=AO244))=1,4,5)))),"")</f>
        <v/>
      </c>
      <c r="AR244" s="59" t="str">
        <f aca="false">IF($AJ244=Constants!$B$7,IF(SUMPRODUCT(--($AL244:$AP244&gt;AL244))+SUMPRODUCT(--($AL244:AL244=AL244))=2,1,IF(SUMPRODUCT(--($AL244:$AP244&gt;AM244))+SUMPRODUCT(--($AL244:AM244=AM244))=2,2,IF(SUMPRODUCT(--($AL244:$AP244&gt;AN244))+SUMPRODUCT(--($AL244:AN244=AN244))=2,3,IF(SUMPRODUCT(--($AL244:$AP244&gt;AO244))+SUMPRODUCT(--($AL244:AO244=AO244))=2,4,5)))),"")</f>
        <v/>
      </c>
      <c r="AS244" s="59" t="str">
        <f aca="false">IF($AJ244=Constants!$B$7,IF(SUMPRODUCT(--($AL244:$AP244&gt;AL244))+SUMPRODUCT(--($AL244:AL244=AL244))=3,1,IF(SUMPRODUCT(--($AL244:$AP244&gt;AM244))+SUMPRODUCT(--($AL244:AM244=AM244))=3,2,IF(SUMPRODUCT(--($AL244:$AP244&gt;AN244))+SUMPRODUCT(--($AL244:AN244=AN244))=3,3,IF(SUMPRODUCT(--($AL244:$AP244&gt;AO244))+SUMPRODUCT(--($AL244:AO244=AO244))=3,4,5)))),"")</f>
        <v/>
      </c>
      <c r="AT244" s="59" t="str">
        <f aca="false">IF($AJ244=Constants!$B$7,LARGE(AL244:AP244,1)+LARGE(AL244:AP244,2)+LARGE(AL244:AP244,3),"")</f>
        <v/>
      </c>
      <c r="AU244" s="59" t="str">
        <f aca="false">IF(ISBLANK($C244),"",IF($AJ244&lt;&gt;Constants!$B$7,$AJ244,AT244*W244))</f>
        <v/>
      </c>
      <c r="AV244" s="59" t="str">
        <f aca="false">IF(ISBLANK($C244),"",IF($AJ244=Constants!$B$7,IF(ISNUMBER(AU244),RANK(AU244,$AU$8:$AU$507),Constants!$B$14),$AJ244))</f>
        <v/>
      </c>
      <c r="AW244" s="59" t="str">
        <f aca="false">IF(ISBLANK($C244),"",IF($AJ244=Constants!$B$7,IF(ISNUMBER(AV244),COUNTIFS($AK$8:$AK$507,"&lt;"&amp;$AK244)+COUNTIFS($AK$8:$AK$507,$AK244,$AV$8:$AV$507,"&lt;"&amp;$AV244)+1,Constants!$B$14),$AJ244))</f>
        <v/>
      </c>
      <c r="AX244" s="59" t="str">
        <f aca="false">IF(ISBLANK($C244),"",IF($AJ244=Constants!$B$7,LARGE(AL244:AP244,4)*W244,""))</f>
        <v/>
      </c>
      <c r="AY244" s="59" t="str">
        <f aca="false">IF(ISBLANK($C244),"",IF($AJ244=Constants!$B$7,RANK(AX244,$AX$8:$AX$507),$AJ244))</f>
        <v/>
      </c>
      <c r="AZ244" s="59" t="str">
        <f aca="false">IF(ISBLANK($C244),"",IF($AJ244=Constants!$B$7,IF(ISNUMBER(AV244),COUNTIFS($AK$8:$AK$507,"&lt;"&amp;$AK244)+COUNTIFS($AK$8:$AK$507,$AK244,$AV$8:$AV$507,"&lt;"&amp;$AV244)+COUNTIFS($AK$8:$AK$507,$AK244,$AV$8:$AV$507,$AV244,$AY$8:$AY$507,"&lt;"&amp;$AY244)+1,Constants!$B$14),$AJ244))</f>
        <v/>
      </c>
      <c r="BA244" s="59" t="str">
        <f aca="false">IF(ISBLANK($C244),"",IF($AJ244=Constants!$B$7,IF(ISNUMBER(AW244),AW244-AZ244,Constants!$B$14),$AJ244))</f>
        <v/>
      </c>
      <c r="BB244" s="61"/>
      <c r="BC244" s="62" t="str">
        <f aca="false">IF(ISBLANK($C244),"",IF($AJ244&lt;&gt;Constants!$B$7,$AJ244,SMALL(AQ244:AS244,1)&amp;", "&amp;SMALL(AQ244:AS244,2)&amp;", "&amp;SMALL(AQ244:AS244,3)))</f>
        <v/>
      </c>
      <c r="BD244" s="63" t="str">
        <f aca="false">IF(ISBLANK($C244),"",IF($AJ244&lt;&gt;Constants!$B$7,$AJ244,W244))</f>
        <v/>
      </c>
      <c r="BE244" s="64" t="str">
        <f aca="false">IF(ISBLANK($C244),"",IF($AJ244&lt;&gt;Constants!$B$7,$AJ244,AU244))</f>
        <v/>
      </c>
      <c r="BF244" s="65" t="str">
        <f aca="false">IF(ISBLANK($C244),"",IF($AJ244&lt;&gt;Constants!$B$7,$AJ244,AK244))</f>
        <v/>
      </c>
      <c r="BG244" s="63" t="str">
        <f aca="false">IF(ISBLANK($C244),"",BA244)</f>
        <v/>
      </c>
      <c r="BH244" s="63" t="str">
        <f aca="false">IF(ISBLANK($C244),"",AZ244)</f>
        <v/>
      </c>
      <c r="BI244" s="66" t="str">
        <f aca="false">IF(ISBLANK($C244),"",IF(BH244=Constants!$B$4,COUNTA($C$8:$C$507)+2,IF(BH244=Constants!$B$5,COUNTA($C$8:$C$507)+1,IF(BH244=Constants!$B$6,COUNTA($C$8:$C$507),BH244))))</f>
        <v/>
      </c>
      <c r="BJ244" s="5"/>
      <c r="BK244" s="67" t="n">
        <f aca="false">IF(OR(ISNUMBER(BH244),BH244=Constants!$B$4,BH244=Constants!$B$6,BH244=Constants!$B$5),1,0)</f>
        <v>0</v>
      </c>
      <c r="BL244" s="67" t="n">
        <v>237</v>
      </c>
      <c r="BM244" s="67" t="str">
        <f aca="false">IF(ISBLANK($C244),"",IF(ISNUMBER(BI244),BI244+ROW($B244)/1000,""))</f>
        <v/>
      </c>
      <c r="BN244" s="67" t="str">
        <f aca="false">IF(ISNUMBER(BM244),RANK(BM244,$BM$8:$BM$507,1),"")</f>
        <v/>
      </c>
      <c r="BO244" s="67" t="str">
        <f aca="false">IF(ISBLANK($C244),"",$B244)</f>
        <v/>
      </c>
      <c r="BP244" s="67" t="str">
        <f aca="false">IF(ISBLANK($C244),"",$C244)</f>
        <v/>
      </c>
      <c r="BQ244" s="67" t="str">
        <f aca="false">IF(ISBLANK($C244),"",$D244)</f>
        <v/>
      </c>
      <c r="BR244" s="68" t="str">
        <f aca="false">BF244</f>
        <v/>
      </c>
      <c r="BS244" s="69" t="str">
        <f aca="false">BE244</f>
        <v/>
      </c>
      <c r="BT244" s="67" t="str">
        <f aca="false">IF(ISBLANK($C244),"",BH244)</f>
        <v/>
      </c>
      <c r="BU244" s="70" t="str">
        <f aca="false">IF($BL244&gt;$BK$7,"",VLOOKUP($BL244,$BN$8:$BT$507,7,FALSE()))</f>
        <v/>
      </c>
      <c r="BV244" s="71" t="str">
        <f aca="false">IF($BL244&gt;$BK$7,"",VLOOKUP($BL244,$BN$8:$BT$507,2,FALSE()))</f>
        <v/>
      </c>
      <c r="BW244" s="71" t="str">
        <f aca="false">IF($BL244&gt;$BK$7,"",VLOOKUP($BL244,$BN$8:$BT$507,3,FALSE()))</f>
        <v/>
      </c>
      <c r="BX244" s="71" t="str">
        <f aca="false">IF($BL244&gt;$BK$7,"",VLOOKUP($BL244,$BN$8:$BT$507,4,FALSE()))</f>
        <v/>
      </c>
      <c r="BY244" s="71" t="str">
        <f aca="false">IF($BL244&gt;$BK$7,"",VLOOKUP($BL244,$BN$8:$BT$507,5,FALSE()))</f>
        <v/>
      </c>
      <c r="BZ244" s="72" t="str">
        <f aca="false">IF($BL244&gt;$BK$7,"",VLOOKUP($BL244,$BN$8:$BT$507,6,FALSE()))</f>
        <v/>
      </c>
      <c r="CA244" s="48"/>
    </row>
    <row r="245" customFormat="false" ht="15.75" hidden="false" customHeight="false" outlineLevel="0" collapsed="false">
      <c r="A245" s="5"/>
      <c r="B245" s="114"/>
      <c r="C245" s="115"/>
      <c r="D245" s="100"/>
      <c r="E245" s="120"/>
      <c r="F245" s="125"/>
      <c r="G245" s="82"/>
      <c r="H245" s="126"/>
      <c r="I245" s="127"/>
      <c r="J245" s="82"/>
      <c r="K245" s="126"/>
      <c r="L245" s="82"/>
      <c r="M245" s="126"/>
      <c r="N245" s="82"/>
      <c r="O245" s="126"/>
      <c r="P245" s="82"/>
      <c r="Q245" s="126"/>
      <c r="R245" s="82"/>
      <c r="S245" s="120"/>
      <c r="T245" s="86"/>
      <c r="U245" s="87" t="str">
        <f aca="false">IF(ISBLANK($C245),"",IF(E245=Constants!$B$2, TRUE(), IF(E245=Constants!$B$3, FALSE(), TRUE())))</f>
        <v/>
      </c>
      <c r="V245" s="87" t="str">
        <f aca="false">IF(ISBLANK($C245),"",IF(F245=Constants!$B$2, TRUE(), IF(F245=Constants!$B$3, FALSE(), TRUE())))</f>
        <v/>
      </c>
      <c r="W245" s="87" t="str">
        <f aca="false">IF(ISBLANK($C245),"",IF(G245=Constants!$B$15,Constants!$B$8,IF(G245=Constants!$B$16,Constants!$B$9,Constants!$B$10)))</f>
        <v/>
      </c>
      <c r="X245" s="87" t="str">
        <f aca="false">IF(ISBLANK($C245),"",IF(H245=Constants!$B$2, TRUE(), IF(H245=Constants!$B$3, FALSE(), TRUE())))</f>
        <v/>
      </c>
      <c r="Y245" s="87" t="str">
        <f aca="false">IF(ISBLANK($C245),"",IF(I245=Constants!$B$19,Constants!$B$19,Constants!$B$18))</f>
        <v/>
      </c>
      <c r="Z245" s="87" t="str">
        <f aca="false">IF(ISBLANK($C245),"",IF(ISNUMBER(J245),IF(J245&gt;=0,J245,""),""))</f>
        <v/>
      </c>
      <c r="AA245" s="87" t="str">
        <f aca="false">IF(ISBLANK($C245),"",IF(K245=Constants!$B$19,Constants!$B$19,Constants!$B$18))</f>
        <v/>
      </c>
      <c r="AB245" s="87" t="str">
        <f aca="false">IF(ISBLANK($C245),"",IF(ISNUMBER(L245),IF(L245&gt;=0,L245,""),""))</f>
        <v/>
      </c>
      <c r="AC245" s="87" t="str">
        <f aca="false">IF(ISBLANK($C245),"",IF(M245=Constants!$B$19,Constants!$B$19,Constants!$B$18))</f>
        <v/>
      </c>
      <c r="AD245" s="87" t="str">
        <f aca="false">IF(ISBLANK($C245),"",IF(ISNUMBER(N245),IF(N245&gt;=0,N245,""),""))</f>
        <v/>
      </c>
      <c r="AE245" s="87" t="str">
        <f aca="false">IF(ISBLANK($C245),"",IF(O245=Constants!$B$19,Constants!$B$19,Constants!$B$18))</f>
        <v/>
      </c>
      <c r="AF245" s="87" t="str">
        <f aca="false">IF(ISBLANK($C245),"",IF(ISNUMBER(P245),IF(P245&gt;=0,P245,""),""))</f>
        <v/>
      </c>
      <c r="AG245" s="87" t="str">
        <f aca="false">IF(ISBLANK($C245),"",IF(Q245=Constants!$B$19,Constants!$B$19,Constants!$B$18))</f>
        <v/>
      </c>
      <c r="AH245" s="87" t="str">
        <f aca="false">IF(ISBLANK($C245),"",IF(ISNUMBER(R245),IF(R245&gt;=0,R245,""),""))</f>
        <v/>
      </c>
      <c r="AI245" s="87" t="str">
        <f aca="false">IF(ISBLANK($C245),"",IF(S245=Constants!$B$2, TRUE(), IF(S245=Constants!$B$3, FALSE(), FALSE())))</f>
        <v/>
      </c>
      <c r="AJ245" s="87" t="str">
        <f aca="false">IF(ISBLANK($C245),"",IF(AI245,Constants!$B$4,IF(COUNTA(E245:R245)=0,Constants!$B$5,IF(COUNTA(J245,L245,N245,P245,R245)=0,Constants!$B$6,Constants!$B$7))))</f>
        <v/>
      </c>
      <c r="AK245" s="87" t="str">
        <f aca="false">IF(ISBLANK($C245),"",IF($AJ245&lt;&gt;Constants!$B$7,$AJ245,IF(OR(NOT(X245),AND(NOT(U245),COUNTIFS(Y245:AG245,Constants!$B$18,Z245:AH245,"&gt;=0")&gt;0),AND(NOT(V245),COUNTIFS(Y245:AG245,Constants!$B$19,Z245:AH245,"&gt;=0")&gt;0)),Constants!$B$12,Constants!$B$11)))</f>
        <v/>
      </c>
      <c r="AL245" s="87" t="str">
        <f aca="false">IF($AJ245=Constants!$B$7,IF(Z245="",Constants!$B$13,Z245),"")</f>
        <v/>
      </c>
      <c r="AM245" s="87" t="str">
        <f aca="false">IF($AJ245=Constants!$B$7,IF(AB245="",Constants!$B$13,AB245),"")</f>
        <v/>
      </c>
      <c r="AN245" s="87" t="str">
        <f aca="false">IF($AJ245=Constants!$B$7,IF(AD245="",Constants!$B$13,AD245),"")</f>
        <v/>
      </c>
      <c r="AO245" s="87" t="str">
        <f aca="false">IF($AJ245=Constants!$B$7,IF(AF245="",Constants!$B$13,AF245),"")</f>
        <v/>
      </c>
      <c r="AP245" s="87" t="str">
        <f aca="false">IF($AJ245=Constants!$B$7,IF(AH245="",Constants!$B$13,AH245),"")</f>
        <v/>
      </c>
      <c r="AQ245" s="87" t="str">
        <f aca="false">IF($AJ245=Constants!$B$7,IF(SUMPRODUCT(--($AL245:$AP245&gt;AL245))+SUMPRODUCT(--($AL245:AL245=AL245))=1,1,IF(SUMPRODUCT(--($AL245:$AP245&gt;AM245))+SUMPRODUCT(--($AL245:AM245=AM245))=1,2,IF(SUMPRODUCT(--($AL245:$AP245&gt;AN245))+SUMPRODUCT(--($AL245:AN245=AN245))=1,3,IF(SUMPRODUCT(--($AL245:$AP245&gt;AO245))+SUMPRODUCT(--($AL245:AO245=AO245))=1,4,5)))),"")</f>
        <v/>
      </c>
      <c r="AR245" s="87" t="str">
        <f aca="false">IF($AJ245=Constants!$B$7,IF(SUMPRODUCT(--($AL245:$AP245&gt;AL245))+SUMPRODUCT(--($AL245:AL245=AL245))=2,1,IF(SUMPRODUCT(--($AL245:$AP245&gt;AM245))+SUMPRODUCT(--($AL245:AM245=AM245))=2,2,IF(SUMPRODUCT(--($AL245:$AP245&gt;AN245))+SUMPRODUCT(--($AL245:AN245=AN245))=2,3,IF(SUMPRODUCT(--($AL245:$AP245&gt;AO245))+SUMPRODUCT(--($AL245:AO245=AO245))=2,4,5)))),"")</f>
        <v/>
      </c>
      <c r="AS245" s="87" t="str">
        <f aca="false">IF($AJ245=Constants!$B$7,IF(SUMPRODUCT(--($AL245:$AP245&gt;AL245))+SUMPRODUCT(--($AL245:AL245=AL245))=3,1,IF(SUMPRODUCT(--($AL245:$AP245&gt;AM245))+SUMPRODUCT(--($AL245:AM245=AM245))=3,2,IF(SUMPRODUCT(--($AL245:$AP245&gt;AN245))+SUMPRODUCT(--($AL245:AN245=AN245))=3,3,IF(SUMPRODUCT(--($AL245:$AP245&gt;AO245))+SUMPRODUCT(--($AL245:AO245=AO245))=3,4,5)))),"")</f>
        <v/>
      </c>
      <c r="AT245" s="87" t="str">
        <f aca="false">IF($AJ245=Constants!$B$7,LARGE(AL245:AP245,1)+LARGE(AL245:AP245,2)+LARGE(AL245:AP245,3),"")</f>
        <v/>
      </c>
      <c r="AU245" s="87" t="str">
        <f aca="false">IF(ISBLANK($C245),"",IF($AJ245&lt;&gt;Constants!$B$7,$AJ245,AT245*W245))</f>
        <v/>
      </c>
      <c r="AV245" s="87" t="str">
        <f aca="false">IF(ISBLANK($C245),"",IF($AJ245=Constants!$B$7,IF(ISNUMBER(AU245),RANK(AU245,$AU$8:$AU$507),Constants!$B$14),$AJ245))</f>
        <v/>
      </c>
      <c r="AW245" s="87" t="str">
        <f aca="false">IF(ISBLANK($C245),"",IF($AJ245=Constants!$B$7,IF(ISNUMBER(AV245),COUNTIFS($AK$8:$AK$507,"&lt;"&amp;$AK245)+COUNTIFS($AK$8:$AK$507,$AK245,$AV$8:$AV$507,"&lt;"&amp;$AV245)+1,Constants!$B$14),$AJ245))</f>
        <v/>
      </c>
      <c r="AX245" s="87" t="str">
        <f aca="false">IF(ISBLANK($C245),"",IF($AJ245=Constants!$B$7,LARGE(AL245:AP245,4)*W245,""))</f>
        <v/>
      </c>
      <c r="AY245" s="87" t="str">
        <f aca="false">IF(ISBLANK($C245),"",IF($AJ245=Constants!$B$7,RANK(AX245,$AX$8:$AX$507),$AJ245))</f>
        <v/>
      </c>
      <c r="AZ245" s="87" t="str">
        <f aca="false">IF(ISBLANK($C245),"",IF($AJ245=Constants!$B$7,IF(ISNUMBER(AV245),COUNTIFS($AK$8:$AK$507,"&lt;"&amp;$AK245)+COUNTIFS($AK$8:$AK$507,$AK245,$AV$8:$AV$507,"&lt;"&amp;$AV245)+COUNTIFS($AK$8:$AK$507,$AK245,$AV$8:$AV$507,$AV245,$AY$8:$AY$507,"&lt;"&amp;$AY245)+1,Constants!$B$14),$AJ245))</f>
        <v/>
      </c>
      <c r="BA245" s="87" t="str">
        <f aca="false">IF(ISBLANK($C245),"",IF($AJ245=Constants!$B$7,IF(ISNUMBER(AW245),AW245-AZ245,Constants!$B$14),$AJ245))</f>
        <v/>
      </c>
      <c r="BB245" s="88"/>
      <c r="BC245" s="89" t="str">
        <f aca="false">IF(ISBLANK($C245),"",IF($AJ245&lt;&gt;Constants!$B$7,$AJ245,SMALL(AQ245:AS245,1)&amp;", "&amp;SMALL(AQ245:AS245,2)&amp;", "&amp;SMALL(AQ245:AS245,3)))</f>
        <v/>
      </c>
      <c r="BD245" s="90" t="str">
        <f aca="false">IF(ISBLANK($C245),"",IF($AJ245&lt;&gt;Constants!$B$7,$AJ245,W245))</f>
        <v/>
      </c>
      <c r="BE245" s="91" t="str">
        <f aca="false">IF(ISBLANK($C245),"",IF($AJ245&lt;&gt;Constants!$B$7,$AJ245,AU245))</f>
        <v/>
      </c>
      <c r="BF245" s="92" t="str">
        <f aca="false">IF(ISBLANK($C245),"",IF($AJ245&lt;&gt;Constants!$B$7,$AJ245,AK245))</f>
        <v/>
      </c>
      <c r="BG245" s="90" t="str">
        <f aca="false">IF(ISBLANK($C245),"",BA245)</f>
        <v/>
      </c>
      <c r="BH245" s="90" t="str">
        <f aca="false">IF(ISBLANK($C245),"",AZ245)</f>
        <v/>
      </c>
      <c r="BI245" s="93" t="str">
        <f aca="false">IF(ISBLANK($C245),"",IF(BH245=Constants!$B$4,COUNTA($C$8:$C$507)+2,IF(BH245=Constants!$B$5,COUNTA($C$8:$C$507)+1,IF(BH245=Constants!$B$6,COUNTA($C$8:$C$507),BH245))))</f>
        <v/>
      </c>
      <c r="BJ245" s="5"/>
      <c r="BK245" s="94" t="n">
        <f aca="false">IF(OR(ISNUMBER(BH245),BH245=Constants!$B$4,BH245=Constants!$B$6,BH245=Constants!$B$5),1,0)</f>
        <v>0</v>
      </c>
      <c r="BL245" s="94" t="n">
        <v>238</v>
      </c>
      <c r="BM245" s="94" t="str">
        <f aca="false">IF(ISBLANK($C245),"",IF(ISNUMBER(BI245),BI245+ROW($B245)/1000,""))</f>
        <v/>
      </c>
      <c r="BN245" s="94" t="str">
        <f aca="false">IF(ISNUMBER(BM245),RANK(BM245,$BM$8:$BM$507,1),"")</f>
        <v/>
      </c>
      <c r="BO245" s="94" t="str">
        <f aca="false">IF(ISBLANK($C245),"",$B245)</f>
        <v/>
      </c>
      <c r="BP245" s="94" t="str">
        <f aca="false">IF(ISBLANK($C245),"",$C245)</f>
        <v/>
      </c>
      <c r="BQ245" s="94" t="str">
        <f aca="false">IF(ISBLANK($C245),"",$D245)</f>
        <v/>
      </c>
      <c r="BR245" s="95" t="str">
        <f aca="false">BF245</f>
        <v/>
      </c>
      <c r="BS245" s="96" t="str">
        <f aca="false">BE245</f>
        <v/>
      </c>
      <c r="BT245" s="94" t="str">
        <f aca="false">IF(ISBLANK($C245),"",BH245)</f>
        <v/>
      </c>
      <c r="BU245" s="97" t="str">
        <f aca="false">IF($BL245&gt;$BK$7,"",VLOOKUP($BL245,$BN$8:$BT$507,7,FALSE()))</f>
        <v/>
      </c>
      <c r="BV245" s="98" t="str">
        <f aca="false">IF($BL245&gt;$BK$7,"",VLOOKUP($BL245,$BN$8:$BT$507,2,FALSE()))</f>
        <v/>
      </c>
      <c r="BW245" s="98" t="str">
        <f aca="false">IF($BL245&gt;$BK$7,"",VLOOKUP($BL245,$BN$8:$BT$507,3,FALSE()))</f>
        <v/>
      </c>
      <c r="BX245" s="98" t="str">
        <f aca="false">IF($BL245&gt;$BK$7,"",VLOOKUP($BL245,$BN$8:$BT$507,4,FALSE()))</f>
        <v/>
      </c>
      <c r="BY245" s="98" t="str">
        <f aca="false">IF($BL245&gt;$BK$7,"",VLOOKUP($BL245,$BN$8:$BT$507,5,FALSE()))</f>
        <v/>
      </c>
      <c r="BZ245" s="99" t="str">
        <f aca="false">IF($BL245&gt;$BK$7,"",VLOOKUP($BL245,$BN$8:$BT$507,6,FALSE()))</f>
        <v/>
      </c>
      <c r="CA245" s="48"/>
    </row>
    <row r="246" customFormat="false" ht="15.75" hidden="false" customHeight="false" outlineLevel="0" collapsed="false">
      <c r="A246" s="5"/>
      <c r="B246" s="114"/>
      <c r="C246" s="115"/>
      <c r="D246" s="100"/>
      <c r="E246" s="120"/>
      <c r="F246" s="125"/>
      <c r="G246" s="82"/>
      <c r="H246" s="126"/>
      <c r="I246" s="127"/>
      <c r="J246" s="82"/>
      <c r="K246" s="126"/>
      <c r="L246" s="82"/>
      <c r="M246" s="126"/>
      <c r="N246" s="82"/>
      <c r="O246" s="126"/>
      <c r="P246" s="82"/>
      <c r="Q246" s="126"/>
      <c r="R246" s="82"/>
      <c r="S246" s="120"/>
      <c r="T246" s="86"/>
      <c r="U246" s="87" t="str">
        <f aca="false">IF(ISBLANK($C246),"",IF(E246=Constants!$B$2, TRUE(), IF(E246=Constants!$B$3, FALSE(), TRUE())))</f>
        <v/>
      </c>
      <c r="V246" s="87" t="str">
        <f aca="false">IF(ISBLANK($C246),"",IF(F246=Constants!$B$2, TRUE(), IF(F246=Constants!$B$3, FALSE(), TRUE())))</f>
        <v/>
      </c>
      <c r="W246" s="87" t="str">
        <f aca="false">IF(ISBLANK($C246),"",IF(G246=Constants!$B$15,Constants!$B$8,IF(G246=Constants!$B$16,Constants!$B$9,Constants!$B$10)))</f>
        <v/>
      </c>
      <c r="X246" s="87" t="str">
        <f aca="false">IF(ISBLANK($C246),"",IF(H246=Constants!$B$2, TRUE(), IF(H246=Constants!$B$3, FALSE(), TRUE())))</f>
        <v/>
      </c>
      <c r="Y246" s="87" t="str">
        <f aca="false">IF(ISBLANK($C246),"",IF(I246=Constants!$B$19,Constants!$B$19,Constants!$B$18))</f>
        <v/>
      </c>
      <c r="Z246" s="87" t="str">
        <f aca="false">IF(ISBLANK($C246),"",IF(ISNUMBER(J246),IF(J246&gt;=0,J246,""),""))</f>
        <v/>
      </c>
      <c r="AA246" s="87" t="str">
        <f aca="false">IF(ISBLANK($C246),"",IF(K246=Constants!$B$19,Constants!$B$19,Constants!$B$18))</f>
        <v/>
      </c>
      <c r="AB246" s="87" t="str">
        <f aca="false">IF(ISBLANK($C246),"",IF(ISNUMBER(L246),IF(L246&gt;=0,L246,""),""))</f>
        <v/>
      </c>
      <c r="AC246" s="87" t="str">
        <f aca="false">IF(ISBLANK($C246),"",IF(M246=Constants!$B$19,Constants!$B$19,Constants!$B$18))</f>
        <v/>
      </c>
      <c r="AD246" s="87" t="str">
        <f aca="false">IF(ISBLANK($C246),"",IF(ISNUMBER(N246),IF(N246&gt;=0,N246,""),""))</f>
        <v/>
      </c>
      <c r="AE246" s="87" t="str">
        <f aca="false">IF(ISBLANK($C246),"",IF(O246=Constants!$B$19,Constants!$B$19,Constants!$B$18))</f>
        <v/>
      </c>
      <c r="AF246" s="87" t="str">
        <f aca="false">IF(ISBLANK($C246),"",IF(ISNUMBER(P246),IF(P246&gt;=0,P246,""),""))</f>
        <v/>
      </c>
      <c r="AG246" s="87" t="str">
        <f aca="false">IF(ISBLANK($C246),"",IF(Q246=Constants!$B$19,Constants!$B$19,Constants!$B$18))</f>
        <v/>
      </c>
      <c r="AH246" s="87" t="str">
        <f aca="false">IF(ISBLANK($C246),"",IF(ISNUMBER(R246),IF(R246&gt;=0,R246,""),""))</f>
        <v/>
      </c>
      <c r="AI246" s="87" t="str">
        <f aca="false">IF(ISBLANK($C246),"",IF(S246=Constants!$B$2, TRUE(), IF(S246=Constants!$B$3, FALSE(), FALSE())))</f>
        <v/>
      </c>
      <c r="AJ246" s="87" t="str">
        <f aca="false">IF(ISBLANK($C246),"",IF(AI246,Constants!$B$4,IF(COUNTA(E246:R246)=0,Constants!$B$5,IF(COUNTA(J246,L246,N246,P246,R246)=0,Constants!$B$6,Constants!$B$7))))</f>
        <v/>
      </c>
      <c r="AK246" s="87" t="str">
        <f aca="false">IF(ISBLANK($C246),"",IF($AJ246&lt;&gt;Constants!$B$7,$AJ246,IF(OR(NOT(X246),AND(NOT(U246),COUNTIFS(Y246:AG246,Constants!$B$18,Z246:AH246,"&gt;=0")&gt;0),AND(NOT(V246),COUNTIFS(Y246:AG246,Constants!$B$19,Z246:AH246,"&gt;=0")&gt;0)),Constants!$B$12,Constants!$B$11)))</f>
        <v/>
      </c>
      <c r="AL246" s="87" t="str">
        <f aca="false">IF($AJ246=Constants!$B$7,IF(Z246="",Constants!$B$13,Z246),"")</f>
        <v/>
      </c>
      <c r="AM246" s="87" t="str">
        <f aca="false">IF($AJ246=Constants!$B$7,IF(AB246="",Constants!$B$13,AB246),"")</f>
        <v/>
      </c>
      <c r="AN246" s="87" t="str">
        <f aca="false">IF($AJ246=Constants!$B$7,IF(AD246="",Constants!$B$13,AD246),"")</f>
        <v/>
      </c>
      <c r="AO246" s="87" t="str">
        <f aca="false">IF($AJ246=Constants!$B$7,IF(AF246="",Constants!$B$13,AF246),"")</f>
        <v/>
      </c>
      <c r="AP246" s="87" t="str">
        <f aca="false">IF($AJ246=Constants!$B$7,IF(AH246="",Constants!$B$13,AH246),"")</f>
        <v/>
      </c>
      <c r="AQ246" s="87" t="str">
        <f aca="false">IF($AJ246=Constants!$B$7,IF(SUMPRODUCT(--($AL246:$AP246&gt;AL246))+SUMPRODUCT(--($AL246:AL246=AL246))=1,1,IF(SUMPRODUCT(--($AL246:$AP246&gt;AM246))+SUMPRODUCT(--($AL246:AM246=AM246))=1,2,IF(SUMPRODUCT(--($AL246:$AP246&gt;AN246))+SUMPRODUCT(--($AL246:AN246=AN246))=1,3,IF(SUMPRODUCT(--($AL246:$AP246&gt;AO246))+SUMPRODUCT(--($AL246:AO246=AO246))=1,4,5)))),"")</f>
        <v/>
      </c>
      <c r="AR246" s="87" t="str">
        <f aca="false">IF($AJ246=Constants!$B$7,IF(SUMPRODUCT(--($AL246:$AP246&gt;AL246))+SUMPRODUCT(--($AL246:AL246=AL246))=2,1,IF(SUMPRODUCT(--($AL246:$AP246&gt;AM246))+SUMPRODUCT(--($AL246:AM246=AM246))=2,2,IF(SUMPRODUCT(--($AL246:$AP246&gt;AN246))+SUMPRODUCT(--($AL246:AN246=AN246))=2,3,IF(SUMPRODUCT(--($AL246:$AP246&gt;AO246))+SUMPRODUCT(--($AL246:AO246=AO246))=2,4,5)))),"")</f>
        <v/>
      </c>
      <c r="AS246" s="87" t="str">
        <f aca="false">IF($AJ246=Constants!$B$7,IF(SUMPRODUCT(--($AL246:$AP246&gt;AL246))+SUMPRODUCT(--($AL246:AL246=AL246))=3,1,IF(SUMPRODUCT(--($AL246:$AP246&gt;AM246))+SUMPRODUCT(--($AL246:AM246=AM246))=3,2,IF(SUMPRODUCT(--($AL246:$AP246&gt;AN246))+SUMPRODUCT(--($AL246:AN246=AN246))=3,3,IF(SUMPRODUCT(--($AL246:$AP246&gt;AO246))+SUMPRODUCT(--($AL246:AO246=AO246))=3,4,5)))),"")</f>
        <v/>
      </c>
      <c r="AT246" s="87" t="str">
        <f aca="false">IF($AJ246=Constants!$B$7,LARGE(AL246:AP246,1)+LARGE(AL246:AP246,2)+LARGE(AL246:AP246,3),"")</f>
        <v/>
      </c>
      <c r="AU246" s="87" t="str">
        <f aca="false">IF(ISBLANK($C246),"",IF($AJ246&lt;&gt;Constants!$B$7,$AJ246,AT246*W246))</f>
        <v/>
      </c>
      <c r="AV246" s="87" t="str">
        <f aca="false">IF(ISBLANK($C246),"",IF($AJ246=Constants!$B$7,IF(ISNUMBER(AU246),RANK(AU246,$AU$8:$AU$507),Constants!$B$14),$AJ246))</f>
        <v/>
      </c>
      <c r="AW246" s="87" t="str">
        <f aca="false">IF(ISBLANK($C246),"",IF($AJ246=Constants!$B$7,IF(ISNUMBER(AV246),COUNTIFS($AK$8:$AK$507,"&lt;"&amp;$AK246)+COUNTIFS($AK$8:$AK$507,$AK246,$AV$8:$AV$507,"&lt;"&amp;$AV246)+1,Constants!$B$14),$AJ246))</f>
        <v/>
      </c>
      <c r="AX246" s="87" t="str">
        <f aca="false">IF(ISBLANK($C246),"",IF($AJ246=Constants!$B$7,LARGE(AL246:AP246,4)*W246,""))</f>
        <v/>
      </c>
      <c r="AY246" s="87" t="str">
        <f aca="false">IF(ISBLANK($C246),"",IF($AJ246=Constants!$B$7,RANK(AX246,$AX$8:$AX$507),$AJ246))</f>
        <v/>
      </c>
      <c r="AZ246" s="87" t="str">
        <f aca="false">IF(ISBLANK($C246),"",IF($AJ246=Constants!$B$7,IF(ISNUMBER(AV246),COUNTIFS($AK$8:$AK$507,"&lt;"&amp;$AK246)+COUNTIFS($AK$8:$AK$507,$AK246,$AV$8:$AV$507,"&lt;"&amp;$AV246)+COUNTIFS($AK$8:$AK$507,$AK246,$AV$8:$AV$507,$AV246,$AY$8:$AY$507,"&lt;"&amp;$AY246)+1,Constants!$B$14),$AJ246))</f>
        <v/>
      </c>
      <c r="BA246" s="87" t="str">
        <f aca="false">IF(ISBLANK($C246),"",IF($AJ246=Constants!$B$7,IF(ISNUMBER(AW246),AW246-AZ246,Constants!$B$14),$AJ246))</f>
        <v/>
      </c>
      <c r="BB246" s="88"/>
      <c r="BC246" s="89" t="str">
        <f aca="false">IF(ISBLANK($C246),"",IF($AJ246&lt;&gt;Constants!$B$7,$AJ246,SMALL(AQ246:AS246,1)&amp;", "&amp;SMALL(AQ246:AS246,2)&amp;", "&amp;SMALL(AQ246:AS246,3)))</f>
        <v/>
      </c>
      <c r="BD246" s="90" t="str">
        <f aca="false">IF(ISBLANK($C246),"",IF($AJ246&lt;&gt;Constants!$B$7,$AJ246,W246))</f>
        <v/>
      </c>
      <c r="BE246" s="91" t="str">
        <f aca="false">IF(ISBLANK($C246),"",IF($AJ246&lt;&gt;Constants!$B$7,$AJ246,AU246))</f>
        <v/>
      </c>
      <c r="BF246" s="92" t="str">
        <f aca="false">IF(ISBLANK($C246),"",IF($AJ246&lt;&gt;Constants!$B$7,$AJ246,AK246))</f>
        <v/>
      </c>
      <c r="BG246" s="90" t="str">
        <f aca="false">IF(ISBLANK($C246),"",BA246)</f>
        <v/>
      </c>
      <c r="BH246" s="90" t="str">
        <f aca="false">IF(ISBLANK($C246),"",AZ246)</f>
        <v/>
      </c>
      <c r="BI246" s="93" t="str">
        <f aca="false">IF(ISBLANK($C246),"",IF(BH246=Constants!$B$4,COUNTA($C$8:$C$507)+2,IF(BH246=Constants!$B$5,COUNTA($C$8:$C$507)+1,IF(BH246=Constants!$B$6,COUNTA($C$8:$C$507),BH246))))</f>
        <v/>
      </c>
      <c r="BJ246" s="5"/>
      <c r="BK246" s="94" t="n">
        <f aca="false">IF(OR(ISNUMBER(BH246),BH246=Constants!$B$4,BH246=Constants!$B$6,BH246=Constants!$B$5),1,0)</f>
        <v>0</v>
      </c>
      <c r="BL246" s="94" t="n">
        <v>239</v>
      </c>
      <c r="BM246" s="94" t="str">
        <f aca="false">IF(ISBLANK($C246),"",IF(ISNUMBER(BI246),BI246+ROW($B246)/1000,""))</f>
        <v/>
      </c>
      <c r="BN246" s="94" t="str">
        <f aca="false">IF(ISNUMBER(BM246),RANK(BM246,$BM$8:$BM$507,1),"")</f>
        <v/>
      </c>
      <c r="BO246" s="94" t="str">
        <f aca="false">IF(ISBLANK($C246),"",$B246)</f>
        <v/>
      </c>
      <c r="BP246" s="94" t="str">
        <f aca="false">IF(ISBLANK($C246),"",$C246)</f>
        <v/>
      </c>
      <c r="BQ246" s="94" t="str">
        <f aca="false">IF(ISBLANK($C246),"",$D246)</f>
        <v/>
      </c>
      <c r="BR246" s="95" t="str">
        <f aca="false">BF246</f>
        <v/>
      </c>
      <c r="BS246" s="96" t="str">
        <f aca="false">BE246</f>
        <v/>
      </c>
      <c r="BT246" s="94" t="str">
        <f aca="false">IF(ISBLANK($C246),"",BH246)</f>
        <v/>
      </c>
      <c r="BU246" s="97" t="str">
        <f aca="false">IF($BL246&gt;$BK$7,"",VLOOKUP($BL246,$BN$8:$BT$507,7,FALSE()))</f>
        <v/>
      </c>
      <c r="BV246" s="98" t="str">
        <f aca="false">IF($BL246&gt;$BK$7,"",VLOOKUP($BL246,$BN$8:$BT$507,2,FALSE()))</f>
        <v/>
      </c>
      <c r="BW246" s="98" t="str">
        <f aca="false">IF($BL246&gt;$BK$7,"",VLOOKUP($BL246,$BN$8:$BT$507,3,FALSE()))</f>
        <v/>
      </c>
      <c r="BX246" s="98" t="str">
        <f aca="false">IF($BL246&gt;$BK$7,"",VLOOKUP($BL246,$BN$8:$BT$507,4,FALSE()))</f>
        <v/>
      </c>
      <c r="BY246" s="98" t="str">
        <f aca="false">IF($BL246&gt;$BK$7,"",VLOOKUP($BL246,$BN$8:$BT$507,5,FALSE()))</f>
        <v/>
      </c>
      <c r="BZ246" s="99" t="str">
        <f aca="false">IF($BL246&gt;$BK$7,"",VLOOKUP($BL246,$BN$8:$BT$507,6,FALSE()))</f>
        <v/>
      </c>
      <c r="CA246" s="48"/>
    </row>
    <row r="247" customFormat="false" ht="15.75" hidden="false" customHeight="false" outlineLevel="0" collapsed="false">
      <c r="A247" s="5"/>
      <c r="B247" s="114"/>
      <c r="C247" s="115"/>
      <c r="D247" s="100"/>
      <c r="E247" s="120"/>
      <c r="F247" s="125"/>
      <c r="G247" s="82"/>
      <c r="H247" s="126"/>
      <c r="I247" s="127"/>
      <c r="J247" s="82"/>
      <c r="K247" s="126"/>
      <c r="L247" s="82"/>
      <c r="M247" s="126"/>
      <c r="N247" s="82"/>
      <c r="O247" s="126"/>
      <c r="P247" s="82"/>
      <c r="Q247" s="126"/>
      <c r="R247" s="82"/>
      <c r="S247" s="120"/>
      <c r="T247" s="86"/>
      <c r="U247" s="87" t="str">
        <f aca="false">IF(ISBLANK($C247),"",IF(E247=Constants!$B$2, TRUE(), IF(E247=Constants!$B$3, FALSE(), TRUE())))</f>
        <v/>
      </c>
      <c r="V247" s="87" t="str">
        <f aca="false">IF(ISBLANK($C247),"",IF(F247=Constants!$B$2, TRUE(), IF(F247=Constants!$B$3, FALSE(), TRUE())))</f>
        <v/>
      </c>
      <c r="W247" s="87" t="str">
        <f aca="false">IF(ISBLANK($C247),"",IF(G247=Constants!$B$15,Constants!$B$8,IF(G247=Constants!$B$16,Constants!$B$9,Constants!$B$10)))</f>
        <v/>
      </c>
      <c r="X247" s="87" t="str">
        <f aca="false">IF(ISBLANK($C247),"",IF(H247=Constants!$B$2, TRUE(), IF(H247=Constants!$B$3, FALSE(), TRUE())))</f>
        <v/>
      </c>
      <c r="Y247" s="87" t="str">
        <f aca="false">IF(ISBLANK($C247),"",IF(I247=Constants!$B$19,Constants!$B$19,Constants!$B$18))</f>
        <v/>
      </c>
      <c r="Z247" s="87" t="str">
        <f aca="false">IF(ISBLANK($C247),"",IF(ISNUMBER(J247),IF(J247&gt;=0,J247,""),""))</f>
        <v/>
      </c>
      <c r="AA247" s="87" t="str">
        <f aca="false">IF(ISBLANK($C247),"",IF(K247=Constants!$B$19,Constants!$B$19,Constants!$B$18))</f>
        <v/>
      </c>
      <c r="AB247" s="87" t="str">
        <f aca="false">IF(ISBLANK($C247),"",IF(ISNUMBER(L247),IF(L247&gt;=0,L247,""),""))</f>
        <v/>
      </c>
      <c r="AC247" s="87" t="str">
        <f aca="false">IF(ISBLANK($C247),"",IF(M247=Constants!$B$19,Constants!$B$19,Constants!$B$18))</f>
        <v/>
      </c>
      <c r="AD247" s="87" t="str">
        <f aca="false">IF(ISBLANK($C247),"",IF(ISNUMBER(N247),IF(N247&gt;=0,N247,""),""))</f>
        <v/>
      </c>
      <c r="AE247" s="87" t="str">
        <f aca="false">IF(ISBLANK($C247),"",IF(O247=Constants!$B$19,Constants!$B$19,Constants!$B$18))</f>
        <v/>
      </c>
      <c r="AF247" s="87" t="str">
        <f aca="false">IF(ISBLANK($C247),"",IF(ISNUMBER(P247),IF(P247&gt;=0,P247,""),""))</f>
        <v/>
      </c>
      <c r="AG247" s="87" t="str">
        <f aca="false">IF(ISBLANK($C247),"",IF(Q247=Constants!$B$19,Constants!$B$19,Constants!$B$18))</f>
        <v/>
      </c>
      <c r="AH247" s="87" t="str">
        <f aca="false">IF(ISBLANK($C247),"",IF(ISNUMBER(R247),IF(R247&gt;=0,R247,""),""))</f>
        <v/>
      </c>
      <c r="AI247" s="87" t="str">
        <f aca="false">IF(ISBLANK($C247),"",IF(S247=Constants!$B$2, TRUE(), IF(S247=Constants!$B$3, FALSE(), FALSE())))</f>
        <v/>
      </c>
      <c r="AJ247" s="87" t="str">
        <f aca="false">IF(ISBLANK($C247),"",IF(AI247,Constants!$B$4,IF(COUNTA(E247:R247)=0,Constants!$B$5,IF(COUNTA(J247,L247,N247,P247,R247)=0,Constants!$B$6,Constants!$B$7))))</f>
        <v/>
      </c>
      <c r="AK247" s="87" t="str">
        <f aca="false">IF(ISBLANK($C247),"",IF($AJ247&lt;&gt;Constants!$B$7,$AJ247,IF(OR(NOT(X247),AND(NOT(U247),COUNTIFS(Y247:AG247,Constants!$B$18,Z247:AH247,"&gt;=0")&gt;0),AND(NOT(V247),COUNTIFS(Y247:AG247,Constants!$B$19,Z247:AH247,"&gt;=0")&gt;0)),Constants!$B$12,Constants!$B$11)))</f>
        <v/>
      </c>
      <c r="AL247" s="87" t="str">
        <f aca="false">IF($AJ247=Constants!$B$7,IF(Z247="",Constants!$B$13,Z247),"")</f>
        <v/>
      </c>
      <c r="AM247" s="87" t="str">
        <f aca="false">IF($AJ247=Constants!$B$7,IF(AB247="",Constants!$B$13,AB247),"")</f>
        <v/>
      </c>
      <c r="AN247" s="87" t="str">
        <f aca="false">IF($AJ247=Constants!$B$7,IF(AD247="",Constants!$B$13,AD247),"")</f>
        <v/>
      </c>
      <c r="AO247" s="87" t="str">
        <f aca="false">IF($AJ247=Constants!$B$7,IF(AF247="",Constants!$B$13,AF247),"")</f>
        <v/>
      </c>
      <c r="AP247" s="87" t="str">
        <f aca="false">IF($AJ247=Constants!$B$7,IF(AH247="",Constants!$B$13,AH247),"")</f>
        <v/>
      </c>
      <c r="AQ247" s="87" t="str">
        <f aca="false">IF($AJ247=Constants!$B$7,IF(SUMPRODUCT(--($AL247:$AP247&gt;AL247))+SUMPRODUCT(--($AL247:AL247=AL247))=1,1,IF(SUMPRODUCT(--($AL247:$AP247&gt;AM247))+SUMPRODUCT(--($AL247:AM247=AM247))=1,2,IF(SUMPRODUCT(--($AL247:$AP247&gt;AN247))+SUMPRODUCT(--($AL247:AN247=AN247))=1,3,IF(SUMPRODUCT(--($AL247:$AP247&gt;AO247))+SUMPRODUCT(--($AL247:AO247=AO247))=1,4,5)))),"")</f>
        <v/>
      </c>
      <c r="AR247" s="87" t="str">
        <f aca="false">IF($AJ247=Constants!$B$7,IF(SUMPRODUCT(--($AL247:$AP247&gt;AL247))+SUMPRODUCT(--($AL247:AL247=AL247))=2,1,IF(SUMPRODUCT(--($AL247:$AP247&gt;AM247))+SUMPRODUCT(--($AL247:AM247=AM247))=2,2,IF(SUMPRODUCT(--($AL247:$AP247&gt;AN247))+SUMPRODUCT(--($AL247:AN247=AN247))=2,3,IF(SUMPRODUCT(--($AL247:$AP247&gt;AO247))+SUMPRODUCT(--($AL247:AO247=AO247))=2,4,5)))),"")</f>
        <v/>
      </c>
      <c r="AS247" s="87" t="str">
        <f aca="false">IF($AJ247=Constants!$B$7,IF(SUMPRODUCT(--($AL247:$AP247&gt;AL247))+SUMPRODUCT(--($AL247:AL247=AL247))=3,1,IF(SUMPRODUCT(--($AL247:$AP247&gt;AM247))+SUMPRODUCT(--($AL247:AM247=AM247))=3,2,IF(SUMPRODUCT(--($AL247:$AP247&gt;AN247))+SUMPRODUCT(--($AL247:AN247=AN247))=3,3,IF(SUMPRODUCT(--($AL247:$AP247&gt;AO247))+SUMPRODUCT(--($AL247:AO247=AO247))=3,4,5)))),"")</f>
        <v/>
      </c>
      <c r="AT247" s="87" t="str">
        <f aca="false">IF($AJ247=Constants!$B$7,LARGE(AL247:AP247,1)+LARGE(AL247:AP247,2)+LARGE(AL247:AP247,3),"")</f>
        <v/>
      </c>
      <c r="AU247" s="87" t="str">
        <f aca="false">IF(ISBLANK($C247),"",IF($AJ247&lt;&gt;Constants!$B$7,$AJ247,AT247*W247))</f>
        <v/>
      </c>
      <c r="AV247" s="87" t="str">
        <f aca="false">IF(ISBLANK($C247),"",IF($AJ247=Constants!$B$7,IF(ISNUMBER(AU247),RANK(AU247,$AU$8:$AU$507),Constants!$B$14),$AJ247))</f>
        <v/>
      </c>
      <c r="AW247" s="87" t="str">
        <f aca="false">IF(ISBLANK($C247),"",IF($AJ247=Constants!$B$7,IF(ISNUMBER(AV247),COUNTIFS($AK$8:$AK$507,"&lt;"&amp;$AK247)+COUNTIFS($AK$8:$AK$507,$AK247,$AV$8:$AV$507,"&lt;"&amp;$AV247)+1,Constants!$B$14),$AJ247))</f>
        <v/>
      </c>
      <c r="AX247" s="87" t="str">
        <f aca="false">IF(ISBLANK($C247),"",IF($AJ247=Constants!$B$7,LARGE(AL247:AP247,4)*W247,""))</f>
        <v/>
      </c>
      <c r="AY247" s="87" t="str">
        <f aca="false">IF(ISBLANK($C247),"",IF($AJ247=Constants!$B$7,RANK(AX247,$AX$8:$AX$507),$AJ247))</f>
        <v/>
      </c>
      <c r="AZ247" s="87" t="str">
        <f aca="false">IF(ISBLANK($C247),"",IF($AJ247=Constants!$B$7,IF(ISNUMBER(AV247),COUNTIFS($AK$8:$AK$507,"&lt;"&amp;$AK247)+COUNTIFS($AK$8:$AK$507,$AK247,$AV$8:$AV$507,"&lt;"&amp;$AV247)+COUNTIFS($AK$8:$AK$507,$AK247,$AV$8:$AV$507,$AV247,$AY$8:$AY$507,"&lt;"&amp;$AY247)+1,Constants!$B$14),$AJ247))</f>
        <v/>
      </c>
      <c r="BA247" s="87" t="str">
        <f aca="false">IF(ISBLANK($C247),"",IF($AJ247=Constants!$B$7,IF(ISNUMBER(AW247),AW247-AZ247,Constants!$B$14),$AJ247))</f>
        <v/>
      </c>
      <c r="BB247" s="88"/>
      <c r="BC247" s="89" t="str">
        <f aca="false">IF(ISBLANK($C247),"",IF($AJ247&lt;&gt;Constants!$B$7,$AJ247,SMALL(AQ247:AS247,1)&amp;", "&amp;SMALL(AQ247:AS247,2)&amp;", "&amp;SMALL(AQ247:AS247,3)))</f>
        <v/>
      </c>
      <c r="BD247" s="90" t="str">
        <f aca="false">IF(ISBLANK($C247),"",IF($AJ247&lt;&gt;Constants!$B$7,$AJ247,W247))</f>
        <v/>
      </c>
      <c r="BE247" s="91" t="str">
        <f aca="false">IF(ISBLANK($C247),"",IF($AJ247&lt;&gt;Constants!$B$7,$AJ247,AU247))</f>
        <v/>
      </c>
      <c r="BF247" s="92" t="str">
        <f aca="false">IF(ISBLANK($C247),"",IF($AJ247&lt;&gt;Constants!$B$7,$AJ247,AK247))</f>
        <v/>
      </c>
      <c r="BG247" s="90" t="str">
        <f aca="false">IF(ISBLANK($C247),"",BA247)</f>
        <v/>
      </c>
      <c r="BH247" s="90" t="str">
        <f aca="false">IF(ISBLANK($C247),"",AZ247)</f>
        <v/>
      </c>
      <c r="BI247" s="93" t="str">
        <f aca="false">IF(ISBLANK($C247),"",IF(BH247=Constants!$B$4,COUNTA($C$8:$C$507)+2,IF(BH247=Constants!$B$5,COUNTA($C$8:$C$507)+1,IF(BH247=Constants!$B$6,COUNTA($C$8:$C$507),BH247))))</f>
        <v/>
      </c>
      <c r="BJ247" s="5"/>
      <c r="BK247" s="94" t="n">
        <f aca="false">IF(OR(ISNUMBER(BH247),BH247=Constants!$B$4,BH247=Constants!$B$6,BH247=Constants!$B$5),1,0)</f>
        <v>0</v>
      </c>
      <c r="BL247" s="94" t="n">
        <v>240</v>
      </c>
      <c r="BM247" s="94" t="str">
        <f aca="false">IF(ISBLANK($C247),"",IF(ISNUMBER(BI247),BI247+ROW($B247)/1000,""))</f>
        <v/>
      </c>
      <c r="BN247" s="94" t="str">
        <f aca="false">IF(ISNUMBER(BM247),RANK(BM247,$BM$8:$BM$507,1),"")</f>
        <v/>
      </c>
      <c r="BO247" s="94" t="str">
        <f aca="false">IF(ISBLANK($C247),"",$B247)</f>
        <v/>
      </c>
      <c r="BP247" s="94" t="str">
        <f aca="false">IF(ISBLANK($C247),"",$C247)</f>
        <v/>
      </c>
      <c r="BQ247" s="94" t="str">
        <f aca="false">IF(ISBLANK($C247),"",$D247)</f>
        <v/>
      </c>
      <c r="BR247" s="95" t="str">
        <f aca="false">BF247</f>
        <v/>
      </c>
      <c r="BS247" s="96" t="str">
        <f aca="false">BE247</f>
        <v/>
      </c>
      <c r="BT247" s="94" t="str">
        <f aca="false">IF(ISBLANK($C247),"",BH247)</f>
        <v/>
      </c>
      <c r="BU247" s="97" t="str">
        <f aca="false">IF($BL247&gt;$BK$7,"",VLOOKUP($BL247,$BN$8:$BT$507,7,FALSE()))</f>
        <v/>
      </c>
      <c r="BV247" s="98" t="str">
        <f aca="false">IF($BL247&gt;$BK$7,"",VLOOKUP($BL247,$BN$8:$BT$507,2,FALSE()))</f>
        <v/>
      </c>
      <c r="BW247" s="98" t="str">
        <f aca="false">IF($BL247&gt;$BK$7,"",VLOOKUP($BL247,$BN$8:$BT$507,3,FALSE()))</f>
        <v/>
      </c>
      <c r="BX247" s="98" t="str">
        <f aca="false">IF($BL247&gt;$BK$7,"",VLOOKUP($BL247,$BN$8:$BT$507,4,FALSE()))</f>
        <v/>
      </c>
      <c r="BY247" s="98" t="str">
        <f aca="false">IF($BL247&gt;$BK$7,"",VLOOKUP($BL247,$BN$8:$BT$507,5,FALSE()))</f>
        <v/>
      </c>
      <c r="BZ247" s="99" t="str">
        <f aca="false">IF($BL247&gt;$BK$7,"",VLOOKUP($BL247,$BN$8:$BT$507,6,FALSE()))</f>
        <v/>
      </c>
      <c r="CA247" s="48"/>
    </row>
    <row r="248" customFormat="false" ht="15.75" hidden="false" customHeight="false" outlineLevel="0" collapsed="false">
      <c r="A248" s="5"/>
      <c r="B248" s="121"/>
      <c r="C248" s="50"/>
      <c r="D248" s="51"/>
      <c r="E248" s="74"/>
      <c r="F248" s="122"/>
      <c r="G248" s="54"/>
      <c r="H248" s="123"/>
      <c r="I248" s="124"/>
      <c r="J248" s="54"/>
      <c r="K248" s="123"/>
      <c r="L248" s="54"/>
      <c r="M248" s="123"/>
      <c r="N248" s="54"/>
      <c r="O248" s="123"/>
      <c r="P248" s="54"/>
      <c r="Q248" s="123"/>
      <c r="R248" s="54"/>
      <c r="S248" s="74"/>
      <c r="T248" s="58"/>
      <c r="U248" s="59" t="str">
        <f aca="false">IF(ISBLANK($C248),"",IF(E248=Constants!$B$2, TRUE(), IF(E248=Constants!$B$3, FALSE(), TRUE())))</f>
        <v/>
      </c>
      <c r="V248" s="59" t="str">
        <f aca="false">IF(ISBLANK($C248),"",IF(F248=Constants!$B$2, TRUE(), IF(F248=Constants!$B$3, FALSE(), TRUE())))</f>
        <v/>
      </c>
      <c r="W248" s="59" t="str">
        <f aca="false">IF(ISBLANK($C248),"",IF(G248=Constants!$B$15,Constants!$B$8,IF(G248=Constants!$B$16,Constants!$B$9,Constants!$B$10)))</f>
        <v/>
      </c>
      <c r="X248" s="59" t="str">
        <f aca="false">IF(ISBLANK($C248),"",IF(H248=Constants!$B$2, TRUE(), IF(H248=Constants!$B$3, FALSE(), TRUE())))</f>
        <v/>
      </c>
      <c r="Y248" s="59" t="str">
        <f aca="false">IF(ISBLANK($C248),"",IF(I248=Constants!$B$19,Constants!$B$19,Constants!$B$18))</f>
        <v/>
      </c>
      <c r="Z248" s="59" t="str">
        <f aca="false">IF(ISBLANK($C248),"",IF(ISNUMBER(J248),IF(J248&gt;=0,J248,""),""))</f>
        <v/>
      </c>
      <c r="AA248" s="59" t="str">
        <f aca="false">IF(ISBLANK($C248),"",IF(K248=Constants!$B$19,Constants!$B$19,Constants!$B$18))</f>
        <v/>
      </c>
      <c r="AB248" s="59" t="str">
        <f aca="false">IF(ISBLANK($C248),"",IF(ISNUMBER(L248),IF(L248&gt;=0,L248,""),""))</f>
        <v/>
      </c>
      <c r="AC248" s="59" t="str">
        <f aca="false">IF(ISBLANK($C248),"",IF(M248=Constants!$B$19,Constants!$B$19,Constants!$B$18))</f>
        <v/>
      </c>
      <c r="AD248" s="59" t="str">
        <f aca="false">IF(ISBLANK($C248),"",IF(ISNUMBER(N248),IF(N248&gt;=0,N248,""),""))</f>
        <v/>
      </c>
      <c r="AE248" s="59" t="str">
        <f aca="false">IF(ISBLANK($C248),"",IF(O248=Constants!$B$19,Constants!$B$19,Constants!$B$18))</f>
        <v/>
      </c>
      <c r="AF248" s="59" t="str">
        <f aca="false">IF(ISBLANK($C248),"",IF(ISNUMBER(P248),IF(P248&gt;=0,P248,""),""))</f>
        <v/>
      </c>
      <c r="AG248" s="59" t="str">
        <f aca="false">IF(ISBLANK($C248),"",IF(Q248=Constants!$B$19,Constants!$B$19,Constants!$B$18))</f>
        <v/>
      </c>
      <c r="AH248" s="59" t="str">
        <f aca="false">IF(ISBLANK($C248),"",IF(ISNUMBER(R248),IF(R248&gt;=0,R248,""),""))</f>
        <v/>
      </c>
      <c r="AI248" s="59" t="str">
        <f aca="false">IF(ISBLANK($C248),"",IF(S248=Constants!$B$2, TRUE(), IF(S248=Constants!$B$3, FALSE(), FALSE())))</f>
        <v/>
      </c>
      <c r="AJ248" s="59" t="str">
        <f aca="false">IF(ISBLANK($C248),"",IF(AI248,Constants!$B$4,IF(COUNTA(E248:R248)=0,Constants!$B$5,IF(COUNTA(J248,L248,N248,P248,R248)=0,Constants!$B$6,Constants!$B$7))))</f>
        <v/>
      </c>
      <c r="AK248" s="59" t="str">
        <f aca="false">IF(ISBLANK($C248),"",IF($AJ248&lt;&gt;Constants!$B$7,$AJ248,IF(OR(NOT(X248),AND(NOT(U248),COUNTIFS(Y248:AG248,Constants!$B$18,Z248:AH248,"&gt;=0")&gt;0),AND(NOT(V248),COUNTIFS(Y248:AG248,Constants!$B$19,Z248:AH248,"&gt;=0")&gt;0)),Constants!$B$12,Constants!$B$11)))</f>
        <v/>
      </c>
      <c r="AL248" s="59" t="str">
        <f aca="false">IF($AJ248=Constants!$B$7,IF(Z248="",Constants!$B$13,Z248),"")</f>
        <v/>
      </c>
      <c r="AM248" s="59" t="str">
        <f aca="false">IF($AJ248=Constants!$B$7,IF(AB248="",Constants!$B$13,AB248),"")</f>
        <v/>
      </c>
      <c r="AN248" s="59" t="str">
        <f aca="false">IF($AJ248=Constants!$B$7,IF(AD248="",Constants!$B$13,AD248),"")</f>
        <v/>
      </c>
      <c r="AO248" s="59" t="str">
        <f aca="false">IF($AJ248=Constants!$B$7,IF(AF248="",Constants!$B$13,AF248),"")</f>
        <v/>
      </c>
      <c r="AP248" s="59" t="str">
        <f aca="false">IF($AJ248=Constants!$B$7,IF(AH248="",Constants!$B$13,AH248),"")</f>
        <v/>
      </c>
      <c r="AQ248" s="59" t="str">
        <f aca="false">IF($AJ248=Constants!$B$7,IF(SUMPRODUCT(--($AL248:$AP248&gt;AL248))+SUMPRODUCT(--($AL248:AL248=AL248))=1,1,IF(SUMPRODUCT(--($AL248:$AP248&gt;AM248))+SUMPRODUCT(--($AL248:AM248=AM248))=1,2,IF(SUMPRODUCT(--($AL248:$AP248&gt;AN248))+SUMPRODUCT(--($AL248:AN248=AN248))=1,3,IF(SUMPRODUCT(--($AL248:$AP248&gt;AO248))+SUMPRODUCT(--($AL248:AO248=AO248))=1,4,5)))),"")</f>
        <v/>
      </c>
      <c r="AR248" s="59" t="str">
        <f aca="false">IF($AJ248=Constants!$B$7,IF(SUMPRODUCT(--($AL248:$AP248&gt;AL248))+SUMPRODUCT(--($AL248:AL248=AL248))=2,1,IF(SUMPRODUCT(--($AL248:$AP248&gt;AM248))+SUMPRODUCT(--($AL248:AM248=AM248))=2,2,IF(SUMPRODUCT(--($AL248:$AP248&gt;AN248))+SUMPRODUCT(--($AL248:AN248=AN248))=2,3,IF(SUMPRODUCT(--($AL248:$AP248&gt;AO248))+SUMPRODUCT(--($AL248:AO248=AO248))=2,4,5)))),"")</f>
        <v/>
      </c>
      <c r="AS248" s="59" t="str">
        <f aca="false">IF($AJ248=Constants!$B$7,IF(SUMPRODUCT(--($AL248:$AP248&gt;AL248))+SUMPRODUCT(--($AL248:AL248=AL248))=3,1,IF(SUMPRODUCT(--($AL248:$AP248&gt;AM248))+SUMPRODUCT(--($AL248:AM248=AM248))=3,2,IF(SUMPRODUCT(--($AL248:$AP248&gt;AN248))+SUMPRODUCT(--($AL248:AN248=AN248))=3,3,IF(SUMPRODUCT(--($AL248:$AP248&gt;AO248))+SUMPRODUCT(--($AL248:AO248=AO248))=3,4,5)))),"")</f>
        <v/>
      </c>
      <c r="AT248" s="59" t="str">
        <f aca="false">IF($AJ248=Constants!$B$7,LARGE(AL248:AP248,1)+LARGE(AL248:AP248,2)+LARGE(AL248:AP248,3),"")</f>
        <v/>
      </c>
      <c r="AU248" s="59" t="str">
        <f aca="false">IF(ISBLANK($C248),"",IF($AJ248&lt;&gt;Constants!$B$7,$AJ248,AT248*W248))</f>
        <v/>
      </c>
      <c r="AV248" s="59" t="str">
        <f aca="false">IF(ISBLANK($C248),"",IF($AJ248=Constants!$B$7,IF(ISNUMBER(AU248),RANK(AU248,$AU$8:$AU$507),Constants!$B$14),$AJ248))</f>
        <v/>
      </c>
      <c r="AW248" s="59" t="str">
        <f aca="false">IF(ISBLANK($C248),"",IF($AJ248=Constants!$B$7,IF(ISNUMBER(AV248),COUNTIFS($AK$8:$AK$507,"&lt;"&amp;$AK248)+COUNTIFS($AK$8:$AK$507,$AK248,$AV$8:$AV$507,"&lt;"&amp;$AV248)+1,Constants!$B$14),$AJ248))</f>
        <v/>
      </c>
      <c r="AX248" s="59" t="str">
        <f aca="false">IF(ISBLANK($C248),"",IF($AJ248=Constants!$B$7,LARGE(AL248:AP248,4)*W248,""))</f>
        <v/>
      </c>
      <c r="AY248" s="59" t="str">
        <f aca="false">IF(ISBLANK($C248),"",IF($AJ248=Constants!$B$7,RANK(AX248,$AX$8:$AX$507),$AJ248))</f>
        <v/>
      </c>
      <c r="AZ248" s="59" t="str">
        <f aca="false">IF(ISBLANK($C248),"",IF($AJ248=Constants!$B$7,IF(ISNUMBER(AV248),COUNTIFS($AK$8:$AK$507,"&lt;"&amp;$AK248)+COUNTIFS($AK$8:$AK$507,$AK248,$AV$8:$AV$507,"&lt;"&amp;$AV248)+COUNTIFS($AK$8:$AK$507,$AK248,$AV$8:$AV$507,$AV248,$AY$8:$AY$507,"&lt;"&amp;$AY248)+1,Constants!$B$14),$AJ248))</f>
        <v/>
      </c>
      <c r="BA248" s="59" t="str">
        <f aca="false">IF(ISBLANK($C248),"",IF($AJ248=Constants!$B$7,IF(ISNUMBER(AW248),AW248-AZ248,Constants!$B$14),$AJ248))</f>
        <v/>
      </c>
      <c r="BB248" s="61"/>
      <c r="BC248" s="62" t="str">
        <f aca="false">IF(ISBLANK($C248),"",IF($AJ248&lt;&gt;Constants!$B$7,$AJ248,SMALL(AQ248:AS248,1)&amp;", "&amp;SMALL(AQ248:AS248,2)&amp;", "&amp;SMALL(AQ248:AS248,3)))</f>
        <v/>
      </c>
      <c r="BD248" s="63" t="str">
        <f aca="false">IF(ISBLANK($C248),"",IF($AJ248&lt;&gt;Constants!$B$7,$AJ248,W248))</f>
        <v/>
      </c>
      <c r="BE248" s="64" t="str">
        <f aca="false">IF(ISBLANK($C248),"",IF($AJ248&lt;&gt;Constants!$B$7,$AJ248,AU248))</f>
        <v/>
      </c>
      <c r="BF248" s="65" t="str">
        <f aca="false">IF(ISBLANK($C248),"",IF($AJ248&lt;&gt;Constants!$B$7,$AJ248,AK248))</f>
        <v/>
      </c>
      <c r="BG248" s="63" t="str">
        <f aca="false">IF(ISBLANK($C248),"",BA248)</f>
        <v/>
      </c>
      <c r="BH248" s="63" t="str">
        <f aca="false">IF(ISBLANK($C248),"",AZ248)</f>
        <v/>
      </c>
      <c r="BI248" s="66" t="str">
        <f aca="false">IF(ISBLANK($C248),"",IF(BH248=Constants!$B$4,COUNTA($C$8:$C$507)+2,IF(BH248=Constants!$B$5,COUNTA($C$8:$C$507)+1,IF(BH248=Constants!$B$6,COUNTA($C$8:$C$507),BH248))))</f>
        <v/>
      </c>
      <c r="BJ248" s="5"/>
      <c r="BK248" s="67" t="n">
        <f aca="false">IF(OR(ISNUMBER(BH248),BH248=Constants!$B$4,BH248=Constants!$B$6,BH248=Constants!$B$5),1,0)</f>
        <v>0</v>
      </c>
      <c r="BL248" s="67" t="n">
        <v>241</v>
      </c>
      <c r="BM248" s="67" t="str">
        <f aca="false">IF(ISBLANK($C248),"",IF(ISNUMBER(BI248),BI248+ROW($B248)/1000,""))</f>
        <v/>
      </c>
      <c r="BN248" s="67" t="str">
        <f aca="false">IF(ISNUMBER(BM248),RANK(BM248,$BM$8:$BM$507,1),"")</f>
        <v/>
      </c>
      <c r="BO248" s="67" t="str">
        <f aca="false">IF(ISBLANK($C248),"",$B248)</f>
        <v/>
      </c>
      <c r="BP248" s="67" t="str">
        <f aca="false">IF(ISBLANK($C248),"",$C248)</f>
        <v/>
      </c>
      <c r="BQ248" s="67" t="str">
        <f aca="false">IF(ISBLANK($C248),"",$D248)</f>
        <v/>
      </c>
      <c r="BR248" s="68" t="str">
        <f aca="false">BF248</f>
        <v/>
      </c>
      <c r="BS248" s="69" t="str">
        <f aca="false">BE248</f>
        <v/>
      </c>
      <c r="BT248" s="67" t="str">
        <f aca="false">IF(ISBLANK($C248),"",BH248)</f>
        <v/>
      </c>
      <c r="BU248" s="70" t="str">
        <f aca="false">IF($BL248&gt;$BK$7,"",VLOOKUP($BL248,$BN$8:$BT$507,7,FALSE()))</f>
        <v/>
      </c>
      <c r="BV248" s="71" t="str">
        <f aca="false">IF($BL248&gt;$BK$7,"",VLOOKUP($BL248,$BN$8:$BT$507,2,FALSE()))</f>
        <v/>
      </c>
      <c r="BW248" s="71" t="str">
        <f aca="false">IF($BL248&gt;$BK$7,"",VLOOKUP($BL248,$BN$8:$BT$507,3,FALSE()))</f>
        <v/>
      </c>
      <c r="BX248" s="71" t="str">
        <f aca="false">IF($BL248&gt;$BK$7,"",VLOOKUP($BL248,$BN$8:$BT$507,4,FALSE()))</f>
        <v/>
      </c>
      <c r="BY248" s="71" t="str">
        <f aca="false">IF($BL248&gt;$BK$7,"",VLOOKUP($BL248,$BN$8:$BT$507,5,FALSE()))</f>
        <v/>
      </c>
      <c r="BZ248" s="72" t="str">
        <f aca="false">IF($BL248&gt;$BK$7,"",VLOOKUP($BL248,$BN$8:$BT$507,6,FALSE()))</f>
        <v/>
      </c>
      <c r="CA248" s="48"/>
    </row>
    <row r="249" customFormat="false" ht="15.75" hidden="false" customHeight="false" outlineLevel="0" collapsed="false">
      <c r="A249" s="5"/>
      <c r="B249" s="121"/>
      <c r="C249" s="50"/>
      <c r="D249" s="51"/>
      <c r="E249" s="74"/>
      <c r="F249" s="122"/>
      <c r="G249" s="54"/>
      <c r="H249" s="123"/>
      <c r="I249" s="124"/>
      <c r="J249" s="54"/>
      <c r="K249" s="123"/>
      <c r="L249" s="54"/>
      <c r="M249" s="123"/>
      <c r="N249" s="54"/>
      <c r="O249" s="123"/>
      <c r="P249" s="54"/>
      <c r="Q249" s="123"/>
      <c r="R249" s="54"/>
      <c r="S249" s="74"/>
      <c r="T249" s="58"/>
      <c r="U249" s="59" t="str">
        <f aca="false">IF(ISBLANK($C249),"",IF(E249=Constants!$B$2, TRUE(), IF(E249=Constants!$B$3, FALSE(), TRUE())))</f>
        <v/>
      </c>
      <c r="V249" s="59" t="str">
        <f aca="false">IF(ISBLANK($C249),"",IF(F249=Constants!$B$2, TRUE(), IF(F249=Constants!$B$3, FALSE(), TRUE())))</f>
        <v/>
      </c>
      <c r="W249" s="59" t="str">
        <f aca="false">IF(ISBLANK($C249),"",IF(G249=Constants!$B$15,Constants!$B$8,IF(G249=Constants!$B$16,Constants!$B$9,Constants!$B$10)))</f>
        <v/>
      </c>
      <c r="X249" s="59" t="str">
        <f aca="false">IF(ISBLANK($C249),"",IF(H249=Constants!$B$2, TRUE(), IF(H249=Constants!$B$3, FALSE(), TRUE())))</f>
        <v/>
      </c>
      <c r="Y249" s="59" t="str">
        <f aca="false">IF(ISBLANK($C249),"",IF(I249=Constants!$B$19,Constants!$B$19,Constants!$B$18))</f>
        <v/>
      </c>
      <c r="Z249" s="59" t="str">
        <f aca="false">IF(ISBLANK($C249),"",IF(ISNUMBER(J249),IF(J249&gt;=0,J249,""),""))</f>
        <v/>
      </c>
      <c r="AA249" s="59" t="str">
        <f aca="false">IF(ISBLANK($C249),"",IF(K249=Constants!$B$19,Constants!$B$19,Constants!$B$18))</f>
        <v/>
      </c>
      <c r="AB249" s="59" t="str">
        <f aca="false">IF(ISBLANK($C249),"",IF(ISNUMBER(L249),IF(L249&gt;=0,L249,""),""))</f>
        <v/>
      </c>
      <c r="AC249" s="59" t="str">
        <f aca="false">IF(ISBLANK($C249),"",IF(M249=Constants!$B$19,Constants!$B$19,Constants!$B$18))</f>
        <v/>
      </c>
      <c r="AD249" s="59" t="str">
        <f aca="false">IF(ISBLANK($C249),"",IF(ISNUMBER(N249),IF(N249&gt;=0,N249,""),""))</f>
        <v/>
      </c>
      <c r="AE249" s="59" t="str">
        <f aca="false">IF(ISBLANK($C249),"",IF(O249=Constants!$B$19,Constants!$B$19,Constants!$B$18))</f>
        <v/>
      </c>
      <c r="AF249" s="59" t="str">
        <f aca="false">IF(ISBLANK($C249),"",IF(ISNUMBER(P249),IF(P249&gt;=0,P249,""),""))</f>
        <v/>
      </c>
      <c r="AG249" s="59" t="str">
        <f aca="false">IF(ISBLANK($C249),"",IF(Q249=Constants!$B$19,Constants!$B$19,Constants!$B$18))</f>
        <v/>
      </c>
      <c r="AH249" s="59" t="str">
        <f aca="false">IF(ISBLANK($C249),"",IF(ISNUMBER(R249),IF(R249&gt;=0,R249,""),""))</f>
        <v/>
      </c>
      <c r="AI249" s="59" t="str">
        <f aca="false">IF(ISBLANK($C249),"",IF(S249=Constants!$B$2, TRUE(), IF(S249=Constants!$B$3, FALSE(), FALSE())))</f>
        <v/>
      </c>
      <c r="AJ249" s="59" t="str">
        <f aca="false">IF(ISBLANK($C249),"",IF(AI249,Constants!$B$4,IF(COUNTA(E249:R249)=0,Constants!$B$5,IF(COUNTA(J249,L249,N249,P249,R249)=0,Constants!$B$6,Constants!$B$7))))</f>
        <v/>
      </c>
      <c r="AK249" s="59" t="str">
        <f aca="false">IF(ISBLANK($C249),"",IF($AJ249&lt;&gt;Constants!$B$7,$AJ249,IF(OR(NOT(X249),AND(NOT(U249),COUNTIFS(Y249:AG249,Constants!$B$18,Z249:AH249,"&gt;=0")&gt;0),AND(NOT(V249),COUNTIFS(Y249:AG249,Constants!$B$19,Z249:AH249,"&gt;=0")&gt;0)),Constants!$B$12,Constants!$B$11)))</f>
        <v/>
      </c>
      <c r="AL249" s="59" t="str">
        <f aca="false">IF($AJ249=Constants!$B$7,IF(Z249="",Constants!$B$13,Z249),"")</f>
        <v/>
      </c>
      <c r="AM249" s="59" t="str">
        <f aca="false">IF($AJ249=Constants!$B$7,IF(AB249="",Constants!$B$13,AB249),"")</f>
        <v/>
      </c>
      <c r="AN249" s="59" t="str">
        <f aca="false">IF($AJ249=Constants!$B$7,IF(AD249="",Constants!$B$13,AD249),"")</f>
        <v/>
      </c>
      <c r="AO249" s="59" t="str">
        <f aca="false">IF($AJ249=Constants!$B$7,IF(AF249="",Constants!$B$13,AF249),"")</f>
        <v/>
      </c>
      <c r="AP249" s="59" t="str">
        <f aca="false">IF($AJ249=Constants!$B$7,IF(AH249="",Constants!$B$13,AH249),"")</f>
        <v/>
      </c>
      <c r="AQ249" s="59" t="str">
        <f aca="false">IF($AJ249=Constants!$B$7,IF(SUMPRODUCT(--($AL249:$AP249&gt;AL249))+SUMPRODUCT(--($AL249:AL249=AL249))=1,1,IF(SUMPRODUCT(--($AL249:$AP249&gt;AM249))+SUMPRODUCT(--($AL249:AM249=AM249))=1,2,IF(SUMPRODUCT(--($AL249:$AP249&gt;AN249))+SUMPRODUCT(--($AL249:AN249=AN249))=1,3,IF(SUMPRODUCT(--($AL249:$AP249&gt;AO249))+SUMPRODUCT(--($AL249:AO249=AO249))=1,4,5)))),"")</f>
        <v/>
      </c>
      <c r="AR249" s="59" t="str">
        <f aca="false">IF($AJ249=Constants!$B$7,IF(SUMPRODUCT(--($AL249:$AP249&gt;AL249))+SUMPRODUCT(--($AL249:AL249=AL249))=2,1,IF(SUMPRODUCT(--($AL249:$AP249&gt;AM249))+SUMPRODUCT(--($AL249:AM249=AM249))=2,2,IF(SUMPRODUCT(--($AL249:$AP249&gt;AN249))+SUMPRODUCT(--($AL249:AN249=AN249))=2,3,IF(SUMPRODUCT(--($AL249:$AP249&gt;AO249))+SUMPRODUCT(--($AL249:AO249=AO249))=2,4,5)))),"")</f>
        <v/>
      </c>
      <c r="AS249" s="59" t="str">
        <f aca="false">IF($AJ249=Constants!$B$7,IF(SUMPRODUCT(--($AL249:$AP249&gt;AL249))+SUMPRODUCT(--($AL249:AL249=AL249))=3,1,IF(SUMPRODUCT(--($AL249:$AP249&gt;AM249))+SUMPRODUCT(--($AL249:AM249=AM249))=3,2,IF(SUMPRODUCT(--($AL249:$AP249&gt;AN249))+SUMPRODUCT(--($AL249:AN249=AN249))=3,3,IF(SUMPRODUCT(--($AL249:$AP249&gt;AO249))+SUMPRODUCT(--($AL249:AO249=AO249))=3,4,5)))),"")</f>
        <v/>
      </c>
      <c r="AT249" s="59" t="str">
        <f aca="false">IF($AJ249=Constants!$B$7,LARGE(AL249:AP249,1)+LARGE(AL249:AP249,2)+LARGE(AL249:AP249,3),"")</f>
        <v/>
      </c>
      <c r="AU249" s="59" t="str">
        <f aca="false">IF(ISBLANK($C249),"",IF($AJ249&lt;&gt;Constants!$B$7,$AJ249,AT249*W249))</f>
        <v/>
      </c>
      <c r="AV249" s="59" t="str">
        <f aca="false">IF(ISBLANK($C249),"",IF($AJ249=Constants!$B$7,IF(ISNUMBER(AU249),RANK(AU249,$AU$8:$AU$507),Constants!$B$14),$AJ249))</f>
        <v/>
      </c>
      <c r="AW249" s="59" t="str">
        <f aca="false">IF(ISBLANK($C249),"",IF($AJ249=Constants!$B$7,IF(ISNUMBER(AV249),COUNTIFS($AK$8:$AK$507,"&lt;"&amp;$AK249)+COUNTIFS($AK$8:$AK$507,$AK249,$AV$8:$AV$507,"&lt;"&amp;$AV249)+1,Constants!$B$14),$AJ249))</f>
        <v/>
      </c>
      <c r="AX249" s="59" t="str">
        <f aca="false">IF(ISBLANK($C249),"",IF($AJ249=Constants!$B$7,LARGE(AL249:AP249,4)*W249,""))</f>
        <v/>
      </c>
      <c r="AY249" s="59" t="str">
        <f aca="false">IF(ISBLANK($C249),"",IF($AJ249=Constants!$B$7,RANK(AX249,$AX$8:$AX$507),$AJ249))</f>
        <v/>
      </c>
      <c r="AZ249" s="59" t="str">
        <f aca="false">IF(ISBLANK($C249),"",IF($AJ249=Constants!$B$7,IF(ISNUMBER(AV249),COUNTIFS($AK$8:$AK$507,"&lt;"&amp;$AK249)+COUNTIFS($AK$8:$AK$507,$AK249,$AV$8:$AV$507,"&lt;"&amp;$AV249)+COUNTIFS($AK$8:$AK$507,$AK249,$AV$8:$AV$507,$AV249,$AY$8:$AY$507,"&lt;"&amp;$AY249)+1,Constants!$B$14),$AJ249))</f>
        <v/>
      </c>
      <c r="BA249" s="59" t="str">
        <f aca="false">IF(ISBLANK($C249),"",IF($AJ249=Constants!$B$7,IF(ISNUMBER(AW249),AW249-AZ249,Constants!$B$14),$AJ249))</f>
        <v/>
      </c>
      <c r="BB249" s="61"/>
      <c r="BC249" s="62" t="str">
        <f aca="false">IF(ISBLANK($C249),"",IF($AJ249&lt;&gt;Constants!$B$7,$AJ249,SMALL(AQ249:AS249,1)&amp;", "&amp;SMALL(AQ249:AS249,2)&amp;", "&amp;SMALL(AQ249:AS249,3)))</f>
        <v/>
      </c>
      <c r="BD249" s="63" t="str">
        <f aca="false">IF(ISBLANK($C249),"",IF($AJ249&lt;&gt;Constants!$B$7,$AJ249,W249))</f>
        <v/>
      </c>
      <c r="BE249" s="64" t="str">
        <f aca="false">IF(ISBLANK($C249),"",IF($AJ249&lt;&gt;Constants!$B$7,$AJ249,AU249))</f>
        <v/>
      </c>
      <c r="BF249" s="65" t="str">
        <f aca="false">IF(ISBLANK($C249),"",IF($AJ249&lt;&gt;Constants!$B$7,$AJ249,AK249))</f>
        <v/>
      </c>
      <c r="BG249" s="63" t="str">
        <f aca="false">IF(ISBLANK($C249),"",BA249)</f>
        <v/>
      </c>
      <c r="BH249" s="63" t="str">
        <f aca="false">IF(ISBLANK($C249),"",AZ249)</f>
        <v/>
      </c>
      <c r="BI249" s="66" t="str">
        <f aca="false">IF(ISBLANK($C249),"",IF(BH249=Constants!$B$4,COUNTA($C$8:$C$507)+2,IF(BH249=Constants!$B$5,COUNTA($C$8:$C$507)+1,IF(BH249=Constants!$B$6,COUNTA($C$8:$C$507),BH249))))</f>
        <v/>
      </c>
      <c r="BJ249" s="5"/>
      <c r="BK249" s="67" t="n">
        <f aca="false">IF(OR(ISNUMBER(BH249),BH249=Constants!$B$4,BH249=Constants!$B$6,BH249=Constants!$B$5),1,0)</f>
        <v>0</v>
      </c>
      <c r="BL249" s="67" t="n">
        <v>242</v>
      </c>
      <c r="BM249" s="67" t="str">
        <f aca="false">IF(ISBLANK($C249),"",IF(ISNUMBER(BI249),BI249+ROW($B249)/1000,""))</f>
        <v/>
      </c>
      <c r="BN249" s="67" t="str">
        <f aca="false">IF(ISNUMBER(BM249),RANK(BM249,$BM$8:$BM$507,1),"")</f>
        <v/>
      </c>
      <c r="BO249" s="67" t="str">
        <f aca="false">IF(ISBLANK($C249),"",$B249)</f>
        <v/>
      </c>
      <c r="BP249" s="67" t="str">
        <f aca="false">IF(ISBLANK($C249),"",$C249)</f>
        <v/>
      </c>
      <c r="BQ249" s="67" t="str">
        <f aca="false">IF(ISBLANK($C249),"",$D249)</f>
        <v/>
      </c>
      <c r="BR249" s="68" t="str">
        <f aca="false">BF249</f>
        <v/>
      </c>
      <c r="BS249" s="69" t="str">
        <f aca="false">BE249</f>
        <v/>
      </c>
      <c r="BT249" s="67" t="str">
        <f aca="false">IF(ISBLANK($C249),"",BH249)</f>
        <v/>
      </c>
      <c r="BU249" s="70" t="str">
        <f aca="false">IF($BL249&gt;$BK$7,"",VLOOKUP($BL249,$BN$8:$BT$507,7,FALSE()))</f>
        <v/>
      </c>
      <c r="BV249" s="71" t="str">
        <f aca="false">IF($BL249&gt;$BK$7,"",VLOOKUP($BL249,$BN$8:$BT$507,2,FALSE()))</f>
        <v/>
      </c>
      <c r="BW249" s="71" t="str">
        <f aca="false">IF($BL249&gt;$BK$7,"",VLOOKUP($BL249,$BN$8:$BT$507,3,FALSE()))</f>
        <v/>
      </c>
      <c r="BX249" s="71" t="str">
        <f aca="false">IF($BL249&gt;$BK$7,"",VLOOKUP($BL249,$BN$8:$BT$507,4,FALSE()))</f>
        <v/>
      </c>
      <c r="BY249" s="71" t="str">
        <f aca="false">IF($BL249&gt;$BK$7,"",VLOOKUP($BL249,$BN$8:$BT$507,5,FALSE()))</f>
        <v/>
      </c>
      <c r="BZ249" s="72" t="str">
        <f aca="false">IF($BL249&gt;$BK$7,"",VLOOKUP($BL249,$BN$8:$BT$507,6,FALSE()))</f>
        <v/>
      </c>
      <c r="CA249" s="48"/>
    </row>
    <row r="250" customFormat="false" ht="15.75" hidden="false" customHeight="false" outlineLevel="0" collapsed="false">
      <c r="A250" s="5"/>
      <c r="B250" s="121"/>
      <c r="C250" s="50"/>
      <c r="D250" s="51"/>
      <c r="E250" s="74"/>
      <c r="F250" s="122"/>
      <c r="G250" s="54"/>
      <c r="H250" s="123"/>
      <c r="I250" s="124"/>
      <c r="J250" s="54"/>
      <c r="K250" s="123"/>
      <c r="L250" s="54"/>
      <c r="M250" s="123"/>
      <c r="N250" s="54"/>
      <c r="O250" s="123"/>
      <c r="P250" s="54"/>
      <c r="Q250" s="123"/>
      <c r="R250" s="54"/>
      <c r="S250" s="74"/>
      <c r="T250" s="58"/>
      <c r="U250" s="59" t="str">
        <f aca="false">IF(ISBLANK($C250),"",IF(E250=Constants!$B$2, TRUE(), IF(E250=Constants!$B$3, FALSE(), TRUE())))</f>
        <v/>
      </c>
      <c r="V250" s="59" t="str">
        <f aca="false">IF(ISBLANK($C250),"",IF(F250=Constants!$B$2, TRUE(), IF(F250=Constants!$B$3, FALSE(), TRUE())))</f>
        <v/>
      </c>
      <c r="W250" s="59" t="str">
        <f aca="false">IF(ISBLANK($C250),"",IF(G250=Constants!$B$15,Constants!$B$8,IF(G250=Constants!$B$16,Constants!$B$9,Constants!$B$10)))</f>
        <v/>
      </c>
      <c r="X250" s="59" t="str">
        <f aca="false">IF(ISBLANK($C250),"",IF(H250=Constants!$B$2, TRUE(), IF(H250=Constants!$B$3, FALSE(), TRUE())))</f>
        <v/>
      </c>
      <c r="Y250" s="59" t="str">
        <f aca="false">IF(ISBLANK($C250),"",IF(I250=Constants!$B$19,Constants!$B$19,Constants!$B$18))</f>
        <v/>
      </c>
      <c r="Z250" s="59" t="str">
        <f aca="false">IF(ISBLANK($C250),"",IF(ISNUMBER(J250),IF(J250&gt;=0,J250,""),""))</f>
        <v/>
      </c>
      <c r="AA250" s="59" t="str">
        <f aca="false">IF(ISBLANK($C250),"",IF(K250=Constants!$B$19,Constants!$B$19,Constants!$B$18))</f>
        <v/>
      </c>
      <c r="AB250" s="59" t="str">
        <f aca="false">IF(ISBLANK($C250),"",IF(ISNUMBER(L250),IF(L250&gt;=0,L250,""),""))</f>
        <v/>
      </c>
      <c r="AC250" s="59" t="str">
        <f aca="false">IF(ISBLANK($C250),"",IF(M250=Constants!$B$19,Constants!$B$19,Constants!$B$18))</f>
        <v/>
      </c>
      <c r="AD250" s="59" t="str">
        <f aca="false">IF(ISBLANK($C250),"",IF(ISNUMBER(N250),IF(N250&gt;=0,N250,""),""))</f>
        <v/>
      </c>
      <c r="AE250" s="59" t="str">
        <f aca="false">IF(ISBLANK($C250),"",IF(O250=Constants!$B$19,Constants!$B$19,Constants!$B$18))</f>
        <v/>
      </c>
      <c r="AF250" s="59" t="str">
        <f aca="false">IF(ISBLANK($C250),"",IF(ISNUMBER(P250),IF(P250&gt;=0,P250,""),""))</f>
        <v/>
      </c>
      <c r="AG250" s="59" t="str">
        <f aca="false">IF(ISBLANK($C250),"",IF(Q250=Constants!$B$19,Constants!$B$19,Constants!$B$18))</f>
        <v/>
      </c>
      <c r="AH250" s="59" t="str">
        <f aca="false">IF(ISBLANK($C250),"",IF(ISNUMBER(R250),IF(R250&gt;=0,R250,""),""))</f>
        <v/>
      </c>
      <c r="AI250" s="59" t="str">
        <f aca="false">IF(ISBLANK($C250),"",IF(S250=Constants!$B$2, TRUE(), IF(S250=Constants!$B$3, FALSE(), FALSE())))</f>
        <v/>
      </c>
      <c r="AJ250" s="59" t="str">
        <f aca="false">IF(ISBLANK($C250),"",IF(AI250,Constants!$B$4,IF(COUNTA(E250:R250)=0,Constants!$B$5,IF(COUNTA(J250,L250,N250,P250,R250)=0,Constants!$B$6,Constants!$B$7))))</f>
        <v/>
      </c>
      <c r="AK250" s="59" t="str">
        <f aca="false">IF(ISBLANK($C250),"",IF($AJ250&lt;&gt;Constants!$B$7,$AJ250,IF(OR(NOT(X250),AND(NOT(U250),COUNTIFS(Y250:AG250,Constants!$B$18,Z250:AH250,"&gt;=0")&gt;0),AND(NOT(V250),COUNTIFS(Y250:AG250,Constants!$B$19,Z250:AH250,"&gt;=0")&gt;0)),Constants!$B$12,Constants!$B$11)))</f>
        <v/>
      </c>
      <c r="AL250" s="59" t="str">
        <f aca="false">IF($AJ250=Constants!$B$7,IF(Z250="",Constants!$B$13,Z250),"")</f>
        <v/>
      </c>
      <c r="AM250" s="59" t="str">
        <f aca="false">IF($AJ250=Constants!$B$7,IF(AB250="",Constants!$B$13,AB250),"")</f>
        <v/>
      </c>
      <c r="AN250" s="59" t="str">
        <f aca="false">IF($AJ250=Constants!$B$7,IF(AD250="",Constants!$B$13,AD250),"")</f>
        <v/>
      </c>
      <c r="AO250" s="59" t="str">
        <f aca="false">IF($AJ250=Constants!$B$7,IF(AF250="",Constants!$B$13,AF250),"")</f>
        <v/>
      </c>
      <c r="AP250" s="59" t="str">
        <f aca="false">IF($AJ250=Constants!$B$7,IF(AH250="",Constants!$B$13,AH250),"")</f>
        <v/>
      </c>
      <c r="AQ250" s="59" t="str">
        <f aca="false">IF($AJ250=Constants!$B$7,IF(SUMPRODUCT(--($AL250:$AP250&gt;AL250))+SUMPRODUCT(--($AL250:AL250=AL250))=1,1,IF(SUMPRODUCT(--($AL250:$AP250&gt;AM250))+SUMPRODUCT(--($AL250:AM250=AM250))=1,2,IF(SUMPRODUCT(--($AL250:$AP250&gt;AN250))+SUMPRODUCT(--($AL250:AN250=AN250))=1,3,IF(SUMPRODUCT(--($AL250:$AP250&gt;AO250))+SUMPRODUCT(--($AL250:AO250=AO250))=1,4,5)))),"")</f>
        <v/>
      </c>
      <c r="AR250" s="59" t="str">
        <f aca="false">IF($AJ250=Constants!$B$7,IF(SUMPRODUCT(--($AL250:$AP250&gt;AL250))+SUMPRODUCT(--($AL250:AL250=AL250))=2,1,IF(SUMPRODUCT(--($AL250:$AP250&gt;AM250))+SUMPRODUCT(--($AL250:AM250=AM250))=2,2,IF(SUMPRODUCT(--($AL250:$AP250&gt;AN250))+SUMPRODUCT(--($AL250:AN250=AN250))=2,3,IF(SUMPRODUCT(--($AL250:$AP250&gt;AO250))+SUMPRODUCT(--($AL250:AO250=AO250))=2,4,5)))),"")</f>
        <v/>
      </c>
      <c r="AS250" s="59" t="str">
        <f aca="false">IF($AJ250=Constants!$B$7,IF(SUMPRODUCT(--($AL250:$AP250&gt;AL250))+SUMPRODUCT(--($AL250:AL250=AL250))=3,1,IF(SUMPRODUCT(--($AL250:$AP250&gt;AM250))+SUMPRODUCT(--($AL250:AM250=AM250))=3,2,IF(SUMPRODUCT(--($AL250:$AP250&gt;AN250))+SUMPRODUCT(--($AL250:AN250=AN250))=3,3,IF(SUMPRODUCT(--($AL250:$AP250&gt;AO250))+SUMPRODUCT(--($AL250:AO250=AO250))=3,4,5)))),"")</f>
        <v/>
      </c>
      <c r="AT250" s="59" t="str">
        <f aca="false">IF($AJ250=Constants!$B$7,LARGE(AL250:AP250,1)+LARGE(AL250:AP250,2)+LARGE(AL250:AP250,3),"")</f>
        <v/>
      </c>
      <c r="AU250" s="59" t="str">
        <f aca="false">IF(ISBLANK($C250),"",IF($AJ250&lt;&gt;Constants!$B$7,$AJ250,AT250*W250))</f>
        <v/>
      </c>
      <c r="AV250" s="59" t="str">
        <f aca="false">IF(ISBLANK($C250),"",IF($AJ250=Constants!$B$7,IF(ISNUMBER(AU250),RANK(AU250,$AU$8:$AU$507),Constants!$B$14),$AJ250))</f>
        <v/>
      </c>
      <c r="AW250" s="59" t="str">
        <f aca="false">IF(ISBLANK($C250),"",IF($AJ250=Constants!$B$7,IF(ISNUMBER(AV250),COUNTIFS($AK$8:$AK$507,"&lt;"&amp;$AK250)+COUNTIFS($AK$8:$AK$507,$AK250,$AV$8:$AV$507,"&lt;"&amp;$AV250)+1,Constants!$B$14),$AJ250))</f>
        <v/>
      </c>
      <c r="AX250" s="59" t="str">
        <f aca="false">IF(ISBLANK($C250),"",IF($AJ250=Constants!$B$7,LARGE(AL250:AP250,4)*W250,""))</f>
        <v/>
      </c>
      <c r="AY250" s="59" t="str">
        <f aca="false">IF(ISBLANK($C250),"",IF($AJ250=Constants!$B$7,RANK(AX250,$AX$8:$AX$507),$AJ250))</f>
        <v/>
      </c>
      <c r="AZ250" s="59" t="str">
        <f aca="false">IF(ISBLANK($C250),"",IF($AJ250=Constants!$B$7,IF(ISNUMBER(AV250),COUNTIFS($AK$8:$AK$507,"&lt;"&amp;$AK250)+COUNTIFS($AK$8:$AK$507,$AK250,$AV$8:$AV$507,"&lt;"&amp;$AV250)+COUNTIFS($AK$8:$AK$507,$AK250,$AV$8:$AV$507,$AV250,$AY$8:$AY$507,"&lt;"&amp;$AY250)+1,Constants!$B$14),$AJ250))</f>
        <v/>
      </c>
      <c r="BA250" s="59" t="str">
        <f aca="false">IF(ISBLANK($C250),"",IF($AJ250=Constants!$B$7,IF(ISNUMBER(AW250),AW250-AZ250,Constants!$B$14),$AJ250))</f>
        <v/>
      </c>
      <c r="BB250" s="61"/>
      <c r="BC250" s="62" t="str">
        <f aca="false">IF(ISBLANK($C250),"",IF($AJ250&lt;&gt;Constants!$B$7,$AJ250,SMALL(AQ250:AS250,1)&amp;", "&amp;SMALL(AQ250:AS250,2)&amp;", "&amp;SMALL(AQ250:AS250,3)))</f>
        <v/>
      </c>
      <c r="BD250" s="63" t="str">
        <f aca="false">IF(ISBLANK($C250),"",IF($AJ250&lt;&gt;Constants!$B$7,$AJ250,W250))</f>
        <v/>
      </c>
      <c r="BE250" s="64" t="str">
        <f aca="false">IF(ISBLANK($C250),"",IF($AJ250&lt;&gt;Constants!$B$7,$AJ250,AU250))</f>
        <v/>
      </c>
      <c r="BF250" s="65" t="str">
        <f aca="false">IF(ISBLANK($C250),"",IF($AJ250&lt;&gt;Constants!$B$7,$AJ250,AK250))</f>
        <v/>
      </c>
      <c r="BG250" s="63" t="str">
        <f aca="false">IF(ISBLANK($C250),"",BA250)</f>
        <v/>
      </c>
      <c r="BH250" s="63" t="str">
        <f aca="false">IF(ISBLANK($C250),"",AZ250)</f>
        <v/>
      </c>
      <c r="BI250" s="66" t="str">
        <f aca="false">IF(ISBLANK($C250),"",IF(BH250=Constants!$B$4,COUNTA($C$8:$C$507)+2,IF(BH250=Constants!$B$5,COUNTA($C$8:$C$507)+1,IF(BH250=Constants!$B$6,COUNTA($C$8:$C$507),BH250))))</f>
        <v/>
      </c>
      <c r="BJ250" s="5"/>
      <c r="BK250" s="67" t="n">
        <f aca="false">IF(OR(ISNUMBER(BH250),BH250=Constants!$B$4,BH250=Constants!$B$6,BH250=Constants!$B$5),1,0)</f>
        <v>0</v>
      </c>
      <c r="BL250" s="67" t="n">
        <v>243</v>
      </c>
      <c r="BM250" s="67" t="str">
        <f aca="false">IF(ISBLANK($C250),"",IF(ISNUMBER(BI250),BI250+ROW($B250)/1000,""))</f>
        <v/>
      </c>
      <c r="BN250" s="67" t="str">
        <f aca="false">IF(ISNUMBER(BM250),RANK(BM250,$BM$8:$BM$507,1),"")</f>
        <v/>
      </c>
      <c r="BO250" s="67" t="str">
        <f aca="false">IF(ISBLANK($C250),"",$B250)</f>
        <v/>
      </c>
      <c r="BP250" s="67" t="str">
        <f aca="false">IF(ISBLANK($C250),"",$C250)</f>
        <v/>
      </c>
      <c r="BQ250" s="67" t="str">
        <f aca="false">IF(ISBLANK($C250),"",$D250)</f>
        <v/>
      </c>
      <c r="BR250" s="68" t="str">
        <f aca="false">BF250</f>
        <v/>
      </c>
      <c r="BS250" s="69" t="str">
        <f aca="false">BE250</f>
        <v/>
      </c>
      <c r="BT250" s="67" t="str">
        <f aca="false">IF(ISBLANK($C250),"",BH250)</f>
        <v/>
      </c>
      <c r="BU250" s="70" t="str">
        <f aca="false">IF($BL250&gt;$BK$7,"",VLOOKUP($BL250,$BN$8:$BT$507,7,FALSE()))</f>
        <v/>
      </c>
      <c r="BV250" s="71" t="str">
        <f aca="false">IF($BL250&gt;$BK$7,"",VLOOKUP($BL250,$BN$8:$BT$507,2,FALSE()))</f>
        <v/>
      </c>
      <c r="BW250" s="71" t="str">
        <f aca="false">IF($BL250&gt;$BK$7,"",VLOOKUP($BL250,$BN$8:$BT$507,3,FALSE()))</f>
        <v/>
      </c>
      <c r="BX250" s="71" t="str">
        <f aca="false">IF($BL250&gt;$BK$7,"",VLOOKUP($BL250,$BN$8:$BT$507,4,FALSE()))</f>
        <v/>
      </c>
      <c r="BY250" s="71" t="str">
        <f aca="false">IF($BL250&gt;$BK$7,"",VLOOKUP($BL250,$BN$8:$BT$507,5,FALSE()))</f>
        <v/>
      </c>
      <c r="BZ250" s="72" t="str">
        <f aca="false">IF($BL250&gt;$BK$7,"",VLOOKUP($BL250,$BN$8:$BT$507,6,FALSE()))</f>
        <v/>
      </c>
      <c r="CA250" s="48"/>
    </row>
    <row r="251" customFormat="false" ht="15.75" hidden="false" customHeight="false" outlineLevel="0" collapsed="false">
      <c r="A251" s="5"/>
      <c r="B251" s="114"/>
      <c r="C251" s="115"/>
      <c r="D251" s="100"/>
      <c r="E251" s="120"/>
      <c r="F251" s="125"/>
      <c r="G251" s="82"/>
      <c r="H251" s="126"/>
      <c r="I251" s="127"/>
      <c r="J251" s="82"/>
      <c r="K251" s="126"/>
      <c r="L251" s="82"/>
      <c r="M251" s="126"/>
      <c r="N251" s="82"/>
      <c r="O251" s="126"/>
      <c r="P251" s="82"/>
      <c r="Q251" s="126"/>
      <c r="R251" s="82"/>
      <c r="S251" s="120"/>
      <c r="T251" s="86"/>
      <c r="U251" s="87" t="str">
        <f aca="false">IF(ISBLANK($C251),"",IF(E251=Constants!$B$2, TRUE(), IF(E251=Constants!$B$3, FALSE(), TRUE())))</f>
        <v/>
      </c>
      <c r="V251" s="87" t="str">
        <f aca="false">IF(ISBLANK($C251),"",IF(F251=Constants!$B$2, TRUE(), IF(F251=Constants!$B$3, FALSE(), TRUE())))</f>
        <v/>
      </c>
      <c r="W251" s="87" t="str">
        <f aca="false">IF(ISBLANK($C251),"",IF(G251=Constants!$B$15,Constants!$B$8,IF(G251=Constants!$B$16,Constants!$B$9,Constants!$B$10)))</f>
        <v/>
      </c>
      <c r="X251" s="87" t="str">
        <f aca="false">IF(ISBLANK($C251),"",IF(H251=Constants!$B$2, TRUE(), IF(H251=Constants!$B$3, FALSE(), TRUE())))</f>
        <v/>
      </c>
      <c r="Y251" s="87" t="str">
        <f aca="false">IF(ISBLANK($C251),"",IF(I251=Constants!$B$19,Constants!$B$19,Constants!$B$18))</f>
        <v/>
      </c>
      <c r="Z251" s="87" t="str">
        <f aca="false">IF(ISBLANK($C251),"",IF(ISNUMBER(J251),IF(J251&gt;=0,J251,""),""))</f>
        <v/>
      </c>
      <c r="AA251" s="87" t="str">
        <f aca="false">IF(ISBLANK($C251),"",IF(K251=Constants!$B$19,Constants!$B$19,Constants!$B$18))</f>
        <v/>
      </c>
      <c r="AB251" s="87" t="str">
        <f aca="false">IF(ISBLANK($C251),"",IF(ISNUMBER(L251),IF(L251&gt;=0,L251,""),""))</f>
        <v/>
      </c>
      <c r="AC251" s="87" t="str">
        <f aca="false">IF(ISBLANK($C251),"",IF(M251=Constants!$B$19,Constants!$B$19,Constants!$B$18))</f>
        <v/>
      </c>
      <c r="AD251" s="87" t="str">
        <f aca="false">IF(ISBLANK($C251),"",IF(ISNUMBER(N251),IF(N251&gt;=0,N251,""),""))</f>
        <v/>
      </c>
      <c r="AE251" s="87" t="str">
        <f aca="false">IF(ISBLANK($C251),"",IF(O251=Constants!$B$19,Constants!$B$19,Constants!$B$18))</f>
        <v/>
      </c>
      <c r="AF251" s="87" t="str">
        <f aca="false">IF(ISBLANK($C251),"",IF(ISNUMBER(P251),IF(P251&gt;=0,P251,""),""))</f>
        <v/>
      </c>
      <c r="AG251" s="87" t="str">
        <f aca="false">IF(ISBLANK($C251),"",IF(Q251=Constants!$B$19,Constants!$B$19,Constants!$B$18))</f>
        <v/>
      </c>
      <c r="AH251" s="87" t="str">
        <f aca="false">IF(ISBLANK($C251),"",IF(ISNUMBER(R251),IF(R251&gt;=0,R251,""),""))</f>
        <v/>
      </c>
      <c r="AI251" s="87" t="str">
        <f aca="false">IF(ISBLANK($C251),"",IF(S251=Constants!$B$2, TRUE(), IF(S251=Constants!$B$3, FALSE(), FALSE())))</f>
        <v/>
      </c>
      <c r="AJ251" s="87" t="str">
        <f aca="false">IF(ISBLANK($C251),"",IF(AI251,Constants!$B$4,IF(COUNTA(E251:R251)=0,Constants!$B$5,IF(COUNTA(J251,L251,N251,P251,R251)=0,Constants!$B$6,Constants!$B$7))))</f>
        <v/>
      </c>
      <c r="AK251" s="87" t="str">
        <f aca="false">IF(ISBLANK($C251),"",IF($AJ251&lt;&gt;Constants!$B$7,$AJ251,IF(OR(NOT(X251),AND(NOT(U251),COUNTIFS(Y251:AG251,Constants!$B$18,Z251:AH251,"&gt;=0")&gt;0),AND(NOT(V251),COUNTIFS(Y251:AG251,Constants!$B$19,Z251:AH251,"&gt;=0")&gt;0)),Constants!$B$12,Constants!$B$11)))</f>
        <v/>
      </c>
      <c r="AL251" s="87" t="str">
        <f aca="false">IF($AJ251=Constants!$B$7,IF(Z251="",Constants!$B$13,Z251),"")</f>
        <v/>
      </c>
      <c r="AM251" s="87" t="str">
        <f aca="false">IF($AJ251=Constants!$B$7,IF(AB251="",Constants!$B$13,AB251),"")</f>
        <v/>
      </c>
      <c r="AN251" s="87" t="str">
        <f aca="false">IF($AJ251=Constants!$B$7,IF(AD251="",Constants!$B$13,AD251),"")</f>
        <v/>
      </c>
      <c r="AO251" s="87" t="str">
        <f aca="false">IF($AJ251=Constants!$B$7,IF(AF251="",Constants!$B$13,AF251),"")</f>
        <v/>
      </c>
      <c r="AP251" s="87" t="str">
        <f aca="false">IF($AJ251=Constants!$B$7,IF(AH251="",Constants!$B$13,AH251),"")</f>
        <v/>
      </c>
      <c r="AQ251" s="87" t="str">
        <f aca="false">IF($AJ251=Constants!$B$7,IF(SUMPRODUCT(--($AL251:$AP251&gt;AL251))+SUMPRODUCT(--($AL251:AL251=AL251))=1,1,IF(SUMPRODUCT(--($AL251:$AP251&gt;AM251))+SUMPRODUCT(--($AL251:AM251=AM251))=1,2,IF(SUMPRODUCT(--($AL251:$AP251&gt;AN251))+SUMPRODUCT(--($AL251:AN251=AN251))=1,3,IF(SUMPRODUCT(--($AL251:$AP251&gt;AO251))+SUMPRODUCT(--($AL251:AO251=AO251))=1,4,5)))),"")</f>
        <v/>
      </c>
      <c r="AR251" s="87" t="str">
        <f aca="false">IF($AJ251=Constants!$B$7,IF(SUMPRODUCT(--($AL251:$AP251&gt;AL251))+SUMPRODUCT(--($AL251:AL251=AL251))=2,1,IF(SUMPRODUCT(--($AL251:$AP251&gt;AM251))+SUMPRODUCT(--($AL251:AM251=AM251))=2,2,IF(SUMPRODUCT(--($AL251:$AP251&gt;AN251))+SUMPRODUCT(--($AL251:AN251=AN251))=2,3,IF(SUMPRODUCT(--($AL251:$AP251&gt;AO251))+SUMPRODUCT(--($AL251:AO251=AO251))=2,4,5)))),"")</f>
        <v/>
      </c>
      <c r="AS251" s="87" t="str">
        <f aca="false">IF($AJ251=Constants!$B$7,IF(SUMPRODUCT(--($AL251:$AP251&gt;AL251))+SUMPRODUCT(--($AL251:AL251=AL251))=3,1,IF(SUMPRODUCT(--($AL251:$AP251&gt;AM251))+SUMPRODUCT(--($AL251:AM251=AM251))=3,2,IF(SUMPRODUCT(--($AL251:$AP251&gt;AN251))+SUMPRODUCT(--($AL251:AN251=AN251))=3,3,IF(SUMPRODUCT(--($AL251:$AP251&gt;AO251))+SUMPRODUCT(--($AL251:AO251=AO251))=3,4,5)))),"")</f>
        <v/>
      </c>
      <c r="AT251" s="87" t="str">
        <f aca="false">IF($AJ251=Constants!$B$7,LARGE(AL251:AP251,1)+LARGE(AL251:AP251,2)+LARGE(AL251:AP251,3),"")</f>
        <v/>
      </c>
      <c r="AU251" s="87" t="str">
        <f aca="false">IF(ISBLANK($C251),"",IF($AJ251&lt;&gt;Constants!$B$7,$AJ251,AT251*W251))</f>
        <v/>
      </c>
      <c r="AV251" s="87" t="str">
        <f aca="false">IF(ISBLANK($C251),"",IF($AJ251=Constants!$B$7,IF(ISNUMBER(AU251),RANK(AU251,$AU$8:$AU$507),Constants!$B$14),$AJ251))</f>
        <v/>
      </c>
      <c r="AW251" s="87" t="str">
        <f aca="false">IF(ISBLANK($C251),"",IF($AJ251=Constants!$B$7,IF(ISNUMBER(AV251),COUNTIFS($AK$8:$AK$507,"&lt;"&amp;$AK251)+COUNTIFS($AK$8:$AK$507,$AK251,$AV$8:$AV$507,"&lt;"&amp;$AV251)+1,Constants!$B$14),$AJ251))</f>
        <v/>
      </c>
      <c r="AX251" s="87" t="str">
        <f aca="false">IF(ISBLANK($C251),"",IF($AJ251=Constants!$B$7,LARGE(AL251:AP251,4)*W251,""))</f>
        <v/>
      </c>
      <c r="AY251" s="87" t="str">
        <f aca="false">IF(ISBLANK($C251),"",IF($AJ251=Constants!$B$7,RANK(AX251,$AX$8:$AX$507),$AJ251))</f>
        <v/>
      </c>
      <c r="AZ251" s="87" t="str">
        <f aca="false">IF(ISBLANK($C251),"",IF($AJ251=Constants!$B$7,IF(ISNUMBER(AV251),COUNTIFS($AK$8:$AK$507,"&lt;"&amp;$AK251)+COUNTIFS($AK$8:$AK$507,$AK251,$AV$8:$AV$507,"&lt;"&amp;$AV251)+COUNTIFS($AK$8:$AK$507,$AK251,$AV$8:$AV$507,$AV251,$AY$8:$AY$507,"&lt;"&amp;$AY251)+1,Constants!$B$14),$AJ251))</f>
        <v/>
      </c>
      <c r="BA251" s="87" t="str">
        <f aca="false">IF(ISBLANK($C251),"",IF($AJ251=Constants!$B$7,IF(ISNUMBER(AW251),AW251-AZ251,Constants!$B$14),$AJ251))</f>
        <v/>
      </c>
      <c r="BB251" s="88"/>
      <c r="BC251" s="89" t="str">
        <f aca="false">IF(ISBLANK($C251),"",IF($AJ251&lt;&gt;Constants!$B$7,$AJ251,SMALL(AQ251:AS251,1)&amp;", "&amp;SMALL(AQ251:AS251,2)&amp;", "&amp;SMALL(AQ251:AS251,3)))</f>
        <v/>
      </c>
      <c r="BD251" s="90" t="str">
        <f aca="false">IF(ISBLANK($C251),"",IF($AJ251&lt;&gt;Constants!$B$7,$AJ251,W251))</f>
        <v/>
      </c>
      <c r="BE251" s="91" t="str">
        <f aca="false">IF(ISBLANK($C251),"",IF($AJ251&lt;&gt;Constants!$B$7,$AJ251,AU251))</f>
        <v/>
      </c>
      <c r="BF251" s="92" t="str">
        <f aca="false">IF(ISBLANK($C251),"",IF($AJ251&lt;&gt;Constants!$B$7,$AJ251,AK251))</f>
        <v/>
      </c>
      <c r="BG251" s="90" t="str">
        <f aca="false">IF(ISBLANK($C251),"",BA251)</f>
        <v/>
      </c>
      <c r="BH251" s="90" t="str">
        <f aca="false">IF(ISBLANK($C251),"",AZ251)</f>
        <v/>
      </c>
      <c r="BI251" s="93" t="str">
        <f aca="false">IF(ISBLANK($C251),"",IF(BH251=Constants!$B$4,COUNTA($C$8:$C$507)+2,IF(BH251=Constants!$B$5,COUNTA($C$8:$C$507)+1,IF(BH251=Constants!$B$6,COUNTA($C$8:$C$507),BH251))))</f>
        <v/>
      </c>
      <c r="BJ251" s="5"/>
      <c r="BK251" s="94" t="n">
        <f aca="false">IF(OR(ISNUMBER(BH251),BH251=Constants!$B$4,BH251=Constants!$B$6,BH251=Constants!$B$5),1,0)</f>
        <v>0</v>
      </c>
      <c r="BL251" s="94" t="n">
        <v>244</v>
      </c>
      <c r="BM251" s="94" t="str">
        <f aca="false">IF(ISBLANK($C251),"",IF(ISNUMBER(BI251),BI251+ROW($B251)/1000,""))</f>
        <v/>
      </c>
      <c r="BN251" s="94" t="str">
        <f aca="false">IF(ISNUMBER(BM251),RANK(BM251,$BM$8:$BM$507,1),"")</f>
        <v/>
      </c>
      <c r="BO251" s="94" t="str">
        <f aca="false">IF(ISBLANK($C251),"",$B251)</f>
        <v/>
      </c>
      <c r="BP251" s="94" t="str">
        <f aca="false">IF(ISBLANK($C251),"",$C251)</f>
        <v/>
      </c>
      <c r="BQ251" s="94" t="str">
        <f aca="false">IF(ISBLANK($C251),"",$D251)</f>
        <v/>
      </c>
      <c r="BR251" s="95" t="str">
        <f aca="false">BF251</f>
        <v/>
      </c>
      <c r="BS251" s="96" t="str">
        <f aca="false">BE251</f>
        <v/>
      </c>
      <c r="BT251" s="94" t="str">
        <f aca="false">IF(ISBLANK($C251),"",BH251)</f>
        <v/>
      </c>
      <c r="BU251" s="97" t="str">
        <f aca="false">IF($BL251&gt;$BK$7,"",VLOOKUP($BL251,$BN$8:$BT$507,7,FALSE()))</f>
        <v/>
      </c>
      <c r="BV251" s="98" t="str">
        <f aca="false">IF($BL251&gt;$BK$7,"",VLOOKUP($BL251,$BN$8:$BT$507,2,FALSE()))</f>
        <v/>
      </c>
      <c r="BW251" s="98" t="str">
        <f aca="false">IF($BL251&gt;$BK$7,"",VLOOKUP($BL251,$BN$8:$BT$507,3,FALSE()))</f>
        <v/>
      </c>
      <c r="BX251" s="98" t="str">
        <f aca="false">IF($BL251&gt;$BK$7,"",VLOOKUP($BL251,$BN$8:$BT$507,4,FALSE()))</f>
        <v/>
      </c>
      <c r="BY251" s="98" t="str">
        <f aca="false">IF($BL251&gt;$BK$7,"",VLOOKUP($BL251,$BN$8:$BT$507,5,FALSE()))</f>
        <v/>
      </c>
      <c r="BZ251" s="99" t="str">
        <f aca="false">IF($BL251&gt;$BK$7,"",VLOOKUP($BL251,$BN$8:$BT$507,6,FALSE()))</f>
        <v/>
      </c>
      <c r="CA251" s="48"/>
    </row>
    <row r="252" customFormat="false" ht="15.75" hidden="false" customHeight="false" outlineLevel="0" collapsed="false">
      <c r="A252" s="5"/>
      <c r="B252" s="114"/>
      <c r="C252" s="115"/>
      <c r="D252" s="100"/>
      <c r="E252" s="120"/>
      <c r="F252" s="125"/>
      <c r="G252" s="82"/>
      <c r="H252" s="126"/>
      <c r="I252" s="127"/>
      <c r="J252" s="82"/>
      <c r="K252" s="126"/>
      <c r="L252" s="82"/>
      <c r="M252" s="126"/>
      <c r="N252" s="82"/>
      <c r="O252" s="126"/>
      <c r="P252" s="82"/>
      <c r="Q252" s="126"/>
      <c r="R252" s="82"/>
      <c r="S252" s="120"/>
      <c r="T252" s="86"/>
      <c r="U252" s="87" t="str">
        <f aca="false">IF(ISBLANK($C252),"",IF(E252=Constants!$B$2, TRUE(), IF(E252=Constants!$B$3, FALSE(), TRUE())))</f>
        <v/>
      </c>
      <c r="V252" s="87" t="str">
        <f aca="false">IF(ISBLANK($C252),"",IF(F252=Constants!$B$2, TRUE(), IF(F252=Constants!$B$3, FALSE(), TRUE())))</f>
        <v/>
      </c>
      <c r="W252" s="87" t="str">
        <f aca="false">IF(ISBLANK($C252),"",IF(G252=Constants!$B$15,Constants!$B$8,IF(G252=Constants!$B$16,Constants!$B$9,Constants!$B$10)))</f>
        <v/>
      </c>
      <c r="X252" s="87" t="str">
        <f aca="false">IF(ISBLANK($C252),"",IF(H252=Constants!$B$2, TRUE(), IF(H252=Constants!$B$3, FALSE(), TRUE())))</f>
        <v/>
      </c>
      <c r="Y252" s="87" t="str">
        <f aca="false">IF(ISBLANK($C252),"",IF(I252=Constants!$B$19,Constants!$B$19,Constants!$B$18))</f>
        <v/>
      </c>
      <c r="Z252" s="87" t="str">
        <f aca="false">IF(ISBLANK($C252),"",IF(ISNUMBER(J252),IF(J252&gt;=0,J252,""),""))</f>
        <v/>
      </c>
      <c r="AA252" s="87" t="str">
        <f aca="false">IF(ISBLANK($C252),"",IF(K252=Constants!$B$19,Constants!$B$19,Constants!$B$18))</f>
        <v/>
      </c>
      <c r="AB252" s="87" t="str">
        <f aca="false">IF(ISBLANK($C252),"",IF(ISNUMBER(L252),IF(L252&gt;=0,L252,""),""))</f>
        <v/>
      </c>
      <c r="AC252" s="87" t="str">
        <f aca="false">IF(ISBLANK($C252),"",IF(M252=Constants!$B$19,Constants!$B$19,Constants!$B$18))</f>
        <v/>
      </c>
      <c r="AD252" s="87" t="str">
        <f aca="false">IF(ISBLANK($C252),"",IF(ISNUMBER(N252),IF(N252&gt;=0,N252,""),""))</f>
        <v/>
      </c>
      <c r="AE252" s="87" t="str">
        <f aca="false">IF(ISBLANK($C252),"",IF(O252=Constants!$B$19,Constants!$B$19,Constants!$B$18))</f>
        <v/>
      </c>
      <c r="AF252" s="87" t="str">
        <f aca="false">IF(ISBLANK($C252),"",IF(ISNUMBER(P252),IF(P252&gt;=0,P252,""),""))</f>
        <v/>
      </c>
      <c r="AG252" s="87" t="str">
        <f aca="false">IF(ISBLANK($C252),"",IF(Q252=Constants!$B$19,Constants!$B$19,Constants!$B$18))</f>
        <v/>
      </c>
      <c r="AH252" s="87" t="str">
        <f aca="false">IF(ISBLANK($C252),"",IF(ISNUMBER(R252),IF(R252&gt;=0,R252,""),""))</f>
        <v/>
      </c>
      <c r="AI252" s="87" t="str">
        <f aca="false">IF(ISBLANK($C252),"",IF(S252=Constants!$B$2, TRUE(), IF(S252=Constants!$B$3, FALSE(), FALSE())))</f>
        <v/>
      </c>
      <c r="AJ252" s="87" t="str">
        <f aca="false">IF(ISBLANK($C252),"",IF(AI252,Constants!$B$4,IF(COUNTA(E252:R252)=0,Constants!$B$5,IF(COUNTA(J252,L252,N252,P252,R252)=0,Constants!$B$6,Constants!$B$7))))</f>
        <v/>
      </c>
      <c r="AK252" s="87" t="str">
        <f aca="false">IF(ISBLANK($C252),"",IF($AJ252&lt;&gt;Constants!$B$7,$AJ252,IF(OR(NOT(X252),AND(NOT(U252),COUNTIFS(Y252:AG252,Constants!$B$18,Z252:AH252,"&gt;=0")&gt;0),AND(NOT(V252),COUNTIFS(Y252:AG252,Constants!$B$19,Z252:AH252,"&gt;=0")&gt;0)),Constants!$B$12,Constants!$B$11)))</f>
        <v/>
      </c>
      <c r="AL252" s="87" t="str">
        <f aca="false">IF($AJ252=Constants!$B$7,IF(Z252="",Constants!$B$13,Z252),"")</f>
        <v/>
      </c>
      <c r="AM252" s="87" t="str">
        <f aca="false">IF($AJ252=Constants!$B$7,IF(AB252="",Constants!$B$13,AB252),"")</f>
        <v/>
      </c>
      <c r="AN252" s="87" t="str">
        <f aca="false">IF($AJ252=Constants!$B$7,IF(AD252="",Constants!$B$13,AD252),"")</f>
        <v/>
      </c>
      <c r="AO252" s="87" t="str">
        <f aca="false">IF($AJ252=Constants!$B$7,IF(AF252="",Constants!$B$13,AF252),"")</f>
        <v/>
      </c>
      <c r="AP252" s="87" t="str">
        <f aca="false">IF($AJ252=Constants!$B$7,IF(AH252="",Constants!$B$13,AH252),"")</f>
        <v/>
      </c>
      <c r="AQ252" s="87" t="str">
        <f aca="false">IF($AJ252=Constants!$B$7,IF(SUMPRODUCT(--($AL252:$AP252&gt;AL252))+SUMPRODUCT(--($AL252:AL252=AL252))=1,1,IF(SUMPRODUCT(--($AL252:$AP252&gt;AM252))+SUMPRODUCT(--($AL252:AM252=AM252))=1,2,IF(SUMPRODUCT(--($AL252:$AP252&gt;AN252))+SUMPRODUCT(--($AL252:AN252=AN252))=1,3,IF(SUMPRODUCT(--($AL252:$AP252&gt;AO252))+SUMPRODUCT(--($AL252:AO252=AO252))=1,4,5)))),"")</f>
        <v/>
      </c>
      <c r="AR252" s="87" t="str">
        <f aca="false">IF($AJ252=Constants!$B$7,IF(SUMPRODUCT(--($AL252:$AP252&gt;AL252))+SUMPRODUCT(--($AL252:AL252=AL252))=2,1,IF(SUMPRODUCT(--($AL252:$AP252&gt;AM252))+SUMPRODUCT(--($AL252:AM252=AM252))=2,2,IF(SUMPRODUCT(--($AL252:$AP252&gt;AN252))+SUMPRODUCT(--($AL252:AN252=AN252))=2,3,IF(SUMPRODUCT(--($AL252:$AP252&gt;AO252))+SUMPRODUCT(--($AL252:AO252=AO252))=2,4,5)))),"")</f>
        <v/>
      </c>
      <c r="AS252" s="87" t="str">
        <f aca="false">IF($AJ252=Constants!$B$7,IF(SUMPRODUCT(--($AL252:$AP252&gt;AL252))+SUMPRODUCT(--($AL252:AL252=AL252))=3,1,IF(SUMPRODUCT(--($AL252:$AP252&gt;AM252))+SUMPRODUCT(--($AL252:AM252=AM252))=3,2,IF(SUMPRODUCT(--($AL252:$AP252&gt;AN252))+SUMPRODUCT(--($AL252:AN252=AN252))=3,3,IF(SUMPRODUCT(--($AL252:$AP252&gt;AO252))+SUMPRODUCT(--($AL252:AO252=AO252))=3,4,5)))),"")</f>
        <v/>
      </c>
      <c r="AT252" s="87" t="str">
        <f aca="false">IF($AJ252=Constants!$B$7,LARGE(AL252:AP252,1)+LARGE(AL252:AP252,2)+LARGE(AL252:AP252,3),"")</f>
        <v/>
      </c>
      <c r="AU252" s="87" t="str">
        <f aca="false">IF(ISBLANK($C252),"",IF($AJ252&lt;&gt;Constants!$B$7,$AJ252,AT252*W252))</f>
        <v/>
      </c>
      <c r="AV252" s="87" t="str">
        <f aca="false">IF(ISBLANK($C252),"",IF($AJ252=Constants!$B$7,IF(ISNUMBER(AU252),RANK(AU252,$AU$8:$AU$507),Constants!$B$14),$AJ252))</f>
        <v/>
      </c>
      <c r="AW252" s="87" t="str">
        <f aca="false">IF(ISBLANK($C252),"",IF($AJ252=Constants!$B$7,IF(ISNUMBER(AV252),COUNTIFS($AK$8:$AK$507,"&lt;"&amp;$AK252)+COUNTIFS($AK$8:$AK$507,$AK252,$AV$8:$AV$507,"&lt;"&amp;$AV252)+1,Constants!$B$14),$AJ252))</f>
        <v/>
      </c>
      <c r="AX252" s="87" t="str">
        <f aca="false">IF(ISBLANK($C252),"",IF($AJ252=Constants!$B$7,LARGE(AL252:AP252,4)*W252,""))</f>
        <v/>
      </c>
      <c r="AY252" s="87" t="str">
        <f aca="false">IF(ISBLANK($C252),"",IF($AJ252=Constants!$B$7,RANK(AX252,$AX$8:$AX$507),$AJ252))</f>
        <v/>
      </c>
      <c r="AZ252" s="87" t="str">
        <f aca="false">IF(ISBLANK($C252),"",IF($AJ252=Constants!$B$7,IF(ISNUMBER(AV252),COUNTIFS($AK$8:$AK$507,"&lt;"&amp;$AK252)+COUNTIFS($AK$8:$AK$507,$AK252,$AV$8:$AV$507,"&lt;"&amp;$AV252)+COUNTIFS($AK$8:$AK$507,$AK252,$AV$8:$AV$507,$AV252,$AY$8:$AY$507,"&lt;"&amp;$AY252)+1,Constants!$B$14),$AJ252))</f>
        <v/>
      </c>
      <c r="BA252" s="87" t="str">
        <f aca="false">IF(ISBLANK($C252),"",IF($AJ252=Constants!$B$7,IF(ISNUMBER(AW252),AW252-AZ252,Constants!$B$14),$AJ252))</f>
        <v/>
      </c>
      <c r="BB252" s="88"/>
      <c r="BC252" s="89" t="str">
        <f aca="false">IF(ISBLANK($C252),"",IF($AJ252&lt;&gt;Constants!$B$7,$AJ252,SMALL(AQ252:AS252,1)&amp;", "&amp;SMALL(AQ252:AS252,2)&amp;", "&amp;SMALL(AQ252:AS252,3)))</f>
        <v/>
      </c>
      <c r="BD252" s="90" t="str">
        <f aca="false">IF(ISBLANK($C252),"",IF($AJ252&lt;&gt;Constants!$B$7,$AJ252,W252))</f>
        <v/>
      </c>
      <c r="BE252" s="91" t="str">
        <f aca="false">IF(ISBLANK($C252),"",IF($AJ252&lt;&gt;Constants!$B$7,$AJ252,AU252))</f>
        <v/>
      </c>
      <c r="BF252" s="92" t="str">
        <f aca="false">IF(ISBLANK($C252),"",IF($AJ252&lt;&gt;Constants!$B$7,$AJ252,AK252))</f>
        <v/>
      </c>
      <c r="BG252" s="90" t="str">
        <f aca="false">IF(ISBLANK($C252),"",BA252)</f>
        <v/>
      </c>
      <c r="BH252" s="90" t="str">
        <f aca="false">IF(ISBLANK($C252),"",AZ252)</f>
        <v/>
      </c>
      <c r="BI252" s="93" t="str">
        <f aca="false">IF(ISBLANK($C252),"",IF(BH252=Constants!$B$4,COUNTA($C$8:$C$507)+2,IF(BH252=Constants!$B$5,COUNTA($C$8:$C$507)+1,IF(BH252=Constants!$B$6,COUNTA($C$8:$C$507),BH252))))</f>
        <v/>
      </c>
      <c r="BJ252" s="5"/>
      <c r="BK252" s="94" t="n">
        <f aca="false">IF(OR(ISNUMBER(BH252),BH252=Constants!$B$4,BH252=Constants!$B$6,BH252=Constants!$B$5),1,0)</f>
        <v>0</v>
      </c>
      <c r="BL252" s="94" t="n">
        <v>245</v>
      </c>
      <c r="BM252" s="94" t="str">
        <f aca="false">IF(ISBLANK($C252),"",IF(ISNUMBER(BI252),BI252+ROW($B252)/1000,""))</f>
        <v/>
      </c>
      <c r="BN252" s="94" t="str">
        <f aca="false">IF(ISNUMBER(BM252),RANK(BM252,$BM$8:$BM$507,1),"")</f>
        <v/>
      </c>
      <c r="BO252" s="94" t="str">
        <f aca="false">IF(ISBLANK($C252),"",$B252)</f>
        <v/>
      </c>
      <c r="BP252" s="94" t="str">
        <f aca="false">IF(ISBLANK($C252),"",$C252)</f>
        <v/>
      </c>
      <c r="BQ252" s="94" t="str">
        <f aca="false">IF(ISBLANK($C252),"",$D252)</f>
        <v/>
      </c>
      <c r="BR252" s="95" t="str">
        <f aca="false">BF252</f>
        <v/>
      </c>
      <c r="BS252" s="96" t="str">
        <f aca="false">BE252</f>
        <v/>
      </c>
      <c r="BT252" s="94" t="str">
        <f aca="false">IF(ISBLANK($C252),"",BH252)</f>
        <v/>
      </c>
      <c r="BU252" s="97" t="str">
        <f aca="false">IF($BL252&gt;$BK$7,"",VLOOKUP($BL252,$BN$8:$BT$507,7,FALSE()))</f>
        <v/>
      </c>
      <c r="BV252" s="98" t="str">
        <f aca="false">IF($BL252&gt;$BK$7,"",VLOOKUP($BL252,$BN$8:$BT$507,2,FALSE()))</f>
        <v/>
      </c>
      <c r="BW252" s="98" t="str">
        <f aca="false">IF($BL252&gt;$BK$7,"",VLOOKUP($BL252,$BN$8:$BT$507,3,FALSE()))</f>
        <v/>
      </c>
      <c r="BX252" s="98" t="str">
        <f aca="false">IF($BL252&gt;$BK$7,"",VLOOKUP($BL252,$BN$8:$BT$507,4,FALSE()))</f>
        <v/>
      </c>
      <c r="BY252" s="98" t="str">
        <f aca="false">IF($BL252&gt;$BK$7,"",VLOOKUP($BL252,$BN$8:$BT$507,5,FALSE()))</f>
        <v/>
      </c>
      <c r="BZ252" s="99" t="str">
        <f aca="false">IF($BL252&gt;$BK$7,"",VLOOKUP($BL252,$BN$8:$BT$507,6,FALSE()))</f>
        <v/>
      </c>
      <c r="CA252" s="48"/>
    </row>
    <row r="253" customFormat="false" ht="15.75" hidden="false" customHeight="false" outlineLevel="0" collapsed="false">
      <c r="A253" s="5"/>
      <c r="B253" s="114"/>
      <c r="C253" s="115"/>
      <c r="D253" s="100"/>
      <c r="E253" s="120"/>
      <c r="F253" s="125"/>
      <c r="G253" s="82"/>
      <c r="H253" s="126"/>
      <c r="I253" s="127"/>
      <c r="J253" s="82"/>
      <c r="K253" s="126"/>
      <c r="L253" s="82"/>
      <c r="M253" s="126"/>
      <c r="N253" s="82"/>
      <c r="O253" s="126"/>
      <c r="P253" s="82"/>
      <c r="Q253" s="126"/>
      <c r="R253" s="82"/>
      <c r="S253" s="120"/>
      <c r="T253" s="86"/>
      <c r="U253" s="87" t="str">
        <f aca="false">IF(ISBLANK($C253),"",IF(E253=Constants!$B$2, TRUE(), IF(E253=Constants!$B$3, FALSE(), TRUE())))</f>
        <v/>
      </c>
      <c r="V253" s="87" t="str">
        <f aca="false">IF(ISBLANK($C253),"",IF(F253=Constants!$B$2, TRUE(), IF(F253=Constants!$B$3, FALSE(), TRUE())))</f>
        <v/>
      </c>
      <c r="W253" s="87" t="str">
        <f aca="false">IF(ISBLANK($C253),"",IF(G253=Constants!$B$15,Constants!$B$8,IF(G253=Constants!$B$16,Constants!$B$9,Constants!$B$10)))</f>
        <v/>
      </c>
      <c r="X253" s="87" t="str">
        <f aca="false">IF(ISBLANK($C253),"",IF(H253=Constants!$B$2, TRUE(), IF(H253=Constants!$B$3, FALSE(), TRUE())))</f>
        <v/>
      </c>
      <c r="Y253" s="87" t="str">
        <f aca="false">IF(ISBLANK($C253),"",IF(I253=Constants!$B$19,Constants!$B$19,Constants!$B$18))</f>
        <v/>
      </c>
      <c r="Z253" s="87" t="str">
        <f aca="false">IF(ISBLANK($C253),"",IF(ISNUMBER(J253),IF(J253&gt;=0,J253,""),""))</f>
        <v/>
      </c>
      <c r="AA253" s="87" t="str">
        <f aca="false">IF(ISBLANK($C253),"",IF(K253=Constants!$B$19,Constants!$B$19,Constants!$B$18))</f>
        <v/>
      </c>
      <c r="AB253" s="87" t="str">
        <f aca="false">IF(ISBLANK($C253),"",IF(ISNUMBER(L253),IF(L253&gt;=0,L253,""),""))</f>
        <v/>
      </c>
      <c r="AC253" s="87" t="str">
        <f aca="false">IF(ISBLANK($C253),"",IF(M253=Constants!$B$19,Constants!$B$19,Constants!$B$18))</f>
        <v/>
      </c>
      <c r="AD253" s="87" t="str">
        <f aca="false">IF(ISBLANK($C253),"",IF(ISNUMBER(N253),IF(N253&gt;=0,N253,""),""))</f>
        <v/>
      </c>
      <c r="AE253" s="87" t="str">
        <f aca="false">IF(ISBLANK($C253),"",IF(O253=Constants!$B$19,Constants!$B$19,Constants!$B$18))</f>
        <v/>
      </c>
      <c r="AF253" s="87" t="str">
        <f aca="false">IF(ISBLANK($C253),"",IF(ISNUMBER(P253),IF(P253&gt;=0,P253,""),""))</f>
        <v/>
      </c>
      <c r="AG253" s="87" t="str">
        <f aca="false">IF(ISBLANK($C253),"",IF(Q253=Constants!$B$19,Constants!$B$19,Constants!$B$18))</f>
        <v/>
      </c>
      <c r="AH253" s="87" t="str">
        <f aca="false">IF(ISBLANK($C253),"",IF(ISNUMBER(R253),IF(R253&gt;=0,R253,""),""))</f>
        <v/>
      </c>
      <c r="AI253" s="87" t="str">
        <f aca="false">IF(ISBLANK($C253),"",IF(S253=Constants!$B$2, TRUE(), IF(S253=Constants!$B$3, FALSE(), FALSE())))</f>
        <v/>
      </c>
      <c r="AJ253" s="87" t="str">
        <f aca="false">IF(ISBLANK($C253),"",IF(AI253,Constants!$B$4,IF(COUNTA(E253:R253)=0,Constants!$B$5,IF(COUNTA(J253,L253,N253,P253,R253)=0,Constants!$B$6,Constants!$B$7))))</f>
        <v/>
      </c>
      <c r="AK253" s="87" t="str">
        <f aca="false">IF(ISBLANK($C253),"",IF($AJ253&lt;&gt;Constants!$B$7,$AJ253,IF(OR(NOT(X253),AND(NOT(U253),COUNTIFS(Y253:AG253,Constants!$B$18,Z253:AH253,"&gt;=0")&gt;0),AND(NOT(V253),COUNTIFS(Y253:AG253,Constants!$B$19,Z253:AH253,"&gt;=0")&gt;0)),Constants!$B$12,Constants!$B$11)))</f>
        <v/>
      </c>
      <c r="AL253" s="87" t="str">
        <f aca="false">IF($AJ253=Constants!$B$7,IF(Z253="",Constants!$B$13,Z253),"")</f>
        <v/>
      </c>
      <c r="AM253" s="87" t="str">
        <f aca="false">IF($AJ253=Constants!$B$7,IF(AB253="",Constants!$B$13,AB253),"")</f>
        <v/>
      </c>
      <c r="AN253" s="87" t="str">
        <f aca="false">IF($AJ253=Constants!$B$7,IF(AD253="",Constants!$B$13,AD253),"")</f>
        <v/>
      </c>
      <c r="AO253" s="87" t="str">
        <f aca="false">IF($AJ253=Constants!$B$7,IF(AF253="",Constants!$B$13,AF253),"")</f>
        <v/>
      </c>
      <c r="AP253" s="87" t="str">
        <f aca="false">IF($AJ253=Constants!$B$7,IF(AH253="",Constants!$B$13,AH253),"")</f>
        <v/>
      </c>
      <c r="AQ253" s="87" t="str">
        <f aca="false">IF($AJ253=Constants!$B$7,IF(SUMPRODUCT(--($AL253:$AP253&gt;AL253))+SUMPRODUCT(--($AL253:AL253=AL253))=1,1,IF(SUMPRODUCT(--($AL253:$AP253&gt;AM253))+SUMPRODUCT(--($AL253:AM253=AM253))=1,2,IF(SUMPRODUCT(--($AL253:$AP253&gt;AN253))+SUMPRODUCT(--($AL253:AN253=AN253))=1,3,IF(SUMPRODUCT(--($AL253:$AP253&gt;AO253))+SUMPRODUCT(--($AL253:AO253=AO253))=1,4,5)))),"")</f>
        <v/>
      </c>
      <c r="AR253" s="87" t="str">
        <f aca="false">IF($AJ253=Constants!$B$7,IF(SUMPRODUCT(--($AL253:$AP253&gt;AL253))+SUMPRODUCT(--($AL253:AL253=AL253))=2,1,IF(SUMPRODUCT(--($AL253:$AP253&gt;AM253))+SUMPRODUCT(--($AL253:AM253=AM253))=2,2,IF(SUMPRODUCT(--($AL253:$AP253&gt;AN253))+SUMPRODUCT(--($AL253:AN253=AN253))=2,3,IF(SUMPRODUCT(--($AL253:$AP253&gt;AO253))+SUMPRODUCT(--($AL253:AO253=AO253))=2,4,5)))),"")</f>
        <v/>
      </c>
      <c r="AS253" s="87" t="str">
        <f aca="false">IF($AJ253=Constants!$B$7,IF(SUMPRODUCT(--($AL253:$AP253&gt;AL253))+SUMPRODUCT(--($AL253:AL253=AL253))=3,1,IF(SUMPRODUCT(--($AL253:$AP253&gt;AM253))+SUMPRODUCT(--($AL253:AM253=AM253))=3,2,IF(SUMPRODUCT(--($AL253:$AP253&gt;AN253))+SUMPRODUCT(--($AL253:AN253=AN253))=3,3,IF(SUMPRODUCT(--($AL253:$AP253&gt;AO253))+SUMPRODUCT(--($AL253:AO253=AO253))=3,4,5)))),"")</f>
        <v/>
      </c>
      <c r="AT253" s="87" t="str">
        <f aca="false">IF($AJ253=Constants!$B$7,LARGE(AL253:AP253,1)+LARGE(AL253:AP253,2)+LARGE(AL253:AP253,3),"")</f>
        <v/>
      </c>
      <c r="AU253" s="87" t="str">
        <f aca="false">IF(ISBLANK($C253),"",IF($AJ253&lt;&gt;Constants!$B$7,$AJ253,AT253*W253))</f>
        <v/>
      </c>
      <c r="AV253" s="87" t="str">
        <f aca="false">IF(ISBLANK($C253),"",IF($AJ253=Constants!$B$7,IF(ISNUMBER(AU253),RANK(AU253,$AU$8:$AU$507),Constants!$B$14),$AJ253))</f>
        <v/>
      </c>
      <c r="AW253" s="87" t="str">
        <f aca="false">IF(ISBLANK($C253),"",IF($AJ253=Constants!$B$7,IF(ISNUMBER(AV253),COUNTIFS($AK$8:$AK$507,"&lt;"&amp;$AK253)+COUNTIFS($AK$8:$AK$507,$AK253,$AV$8:$AV$507,"&lt;"&amp;$AV253)+1,Constants!$B$14),$AJ253))</f>
        <v/>
      </c>
      <c r="AX253" s="87" t="str">
        <f aca="false">IF(ISBLANK($C253),"",IF($AJ253=Constants!$B$7,LARGE(AL253:AP253,4)*W253,""))</f>
        <v/>
      </c>
      <c r="AY253" s="87" t="str">
        <f aca="false">IF(ISBLANK($C253),"",IF($AJ253=Constants!$B$7,RANK(AX253,$AX$8:$AX$507),$AJ253))</f>
        <v/>
      </c>
      <c r="AZ253" s="87" t="str">
        <f aca="false">IF(ISBLANK($C253),"",IF($AJ253=Constants!$B$7,IF(ISNUMBER(AV253),COUNTIFS($AK$8:$AK$507,"&lt;"&amp;$AK253)+COUNTIFS($AK$8:$AK$507,$AK253,$AV$8:$AV$507,"&lt;"&amp;$AV253)+COUNTIFS($AK$8:$AK$507,$AK253,$AV$8:$AV$507,$AV253,$AY$8:$AY$507,"&lt;"&amp;$AY253)+1,Constants!$B$14),$AJ253))</f>
        <v/>
      </c>
      <c r="BA253" s="87" t="str">
        <f aca="false">IF(ISBLANK($C253),"",IF($AJ253=Constants!$B$7,IF(ISNUMBER(AW253),AW253-AZ253,Constants!$B$14),$AJ253))</f>
        <v/>
      </c>
      <c r="BB253" s="88"/>
      <c r="BC253" s="89" t="str">
        <f aca="false">IF(ISBLANK($C253),"",IF($AJ253&lt;&gt;Constants!$B$7,$AJ253,SMALL(AQ253:AS253,1)&amp;", "&amp;SMALL(AQ253:AS253,2)&amp;", "&amp;SMALL(AQ253:AS253,3)))</f>
        <v/>
      </c>
      <c r="BD253" s="90" t="str">
        <f aca="false">IF(ISBLANK($C253),"",IF($AJ253&lt;&gt;Constants!$B$7,$AJ253,W253))</f>
        <v/>
      </c>
      <c r="BE253" s="91" t="str">
        <f aca="false">IF(ISBLANK($C253),"",IF($AJ253&lt;&gt;Constants!$B$7,$AJ253,AU253))</f>
        <v/>
      </c>
      <c r="BF253" s="92" t="str">
        <f aca="false">IF(ISBLANK($C253),"",IF($AJ253&lt;&gt;Constants!$B$7,$AJ253,AK253))</f>
        <v/>
      </c>
      <c r="BG253" s="90" t="str">
        <f aca="false">IF(ISBLANK($C253),"",BA253)</f>
        <v/>
      </c>
      <c r="BH253" s="90" t="str">
        <f aca="false">IF(ISBLANK($C253),"",AZ253)</f>
        <v/>
      </c>
      <c r="BI253" s="93" t="str">
        <f aca="false">IF(ISBLANK($C253),"",IF(BH253=Constants!$B$4,COUNTA($C$8:$C$507)+2,IF(BH253=Constants!$B$5,COUNTA($C$8:$C$507)+1,IF(BH253=Constants!$B$6,COUNTA($C$8:$C$507),BH253))))</f>
        <v/>
      </c>
      <c r="BJ253" s="5"/>
      <c r="BK253" s="94" t="n">
        <f aca="false">IF(OR(ISNUMBER(BH253),BH253=Constants!$B$4,BH253=Constants!$B$6,BH253=Constants!$B$5),1,0)</f>
        <v>0</v>
      </c>
      <c r="BL253" s="94" t="n">
        <v>246</v>
      </c>
      <c r="BM253" s="94" t="str">
        <f aca="false">IF(ISBLANK($C253),"",IF(ISNUMBER(BI253),BI253+ROW($B253)/1000,""))</f>
        <v/>
      </c>
      <c r="BN253" s="94" t="str">
        <f aca="false">IF(ISNUMBER(BM253),RANK(BM253,$BM$8:$BM$507,1),"")</f>
        <v/>
      </c>
      <c r="BO253" s="94" t="str">
        <f aca="false">IF(ISBLANK($C253),"",$B253)</f>
        <v/>
      </c>
      <c r="BP253" s="94" t="str">
        <f aca="false">IF(ISBLANK($C253),"",$C253)</f>
        <v/>
      </c>
      <c r="BQ253" s="94" t="str">
        <f aca="false">IF(ISBLANK($C253),"",$D253)</f>
        <v/>
      </c>
      <c r="BR253" s="95" t="str">
        <f aca="false">BF253</f>
        <v/>
      </c>
      <c r="BS253" s="96" t="str">
        <f aca="false">BE253</f>
        <v/>
      </c>
      <c r="BT253" s="94" t="str">
        <f aca="false">IF(ISBLANK($C253),"",BH253)</f>
        <v/>
      </c>
      <c r="BU253" s="97" t="str">
        <f aca="false">IF($BL253&gt;$BK$7,"",VLOOKUP($BL253,$BN$8:$BT$507,7,FALSE()))</f>
        <v/>
      </c>
      <c r="BV253" s="98" t="str">
        <f aca="false">IF($BL253&gt;$BK$7,"",VLOOKUP($BL253,$BN$8:$BT$507,2,FALSE()))</f>
        <v/>
      </c>
      <c r="BW253" s="98" t="str">
        <f aca="false">IF($BL253&gt;$BK$7,"",VLOOKUP($BL253,$BN$8:$BT$507,3,FALSE()))</f>
        <v/>
      </c>
      <c r="BX253" s="98" t="str">
        <f aca="false">IF($BL253&gt;$BK$7,"",VLOOKUP($BL253,$BN$8:$BT$507,4,FALSE()))</f>
        <v/>
      </c>
      <c r="BY253" s="98" t="str">
        <f aca="false">IF($BL253&gt;$BK$7,"",VLOOKUP($BL253,$BN$8:$BT$507,5,FALSE()))</f>
        <v/>
      </c>
      <c r="BZ253" s="99" t="str">
        <f aca="false">IF($BL253&gt;$BK$7,"",VLOOKUP($BL253,$BN$8:$BT$507,6,FALSE()))</f>
        <v/>
      </c>
      <c r="CA253" s="48"/>
    </row>
    <row r="254" customFormat="false" ht="15.75" hidden="false" customHeight="false" outlineLevel="0" collapsed="false">
      <c r="A254" s="5"/>
      <c r="B254" s="121"/>
      <c r="C254" s="50"/>
      <c r="D254" s="51"/>
      <c r="E254" s="74"/>
      <c r="F254" s="122"/>
      <c r="G254" s="54"/>
      <c r="H254" s="123"/>
      <c r="I254" s="124"/>
      <c r="J254" s="54"/>
      <c r="K254" s="123"/>
      <c r="L254" s="54"/>
      <c r="M254" s="123"/>
      <c r="N254" s="54"/>
      <c r="O254" s="123"/>
      <c r="P254" s="54"/>
      <c r="Q254" s="123"/>
      <c r="R254" s="54"/>
      <c r="S254" s="74"/>
      <c r="T254" s="58"/>
      <c r="U254" s="59" t="str">
        <f aca="false">IF(ISBLANK($C254),"",IF(E254=Constants!$B$2, TRUE(), IF(E254=Constants!$B$3, FALSE(), TRUE())))</f>
        <v/>
      </c>
      <c r="V254" s="59" t="str">
        <f aca="false">IF(ISBLANK($C254),"",IF(F254=Constants!$B$2, TRUE(), IF(F254=Constants!$B$3, FALSE(), TRUE())))</f>
        <v/>
      </c>
      <c r="W254" s="59" t="str">
        <f aca="false">IF(ISBLANK($C254),"",IF(G254=Constants!$B$15,Constants!$B$8,IF(G254=Constants!$B$16,Constants!$B$9,Constants!$B$10)))</f>
        <v/>
      </c>
      <c r="X254" s="59" t="str">
        <f aca="false">IF(ISBLANK($C254),"",IF(H254=Constants!$B$2, TRUE(), IF(H254=Constants!$B$3, FALSE(), TRUE())))</f>
        <v/>
      </c>
      <c r="Y254" s="59" t="str">
        <f aca="false">IF(ISBLANK($C254),"",IF(I254=Constants!$B$19,Constants!$B$19,Constants!$B$18))</f>
        <v/>
      </c>
      <c r="Z254" s="59" t="str">
        <f aca="false">IF(ISBLANK($C254),"",IF(ISNUMBER(J254),IF(J254&gt;=0,J254,""),""))</f>
        <v/>
      </c>
      <c r="AA254" s="59" t="str">
        <f aca="false">IF(ISBLANK($C254),"",IF(K254=Constants!$B$19,Constants!$B$19,Constants!$B$18))</f>
        <v/>
      </c>
      <c r="AB254" s="59" t="str">
        <f aca="false">IF(ISBLANK($C254),"",IF(ISNUMBER(L254),IF(L254&gt;=0,L254,""),""))</f>
        <v/>
      </c>
      <c r="AC254" s="59" t="str">
        <f aca="false">IF(ISBLANK($C254),"",IF(M254=Constants!$B$19,Constants!$B$19,Constants!$B$18))</f>
        <v/>
      </c>
      <c r="AD254" s="59" t="str">
        <f aca="false">IF(ISBLANK($C254),"",IF(ISNUMBER(N254),IF(N254&gt;=0,N254,""),""))</f>
        <v/>
      </c>
      <c r="AE254" s="59" t="str">
        <f aca="false">IF(ISBLANK($C254),"",IF(O254=Constants!$B$19,Constants!$B$19,Constants!$B$18))</f>
        <v/>
      </c>
      <c r="AF254" s="59" t="str">
        <f aca="false">IF(ISBLANK($C254),"",IF(ISNUMBER(P254),IF(P254&gt;=0,P254,""),""))</f>
        <v/>
      </c>
      <c r="AG254" s="59" t="str">
        <f aca="false">IF(ISBLANK($C254),"",IF(Q254=Constants!$B$19,Constants!$B$19,Constants!$B$18))</f>
        <v/>
      </c>
      <c r="AH254" s="59" t="str">
        <f aca="false">IF(ISBLANK($C254),"",IF(ISNUMBER(R254),IF(R254&gt;=0,R254,""),""))</f>
        <v/>
      </c>
      <c r="AI254" s="59" t="str">
        <f aca="false">IF(ISBLANK($C254),"",IF(S254=Constants!$B$2, TRUE(), IF(S254=Constants!$B$3, FALSE(), FALSE())))</f>
        <v/>
      </c>
      <c r="AJ254" s="59" t="str">
        <f aca="false">IF(ISBLANK($C254),"",IF(AI254,Constants!$B$4,IF(COUNTA(E254:R254)=0,Constants!$B$5,IF(COUNTA(J254,L254,N254,P254,R254)=0,Constants!$B$6,Constants!$B$7))))</f>
        <v/>
      </c>
      <c r="AK254" s="59" t="str">
        <f aca="false">IF(ISBLANK($C254),"",IF($AJ254&lt;&gt;Constants!$B$7,$AJ254,IF(OR(NOT(X254),AND(NOT(U254),COUNTIFS(Y254:AG254,Constants!$B$18,Z254:AH254,"&gt;=0")&gt;0),AND(NOT(V254),COUNTIFS(Y254:AG254,Constants!$B$19,Z254:AH254,"&gt;=0")&gt;0)),Constants!$B$12,Constants!$B$11)))</f>
        <v/>
      </c>
      <c r="AL254" s="59" t="str">
        <f aca="false">IF($AJ254=Constants!$B$7,IF(Z254="",Constants!$B$13,Z254),"")</f>
        <v/>
      </c>
      <c r="AM254" s="59" t="str">
        <f aca="false">IF($AJ254=Constants!$B$7,IF(AB254="",Constants!$B$13,AB254),"")</f>
        <v/>
      </c>
      <c r="AN254" s="59" t="str">
        <f aca="false">IF($AJ254=Constants!$B$7,IF(AD254="",Constants!$B$13,AD254),"")</f>
        <v/>
      </c>
      <c r="AO254" s="59" t="str">
        <f aca="false">IF($AJ254=Constants!$B$7,IF(AF254="",Constants!$B$13,AF254),"")</f>
        <v/>
      </c>
      <c r="AP254" s="59" t="str">
        <f aca="false">IF($AJ254=Constants!$B$7,IF(AH254="",Constants!$B$13,AH254),"")</f>
        <v/>
      </c>
      <c r="AQ254" s="59" t="str">
        <f aca="false">IF($AJ254=Constants!$B$7,IF(SUMPRODUCT(--($AL254:$AP254&gt;AL254))+SUMPRODUCT(--($AL254:AL254=AL254))=1,1,IF(SUMPRODUCT(--($AL254:$AP254&gt;AM254))+SUMPRODUCT(--($AL254:AM254=AM254))=1,2,IF(SUMPRODUCT(--($AL254:$AP254&gt;AN254))+SUMPRODUCT(--($AL254:AN254=AN254))=1,3,IF(SUMPRODUCT(--($AL254:$AP254&gt;AO254))+SUMPRODUCT(--($AL254:AO254=AO254))=1,4,5)))),"")</f>
        <v/>
      </c>
      <c r="AR254" s="59" t="str">
        <f aca="false">IF($AJ254=Constants!$B$7,IF(SUMPRODUCT(--($AL254:$AP254&gt;AL254))+SUMPRODUCT(--($AL254:AL254=AL254))=2,1,IF(SUMPRODUCT(--($AL254:$AP254&gt;AM254))+SUMPRODUCT(--($AL254:AM254=AM254))=2,2,IF(SUMPRODUCT(--($AL254:$AP254&gt;AN254))+SUMPRODUCT(--($AL254:AN254=AN254))=2,3,IF(SUMPRODUCT(--($AL254:$AP254&gt;AO254))+SUMPRODUCT(--($AL254:AO254=AO254))=2,4,5)))),"")</f>
        <v/>
      </c>
      <c r="AS254" s="59" t="str">
        <f aca="false">IF($AJ254=Constants!$B$7,IF(SUMPRODUCT(--($AL254:$AP254&gt;AL254))+SUMPRODUCT(--($AL254:AL254=AL254))=3,1,IF(SUMPRODUCT(--($AL254:$AP254&gt;AM254))+SUMPRODUCT(--($AL254:AM254=AM254))=3,2,IF(SUMPRODUCT(--($AL254:$AP254&gt;AN254))+SUMPRODUCT(--($AL254:AN254=AN254))=3,3,IF(SUMPRODUCT(--($AL254:$AP254&gt;AO254))+SUMPRODUCT(--($AL254:AO254=AO254))=3,4,5)))),"")</f>
        <v/>
      </c>
      <c r="AT254" s="59" t="str">
        <f aca="false">IF($AJ254=Constants!$B$7,LARGE(AL254:AP254,1)+LARGE(AL254:AP254,2)+LARGE(AL254:AP254,3),"")</f>
        <v/>
      </c>
      <c r="AU254" s="59" t="str">
        <f aca="false">IF(ISBLANK($C254),"",IF($AJ254&lt;&gt;Constants!$B$7,$AJ254,AT254*W254))</f>
        <v/>
      </c>
      <c r="AV254" s="59" t="str">
        <f aca="false">IF(ISBLANK($C254),"",IF($AJ254=Constants!$B$7,IF(ISNUMBER(AU254),RANK(AU254,$AU$8:$AU$507),Constants!$B$14),$AJ254))</f>
        <v/>
      </c>
      <c r="AW254" s="59" t="str">
        <f aca="false">IF(ISBLANK($C254),"",IF($AJ254=Constants!$B$7,IF(ISNUMBER(AV254),COUNTIFS($AK$8:$AK$507,"&lt;"&amp;$AK254)+COUNTIFS($AK$8:$AK$507,$AK254,$AV$8:$AV$507,"&lt;"&amp;$AV254)+1,Constants!$B$14),$AJ254))</f>
        <v/>
      </c>
      <c r="AX254" s="59" t="str">
        <f aca="false">IF(ISBLANK($C254),"",IF($AJ254=Constants!$B$7,LARGE(AL254:AP254,4)*W254,""))</f>
        <v/>
      </c>
      <c r="AY254" s="59" t="str">
        <f aca="false">IF(ISBLANK($C254),"",IF($AJ254=Constants!$B$7,RANK(AX254,$AX$8:$AX$507),$AJ254))</f>
        <v/>
      </c>
      <c r="AZ254" s="59" t="str">
        <f aca="false">IF(ISBLANK($C254),"",IF($AJ254=Constants!$B$7,IF(ISNUMBER(AV254),COUNTIFS($AK$8:$AK$507,"&lt;"&amp;$AK254)+COUNTIFS($AK$8:$AK$507,$AK254,$AV$8:$AV$507,"&lt;"&amp;$AV254)+COUNTIFS($AK$8:$AK$507,$AK254,$AV$8:$AV$507,$AV254,$AY$8:$AY$507,"&lt;"&amp;$AY254)+1,Constants!$B$14),$AJ254))</f>
        <v/>
      </c>
      <c r="BA254" s="59" t="str">
        <f aca="false">IF(ISBLANK($C254),"",IF($AJ254=Constants!$B$7,IF(ISNUMBER(AW254),AW254-AZ254,Constants!$B$14),$AJ254))</f>
        <v/>
      </c>
      <c r="BB254" s="61"/>
      <c r="BC254" s="62" t="str">
        <f aca="false">IF(ISBLANK($C254),"",IF($AJ254&lt;&gt;Constants!$B$7,$AJ254,SMALL(AQ254:AS254,1)&amp;", "&amp;SMALL(AQ254:AS254,2)&amp;", "&amp;SMALL(AQ254:AS254,3)))</f>
        <v/>
      </c>
      <c r="BD254" s="63" t="str">
        <f aca="false">IF(ISBLANK($C254),"",IF($AJ254&lt;&gt;Constants!$B$7,$AJ254,W254))</f>
        <v/>
      </c>
      <c r="BE254" s="64" t="str">
        <f aca="false">IF(ISBLANK($C254),"",IF($AJ254&lt;&gt;Constants!$B$7,$AJ254,AU254))</f>
        <v/>
      </c>
      <c r="BF254" s="65" t="str">
        <f aca="false">IF(ISBLANK($C254),"",IF($AJ254&lt;&gt;Constants!$B$7,$AJ254,AK254))</f>
        <v/>
      </c>
      <c r="BG254" s="63" t="str">
        <f aca="false">IF(ISBLANK($C254),"",BA254)</f>
        <v/>
      </c>
      <c r="BH254" s="63" t="str">
        <f aca="false">IF(ISBLANK($C254),"",AZ254)</f>
        <v/>
      </c>
      <c r="BI254" s="66" t="str">
        <f aca="false">IF(ISBLANK($C254),"",IF(BH254=Constants!$B$4,COUNTA($C$8:$C$507)+2,IF(BH254=Constants!$B$5,COUNTA($C$8:$C$507)+1,IF(BH254=Constants!$B$6,COUNTA($C$8:$C$507),BH254))))</f>
        <v/>
      </c>
      <c r="BJ254" s="5"/>
      <c r="BK254" s="67" t="n">
        <f aca="false">IF(OR(ISNUMBER(BH254),BH254=Constants!$B$4,BH254=Constants!$B$6,BH254=Constants!$B$5),1,0)</f>
        <v>0</v>
      </c>
      <c r="BL254" s="67" t="n">
        <v>247</v>
      </c>
      <c r="BM254" s="67" t="str">
        <f aca="false">IF(ISBLANK($C254),"",IF(ISNUMBER(BI254),BI254+ROW($B254)/1000,""))</f>
        <v/>
      </c>
      <c r="BN254" s="67" t="str">
        <f aca="false">IF(ISNUMBER(BM254),RANK(BM254,$BM$8:$BM$507,1),"")</f>
        <v/>
      </c>
      <c r="BO254" s="67" t="str">
        <f aca="false">IF(ISBLANK($C254),"",$B254)</f>
        <v/>
      </c>
      <c r="BP254" s="67" t="str">
        <f aca="false">IF(ISBLANK($C254),"",$C254)</f>
        <v/>
      </c>
      <c r="BQ254" s="67" t="str">
        <f aca="false">IF(ISBLANK($C254),"",$D254)</f>
        <v/>
      </c>
      <c r="BR254" s="68" t="str">
        <f aca="false">BF254</f>
        <v/>
      </c>
      <c r="BS254" s="69" t="str">
        <f aca="false">BE254</f>
        <v/>
      </c>
      <c r="BT254" s="67" t="str">
        <f aca="false">IF(ISBLANK($C254),"",BH254)</f>
        <v/>
      </c>
      <c r="BU254" s="70" t="str">
        <f aca="false">IF($BL254&gt;$BK$7,"",VLOOKUP($BL254,$BN$8:$BT$507,7,FALSE()))</f>
        <v/>
      </c>
      <c r="BV254" s="71" t="str">
        <f aca="false">IF($BL254&gt;$BK$7,"",VLOOKUP($BL254,$BN$8:$BT$507,2,FALSE()))</f>
        <v/>
      </c>
      <c r="BW254" s="71" t="str">
        <f aca="false">IF($BL254&gt;$BK$7,"",VLOOKUP($BL254,$BN$8:$BT$507,3,FALSE()))</f>
        <v/>
      </c>
      <c r="BX254" s="71" t="str">
        <f aca="false">IF($BL254&gt;$BK$7,"",VLOOKUP($BL254,$BN$8:$BT$507,4,FALSE()))</f>
        <v/>
      </c>
      <c r="BY254" s="71" t="str">
        <f aca="false">IF($BL254&gt;$BK$7,"",VLOOKUP($BL254,$BN$8:$BT$507,5,FALSE()))</f>
        <v/>
      </c>
      <c r="BZ254" s="72" t="str">
        <f aca="false">IF($BL254&gt;$BK$7,"",VLOOKUP($BL254,$BN$8:$BT$507,6,FALSE()))</f>
        <v/>
      </c>
      <c r="CA254" s="48"/>
    </row>
    <row r="255" customFormat="false" ht="15.75" hidden="false" customHeight="false" outlineLevel="0" collapsed="false">
      <c r="A255" s="5"/>
      <c r="B255" s="121"/>
      <c r="C255" s="50"/>
      <c r="D255" s="51"/>
      <c r="E255" s="74"/>
      <c r="F255" s="122"/>
      <c r="G255" s="54"/>
      <c r="H255" s="123"/>
      <c r="I255" s="124"/>
      <c r="J255" s="54"/>
      <c r="K255" s="123"/>
      <c r="L255" s="54"/>
      <c r="M255" s="123"/>
      <c r="N255" s="54"/>
      <c r="O255" s="123"/>
      <c r="P255" s="54"/>
      <c r="Q255" s="123"/>
      <c r="R255" s="54"/>
      <c r="S255" s="74"/>
      <c r="T255" s="58"/>
      <c r="U255" s="59" t="str">
        <f aca="false">IF(ISBLANK($C255),"",IF(E255=Constants!$B$2, TRUE(), IF(E255=Constants!$B$3, FALSE(), TRUE())))</f>
        <v/>
      </c>
      <c r="V255" s="59" t="str">
        <f aca="false">IF(ISBLANK($C255),"",IF(F255=Constants!$B$2, TRUE(), IF(F255=Constants!$B$3, FALSE(), TRUE())))</f>
        <v/>
      </c>
      <c r="W255" s="59" t="str">
        <f aca="false">IF(ISBLANK($C255),"",IF(G255=Constants!$B$15,Constants!$B$8,IF(G255=Constants!$B$16,Constants!$B$9,Constants!$B$10)))</f>
        <v/>
      </c>
      <c r="X255" s="59" t="str">
        <f aca="false">IF(ISBLANK($C255),"",IF(H255=Constants!$B$2, TRUE(), IF(H255=Constants!$B$3, FALSE(), TRUE())))</f>
        <v/>
      </c>
      <c r="Y255" s="59" t="str">
        <f aca="false">IF(ISBLANK($C255),"",IF(I255=Constants!$B$19,Constants!$B$19,Constants!$B$18))</f>
        <v/>
      </c>
      <c r="Z255" s="59" t="str">
        <f aca="false">IF(ISBLANK($C255),"",IF(ISNUMBER(J255),IF(J255&gt;=0,J255,""),""))</f>
        <v/>
      </c>
      <c r="AA255" s="59" t="str">
        <f aca="false">IF(ISBLANK($C255),"",IF(K255=Constants!$B$19,Constants!$B$19,Constants!$B$18))</f>
        <v/>
      </c>
      <c r="AB255" s="59" t="str">
        <f aca="false">IF(ISBLANK($C255),"",IF(ISNUMBER(L255),IF(L255&gt;=0,L255,""),""))</f>
        <v/>
      </c>
      <c r="AC255" s="59" t="str">
        <f aca="false">IF(ISBLANK($C255),"",IF(M255=Constants!$B$19,Constants!$B$19,Constants!$B$18))</f>
        <v/>
      </c>
      <c r="AD255" s="59" t="str">
        <f aca="false">IF(ISBLANK($C255),"",IF(ISNUMBER(N255),IF(N255&gt;=0,N255,""),""))</f>
        <v/>
      </c>
      <c r="AE255" s="59" t="str">
        <f aca="false">IF(ISBLANK($C255),"",IF(O255=Constants!$B$19,Constants!$B$19,Constants!$B$18))</f>
        <v/>
      </c>
      <c r="AF255" s="59" t="str">
        <f aca="false">IF(ISBLANK($C255),"",IF(ISNUMBER(P255),IF(P255&gt;=0,P255,""),""))</f>
        <v/>
      </c>
      <c r="AG255" s="59" t="str">
        <f aca="false">IF(ISBLANK($C255),"",IF(Q255=Constants!$B$19,Constants!$B$19,Constants!$B$18))</f>
        <v/>
      </c>
      <c r="AH255" s="59" t="str">
        <f aca="false">IF(ISBLANK($C255),"",IF(ISNUMBER(R255),IF(R255&gt;=0,R255,""),""))</f>
        <v/>
      </c>
      <c r="AI255" s="59" t="str">
        <f aca="false">IF(ISBLANK($C255),"",IF(S255=Constants!$B$2, TRUE(), IF(S255=Constants!$B$3, FALSE(), FALSE())))</f>
        <v/>
      </c>
      <c r="AJ255" s="59" t="str">
        <f aca="false">IF(ISBLANK($C255),"",IF(AI255,Constants!$B$4,IF(COUNTA(E255:R255)=0,Constants!$B$5,IF(COUNTA(J255,L255,N255,P255,R255)=0,Constants!$B$6,Constants!$B$7))))</f>
        <v/>
      </c>
      <c r="AK255" s="59" t="str">
        <f aca="false">IF(ISBLANK($C255),"",IF($AJ255&lt;&gt;Constants!$B$7,$AJ255,IF(OR(NOT(X255),AND(NOT(U255),COUNTIFS(Y255:AG255,Constants!$B$18,Z255:AH255,"&gt;=0")&gt;0),AND(NOT(V255),COUNTIFS(Y255:AG255,Constants!$B$19,Z255:AH255,"&gt;=0")&gt;0)),Constants!$B$12,Constants!$B$11)))</f>
        <v/>
      </c>
      <c r="AL255" s="59" t="str">
        <f aca="false">IF($AJ255=Constants!$B$7,IF(Z255="",Constants!$B$13,Z255),"")</f>
        <v/>
      </c>
      <c r="AM255" s="59" t="str">
        <f aca="false">IF($AJ255=Constants!$B$7,IF(AB255="",Constants!$B$13,AB255),"")</f>
        <v/>
      </c>
      <c r="AN255" s="59" t="str">
        <f aca="false">IF($AJ255=Constants!$B$7,IF(AD255="",Constants!$B$13,AD255),"")</f>
        <v/>
      </c>
      <c r="AO255" s="59" t="str">
        <f aca="false">IF($AJ255=Constants!$B$7,IF(AF255="",Constants!$B$13,AF255),"")</f>
        <v/>
      </c>
      <c r="AP255" s="59" t="str">
        <f aca="false">IF($AJ255=Constants!$B$7,IF(AH255="",Constants!$B$13,AH255),"")</f>
        <v/>
      </c>
      <c r="AQ255" s="59" t="str">
        <f aca="false">IF($AJ255=Constants!$B$7,IF(SUMPRODUCT(--($AL255:$AP255&gt;AL255))+SUMPRODUCT(--($AL255:AL255=AL255))=1,1,IF(SUMPRODUCT(--($AL255:$AP255&gt;AM255))+SUMPRODUCT(--($AL255:AM255=AM255))=1,2,IF(SUMPRODUCT(--($AL255:$AP255&gt;AN255))+SUMPRODUCT(--($AL255:AN255=AN255))=1,3,IF(SUMPRODUCT(--($AL255:$AP255&gt;AO255))+SUMPRODUCT(--($AL255:AO255=AO255))=1,4,5)))),"")</f>
        <v/>
      </c>
      <c r="AR255" s="59" t="str">
        <f aca="false">IF($AJ255=Constants!$B$7,IF(SUMPRODUCT(--($AL255:$AP255&gt;AL255))+SUMPRODUCT(--($AL255:AL255=AL255))=2,1,IF(SUMPRODUCT(--($AL255:$AP255&gt;AM255))+SUMPRODUCT(--($AL255:AM255=AM255))=2,2,IF(SUMPRODUCT(--($AL255:$AP255&gt;AN255))+SUMPRODUCT(--($AL255:AN255=AN255))=2,3,IF(SUMPRODUCT(--($AL255:$AP255&gt;AO255))+SUMPRODUCT(--($AL255:AO255=AO255))=2,4,5)))),"")</f>
        <v/>
      </c>
      <c r="AS255" s="59" t="str">
        <f aca="false">IF($AJ255=Constants!$B$7,IF(SUMPRODUCT(--($AL255:$AP255&gt;AL255))+SUMPRODUCT(--($AL255:AL255=AL255))=3,1,IF(SUMPRODUCT(--($AL255:$AP255&gt;AM255))+SUMPRODUCT(--($AL255:AM255=AM255))=3,2,IF(SUMPRODUCT(--($AL255:$AP255&gt;AN255))+SUMPRODUCT(--($AL255:AN255=AN255))=3,3,IF(SUMPRODUCT(--($AL255:$AP255&gt;AO255))+SUMPRODUCT(--($AL255:AO255=AO255))=3,4,5)))),"")</f>
        <v/>
      </c>
      <c r="AT255" s="59" t="str">
        <f aca="false">IF($AJ255=Constants!$B$7,LARGE(AL255:AP255,1)+LARGE(AL255:AP255,2)+LARGE(AL255:AP255,3),"")</f>
        <v/>
      </c>
      <c r="AU255" s="59" t="str">
        <f aca="false">IF(ISBLANK($C255),"",IF($AJ255&lt;&gt;Constants!$B$7,$AJ255,AT255*W255))</f>
        <v/>
      </c>
      <c r="AV255" s="59" t="str">
        <f aca="false">IF(ISBLANK($C255),"",IF($AJ255=Constants!$B$7,IF(ISNUMBER(AU255),RANK(AU255,$AU$8:$AU$507),Constants!$B$14),$AJ255))</f>
        <v/>
      </c>
      <c r="AW255" s="59" t="str">
        <f aca="false">IF(ISBLANK($C255),"",IF($AJ255=Constants!$B$7,IF(ISNUMBER(AV255),COUNTIFS($AK$8:$AK$507,"&lt;"&amp;$AK255)+COUNTIFS($AK$8:$AK$507,$AK255,$AV$8:$AV$507,"&lt;"&amp;$AV255)+1,Constants!$B$14),$AJ255))</f>
        <v/>
      </c>
      <c r="AX255" s="59" t="str">
        <f aca="false">IF(ISBLANK($C255),"",IF($AJ255=Constants!$B$7,LARGE(AL255:AP255,4)*W255,""))</f>
        <v/>
      </c>
      <c r="AY255" s="59" t="str">
        <f aca="false">IF(ISBLANK($C255),"",IF($AJ255=Constants!$B$7,RANK(AX255,$AX$8:$AX$507),$AJ255))</f>
        <v/>
      </c>
      <c r="AZ255" s="59" t="str">
        <f aca="false">IF(ISBLANK($C255),"",IF($AJ255=Constants!$B$7,IF(ISNUMBER(AV255),COUNTIFS($AK$8:$AK$507,"&lt;"&amp;$AK255)+COUNTIFS($AK$8:$AK$507,$AK255,$AV$8:$AV$507,"&lt;"&amp;$AV255)+COUNTIFS($AK$8:$AK$507,$AK255,$AV$8:$AV$507,$AV255,$AY$8:$AY$507,"&lt;"&amp;$AY255)+1,Constants!$B$14),$AJ255))</f>
        <v/>
      </c>
      <c r="BA255" s="59" t="str">
        <f aca="false">IF(ISBLANK($C255),"",IF($AJ255=Constants!$B$7,IF(ISNUMBER(AW255),AW255-AZ255,Constants!$B$14),$AJ255))</f>
        <v/>
      </c>
      <c r="BB255" s="61"/>
      <c r="BC255" s="62" t="str">
        <f aca="false">IF(ISBLANK($C255),"",IF($AJ255&lt;&gt;Constants!$B$7,$AJ255,SMALL(AQ255:AS255,1)&amp;", "&amp;SMALL(AQ255:AS255,2)&amp;", "&amp;SMALL(AQ255:AS255,3)))</f>
        <v/>
      </c>
      <c r="BD255" s="63" t="str">
        <f aca="false">IF(ISBLANK($C255),"",IF($AJ255&lt;&gt;Constants!$B$7,$AJ255,W255))</f>
        <v/>
      </c>
      <c r="BE255" s="64" t="str">
        <f aca="false">IF(ISBLANK($C255),"",IF($AJ255&lt;&gt;Constants!$B$7,$AJ255,AU255))</f>
        <v/>
      </c>
      <c r="BF255" s="65" t="str">
        <f aca="false">IF(ISBLANK($C255),"",IF($AJ255&lt;&gt;Constants!$B$7,$AJ255,AK255))</f>
        <v/>
      </c>
      <c r="BG255" s="63" t="str">
        <f aca="false">IF(ISBLANK($C255),"",BA255)</f>
        <v/>
      </c>
      <c r="BH255" s="63" t="str">
        <f aca="false">IF(ISBLANK($C255),"",AZ255)</f>
        <v/>
      </c>
      <c r="BI255" s="66" t="str">
        <f aca="false">IF(ISBLANK($C255),"",IF(BH255=Constants!$B$4,COUNTA($C$8:$C$507)+2,IF(BH255=Constants!$B$5,COUNTA($C$8:$C$507)+1,IF(BH255=Constants!$B$6,COUNTA($C$8:$C$507),BH255))))</f>
        <v/>
      </c>
      <c r="BJ255" s="5"/>
      <c r="BK255" s="67" t="n">
        <f aca="false">IF(OR(ISNUMBER(BH255),BH255=Constants!$B$4,BH255=Constants!$B$6,BH255=Constants!$B$5),1,0)</f>
        <v>0</v>
      </c>
      <c r="BL255" s="67" t="n">
        <v>248</v>
      </c>
      <c r="BM255" s="67" t="str">
        <f aca="false">IF(ISBLANK($C255),"",IF(ISNUMBER(BI255),BI255+ROW($B255)/1000,""))</f>
        <v/>
      </c>
      <c r="BN255" s="67" t="str">
        <f aca="false">IF(ISNUMBER(BM255),RANK(BM255,$BM$8:$BM$507,1),"")</f>
        <v/>
      </c>
      <c r="BO255" s="67" t="str">
        <f aca="false">IF(ISBLANK($C255),"",$B255)</f>
        <v/>
      </c>
      <c r="BP255" s="67" t="str">
        <f aca="false">IF(ISBLANK($C255),"",$C255)</f>
        <v/>
      </c>
      <c r="BQ255" s="67" t="str">
        <f aca="false">IF(ISBLANK($C255),"",$D255)</f>
        <v/>
      </c>
      <c r="BR255" s="68" t="str">
        <f aca="false">BF255</f>
        <v/>
      </c>
      <c r="BS255" s="69" t="str">
        <f aca="false">BE255</f>
        <v/>
      </c>
      <c r="BT255" s="67" t="str">
        <f aca="false">IF(ISBLANK($C255),"",BH255)</f>
        <v/>
      </c>
      <c r="BU255" s="70" t="str">
        <f aca="false">IF($BL255&gt;$BK$7,"",VLOOKUP($BL255,$BN$8:$BT$507,7,FALSE()))</f>
        <v/>
      </c>
      <c r="BV255" s="71" t="str">
        <f aca="false">IF($BL255&gt;$BK$7,"",VLOOKUP($BL255,$BN$8:$BT$507,2,FALSE()))</f>
        <v/>
      </c>
      <c r="BW255" s="71" t="str">
        <f aca="false">IF($BL255&gt;$BK$7,"",VLOOKUP($BL255,$BN$8:$BT$507,3,FALSE()))</f>
        <v/>
      </c>
      <c r="BX255" s="71" t="str">
        <f aca="false">IF($BL255&gt;$BK$7,"",VLOOKUP($BL255,$BN$8:$BT$507,4,FALSE()))</f>
        <v/>
      </c>
      <c r="BY255" s="71" t="str">
        <f aca="false">IF($BL255&gt;$BK$7,"",VLOOKUP($BL255,$BN$8:$BT$507,5,FALSE()))</f>
        <v/>
      </c>
      <c r="BZ255" s="72" t="str">
        <f aca="false">IF($BL255&gt;$BK$7,"",VLOOKUP($BL255,$BN$8:$BT$507,6,FALSE()))</f>
        <v/>
      </c>
      <c r="CA255" s="48"/>
    </row>
    <row r="256" customFormat="false" ht="15.75" hidden="false" customHeight="false" outlineLevel="0" collapsed="false">
      <c r="A256" s="5"/>
      <c r="B256" s="121"/>
      <c r="C256" s="50"/>
      <c r="D256" s="51"/>
      <c r="E256" s="74"/>
      <c r="F256" s="122"/>
      <c r="G256" s="54"/>
      <c r="H256" s="123"/>
      <c r="I256" s="124"/>
      <c r="J256" s="54"/>
      <c r="K256" s="123"/>
      <c r="L256" s="54"/>
      <c r="M256" s="123"/>
      <c r="N256" s="54"/>
      <c r="O256" s="123"/>
      <c r="P256" s="54"/>
      <c r="Q256" s="123"/>
      <c r="R256" s="54"/>
      <c r="S256" s="74"/>
      <c r="T256" s="58"/>
      <c r="U256" s="59" t="str">
        <f aca="false">IF(ISBLANK($C256),"",IF(E256=Constants!$B$2, TRUE(), IF(E256=Constants!$B$3, FALSE(), TRUE())))</f>
        <v/>
      </c>
      <c r="V256" s="59" t="str">
        <f aca="false">IF(ISBLANK($C256),"",IF(F256=Constants!$B$2, TRUE(), IF(F256=Constants!$B$3, FALSE(), TRUE())))</f>
        <v/>
      </c>
      <c r="W256" s="59" t="str">
        <f aca="false">IF(ISBLANK($C256),"",IF(G256=Constants!$B$15,Constants!$B$8,IF(G256=Constants!$B$16,Constants!$B$9,Constants!$B$10)))</f>
        <v/>
      </c>
      <c r="X256" s="59" t="str">
        <f aca="false">IF(ISBLANK($C256),"",IF(H256=Constants!$B$2, TRUE(), IF(H256=Constants!$B$3, FALSE(), TRUE())))</f>
        <v/>
      </c>
      <c r="Y256" s="59" t="str">
        <f aca="false">IF(ISBLANK($C256),"",IF(I256=Constants!$B$19,Constants!$B$19,Constants!$B$18))</f>
        <v/>
      </c>
      <c r="Z256" s="59" t="str">
        <f aca="false">IF(ISBLANK($C256),"",IF(ISNUMBER(J256),IF(J256&gt;=0,J256,""),""))</f>
        <v/>
      </c>
      <c r="AA256" s="59" t="str">
        <f aca="false">IF(ISBLANK($C256),"",IF(K256=Constants!$B$19,Constants!$B$19,Constants!$B$18))</f>
        <v/>
      </c>
      <c r="AB256" s="59" t="str">
        <f aca="false">IF(ISBLANK($C256),"",IF(ISNUMBER(L256),IF(L256&gt;=0,L256,""),""))</f>
        <v/>
      </c>
      <c r="AC256" s="59" t="str">
        <f aca="false">IF(ISBLANK($C256),"",IF(M256=Constants!$B$19,Constants!$B$19,Constants!$B$18))</f>
        <v/>
      </c>
      <c r="AD256" s="59" t="str">
        <f aca="false">IF(ISBLANK($C256),"",IF(ISNUMBER(N256),IF(N256&gt;=0,N256,""),""))</f>
        <v/>
      </c>
      <c r="AE256" s="59" t="str">
        <f aca="false">IF(ISBLANK($C256),"",IF(O256=Constants!$B$19,Constants!$B$19,Constants!$B$18))</f>
        <v/>
      </c>
      <c r="AF256" s="59" t="str">
        <f aca="false">IF(ISBLANK($C256),"",IF(ISNUMBER(P256),IF(P256&gt;=0,P256,""),""))</f>
        <v/>
      </c>
      <c r="AG256" s="59" t="str">
        <f aca="false">IF(ISBLANK($C256),"",IF(Q256=Constants!$B$19,Constants!$B$19,Constants!$B$18))</f>
        <v/>
      </c>
      <c r="AH256" s="59" t="str">
        <f aca="false">IF(ISBLANK($C256),"",IF(ISNUMBER(R256),IF(R256&gt;=0,R256,""),""))</f>
        <v/>
      </c>
      <c r="AI256" s="59" t="str">
        <f aca="false">IF(ISBLANK($C256),"",IF(S256=Constants!$B$2, TRUE(), IF(S256=Constants!$B$3, FALSE(), FALSE())))</f>
        <v/>
      </c>
      <c r="AJ256" s="59" t="str">
        <f aca="false">IF(ISBLANK($C256),"",IF(AI256,Constants!$B$4,IF(COUNTA(E256:R256)=0,Constants!$B$5,IF(COUNTA(J256,L256,N256,P256,R256)=0,Constants!$B$6,Constants!$B$7))))</f>
        <v/>
      </c>
      <c r="AK256" s="59" t="str">
        <f aca="false">IF(ISBLANK($C256),"",IF($AJ256&lt;&gt;Constants!$B$7,$AJ256,IF(OR(NOT(X256),AND(NOT(U256),COUNTIFS(Y256:AG256,Constants!$B$18,Z256:AH256,"&gt;=0")&gt;0),AND(NOT(V256),COUNTIFS(Y256:AG256,Constants!$B$19,Z256:AH256,"&gt;=0")&gt;0)),Constants!$B$12,Constants!$B$11)))</f>
        <v/>
      </c>
      <c r="AL256" s="59" t="str">
        <f aca="false">IF($AJ256=Constants!$B$7,IF(Z256="",Constants!$B$13,Z256),"")</f>
        <v/>
      </c>
      <c r="AM256" s="59" t="str">
        <f aca="false">IF($AJ256=Constants!$B$7,IF(AB256="",Constants!$B$13,AB256),"")</f>
        <v/>
      </c>
      <c r="AN256" s="59" t="str">
        <f aca="false">IF($AJ256=Constants!$B$7,IF(AD256="",Constants!$B$13,AD256),"")</f>
        <v/>
      </c>
      <c r="AO256" s="59" t="str">
        <f aca="false">IF($AJ256=Constants!$B$7,IF(AF256="",Constants!$B$13,AF256),"")</f>
        <v/>
      </c>
      <c r="AP256" s="59" t="str">
        <f aca="false">IF($AJ256=Constants!$B$7,IF(AH256="",Constants!$B$13,AH256),"")</f>
        <v/>
      </c>
      <c r="AQ256" s="59" t="str">
        <f aca="false">IF($AJ256=Constants!$B$7,IF(SUMPRODUCT(--($AL256:$AP256&gt;AL256))+SUMPRODUCT(--($AL256:AL256=AL256))=1,1,IF(SUMPRODUCT(--($AL256:$AP256&gt;AM256))+SUMPRODUCT(--($AL256:AM256=AM256))=1,2,IF(SUMPRODUCT(--($AL256:$AP256&gt;AN256))+SUMPRODUCT(--($AL256:AN256=AN256))=1,3,IF(SUMPRODUCT(--($AL256:$AP256&gt;AO256))+SUMPRODUCT(--($AL256:AO256=AO256))=1,4,5)))),"")</f>
        <v/>
      </c>
      <c r="AR256" s="59" t="str">
        <f aca="false">IF($AJ256=Constants!$B$7,IF(SUMPRODUCT(--($AL256:$AP256&gt;AL256))+SUMPRODUCT(--($AL256:AL256=AL256))=2,1,IF(SUMPRODUCT(--($AL256:$AP256&gt;AM256))+SUMPRODUCT(--($AL256:AM256=AM256))=2,2,IF(SUMPRODUCT(--($AL256:$AP256&gt;AN256))+SUMPRODUCT(--($AL256:AN256=AN256))=2,3,IF(SUMPRODUCT(--($AL256:$AP256&gt;AO256))+SUMPRODUCT(--($AL256:AO256=AO256))=2,4,5)))),"")</f>
        <v/>
      </c>
      <c r="AS256" s="59" t="str">
        <f aca="false">IF($AJ256=Constants!$B$7,IF(SUMPRODUCT(--($AL256:$AP256&gt;AL256))+SUMPRODUCT(--($AL256:AL256=AL256))=3,1,IF(SUMPRODUCT(--($AL256:$AP256&gt;AM256))+SUMPRODUCT(--($AL256:AM256=AM256))=3,2,IF(SUMPRODUCT(--($AL256:$AP256&gt;AN256))+SUMPRODUCT(--($AL256:AN256=AN256))=3,3,IF(SUMPRODUCT(--($AL256:$AP256&gt;AO256))+SUMPRODUCT(--($AL256:AO256=AO256))=3,4,5)))),"")</f>
        <v/>
      </c>
      <c r="AT256" s="59" t="str">
        <f aca="false">IF($AJ256=Constants!$B$7,LARGE(AL256:AP256,1)+LARGE(AL256:AP256,2)+LARGE(AL256:AP256,3),"")</f>
        <v/>
      </c>
      <c r="AU256" s="59" t="str">
        <f aca="false">IF(ISBLANK($C256),"",IF($AJ256&lt;&gt;Constants!$B$7,$AJ256,AT256*W256))</f>
        <v/>
      </c>
      <c r="AV256" s="59" t="str">
        <f aca="false">IF(ISBLANK($C256),"",IF($AJ256=Constants!$B$7,IF(ISNUMBER(AU256),RANK(AU256,$AU$8:$AU$507),Constants!$B$14),$AJ256))</f>
        <v/>
      </c>
      <c r="AW256" s="59" t="str">
        <f aca="false">IF(ISBLANK($C256),"",IF($AJ256=Constants!$B$7,IF(ISNUMBER(AV256),COUNTIFS($AK$8:$AK$507,"&lt;"&amp;$AK256)+COUNTIFS($AK$8:$AK$507,$AK256,$AV$8:$AV$507,"&lt;"&amp;$AV256)+1,Constants!$B$14),$AJ256))</f>
        <v/>
      </c>
      <c r="AX256" s="59" t="str">
        <f aca="false">IF(ISBLANK($C256),"",IF($AJ256=Constants!$B$7,LARGE(AL256:AP256,4)*W256,""))</f>
        <v/>
      </c>
      <c r="AY256" s="59" t="str">
        <f aca="false">IF(ISBLANK($C256),"",IF($AJ256=Constants!$B$7,RANK(AX256,$AX$8:$AX$507),$AJ256))</f>
        <v/>
      </c>
      <c r="AZ256" s="59" t="str">
        <f aca="false">IF(ISBLANK($C256),"",IF($AJ256=Constants!$B$7,IF(ISNUMBER(AV256),COUNTIFS($AK$8:$AK$507,"&lt;"&amp;$AK256)+COUNTIFS($AK$8:$AK$507,$AK256,$AV$8:$AV$507,"&lt;"&amp;$AV256)+COUNTIFS($AK$8:$AK$507,$AK256,$AV$8:$AV$507,$AV256,$AY$8:$AY$507,"&lt;"&amp;$AY256)+1,Constants!$B$14),$AJ256))</f>
        <v/>
      </c>
      <c r="BA256" s="59" t="str">
        <f aca="false">IF(ISBLANK($C256),"",IF($AJ256=Constants!$B$7,IF(ISNUMBER(AW256),AW256-AZ256,Constants!$B$14),$AJ256))</f>
        <v/>
      </c>
      <c r="BB256" s="61"/>
      <c r="BC256" s="62" t="str">
        <f aca="false">IF(ISBLANK($C256),"",IF($AJ256&lt;&gt;Constants!$B$7,$AJ256,SMALL(AQ256:AS256,1)&amp;", "&amp;SMALL(AQ256:AS256,2)&amp;", "&amp;SMALL(AQ256:AS256,3)))</f>
        <v/>
      </c>
      <c r="BD256" s="63" t="str">
        <f aca="false">IF(ISBLANK($C256),"",IF($AJ256&lt;&gt;Constants!$B$7,$AJ256,W256))</f>
        <v/>
      </c>
      <c r="BE256" s="64" t="str">
        <f aca="false">IF(ISBLANK($C256),"",IF($AJ256&lt;&gt;Constants!$B$7,$AJ256,AU256))</f>
        <v/>
      </c>
      <c r="BF256" s="65" t="str">
        <f aca="false">IF(ISBLANK($C256),"",IF($AJ256&lt;&gt;Constants!$B$7,$AJ256,AK256))</f>
        <v/>
      </c>
      <c r="BG256" s="63" t="str">
        <f aca="false">IF(ISBLANK($C256),"",BA256)</f>
        <v/>
      </c>
      <c r="BH256" s="63" t="str">
        <f aca="false">IF(ISBLANK($C256),"",AZ256)</f>
        <v/>
      </c>
      <c r="BI256" s="66" t="str">
        <f aca="false">IF(ISBLANK($C256),"",IF(BH256=Constants!$B$4,COUNTA($C$8:$C$507)+2,IF(BH256=Constants!$B$5,COUNTA($C$8:$C$507)+1,IF(BH256=Constants!$B$6,COUNTA($C$8:$C$507),BH256))))</f>
        <v/>
      </c>
      <c r="BJ256" s="5"/>
      <c r="BK256" s="67" t="n">
        <f aca="false">IF(OR(ISNUMBER(BH256),BH256=Constants!$B$4,BH256=Constants!$B$6,BH256=Constants!$B$5),1,0)</f>
        <v>0</v>
      </c>
      <c r="BL256" s="67" t="n">
        <v>249</v>
      </c>
      <c r="BM256" s="67" t="str">
        <f aca="false">IF(ISBLANK($C256),"",IF(ISNUMBER(BI256),BI256+ROW($B256)/1000,""))</f>
        <v/>
      </c>
      <c r="BN256" s="67" t="str">
        <f aca="false">IF(ISNUMBER(BM256),RANK(BM256,$BM$8:$BM$507,1),"")</f>
        <v/>
      </c>
      <c r="BO256" s="67" t="str">
        <f aca="false">IF(ISBLANK($C256),"",$B256)</f>
        <v/>
      </c>
      <c r="BP256" s="67" t="str">
        <f aca="false">IF(ISBLANK($C256),"",$C256)</f>
        <v/>
      </c>
      <c r="BQ256" s="67" t="str">
        <f aca="false">IF(ISBLANK($C256),"",$D256)</f>
        <v/>
      </c>
      <c r="BR256" s="68" t="str">
        <f aca="false">BF256</f>
        <v/>
      </c>
      <c r="BS256" s="69" t="str">
        <f aca="false">BE256</f>
        <v/>
      </c>
      <c r="BT256" s="67" t="str">
        <f aca="false">IF(ISBLANK($C256),"",BH256)</f>
        <v/>
      </c>
      <c r="BU256" s="70" t="str">
        <f aca="false">IF($BL256&gt;$BK$7,"",VLOOKUP($BL256,$BN$8:$BT$507,7,FALSE()))</f>
        <v/>
      </c>
      <c r="BV256" s="71" t="str">
        <f aca="false">IF($BL256&gt;$BK$7,"",VLOOKUP($BL256,$BN$8:$BT$507,2,FALSE()))</f>
        <v/>
      </c>
      <c r="BW256" s="71" t="str">
        <f aca="false">IF($BL256&gt;$BK$7,"",VLOOKUP($BL256,$BN$8:$BT$507,3,FALSE()))</f>
        <v/>
      </c>
      <c r="BX256" s="71" t="str">
        <f aca="false">IF($BL256&gt;$BK$7,"",VLOOKUP($BL256,$BN$8:$BT$507,4,FALSE()))</f>
        <v/>
      </c>
      <c r="BY256" s="71" t="str">
        <f aca="false">IF($BL256&gt;$BK$7,"",VLOOKUP($BL256,$BN$8:$BT$507,5,FALSE()))</f>
        <v/>
      </c>
      <c r="BZ256" s="72" t="str">
        <f aca="false">IF($BL256&gt;$BK$7,"",VLOOKUP($BL256,$BN$8:$BT$507,6,FALSE()))</f>
        <v/>
      </c>
      <c r="CA256" s="48"/>
    </row>
    <row r="257" customFormat="false" ht="15.75" hidden="false" customHeight="false" outlineLevel="0" collapsed="false">
      <c r="A257" s="5"/>
      <c r="B257" s="114"/>
      <c r="C257" s="115"/>
      <c r="D257" s="100"/>
      <c r="E257" s="120"/>
      <c r="F257" s="125"/>
      <c r="G257" s="82"/>
      <c r="H257" s="126"/>
      <c r="I257" s="127"/>
      <c r="J257" s="82"/>
      <c r="K257" s="126"/>
      <c r="L257" s="82"/>
      <c r="M257" s="126"/>
      <c r="N257" s="82"/>
      <c r="O257" s="126"/>
      <c r="P257" s="82"/>
      <c r="Q257" s="126"/>
      <c r="R257" s="82"/>
      <c r="S257" s="120"/>
      <c r="T257" s="86"/>
      <c r="U257" s="87" t="str">
        <f aca="false">IF(ISBLANK($C257),"",IF(E257=Constants!$B$2, TRUE(), IF(E257=Constants!$B$3, FALSE(), TRUE())))</f>
        <v/>
      </c>
      <c r="V257" s="87" t="str">
        <f aca="false">IF(ISBLANK($C257),"",IF(F257=Constants!$B$2, TRUE(), IF(F257=Constants!$B$3, FALSE(), TRUE())))</f>
        <v/>
      </c>
      <c r="W257" s="87" t="str">
        <f aca="false">IF(ISBLANK($C257),"",IF(G257=Constants!$B$15,Constants!$B$8,IF(G257=Constants!$B$16,Constants!$B$9,Constants!$B$10)))</f>
        <v/>
      </c>
      <c r="X257" s="87" t="str">
        <f aca="false">IF(ISBLANK($C257),"",IF(H257=Constants!$B$2, TRUE(), IF(H257=Constants!$B$3, FALSE(), TRUE())))</f>
        <v/>
      </c>
      <c r="Y257" s="87" t="str">
        <f aca="false">IF(ISBLANK($C257),"",IF(I257=Constants!$B$19,Constants!$B$19,Constants!$B$18))</f>
        <v/>
      </c>
      <c r="Z257" s="87" t="str">
        <f aca="false">IF(ISBLANK($C257),"",IF(ISNUMBER(J257),IF(J257&gt;=0,J257,""),""))</f>
        <v/>
      </c>
      <c r="AA257" s="87" t="str">
        <f aca="false">IF(ISBLANK($C257),"",IF(K257=Constants!$B$19,Constants!$B$19,Constants!$B$18))</f>
        <v/>
      </c>
      <c r="AB257" s="87" t="str">
        <f aca="false">IF(ISBLANK($C257),"",IF(ISNUMBER(L257),IF(L257&gt;=0,L257,""),""))</f>
        <v/>
      </c>
      <c r="AC257" s="87" t="str">
        <f aca="false">IF(ISBLANK($C257),"",IF(M257=Constants!$B$19,Constants!$B$19,Constants!$B$18))</f>
        <v/>
      </c>
      <c r="AD257" s="87" t="str">
        <f aca="false">IF(ISBLANK($C257),"",IF(ISNUMBER(N257),IF(N257&gt;=0,N257,""),""))</f>
        <v/>
      </c>
      <c r="AE257" s="87" t="str">
        <f aca="false">IF(ISBLANK($C257),"",IF(O257=Constants!$B$19,Constants!$B$19,Constants!$B$18))</f>
        <v/>
      </c>
      <c r="AF257" s="87" t="str">
        <f aca="false">IF(ISBLANK($C257),"",IF(ISNUMBER(P257),IF(P257&gt;=0,P257,""),""))</f>
        <v/>
      </c>
      <c r="AG257" s="87" t="str">
        <f aca="false">IF(ISBLANK($C257),"",IF(Q257=Constants!$B$19,Constants!$B$19,Constants!$B$18))</f>
        <v/>
      </c>
      <c r="AH257" s="87" t="str">
        <f aca="false">IF(ISBLANK($C257),"",IF(ISNUMBER(R257),IF(R257&gt;=0,R257,""),""))</f>
        <v/>
      </c>
      <c r="AI257" s="87" t="str">
        <f aca="false">IF(ISBLANK($C257),"",IF(S257=Constants!$B$2, TRUE(), IF(S257=Constants!$B$3, FALSE(), FALSE())))</f>
        <v/>
      </c>
      <c r="AJ257" s="87" t="str">
        <f aca="false">IF(ISBLANK($C257),"",IF(AI257,Constants!$B$4,IF(COUNTA(E257:R257)=0,Constants!$B$5,IF(COUNTA(J257,L257,N257,P257,R257)=0,Constants!$B$6,Constants!$B$7))))</f>
        <v/>
      </c>
      <c r="AK257" s="87" t="str">
        <f aca="false">IF(ISBLANK($C257),"",IF($AJ257&lt;&gt;Constants!$B$7,$AJ257,IF(OR(NOT(X257),AND(NOT(U257),COUNTIFS(Y257:AG257,Constants!$B$18,Z257:AH257,"&gt;=0")&gt;0),AND(NOT(V257),COUNTIFS(Y257:AG257,Constants!$B$19,Z257:AH257,"&gt;=0")&gt;0)),Constants!$B$12,Constants!$B$11)))</f>
        <v/>
      </c>
      <c r="AL257" s="87" t="str">
        <f aca="false">IF($AJ257=Constants!$B$7,IF(Z257="",Constants!$B$13,Z257),"")</f>
        <v/>
      </c>
      <c r="AM257" s="87" t="str">
        <f aca="false">IF($AJ257=Constants!$B$7,IF(AB257="",Constants!$B$13,AB257),"")</f>
        <v/>
      </c>
      <c r="AN257" s="87" t="str">
        <f aca="false">IF($AJ257=Constants!$B$7,IF(AD257="",Constants!$B$13,AD257),"")</f>
        <v/>
      </c>
      <c r="AO257" s="87" t="str">
        <f aca="false">IF($AJ257=Constants!$B$7,IF(AF257="",Constants!$B$13,AF257),"")</f>
        <v/>
      </c>
      <c r="AP257" s="87" t="str">
        <f aca="false">IF($AJ257=Constants!$B$7,IF(AH257="",Constants!$B$13,AH257),"")</f>
        <v/>
      </c>
      <c r="AQ257" s="87" t="str">
        <f aca="false">IF($AJ257=Constants!$B$7,IF(SUMPRODUCT(--($AL257:$AP257&gt;AL257))+SUMPRODUCT(--($AL257:AL257=AL257))=1,1,IF(SUMPRODUCT(--($AL257:$AP257&gt;AM257))+SUMPRODUCT(--($AL257:AM257=AM257))=1,2,IF(SUMPRODUCT(--($AL257:$AP257&gt;AN257))+SUMPRODUCT(--($AL257:AN257=AN257))=1,3,IF(SUMPRODUCT(--($AL257:$AP257&gt;AO257))+SUMPRODUCT(--($AL257:AO257=AO257))=1,4,5)))),"")</f>
        <v/>
      </c>
      <c r="AR257" s="87" t="str">
        <f aca="false">IF($AJ257=Constants!$B$7,IF(SUMPRODUCT(--($AL257:$AP257&gt;AL257))+SUMPRODUCT(--($AL257:AL257=AL257))=2,1,IF(SUMPRODUCT(--($AL257:$AP257&gt;AM257))+SUMPRODUCT(--($AL257:AM257=AM257))=2,2,IF(SUMPRODUCT(--($AL257:$AP257&gt;AN257))+SUMPRODUCT(--($AL257:AN257=AN257))=2,3,IF(SUMPRODUCT(--($AL257:$AP257&gt;AO257))+SUMPRODUCT(--($AL257:AO257=AO257))=2,4,5)))),"")</f>
        <v/>
      </c>
      <c r="AS257" s="87" t="str">
        <f aca="false">IF($AJ257=Constants!$B$7,IF(SUMPRODUCT(--($AL257:$AP257&gt;AL257))+SUMPRODUCT(--($AL257:AL257=AL257))=3,1,IF(SUMPRODUCT(--($AL257:$AP257&gt;AM257))+SUMPRODUCT(--($AL257:AM257=AM257))=3,2,IF(SUMPRODUCT(--($AL257:$AP257&gt;AN257))+SUMPRODUCT(--($AL257:AN257=AN257))=3,3,IF(SUMPRODUCT(--($AL257:$AP257&gt;AO257))+SUMPRODUCT(--($AL257:AO257=AO257))=3,4,5)))),"")</f>
        <v/>
      </c>
      <c r="AT257" s="87" t="str">
        <f aca="false">IF($AJ257=Constants!$B$7,LARGE(AL257:AP257,1)+LARGE(AL257:AP257,2)+LARGE(AL257:AP257,3),"")</f>
        <v/>
      </c>
      <c r="AU257" s="87" t="str">
        <f aca="false">IF(ISBLANK($C257),"",IF($AJ257&lt;&gt;Constants!$B$7,$AJ257,AT257*W257))</f>
        <v/>
      </c>
      <c r="AV257" s="87" t="str">
        <f aca="false">IF(ISBLANK($C257),"",IF($AJ257=Constants!$B$7,IF(ISNUMBER(AU257),RANK(AU257,$AU$8:$AU$507),Constants!$B$14),$AJ257))</f>
        <v/>
      </c>
      <c r="AW257" s="87" t="str">
        <f aca="false">IF(ISBLANK($C257),"",IF($AJ257=Constants!$B$7,IF(ISNUMBER(AV257),COUNTIFS($AK$8:$AK$507,"&lt;"&amp;$AK257)+COUNTIFS($AK$8:$AK$507,$AK257,$AV$8:$AV$507,"&lt;"&amp;$AV257)+1,Constants!$B$14),$AJ257))</f>
        <v/>
      </c>
      <c r="AX257" s="87" t="str">
        <f aca="false">IF(ISBLANK($C257),"",IF($AJ257=Constants!$B$7,LARGE(AL257:AP257,4)*W257,""))</f>
        <v/>
      </c>
      <c r="AY257" s="87" t="str">
        <f aca="false">IF(ISBLANK($C257),"",IF($AJ257=Constants!$B$7,RANK(AX257,$AX$8:$AX$507),$AJ257))</f>
        <v/>
      </c>
      <c r="AZ257" s="87" t="str">
        <f aca="false">IF(ISBLANK($C257),"",IF($AJ257=Constants!$B$7,IF(ISNUMBER(AV257),COUNTIFS($AK$8:$AK$507,"&lt;"&amp;$AK257)+COUNTIFS($AK$8:$AK$507,$AK257,$AV$8:$AV$507,"&lt;"&amp;$AV257)+COUNTIFS($AK$8:$AK$507,$AK257,$AV$8:$AV$507,$AV257,$AY$8:$AY$507,"&lt;"&amp;$AY257)+1,Constants!$B$14),$AJ257))</f>
        <v/>
      </c>
      <c r="BA257" s="87" t="str">
        <f aca="false">IF(ISBLANK($C257),"",IF($AJ257=Constants!$B$7,IF(ISNUMBER(AW257),AW257-AZ257,Constants!$B$14),$AJ257))</f>
        <v/>
      </c>
      <c r="BB257" s="88"/>
      <c r="BC257" s="89" t="str">
        <f aca="false">IF(ISBLANK($C257),"",IF($AJ257&lt;&gt;Constants!$B$7,$AJ257,SMALL(AQ257:AS257,1)&amp;", "&amp;SMALL(AQ257:AS257,2)&amp;", "&amp;SMALL(AQ257:AS257,3)))</f>
        <v/>
      </c>
      <c r="BD257" s="90" t="str">
        <f aca="false">IF(ISBLANK($C257),"",IF($AJ257&lt;&gt;Constants!$B$7,$AJ257,W257))</f>
        <v/>
      </c>
      <c r="BE257" s="91" t="str">
        <f aca="false">IF(ISBLANK($C257),"",IF($AJ257&lt;&gt;Constants!$B$7,$AJ257,AU257))</f>
        <v/>
      </c>
      <c r="BF257" s="92" t="str">
        <f aca="false">IF(ISBLANK($C257),"",IF($AJ257&lt;&gt;Constants!$B$7,$AJ257,AK257))</f>
        <v/>
      </c>
      <c r="BG257" s="90" t="str">
        <f aca="false">IF(ISBLANK($C257),"",BA257)</f>
        <v/>
      </c>
      <c r="BH257" s="90" t="str">
        <f aca="false">IF(ISBLANK($C257),"",AZ257)</f>
        <v/>
      </c>
      <c r="BI257" s="93" t="str">
        <f aca="false">IF(ISBLANK($C257),"",IF(BH257=Constants!$B$4,COUNTA($C$8:$C$507)+2,IF(BH257=Constants!$B$5,COUNTA($C$8:$C$507)+1,IF(BH257=Constants!$B$6,COUNTA($C$8:$C$507),BH257))))</f>
        <v/>
      </c>
      <c r="BJ257" s="5"/>
      <c r="BK257" s="94" t="n">
        <f aca="false">IF(OR(ISNUMBER(BH257),BH257=Constants!$B$4,BH257=Constants!$B$6,BH257=Constants!$B$5),1,0)</f>
        <v>0</v>
      </c>
      <c r="BL257" s="94" t="n">
        <v>250</v>
      </c>
      <c r="BM257" s="94" t="str">
        <f aca="false">IF(ISBLANK($C257),"",IF(ISNUMBER(BI257),BI257+ROW($B257)/1000,""))</f>
        <v/>
      </c>
      <c r="BN257" s="94" t="str">
        <f aca="false">IF(ISNUMBER(BM257),RANK(BM257,$BM$8:$BM$507,1),"")</f>
        <v/>
      </c>
      <c r="BO257" s="94" t="str">
        <f aca="false">IF(ISBLANK($C257),"",$B257)</f>
        <v/>
      </c>
      <c r="BP257" s="94" t="str">
        <f aca="false">IF(ISBLANK($C257),"",$C257)</f>
        <v/>
      </c>
      <c r="BQ257" s="94" t="str">
        <f aca="false">IF(ISBLANK($C257),"",$D257)</f>
        <v/>
      </c>
      <c r="BR257" s="95" t="str">
        <f aca="false">BF257</f>
        <v/>
      </c>
      <c r="BS257" s="96" t="str">
        <f aca="false">BE257</f>
        <v/>
      </c>
      <c r="BT257" s="94" t="str">
        <f aca="false">IF(ISBLANK($C257),"",BH257)</f>
        <v/>
      </c>
      <c r="BU257" s="97" t="str">
        <f aca="false">IF($BL257&gt;$BK$7,"",VLOOKUP($BL257,$BN$8:$BT$507,7,FALSE()))</f>
        <v/>
      </c>
      <c r="BV257" s="98" t="str">
        <f aca="false">IF($BL257&gt;$BK$7,"",VLOOKUP($BL257,$BN$8:$BT$507,2,FALSE()))</f>
        <v/>
      </c>
      <c r="BW257" s="98" t="str">
        <f aca="false">IF($BL257&gt;$BK$7,"",VLOOKUP($BL257,$BN$8:$BT$507,3,FALSE()))</f>
        <v/>
      </c>
      <c r="BX257" s="98" t="str">
        <f aca="false">IF($BL257&gt;$BK$7,"",VLOOKUP($BL257,$BN$8:$BT$507,4,FALSE()))</f>
        <v/>
      </c>
      <c r="BY257" s="98" t="str">
        <f aca="false">IF($BL257&gt;$BK$7,"",VLOOKUP($BL257,$BN$8:$BT$507,5,FALSE()))</f>
        <v/>
      </c>
      <c r="BZ257" s="99" t="str">
        <f aca="false">IF($BL257&gt;$BK$7,"",VLOOKUP($BL257,$BN$8:$BT$507,6,FALSE()))</f>
        <v/>
      </c>
      <c r="CA257" s="48"/>
    </row>
    <row r="258" customFormat="false" ht="15.75" hidden="false" customHeight="false" outlineLevel="0" collapsed="false">
      <c r="A258" s="5"/>
      <c r="B258" s="114"/>
      <c r="C258" s="115"/>
      <c r="D258" s="100"/>
      <c r="E258" s="120"/>
      <c r="F258" s="125"/>
      <c r="G258" s="82"/>
      <c r="H258" s="126"/>
      <c r="I258" s="127"/>
      <c r="J258" s="82"/>
      <c r="K258" s="126"/>
      <c r="L258" s="82"/>
      <c r="M258" s="126"/>
      <c r="N258" s="82"/>
      <c r="O258" s="126"/>
      <c r="P258" s="82"/>
      <c r="Q258" s="126"/>
      <c r="R258" s="82"/>
      <c r="S258" s="120"/>
      <c r="T258" s="86"/>
      <c r="U258" s="87" t="str">
        <f aca="false">IF(ISBLANK($C258),"",IF(E258=Constants!$B$2, TRUE(), IF(E258=Constants!$B$3, FALSE(), TRUE())))</f>
        <v/>
      </c>
      <c r="V258" s="87" t="str">
        <f aca="false">IF(ISBLANK($C258),"",IF(F258=Constants!$B$2, TRUE(), IF(F258=Constants!$B$3, FALSE(), TRUE())))</f>
        <v/>
      </c>
      <c r="W258" s="87" t="str">
        <f aca="false">IF(ISBLANK($C258),"",IF(G258=Constants!$B$15,Constants!$B$8,IF(G258=Constants!$B$16,Constants!$B$9,Constants!$B$10)))</f>
        <v/>
      </c>
      <c r="X258" s="87" t="str">
        <f aca="false">IF(ISBLANK($C258),"",IF(H258=Constants!$B$2, TRUE(), IF(H258=Constants!$B$3, FALSE(), TRUE())))</f>
        <v/>
      </c>
      <c r="Y258" s="87" t="str">
        <f aca="false">IF(ISBLANK($C258),"",IF(I258=Constants!$B$19,Constants!$B$19,Constants!$B$18))</f>
        <v/>
      </c>
      <c r="Z258" s="87" t="str">
        <f aca="false">IF(ISBLANK($C258),"",IF(ISNUMBER(J258),IF(J258&gt;=0,J258,""),""))</f>
        <v/>
      </c>
      <c r="AA258" s="87" t="str">
        <f aca="false">IF(ISBLANK($C258),"",IF(K258=Constants!$B$19,Constants!$B$19,Constants!$B$18))</f>
        <v/>
      </c>
      <c r="AB258" s="87" t="str">
        <f aca="false">IF(ISBLANK($C258),"",IF(ISNUMBER(L258),IF(L258&gt;=0,L258,""),""))</f>
        <v/>
      </c>
      <c r="AC258" s="87" t="str">
        <f aca="false">IF(ISBLANK($C258),"",IF(M258=Constants!$B$19,Constants!$B$19,Constants!$B$18))</f>
        <v/>
      </c>
      <c r="AD258" s="87" t="str">
        <f aca="false">IF(ISBLANK($C258),"",IF(ISNUMBER(N258),IF(N258&gt;=0,N258,""),""))</f>
        <v/>
      </c>
      <c r="AE258" s="87" t="str">
        <f aca="false">IF(ISBLANK($C258),"",IF(O258=Constants!$B$19,Constants!$B$19,Constants!$B$18))</f>
        <v/>
      </c>
      <c r="AF258" s="87" t="str">
        <f aca="false">IF(ISBLANK($C258),"",IF(ISNUMBER(P258),IF(P258&gt;=0,P258,""),""))</f>
        <v/>
      </c>
      <c r="AG258" s="87" t="str">
        <f aca="false">IF(ISBLANK($C258),"",IF(Q258=Constants!$B$19,Constants!$B$19,Constants!$B$18))</f>
        <v/>
      </c>
      <c r="AH258" s="87" t="str">
        <f aca="false">IF(ISBLANK($C258),"",IF(ISNUMBER(R258),IF(R258&gt;=0,R258,""),""))</f>
        <v/>
      </c>
      <c r="AI258" s="87" t="str">
        <f aca="false">IF(ISBLANK($C258),"",IF(S258=Constants!$B$2, TRUE(), IF(S258=Constants!$B$3, FALSE(), FALSE())))</f>
        <v/>
      </c>
      <c r="AJ258" s="87" t="str">
        <f aca="false">IF(ISBLANK($C258),"",IF(AI258,Constants!$B$4,IF(COUNTA(E258:R258)=0,Constants!$B$5,IF(COUNTA(J258,L258,N258,P258,R258)=0,Constants!$B$6,Constants!$B$7))))</f>
        <v/>
      </c>
      <c r="AK258" s="87" t="str">
        <f aca="false">IF(ISBLANK($C258),"",IF($AJ258&lt;&gt;Constants!$B$7,$AJ258,IF(OR(NOT(X258),AND(NOT(U258),COUNTIFS(Y258:AG258,Constants!$B$18,Z258:AH258,"&gt;=0")&gt;0),AND(NOT(V258),COUNTIFS(Y258:AG258,Constants!$B$19,Z258:AH258,"&gt;=0")&gt;0)),Constants!$B$12,Constants!$B$11)))</f>
        <v/>
      </c>
      <c r="AL258" s="87" t="str">
        <f aca="false">IF($AJ258=Constants!$B$7,IF(Z258="",Constants!$B$13,Z258),"")</f>
        <v/>
      </c>
      <c r="AM258" s="87" t="str">
        <f aca="false">IF($AJ258=Constants!$B$7,IF(AB258="",Constants!$B$13,AB258),"")</f>
        <v/>
      </c>
      <c r="AN258" s="87" t="str">
        <f aca="false">IF($AJ258=Constants!$B$7,IF(AD258="",Constants!$B$13,AD258),"")</f>
        <v/>
      </c>
      <c r="AO258" s="87" t="str">
        <f aca="false">IF($AJ258=Constants!$B$7,IF(AF258="",Constants!$B$13,AF258),"")</f>
        <v/>
      </c>
      <c r="AP258" s="87" t="str">
        <f aca="false">IF($AJ258=Constants!$B$7,IF(AH258="",Constants!$B$13,AH258),"")</f>
        <v/>
      </c>
      <c r="AQ258" s="87" t="str">
        <f aca="false">IF($AJ258=Constants!$B$7,IF(SUMPRODUCT(--($AL258:$AP258&gt;AL258))+SUMPRODUCT(--($AL258:AL258=AL258))=1,1,IF(SUMPRODUCT(--($AL258:$AP258&gt;AM258))+SUMPRODUCT(--($AL258:AM258=AM258))=1,2,IF(SUMPRODUCT(--($AL258:$AP258&gt;AN258))+SUMPRODUCT(--($AL258:AN258=AN258))=1,3,IF(SUMPRODUCT(--($AL258:$AP258&gt;AO258))+SUMPRODUCT(--($AL258:AO258=AO258))=1,4,5)))),"")</f>
        <v/>
      </c>
      <c r="AR258" s="87" t="str">
        <f aca="false">IF($AJ258=Constants!$B$7,IF(SUMPRODUCT(--($AL258:$AP258&gt;AL258))+SUMPRODUCT(--($AL258:AL258=AL258))=2,1,IF(SUMPRODUCT(--($AL258:$AP258&gt;AM258))+SUMPRODUCT(--($AL258:AM258=AM258))=2,2,IF(SUMPRODUCT(--($AL258:$AP258&gt;AN258))+SUMPRODUCT(--($AL258:AN258=AN258))=2,3,IF(SUMPRODUCT(--($AL258:$AP258&gt;AO258))+SUMPRODUCT(--($AL258:AO258=AO258))=2,4,5)))),"")</f>
        <v/>
      </c>
      <c r="AS258" s="87" t="str">
        <f aca="false">IF($AJ258=Constants!$B$7,IF(SUMPRODUCT(--($AL258:$AP258&gt;AL258))+SUMPRODUCT(--($AL258:AL258=AL258))=3,1,IF(SUMPRODUCT(--($AL258:$AP258&gt;AM258))+SUMPRODUCT(--($AL258:AM258=AM258))=3,2,IF(SUMPRODUCT(--($AL258:$AP258&gt;AN258))+SUMPRODUCT(--($AL258:AN258=AN258))=3,3,IF(SUMPRODUCT(--($AL258:$AP258&gt;AO258))+SUMPRODUCT(--($AL258:AO258=AO258))=3,4,5)))),"")</f>
        <v/>
      </c>
      <c r="AT258" s="87" t="str">
        <f aca="false">IF($AJ258=Constants!$B$7,LARGE(AL258:AP258,1)+LARGE(AL258:AP258,2)+LARGE(AL258:AP258,3),"")</f>
        <v/>
      </c>
      <c r="AU258" s="87" t="str">
        <f aca="false">IF(ISBLANK($C258),"",IF($AJ258&lt;&gt;Constants!$B$7,$AJ258,AT258*W258))</f>
        <v/>
      </c>
      <c r="AV258" s="87" t="str">
        <f aca="false">IF(ISBLANK($C258),"",IF($AJ258=Constants!$B$7,IF(ISNUMBER(AU258),RANK(AU258,$AU$8:$AU$507),Constants!$B$14),$AJ258))</f>
        <v/>
      </c>
      <c r="AW258" s="87" t="str">
        <f aca="false">IF(ISBLANK($C258),"",IF($AJ258=Constants!$B$7,IF(ISNUMBER(AV258),COUNTIFS($AK$8:$AK$507,"&lt;"&amp;$AK258)+COUNTIFS($AK$8:$AK$507,$AK258,$AV$8:$AV$507,"&lt;"&amp;$AV258)+1,Constants!$B$14),$AJ258))</f>
        <v/>
      </c>
      <c r="AX258" s="87" t="str">
        <f aca="false">IF(ISBLANK($C258),"",IF($AJ258=Constants!$B$7,LARGE(AL258:AP258,4)*W258,""))</f>
        <v/>
      </c>
      <c r="AY258" s="87" t="str">
        <f aca="false">IF(ISBLANK($C258),"",IF($AJ258=Constants!$B$7,RANK(AX258,$AX$8:$AX$507),$AJ258))</f>
        <v/>
      </c>
      <c r="AZ258" s="87" t="str">
        <f aca="false">IF(ISBLANK($C258),"",IF($AJ258=Constants!$B$7,IF(ISNUMBER(AV258),COUNTIFS($AK$8:$AK$507,"&lt;"&amp;$AK258)+COUNTIFS($AK$8:$AK$507,$AK258,$AV$8:$AV$507,"&lt;"&amp;$AV258)+COUNTIFS($AK$8:$AK$507,$AK258,$AV$8:$AV$507,$AV258,$AY$8:$AY$507,"&lt;"&amp;$AY258)+1,Constants!$B$14),$AJ258))</f>
        <v/>
      </c>
      <c r="BA258" s="87" t="str">
        <f aca="false">IF(ISBLANK($C258),"",IF($AJ258=Constants!$B$7,IF(ISNUMBER(AW258),AW258-AZ258,Constants!$B$14),$AJ258))</f>
        <v/>
      </c>
      <c r="BB258" s="88"/>
      <c r="BC258" s="89" t="str">
        <f aca="false">IF(ISBLANK($C258),"",IF($AJ258&lt;&gt;Constants!$B$7,$AJ258,SMALL(AQ258:AS258,1)&amp;", "&amp;SMALL(AQ258:AS258,2)&amp;", "&amp;SMALL(AQ258:AS258,3)))</f>
        <v/>
      </c>
      <c r="BD258" s="90" t="str">
        <f aca="false">IF(ISBLANK($C258),"",IF($AJ258&lt;&gt;Constants!$B$7,$AJ258,W258))</f>
        <v/>
      </c>
      <c r="BE258" s="91" t="str">
        <f aca="false">IF(ISBLANK($C258),"",IF($AJ258&lt;&gt;Constants!$B$7,$AJ258,AU258))</f>
        <v/>
      </c>
      <c r="BF258" s="92" t="str">
        <f aca="false">IF(ISBLANK($C258),"",IF($AJ258&lt;&gt;Constants!$B$7,$AJ258,AK258))</f>
        <v/>
      </c>
      <c r="BG258" s="90" t="str">
        <f aca="false">IF(ISBLANK($C258),"",BA258)</f>
        <v/>
      </c>
      <c r="BH258" s="90" t="str">
        <f aca="false">IF(ISBLANK($C258),"",AZ258)</f>
        <v/>
      </c>
      <c r="BI258" s="93" t="str">
        <f aca="false">IF(ISBLANK($C258),"",IF(BH258=Constants!$B$4,COUNTA($C$8:$C$507)+2,IF(BH258=Constants!$B$5,COUNTA($C$8:$C$507)+1,IF(BH258=Constants!$B$6,COUNTA($C$8:$C$507),BH258))))</f>
        <v/>
      </c>
      <c r="BJ258" s="5"/>
      <c r="BK258" s="94" t="n">
        <f aca="false">IF(OR(ISNUMBER(BH258),BH258=Constants!$B$4,BH258=Constants!$B$6,BH258=Constants!$B$5),1,0)</f>
        <v>0</v>
      </c>
      <c r="BL258" s="94" t="n">
        <v>251</v>
      </c>
      <c r="BM258" s="94" t="str">
        <f aca="false">IF(ISBLANK($C258),"",IF(ISNUMBER(BI258),BI258+ROW($B258)/1000,""))</f>
        <v/>
      </c>
      <c r="BN258" s="94" t="str">
        <f aca="false">IF(ISNUMBER(BM258),RANK(BM258,$BM$8:$BM$507,1),"")</f>
        <v/>
      </c>
      <c r="BO258" s="94" t="str">
        <f aca="false">IF(ISBLANK($C258),"",$B258)</f>
        <v/>
      </c>
      <c r="BP258" s="94" t="str">
        <f aca="false">IF(ISBLANK($C258),"",$C258)</f>
        <v/>
      </c>
      <c r="BQ258" s="94" t="str">
        <f aca="false">IF(ISBLANK($C258),"",$D258)</f>
        <v/>
      </c>
      <c r="BR258" s="95" t="str">
        <f aca="false">BF258</f>
        <v/>
      </c>
      <c r="BS258" s="96" t="str">
        <f aca="false">BE258</f>
        <v/>
      </c>
      <c r="BT258" s="94" t="str">
        <f aca="false">IF(ISBLANK($C258),"",BH258)</f>
        <v/>
      </c>
      <c r="BU258" s="97" t="str">
        <f aca="false">IF($BL258&gt;$BK$7,"",VLOOKUP($BL258,$BN$8:$BT$507,7,FALSE()))</f>
        <v/>
      </c>
      <c r="BV258" s="98" t="str">
        <f aca="false">IF($BL258&gt;$BK$7,"",VLOOKUP($BL258,$BN$8:$BT$507,2,FALSE()))</f>
        <v/>
      </c>
      <c r="BW258" s="98" t="str">
        <f aca="false">IF($BL258&gt;$BK$7,"",VLOOKUP($BL258,$BN$8:$BT$507,3,FALSE()))</f>
        <v/>
      </c>
      <c r="BX258" s="98" t="str">
        <f aca="false">IF($BL258&gt;$BK$7,"",VLOOKUP($BL258,$BN$8:$BT$507,4,FALSE()))</f>
        <v/>
      </c>
      <c r="BY258" s="98" t="str">
        <f aca="false">IF($BL258&gt;$BK$7,"",VLOOKUP($BL258,$BN$8:$BT$507,5,FALSE()))</f>
        <v/>
      </c>
      <c r="BZ258" s="99" t="str">
        <f aca="false">IF($BL258&gt;$BK$7,"",VLOOKUP($BL258,$BN$8:$BT$507,6,FALSE()))</f>
        <v/>
      </c>
      <c r="CA258" s="48"/>
    </row>
    <row r="259" customFormat="false" ht="15.75" hidden="false" customHeight="false" outlineLevel="0" collapsed="false">
      <c r="A259" s="5"/>
      <c r="B259" s="114"/>
      <c r="C259" s="115"/>
      <c r="D259" s="100"/>
      <c r="E259" s="120"/>
      <c r="F259" s="125"/>
      <c r="G259" s="82"/>
      <c r="H259" s="126"/>
      <c r="I259" s="127"/>
      <c r="J259" s="82"/>
      <c r="K259" s="126"/>
      <c r="L259" s="82"/>
      <c r="M259" s="126"/>
      <c r="N259" s="82"/>
      <c r="O259" s="126"/>
      <c r="P259" s="82"/>
      <c r="Q259" s="126"/>
      <c r="R259" s="82"/>
      <c r="S259" s="120"/>
      <c r="T259" s="86"/>
      <c r="U259" s="87" t="str">
        <f aca="false">IF(ISBLANK($C259),"",IF(E259=Constants!$B$2, TRUE(), IF(E259=Constants!$B$3, FALSE(), TRUE())))</f>
        <v/>
      </c>
      <c r="V259" s="87" t="str">
        <f aca="false">IF(ISBLANK($C259),"",IF(F259=Constants!$B$2, TRUE(), IF(F259=Constants!$B$3, FALSE(), TRUE())))</f>
        <v/>
      </c>
      <c r="W259" s="87" t="str">
        <f aca="false">IF(ISBLANK($C259),"",IF(G259=Constants!$B$15,Constants!$B$8,IF(G259=Constants!$B$16,Constants!$B$9,Constants!$B$10)))</f>
        <v/>
      </c>
      <c r="X259" s="87" t="str">
        <f aca="false">IF(ISBLANK($C259),"",IF(H259=Constants!$B$2, TRUE(), IF(H259=Constants!$B$3, FALSE(), TRUE())))</f>
        <v/>
      </c>
      <c r="Y259" s="87" t="str">
        <f aca="false">IF(ISBLANK($C259),"",IF(I259=Constants!$B$19,Constants!$B$19,Constants!$B$18))</f>
        <v/>
      </c>
      <c r="Z259" s="87" t="str">
        <f aca="false">IF(ISBLANK($C259),"",IF(ISNUMBER(J259),IF(J259&gt;=0,J259,""),""))</f>
        <v/>
      </c>
      <c r="AA259" s="87" t="str">
        <f aca="false">IF(ISBLANK($C259),"",IF(K259=Constants!$B$19,Constants!$B$19,Constants!$B$18))</f>
        <v/>
      </c>
      <c r="AB259" s="87" t="str">
        <f aca="false">IF(ISBLANK($C259),"",IF(ISNUMBER(L259),IF(L259&gt;=0,L259,""),""))</f>
        <v/>
      </c>
      <c r="AC259" s="87" t="str">
        <f aca="false">IF(ISBLANK($C259),"",IF(M259=Constants!$B$19,Constants!$B$19,Constants!$B$18))</f>
        <v/>
      </c>
      <c r="AD259" s="87" t="str">
        <f aca="false">IF(ISBLANK($C259),"",IF(ISNUMBER(N259),IF(N259&gt;=0,N259,""),""))</f>
        <v/>
      </c>
      <c r="AE259" s="87" t="str">
        <f aca="false">IF(ISBLANK($C259),"",IF(O259=Constants!$B$19,Constants!$B$19,Constants!$B$18))</f>
        <v/>
      </c>
      <c r="AF259" s="87" t="str">
        <f aca="false">IF(ISBLANK($C259),"",IF(ISNUMBER(P259),IF(P259&gt;=0,P259,""),""))</f>
        <v/>
      </c>
      <c r="AG259" s="87" t="str">
        <f aca="false">IF(ISBLANK($C259),"",IF(Q259=Constants!$B$19,Constants!$B$19,Constants!$B$18))</f>
        <v/>
      </c>
      <c r="AH259" s="87" t="str">
        <f aca="false">IF(ISBLANK($C259),"",IF(ISNUMBER(R259),IF(R259&gt;=0,R259,""),""))</f>
        <v/>
      </c>
      <c r="AI259" s="87" t="str">
        <f aca="false">IF(ISBLANK($C259),"",IF(S259=Constants!$B$2, TRUE(), IF(S259=Constants!$B$3, FALSE(), FALSE())))</f>
        <v/>
      </c>
      <c r="AJ259" s="87" t="str">
        <f aca="false">IF(ISBLANK($C259),"",IF(AI259,Constants!$B$4,IF(COUNTA(E259:R259)=0,Constants!$B$5,IF(COUNTA(J259,L259,N259,P259,R259)=0,Constants!$B$6,Constants!$B$7))))</f>
        <v/>
      </c>
      <c r="AK259" s="87" t="str">
        <f aca="false">IF(ISBLANK($C259),"",IF($AJ259&lt;&gt;Constants!$B$7,$AJ259,IF(OR(NOT(X259),AND(NOT(U259),COUNTIFS(Y259:AG259,Constants!$B$18,Z259:AH259,"&gt;=0")&gt;0),AND(NOT(V259),COUNTIFS(Y259:AG259,Constants!$B$19,Z259:AH259,"&gt;=0")&gt;0)),Constants!$B$12,Constants!$B$11)))</f>
        <v/>
      </c>
      <c r="AL259" s="87" t="str">
        <f aca="false">IF($AJ259=Constants!$B$7,IF(Z259="",Constants!$B$13,Z259),"")</f>
        <v/>
      </c>
      <c r="AM259" s="87" t="str">
        <f aca="false">IF($AJ259=Constants!$B$7,IF(AB259="",Constants!$B$13,AB259),"")</f>
        <v/>
      </c>
      <c r="AN259" s="87" t="str">
        <f aca="false">IF($AJ259=Constants!$B$7,IF(AD259="",Constants!$B$13,AD259),"")</f>
        <v/>
      </c>
      <c r="AO259" s="87" t="str">
        <f aca="false">IF($AJ259=Constants!$B$7,IF(AF259="",Constants!$B$13,AF259),"")</f>
        <v/>
      </c>
      <c r="AP259" s="87" t="str">
        <f aca="false">IF($AJ259=Constants!$B$7,IF(AH259="",Constants!$B$13,AH259),"")</f>
        <v/>
      </c>
      <c r="AQ259" s="87" t="str">
        <f aca="false">IF($AJ259=Constants!$B$7,IF(SUMPRODUCT(--($AL259:$AP259&gt;AL259))+SUMPRODUCT(--($AL259:AL259=AL259))=1,1,IF(SUMPRODUCT(--($AL259:$AP259&gt;AM259))+SUMPRODUCT(--($AL259:AM259=AM259))=1,2,IF(SUMPRODUCT(--($AL259:$AP259&gt;AN259))+SUMPRODUCT(--($AL259:AN259=AN259))=1,3,IF(SUMPRODUCT(--($AL259:$AP259&gt;AO259))+SUMPRODUCT(--($AL259:AO259=AO259))=1,4,5)))),"")</f>
        <v/>
      </c>
      <c r="AR259" s="87" t="str">
        <f aca="false">IF($AJ259=Constants!$B$7,IF(SUMPRODUCT(--($AL259:$AP259&gt;AL259))+SUMPRODUCT(--($AL259:AL259=AL259))=2,1,IF(SUMPRODUCT(--($AL259:$AP259&gt;AM259))+SUMPRODUCT(--($AL259:AM259=AM259))=2,2,IF(SUMPRODUCT(--($AL259:$AP259&gt;AN259))+SUMPRODUCT(--($AL259:AN259=AN259))=2,3,IF(SUMPRODUCT(--($AL259:$AP259&gt;AO259))+SUMPRODUCT(--($AL259:AO259=AO259))=2,4,5)))),"")</f>
        <v/>
      </c>
      <c r="AS259" s="87" t="str">
        <f aca="false">IF($AJ259=Constants!$B$7,IF(SUMPRODUCT(--($AL259:$AP259&gt;AL259))+SUMPRODUCT(--($AL259:AL259=AL259))=3,1,IF(SUMPRODUCT(--($AL259:$AP259&gt;AM259))+SUMPRODUCT(--($AL259:AM259=AM259))=3,2,IF(SUMPRODUCT(--($AL259:$AP259&gt;AN259))+SUMPRODUCT(--($AL259:AN259=AN259))=3,3,IF(SUMPRODUCT(--($AL259:$AP259&gt;AO259))+SUMPRODUCT(--($AL259:AO259=AO259))=3,4,5)))),"")</f>
        <v/>
      </c>
      <c r="AT259" s="87" t="str">
        <f aca="false">IF($AJ259=Constants!$B$7,LARGE(AL259:AP259,1)+LARGE(AL259:AP259,2)+LARGE(AL259:AP259,3),"")</f>
        <v/>
      </c>
      <c r="AU259" s="87" t="str">
        <f aca="false">IF(ISBLANK($C259),"",IF($AJ259&lt;&gt;Constants!$B$7,$AJ259,AT259*W259))</f>
        <v/>
      </c>
      <c r="AV259" s="87" t="str">
        <f aca="false">IF(ISBLANK($C259),"",IF($AJ259=Constants!$B$7,IF(ISNUMBER(AU259),RANK(AU259,$AU$8:$AU$507),Constants!$B$14),$AJ259))</f>
        <v/>
      </c>
      <c r="AW259" s="87" t="str">
        <f aca="false">IF(ISBLANK($C259),"",IF($AJ259=Constants!$B$7,IF(ISNUMBER(AV259),COUNTIFS($AK$8:$AK$507,"&lt;"&amp;$AK259)+COUNTIFS($AK$8:$AK$507,$AK259,$AV$8:$AV$507,"&lt;"&amp;$AV259)+1,Constants!$B$14),$AJ259))</f>
        <v/>
      </c>
      <c r="AX259" s="87" t="str">
        <f aca="false">IF(ISBLANK($C259),"",IF($AJ259=Constants!$B$7,LARGE(AL259:AP259,4)*W259,""))</f>
        <v/>
      </c>
      <c r="AY259" s="87" t="str">
        <f aca="false">IF(ISBLANK($C259),"",IF($AJ259=Constants!$B$7,RANK(AX259,$AX$8:$AX$507),$AJ259))</f>
        <v/>
      </c>
      <c r="AZ259" s="87" t="str">
        <f aca="false">IF(ISBLANK($C259),"",IF($AJ259=Constants!$B$7,IF(ISNUMBER(AV259),COUNTIFS($AK$8:$AK$507,"&lt;"&amp;$AK259)+COUNTIFS($AK$8:$AK$507,$AK259,$AV$8:$AV$507,"&lt;"&amp;$AV259)+COUNTIFS($AK$8:$AK$507,$AK259,$AV$8:$AV$507,$AV259,$AY$8:$AY$507,"&lt;"&amp;$AY259)+1,Constants!$B$14),$AJ259))</f>
        <v/>
      </c>
      <c r="BA259" s="87" t="str">
        <f aca="false">IF(ISBLANK($C259),"",IF($AJ259=Constants!$B$7,IF(ISNUMBER(AW259),AW259-AZ259,Constants!$B$14),$AJ259))</f>
        <v/>
      </c>
      <c r="BB259" s="88"/>
      <c r="BC259" s="89" t="str">
        <f aca="false">IF(ISBLANK($C259),"",IF($AJ259&lt;&gt;Constants!$B$7,$AJ259,SMALL(AQ259:AS259,1)&amp;", "&amp;SMALL(AQ259:AS259,2)&amp;", "&amp;SMALL(AQ259:AS259,3)))</f>
        <v/>
      </c>
      <c r="BD259" s="90" t="str">
        <f aca="false">IF(ISBLANK($C259),"",IF($AJ259&lt;&gt;Constants!$B$7,$AJ259,W259))</f>
        <v/>
      </c>
      <c r="BE259" s="91" t="str">
        <f aca="false">IF(ISBLANK($C259),"",IF($AJ259&lt;&gt;Constants!$B$7,$AJ259,AU259))</f>
        <v/>
      </c>
      <c r="BF259" s="92" t="str">
        <f aca="false">IF(ISBLANK($C259),"",IF($AJ259&lt;&gt;Constants!$B$7,$AJ259,AK259))</f>
        <v/>
      </c>
      <c r="BG259" s="90" t="str">
        <f aca="false">IF(ISBLANK($C259),"",BA259)</f>
        <v/>
      </c>
      <c r="BH259" s="90" t="str">
        <f aca="false">IF(ISBLANK($C259),"",AZ259)</f>
        <v/>
      </c>
      <c r="BI259" s="93" t="str">
        <f aca="false">IF(ISBLANK($C259),"",IF(BH259=Constants!$B$4,COUNTA($C$8:$C$507)+2,IF(BH259=Constants!$B$5,COUNTA($C$8:$C$507)+1,IF(BH259=Constants!$B$6,COUNTA($C$8:$C$507),BH259))))</f>
        <v/>
      </c>
      <c r="BJ259" s="5"/>
      <c r="BK259" s="94" t="n">
        <f aca="false">IF(OR(ISNUMBER(BH259),BH259=Constants!$B$4,BH259=Constants!$B$6,BH259=Constants!$B$5),1,0)</f>
        <v>0</v>
      </c>
      <c r="BL259" s="94" t="n">
        <v>252</v>
      </c>
      <c r="BM259" s="94" t="str">
        <f aca="false">IF(ISBLANK($C259),"",IF(ISNUMBER(BI259),BI259+ROW($B259)/1000,""))</f>
        <v/>
      </c>
      <c r="BN259" s="94" t="str">
        <f aca="false">IF(ISNUMBER(BM259),RANK(BM259,$BM$8:$BM$507,1),"")</f>
        <v/>
      </c>
      <c r="BO259" s="94" t="str">
        <f aca="false">IF(ISBLANK($C259),"",$B259)</f>
        <v/>
      </c>
      <c r="BP259" s="94" t="str">
        <f aca="false">IF(ISBLANK($C259),"",$C259)</f>
        <v/>
      </c>
      <c r="BQ259" s="94" t="str">
        <f aca="false">IF(ISBLANK($C259),"",$D259)</f>
        <v/>
      </c>
      <c r="BR259" s="95" t="str">
        <f aca="false">BF259</f>
        <v/>
      </c>
      <c r="BS259" s="96" t="str">
        <f aca="false">BE259</f>
        <v/>
      </c>
      <c r="BT259" s="94" t="str">
        <f aca="false">IF(ISBLANK($C259),"",BH259)</f>
        <v/>
      </c>
      <c r="BU259" s="97" t="str">
        <f aca="false">IF($BL259&gt;$BK$7,"",VLOOKUP($BL259,$BN$8:$BT$507,7,FALSE()))</f>
        <v/>
      </c>
      <c r="BV259" s="98" t="str">
        <f aca="false">IF($BL259&gt;$BK$7,"",VLOOKUP($BL259,$BN$8:$BT$507,2,FALSE()))</f>
        <v/>
      </c>
      <c r="BW259" s="98" t="str">
        <f aca="false">IF($BL259&gt;$BK$7,"",VLOOKUP($BL259,$BN$8:$BT$507,3,FALSE()))</f>
        <v/>
      </c>
      <c r="BX259" s="98" t="str">
        <f aca="false">IF($BL259&gt;$BK$7,"",VLOOKUP($BL259,$BN$8:$BT$507,4,FALSE()))</f>
        <v/>
      </c>
      <c r="BY259" s="98" t="str">
        <f aca="false">IF($BL259&gt;$BK$7,"",VLOOKUP($BL259,$BN$8:$BT$507,5,FALSE()))</f>
        <v/>
      </c>
      <c r="BZ259" s="99" t="str">
        <f aca="false">IF($BL259&gt;$BK$7,"",VLOOKUP($BL259,$BN$8:$BT$507,6,FALSE()))</f>
        <v/>
      </c>
      <c r="CA259" s="48"/>
    </row>
    <row r="260" customFormat="false" ht="15.75" hidden="false" customHeight="false" outlineLevel="0" collapsed="false">
      <c r="A260" s="5"/>
      <c r="B260" s="121"/>
      <c r="C260" s="50"/>
      <c r="D260" s="51"/>
      <c r="E260" s="74"/>
      <c r="F260" s="122"/>
      <c r="G260" s="54"/>
      <c r="H260" s="123"/>
      <c r="I260" s="124"/>
      <c r="J260" s="54"/>
      <c r="K260" s="123"/>
      <c r="L260" s="54"/>
      <c r="M260" s="123"/>
      <c r="N260" s="54"/>
      <c r="O260" s="123"/>
      <c r="P260" s="54"/>
      <c r="Q260" s="123"/>
      <c r="R260" s="54"/>
      <c r="S260" s="74"/>
      <c r="T260" s="58"/>
      <c r="U260" s="59" t="str">
        <f aca="false">IF(ISBLANK($C260),"",IF(E260=Constants!$B$2, TRUE(), IF(E260=Constants!$B$3, FALSE(), TRUE())))</f>
        <v/>
      </c>
      <c r="V260" s="59" t="str">
        <f aca="false">IF(ISBLANK($C260),"",IF(F260=Constants!$B$2, TRUE(), IF(F260=Constants!$B$3, FALSE(), TRUE())))</f>
        <v/>
      </c>
      <c r="W260" s="59" t="str">
        <f aca="false">IF(ISBLANK($C260),"",IF(G260=Constants!$B$15,Constants!$B$8,IF(G260=Constants!$B$16,Constants!$B$9,Constants!$B$10)))</f>
        <v/>
      </c>
      <c r="X260" s="59" t="str">
        <f aca="false">IF(ISBLANK($C260),"",IF(H260=Constants!$B$2, TRUE(), IF(H260=Constants!$B$3, FALSE(), TRUE())))</f>
        <v/>
      </c>
      <c r="Y260" s="59" t="str">
        <f aca="false">IF(ISBLANK($C260),"",IF(I260=Constants!$B$19,Constants!$B$19,Constants!$B$18))</f>
        <v/>
      </c>
      <c r="Z260" s="59" t="str">
        <f aca="false">IF(ISBLANK($C260),"",IF(ISNUMBER(J260),IF(J260&gt;=0,J260,""),""))</f>
        <v/>
      </c>
      <c r="AA260" s="59" t="str">
        <f aca="false">IF(ISBLANK($C260),"",IF(K260=Constants!$B$19,Constants!$B$19,Constants!$B$18))</f>
        <v/>
      </c>
      <c r="AB260" s="59" t="str">
        <f aca="false">IF(ISBLANK($C260),"",IF(ISNUMBER(L260),IF(L260&gt;=0,L260,""),""))</f>
        <v/>
      </c>
      <c r="AC260" s="59" t="str">
        <f aca="false">IF(ISBLANK($C260),"",IF(M260=Constants!$B$19,Constants!$B$19,Constants!$B$18))</f>
        <v/>
      </c>
      <c r="AD260" s="59" t="str">
        <f aca="false">IF(ISBLANK($C260),"",IF(ISNUMBER(N260),IF(N260&gt;=0,N260,""),""))</f>
        <v/>
      </c>
      <c r="AE260" s="59" t="str">
        <f aca="false">IF(ISBLANK($C260),"",IF(O260=Constants!$B$19,Constants!$B$19,Constants!$B$18))</f>
        <v/>
      </c>
      <c r="AF260" s="59" t="str">
        <f aca="false">IF(ISBLANK($C260),"",IF(ISNUMBER(P260),IF(P260&gt;=0,P260,""),""))</f>
        <v/>
      </c>
      <c r="AG260" s="59" t="str">
        <f aca="false">IF(ISBLANK($C260),"",IF(Q260=Constants!$B$19,Constants!$B$19,Constants!$B$18))</f>
        <v/>
      </c>
      <c r="AH260" s="59" t="str">
        <f aca="false">IF(ISBLANK($C260),"",IF(ISNUMBER(R260),IF(R260&gt;=0,R260,""),""))</f>
        <v/>
      </c>
      <c r="AI260" s="59" t="str">
        <f aca="false">IF(ISBLANK($C260),"",IF(S260=Constants!$B$2, TRUE(), IF(S260=Constants!$B$3, FALSE(), FALSE())))</f>
        <v/>
      </c>
      <c r="AJ260" s="59" t="str">
        <f aca="false">IF(ISBLANK($C260),"",IF(AI260,Constants!$B$4,IF(COUNTA(E260:R260)=0,Constants!$B$5,IF(COUNTA(J260,L260,N260,P260,R260)=0,Constants!$B$6,Constants!$B$7))))</f>
        <v/>
      </c>
      <c r="AK260" s="59" t="str">
        <f aca="false">IF(ISBLANK($C260),"",IF($AJ260&lt;&gt;Constants!$B$7,$AJ260,IF(OR(NOT(X260),AND(NOT(U260),COUNTIFS(Y260:AG260,Constants!$B$18,Z260:AH260,"&gt;=0")&gt;0),AND(NOT(V260),COUNTIFS(Y260:AG260,Constants!$B$19,Z260:AH260,"&gt;=0")&gt;0)),Constants!$B$12,Constants!$B$11)))</f>
        <v/>
      </c>
      <c r="AL260" s="59" t="str">
        <f aca="false">IF($AJ260=Constants!$B$7,IF(Z260="",Constants!$B$13,Z260),"")</f>
        <v/>
      </c>
      <c r="AM260" s="59" t="str">
        <f aca="false">IF($AJ260=Constants!$B$7,IF(AB260="",Constants!$B$13,AB260),"")</f>
        <v/>
      </c>
      <c r="AN260" s="59" t="str">
        <f aca="false">IF($AJ260=Constants!$B$7,IF(AD260="",Constants!$B$13,AD260),"")</f>
        <v/>
      </c>
      <c r="AO260" s="59" t="str">
        <f aca="false">IF($AJ260=Constants!$B$7,IF(AF260="",Constants!$B$13,AF260),"")</f>
        <v/>
      </c>
      <c r="AP260" s="59" t="str">
        <f aca="false">IF($AJ260=Constants!$B$7,IF(AH260="",Constants!$B$13,AH260),"")</f>
        <v/>
      </c>
      <c r="AQ260" s="59" t="str">
        <f aca="false">IF($AJ260=Constants!$B$7,IF(SUMPRODUCT(--($AL260:$AP260&gt;AL260))+SUMPRODUCT(--($AL260:AL260=AL260))=1,1,IF(SUMPRODUCT(--($AL260:$AP260&gt;AM260))+SUMPRODUCT(--($AL260:AM260=AM260))=1,2,IF(SUMPRODUCT(--($AL260:$AP260&gt;AN260))+SUMPRODUCT(--($AL260:AN260=AN260))=1,3,IF(SUMPRODUCT(--($AL260:$AP260&gt;AO260))+SUMPRODUCT(--($AL260:AO260=AO260))=1,4,5)))),"")</f>
        <v/>
      </c>
      <c r="AR260" s="59" t="str">
        <f aca="false">IF($AJ260=Constants!$B$7,IF(SUMPRODUCT(--($AL260:$AP260&gt;AL260))+SUMPRODUCT(--($AL260:AL260=AL260))=2,1,IF(SUMPRODUCT(--($AL260:$AP260&gt;AM260))+SUMPRODUCT(--($AL260:AM260=AM260))=2,2,IF(SUMPRODUCT(--($AL260:$AP260&gt;AN260))+SUMPRODUCT(--($AL260:AN260=AN260))=2,3,IF(SUMPRODUCT(--($AL260:$AP260&gt;AO260))+SUMPRODUCT(--($AL260:AO260=AO260))=2,4,5)))),"")</f>
        <v/>
      </c>
      <c r="AS260" s="59" t="str">
        <f aca="false">IF($AJ260=Constants!$B$7,IF(SUMPRODUCT(--($AL260:$AP260&gt;AL260))+SUMPRODUCT(--($AL260:AL260=AL260))=3,1,IF(SUMPRODUCT(--($AL260:$AP260&gt;AM260))+SUMPRODUCT(--($AL260:AM260=AM260))=3,2,IF(SUMPRODUCT(--($AL260:$AP260&gt;AN260))+SUMPRODUCT(--($AL260:AN260=AN260))=3,3,IF(SUMPRODUCT(--($AL260:$AP260&gt;AO260))+SUMPRODUCT(--($AL260:AO260=AO260))=3,4,5)))),"")</f>
        <v/>
      </c>
      <c r="AT260" s="59" t="str">
        <f aca="false">IF($AJ260=Constants!$B$7,LARGE(AL260:AP260,1)+LARGE(AL260:AP260,2)+LARGE(AL260:AP260,3),"")</f>
        <v/>
      </c>
      <c r="AU260" s="59" t="str">
        <f aca="false">IF(ISBLANK($C260),"",IF($AJ260&lt;&gt;Constants!$B$7,$AJ260,AT260*W260))</f>
        <v/>
      </c>
      <c r="AV260" s="59" t="str">
        <f aca="false">IF(ISBLANK($C260),"",IF($AJ260=Constants!$B$7,IF(ISNUMBER(AU260),RANK(AU260,$AU$8:$AU$507),Constants!$B$14),$AJ260))</f>
        <v/>
      </c>
      <c r="AW260" s="59" t="str">
        <f aca="false">IF(ISBLANK($C260),"",IF($AJ260=Constants!$B$7,IF(ISNUMBER(AV260),COUNTIFS($AK$8:$AK$507,"&lt;"&amp;$AK260)+COUNTIFS($AK$8:$AK$507,$AK260,$AV$8:$AV$507,"&lt;"&amp;$AV260)+1,Constants!$B$14),$AJ260))</f>
        <v/>
      </c>
      <c r="AX260" s="59" t="str">
        <f aca="false">IF(ISBLANK($C260),"",IF($AJ260=Constants!$B$7,LARGE(AL260:AP260,4)*W260,""))</f>
        <v/>
      </c>
      <c r="AY260" s="59" t="str">
        <f aca="false">IF(ISBLANK($C260),"",IF($AJ260=Constants!$B$7,RANK(AX260,$AX$8:$AX$507),$AJ260))</f>
        <v/>
      </c>
      <c r="AZ260" s="59" t="str">
        <f aca="false">IF(ISBLANK($C260),"",IF($AJ260=Constants!$B$7,IF(ISNUMBER(AV260),COUNTIFS($AK$8:$AK$507,"&lt;"&amp;$AK260)+COUNTIFS($AK$8:$AK$507,$AK260,$AV$8:$AV$507,"&lt;"&amp;$AV260)+COUNTIFS($AK$8:$AK$507,$AK260,$AV$8:$AV$507,$AV260,$AY$8:$AY$507,"&lt;"&amp;$AY260)+1,Constants!$B$14),$AJ260))</f>
        <v/>
      </c>
      <c r="BA260" s="59" t="str">
        <f aca="false">IF(ISBLANK($C260),"",IF($AJ260=Constants!$B$7,IF(ISNUMBER(AW260),AW260-AZ260,Constants!$B$14),$AJ260))</f>
        <v/>
      </c>
      <c r="BB260" s="61"/>
      <c r="BC260" s="62" t="str">
        <f aca="false">IF(ISBLANK($C260),"",IF($AJ260&lt;&gt;Constants!$B$7,$AJ260,SMALL(AQ260:AS260,1)&amp;", "&amp;SMALL(AQ260:AS260,2)&amp;", "&amp;SMALL(AQ260:AS260,3)))</f>
        <v/>
      </c>
      <c r="BD260" s="63" t="str">
        <f aca="false">IF(ISBLANK($C260),"",IF($AJ260&lt;&gt;Constants!$B$7,$AJ260,W260))</f>
        <v/>
      </c>
      <c r="BE260" s="64" t="str">
        <f aca="false">IF(ISBLANK($C260),"",IF($AJ260&lt;&gt;Constants!$B$7,$AJ260,AU260))</f>
        <v/>
      </c>
      <c r="BF260" s="65" t="str">
        <f aca="false">IF(ISBLANK($C260),"",IF($AJ260&lt;&gt;Constants!$B$7,$AJ260,AK260))</f>
        <v/>
      </c>
      <c r="BG260" s="63" t="str">
        <f aca="false">IF(ISBLANK($C260),"",BA260)</f>
        <v/>
      </c>
      <c r="BH260" s="63" t="str">
        <f aca="false">IF(ISBLANK($C260),"",AZ260)</f>
        <v/>
      </c>
      <c r="BI260" s="66" t="str">
        <f aca="false">IF(ISBLANK($C260),"",IF(BH260=Constants!$B$4,COUNTA($C$8:$C$507)+2,IF(BH260=Constants!$B$5,COUNTA($C$8:$C$507)+1,IF(BH260=Constants!$B$6,COUNTA($C$8:$C$507),BH260))))</f>
        <v/>
      </c>
      <c r="BJ260" s="5"/>
      <c r="BK260" s="67" t="n">
        <f aca="false">IF(OR(ISNUMBER(BH260),BH260=Constants!$B$4,BH260=Constants!$B$6,BH260=Constants!$B$5),1,0)</f>
        <v>0</v>
      </c>
      <c r="BL260" s="67" t="n">
        <v>253</v>
      </c>
      <c r="BM260" s="67" t="str">
        <f aca="false">IF(ISBLANK($C260),"",IF(ISNUMBER(BI260),BI260+ROW($B260)/1000,""))</f>
        <v/>
      </c>
      <c r="BN260" s="67" t="str">
        <f aca="false">IF(ISNUMBER(BM260),RANK(BM260,$BM$8:$BM$507,1),"")</f>
        <v/>
      </c>
      <c r="BO260" s="67" t="str">
        <f aca="false">IF(ISBLANK($C260),"",$B260)</f>
        <v/>
      </c>
      <c r="BP260" s="67" t="str">
        <f aca="false">IF(ISBLANK($C260),"",$C260)</f>
        <v/>
      </c>
      <c r="BQ260" s="67" t="str">
        <f aca="false">IF(ISBLANK($C260),"",$D260)</f>
        <v/>
      </c>
      <c r="BR260" s="68" t="str">
        <f aca="false">BF260</f>
        <v/>
      </c>
      <c r="BS260" s="69" t="str">
        <f aca="false">BE260</f>
        <v/>
      </c>
      <c r="BT260" s="67" t="str">
        <f aca="false">IF(ISBLANK($C260),"",BH260)</f>
        <v/>
      </c>
      <c r="BU260" s="70" t="str">
        <f aca="false">IF($BL260&gt;$BK$7,"",VLOOKUP($BL260,$BN$8:$BT$507,7,FALSE()))</f>
        <v/>
      </c>
      <c r="BV260" s="71" t="str">
        <f aca="false">IF($BL260&gt;$BK$7,"",VLOOKUP($BL260,$BN$8:$BT$507,2,FALSE()))</f>
        <v/>
      </c>
      <c r="BW260" s="71" t="str">
        <f aca="false">IF($BL260&gt;$BK$7,"",VLOOKUP($BL260,$BN$8:$BT$507,3,FALSE()))</f>
        <v/>
      </c>
      <c r="BX260" s="71" t="str">
        <f aca="false">IF($BL260&gt;$BK$7,"",VLOOKUP($BL260,$BN$8:$BT$507,4,FALSE()))</f>
        <v/>
      </c>
      <c r="BY260" s="71" t="str">
        <f aca="false">IF($BL260&gt;$BK$7,"",VLOOKUP($BL260,$BN$8:$BT$507,5,FALSE()))</f>
        <v/>
      </c>
      <c r="BZ260" s="72" t="str">
        <f aca="false">IF($BL260&gt;$BK$7,"",VLOOKUP($BL260,$BN$8:$BT$507,6,FALSE()))</f>
        <v/>
      </c>
      <c r="CA260" s="48"/>
    </row>
    <row r="261" customFormat="false" ht="15.75" hidden="false" customHeight="false" outlineLevel="0" collapsed="false">
      <c r="A261" s="5"/>
      <c r="B261" s="121"/>
      <c r="C261" s="50"/>
      <c r="D261" s="51"/>
      <c r="E261" s="74"/>
      <c r="F261" s="122"/>
      <c r="G261" s="54"/>
      <c r="H261" s="123"/>
      <c r="I261" s="124"/>
      <c r="J261" s="54"/>
      <c r="K261" s="123"/>
      <c r="L261" s="54"/>
      <c r="M261" s="123"/>
      <c r="N261" s="54"/>
      <c r="O261" s="123"/>
      <c r="P261" s="54"/>
      <c r="Q261" s="123"/>
      <c r="R261" s="54"/>
      <c r="S261" s="74"/>
      <c r="T261" s="58"/>
      <c r="U261" s="59" t="str">
        <f aca="false">IF(ISBLANK($C261),"",IF(E261=Constants!$B$2, TRUE(), IF(E261=Constants!$B$3, FALSE(), TRUE())))</f>
        <v/>
      </c>
      <c r="V261" s="59" t="str">
        <f aca="false">IF(ISBLANK($C261),"",IF(F261=Constants!$B$2, TRUE(), IF(F261=Constants!$B$3, FALSE(), TRUE())))</f>
        <v/>
      </c>
      <c r="W261" s="59" t="str">
        <f aca="false">IF(ISBLANK($C261),"",IF(G261=Constants!$B$15,Constants!$B$8,IF(G261=Constants!$B$16,Constants!$B$9,Constants!$B$10)))</f>
        <v/>
      </c>
      <c r="X261" s="59" t="str">
        <f aca="false">IF(ISBLANK($C261),"",IF(H261=Constants!$B$2, TRUE(), IF(H261=Constants!$B$3, FALSE(), TRUE())))</f>
        <v/>
      </c>
      <c r="Y261" s="59" t="str">
        <f aca="false">IF(ISBLANK($C261),"",IF(I261=Constants!$B$19,Constants!$B$19,Constants!$B$18))</f>
        <v/>
      </c>
      <c r="Z261" s="59" t="str">
        <f aca="false">IF(ISBLANK($C261),"",IF(ISNUMBER(J261),IF(J261&gt;=0,J261,""),""))</f>
        <v/>
      </c>
      <c r="AA261" s="59" t="str">
        <f aca="false">IF(ISBLANK($C261),"",IF(K261=Constants!$B$19,Constants!$B$19,Constants!$B$18))</f>
        <v/>
      </c>
      <c r="AB261" s="59" t="str">
        <f aca="false">IF(ISBLANK($C261),"",IF(ISNUMBER(L261),IF(L261&gt;=0,L261,""),""))</f>
        <v/>
      </c>
      <c r="AC261" s="59" t="str">
        <f aca="false">IF(ISBLANK($C261),"",IF(M261=Constants!$B$19,Constants!$B$19,Constants!$B$18))</f>
        <v/>
      </c>
      <c r="AD261" s="59" t="str">
        <f aca="false">IF(ISBLANK($C261),"",IF(ISNUMBER(N261),IF(N261&gt;=0,N261,""),""))</f>
        <v/>
      </c>
      <c r="AE261" s="59" t="str">
        <f aca="false">IF(ISBLANK($C261),"",IF(O261=Constants!$B$19,Constants!$B$19,Constants!$B$18))</f>
        <v/>
      </c>
      <c r="AF261" s="59" t="str">
        <f aca="false">IF(ISBLANK($C261),"",IF(ISNUMBER(P261),IF(P261&gt;=0,P261,""),""))</f>
        <v/>
      </c>
      <c r="AG261" s="59" t="str">
        <f aca="false">IF(ISBLANK($C261),"",IF(Q261=Constants!$B$19,Constants!$B$19,Constants!$B$18))</f>
        <v/>
      </c>
      <c r="AH261" s="59" t="str">
        <f aca="false">IF(ISBLANK($C261),"",IF(ISNUMBER(R261),IF(R261&gt;=0,R261,""),""))</f>
        <v/>
      </c>
      <c r="AI261" s="59" t="str">
        <f aca="false">IF(ISBLANK($C261),"",IF(S261=Constants!$B$2, TRUE(), IF(S261=Constants!$B$3, FALSE(), FALSE())))</f>
        <v/>
      </c>
      <c r="AJ261" s="59" t="str">
        <f aca="false">IF(ISBLANK($C261),"",IF(AI261,Constants!$B$4,IF(COUNTA(E261:R261)=0,Constants!$B$5,IF(COUNTA(J261,L261,N261,P261,R261)=0,Constants!$B$6,Constants!$B$7))))</f>
        <v/>
      </c>
      <c r="AK261" s="59" t="str">
        <f aca="false">IF(ISBLANK($C261),"",IF($AJ261&lt;&gt;Constants!$B$7,$AJ261,IF(OR(NOT(X261),AND(NOT(U261),COUNTIFS(Y261:AG261,Constants!$B$18,Z261:AH261,"&gt;=0")&gt;0),AND(NOT(V261),COUNTIFS(Y261:AG261,Constants!$B$19,Z261:AH261,"&gt;=0")&gt;0)),Constants!$B$12,Constants!$B$11)))</f>
        <v/>
      </c>
      <c r="AL261" s="59" t="str">
        <f aca="false">IF($AJ261=Constants!$B$7,IF(Z261="",Constants!$B$13,Z261),"")</f>
        <v/>
      </c>
      <c r="AM261" s="59" t="str">
        <f aca="false">IF($AJ261=Constants!$B$7,IF(AB261="",Constants!$B$13,AB261),"")</f>
        <v/>
      </c>
      <c r="AN261" s="59" t="str">
        <f aca="false">IF($AJ261=Constants!$B$7,IF(AD261="",Constants!$B$13,AD261),"")</f>
        <v/>
      </c>
      <c r="AO261" s="59" t="str">
        <f aca="false">IF($AJ261=Constants!$B$7,IF(AF261="",Constants!$B$13,AF261),"")</f>
        <v/>
      </c>
      <c r="AP261" s="59" t="str">
        <f aca="false">IF($AJ261=Constants!$B$7,IF(AH261="",Constants!$B$13,AH261),"")</f>
        <v/>
      </c>
      <c r="AQ261" s="59" t="str">
        <f aca="false">IF($AJ261=Constants!$B$7,IF(SUMPRODUCT(--($AL261:$AP261&gt;AL261))+SUMPRODUCT(--($AL261:AL261=AL261))=1,1,IF(SUMPRODUCT(--($AL261:$AP261&gt;AM261))+SUMPRODUCT(--($AL261:AM261=AM261))=1,2,IF(SUMPRODUCT(--($AL261:$AP261&gt;AN261))+SUMPRODUCT(--($AL261:AN261=AN261))=1,3,IF(SUMPRODUCT(--($AL261:$AP261&gt;AO261))+SUMPRODUCT(--($AL261:AO261=AO261))=1,4,5)))),"")</f>
        <v/>
      </c>
      <c r="AR261" s="59" t="str">
        <f aca="false">IF($AJ261=Constants!$B$7,IF(SUMPRODUCT(--($AL261:$AP261&gt;AL261))+SUMPRODUCT(--($AL261:AL261=AL261))=2,1,IF(SUMPRODUCT(--($AL261:$AP261&gt;AM261))+SUMPRODUCT(--($AL261:AM261=AM261))=2,2,IF(SUMPRODUCT(--($AL261:$AP261&gt;AN261))+SUMPRODUCT(--($AL261:AN261=AN261))=2,3,IF(SUMPRODUCT(--($AL261:$AP261&gt;AO261))+SUMPRODUCT(--($AL261:AO261=AO261))=2,4,5)))),"")</f>
        <v/>
      </c>
      <c r="AS261" s="59" t="str">
        <f aca="false">IF($AJ261=Constants!$B$7,IF(SUMPRODUCT(--($AL261:$AP261&gt;AL261))+SUMPRODUCT(--($AL261:AL261=AL261))=3,1,IF(SUMPRODUCT(--($AL261:$AP261&gt;AM261))+SUMPRODUCT(--($AL261:AM261=AM261))=3,2,IF(SUMPRODUCT(--($AL261:$AP261&gt;AN261))+SUMPRODUCT(--($AL261:AN261=AN261))=3,3,IF(SUMPRODUCT(--($AL261:$AP261&gt;AO261))+SUMPRODUCT(--($AL261:AO261=AO261))=3,4,5)))),"")</f>
        <v/>
      </c>
      <c r="AT261" s="59" t="str">
        <f aca="false">IF($AJ261=Constants!$B$7,LARGE(AL261:AP261,1)+LARGE(AL261:AP261,2)+LARGE(AL261:AP261,3),"")</f>
        <v/>
      </c>
      <c r="AU261" s="59" t="str">
        <f aca="false">IF(ISBLANK($C261),"",IF($AJ261&lt;&gt;Constants!$B$7,$AJ261,AT261*W261))</f>
        <v/>
      </c>
      <c r="AV261" s="59" t="str">
        <f aca="false">IF(ISBLANK($C261),"",IF($AJ261=Constants!$B$7,IF(ISNUMBER(AU261),RANK(AU261,$AU$8:$AU$507),Constants!$B$14),$AJ261))</f>
        <v/>
      </c>
      <c r="AW261" s="59" t="str">
        <f aca="false">IF(ISBLANK($C261),"",IF($AJ261=Constants!$B$7,IF(ISNUMBER(AV261),COUNTIFS($AK$8:$AK$507,"&lt;"&amp;$AK261)+COUNTIFS($AK$8:$AK$507,$AK261,$AV$8:$AV$507,"&lt;"&amp;$AV261)+1,Constants!$B$14),$AJ261))</f>
        <v/>
      </c>
      <c r="AX261" s="59" t="str">
        <f aca="false">IF(ISBLANK($C261),"",IF($AJ261=Constants!$B$7,LARGE(AL261:AP261,4)*W261,""))</f>
        <v/>
      </c>
      <c r="AY261" s="59" t="str">
        <f aca="false">IF(ISBLANK($C261),"",IF($AJ261=Constants!$B$7,RANK(AX261,$AX$8:$AX$507),$AJ261))</f>
        <v/>
      </c>
      <c r="AZ261" s="59" t="str">
        <f aca="false">IF(ISBLANK($C261),"",IF($AJ261=Constants!$B$7,IF(ISNUMBER(AV261),COUNTIFS($AK$8:$AK$507,"&lt;"&amp;$AK261)+COUNTIFS($AK$8:$AK$507,$AK261,$AV$8:$AV$507,"&lt;"&amp;$AV261)+COUNTIFS($AK$8:$AK$507,$AK261,$AV$8:$AV$507,$AV261,$AY$8:$AY$507,"&lt;"&amp;$AY261)+1,Constants!$B$14),$AJ261))</f>
        <v/>
      </c>
      <c r="BA261" s="59" t="str">
        <f aca="false">IF(ISBLANK($C261),"",IF($AJ261=Constants!$B$7,IF(ISNUMBER(AW261),AW261-AZ261,Constants!$B$14),$AJ261))</f>
        <v/>
      </c>
      <c r="BB261" s="61"/>
      <c r="BC261" s="62" t="str">
        <f aca="false">IF(ISBLANK($C261),"",IF($AJ261&lt;&gt;Constants!$B$7,$AJ261,SMALL(AQ261:AS261,1)&amp;", "&amp;SMALL(AQ261:AS261,2)&amp;", "&amp;SMALL(AQ261:AS261,3)))</f>
        <v/>
      </c>
      <c r="BD261" s="63" t="str">
        <f aca="false">IF(ISBLANK($C261),"",IF($AJ261&lt;&gt;Constants!$B$7,$AJ261,W261))</f>
        <v/>
      </c>
      <c r="BE261" s="64" t="str">
        <f aca="false">IF(ISBLANK($C261),"",IF($AJ261&lt;&gt;Constants!$B$7,$AJ261,AU261))</f>
        <v/>
      </c>
      <c r="BF261" s="65" t="str">
        <f aca="false">IF(ISBLANK($C261),"",IF($AJ261&lt;&gt;Constants!$B$7,$AJ261,AK261))</f>
        <v/>
      </c>
      <c r="BG261" s="63" t="str">
        <f aca="false">IF(ISBLANK($C261),"",BA261)</f>
        <v/>
      </c>
      <c r="BH261" s="63" t="str">
        <f aca="false">IF(ISBLANK($C261),"",AZ261)</f>
        <v/>
      </c>
      <c r="BI261" s="66" t="str">
        <f aca="false">IF(ISBLANK($C261),"",IF(BH261=Constants!$B$4,COUNTA($C$8:$C$507)+2,IF(BH261=Constants!$B$5,COUNTA($C$8:$C$507)+1,IF(BH261=Constants!$B$6,COUNTA($C$8:$C$507),BH261))))</f>
        <v/>
      </c>
      <c r="BJ261" s="5"/>
      <c r="BK261" s="67" t="n">
        <f aca="false">IF(OR(ISNUMBER(BH261),BH261=Constants!$B$4,BH261=Constants!$B$6,BH261=Constants!$B$5),1,0)</f>
        <v>0</v>
      </c>
      <c r="BL261" s="67" t="n">
        <v>254</v>
      </c>
      <c r="BM261" s="67" t="str">
        <f aca="false">IF(ISBLANK($C261),"",IF(ISNUMBER(BI261),BI261+ROW($B261)/1000,""))</f>
        <v/>
      </c>
      <c r="BN261" s="67" t="str">
        <f aca="false">IF(ISNUMBER(BM261),RANK(BM261,$BM$8:$BM$507,1),"")</f>
        <v/>
      </c>
      <c r="BO261" s="67" t="str">
        <f aca="false">IF(ISBLANK($C261),"",$B261)</f>
        <v/>
      </c>
      <c r="BP261" s="67" t="str">
        <f aca="false">IF(ISBLANK($C261),"",$C261)</f>
        <v/>
      </c>
      <c r="BQ261" s="67" t="str">
        <f aca="false">IF(ISBLANK($C261),"",$D261)</f>
        <v/>
      </c>
      <c r="BR261" s="68" t="str">
        <f aca="false">BF261</f>
        <v/>
      </c>
      <c r="BS261" s="69" t="str">
        <f aca="false">BE261</f>
        <v/>
      </c>
      <c r="BT261" s="67" t="str">
        <f aca="false">IF(ISBLANK($C261),"",BH261)</f>
        <v/>
      </c>
      <c r="BU261" s="70" t="str">
        <f aca="false">IF($BL261&gt;$BK$7,"",VLOOKUP($BL261,$BN$8:$BT$507,7,FALSE()))</f>
        <v/>
      </c>
      <c r="BV261" s="71" t="str">
        <f aca="false">IF($BL261&gt;$BK$7,"",VLOOKUP($BL261,$BN$8:$BT$507,2,FALSE()))</f>
        <v/>
      </c>
      <c r="BW261" s="71" t="str">
        <f aca="false">IF($BL261&gt;$BK$7,"",VLOOKUP($BL261,$BN$8:$BT$507,3,FALSE()))</f>
        <v/>
      </c>
      <c r="BX261" s="71" t="str">
        <f aca="false">IF($BL261&gt;$BK$7,"",VLOOKUP($BL261,$BN$8:$BT$507,4,FALSE()))</f>
        <v/>
      </c>
      <c r="BY261" s="71" t="str">
        <f aca="false">IF($BL261&gt;$BK$7,"",VLOOKUP($BL261,$BN$8:$BT$507,5,FALSE()))</f>
        <v/>
      </c>
      <c r="BZ261" s="72" t="str">
        <f aca="false">IF($BL261&gt;$BK$7,"",VLOOKUP($BL261,$BN$8:$BT$507,6,FALSE()))</f>
        <v/>
      </c>
      <c r="CA261" s="48"/>
    </row>
    <row r="262" customFormat="false" ht="15.75" hidden="false" customHeight="false" outlineLevel="0" collapsed="false">
      <c r="A262" s="5"/>
      <c r="B262" s="121"/>
      <c r="C262" s="50"/>
      <c r="D262" s="51"/>
      <c r="E262" s="74"/>
      <c r="F262" s="122"/>
      <c r="G262" s="54"/>
      <c r="H262" s="123"/>
      <c r="I262" s="124"/>
      <c r="J262" s="54"/>
      <c r="K262" s="123"/>
      <c r="L262" s="54"/>
      <c r="M262" s="123"/>
      <c r="N262" s="54"/>
      <c r="O262" s="123"/>
      <c r="P262" s="54"/>
      <c r="Q262" s="123"/>
      <c r="R262" s="54"/>
      <c r="S262" s="74"/>
      <c r="T262" s="58"/>
      <c r="U262" s="59" t="str">
        <f aca="false">IF(ISBLANK($C262),"",IF(E262=Constants!$B$2, TRUE(), IF(E262=Constants!$B$3, FALSE(), TRUE())))</f>
        <v/>
      </c>
      <c r="V262" s="59" t="str">
        <f aca="false">IF(ISBLANK($C262),"",IF(F262=Constants!$B$2, TRUE(), IF(F262=Constants!$B$3, FALSE(), TRUE())))</f>
        <v/>
      </c>
      <c r="W262" s="59" t="str">
        <f aca="false">IF(ISBLANK($C262),"",IF(G262=Constants!$B$15,Constants!$B$8,IF(G262=Constants!$B$16,Constants!$B$9,Constants!$B$10)))</f>
        <v/>
      </c>
      <c r="X262" s="59" t="str">
        <f aca="false">IF(ISBLANK($C262),"",IF(H262=Constants!$B$2, TRUE(), IF(H262=Constants!$B$3, FALSE(), TRUE())))</f>
        <v/>
      </c>
      <c r="Y262" s="59" t="str">
        <f aca="false">IF(ISBLANK($C262),"",IF(I262=Constants!$B$19,Constants!$B$19,Constants!$B$18))</f>
        <v/>
      </c>
      <c r="Z262" s="59" t="str">
        <f aca="false">IF(ISBLANK($C262),"",IF(ISNUMBER(J262),IF(J262&gt;=0,J262,""),""))</f>
        <v/>
      </c>
      <c r="AA262" s="59" t="str">
        <f aca="false">IF(ISBLANK($C262),"",IF(K262=Constants!$B$19,Constants!$B$19,Constants!$B$18))</f>
        <v/>
      </c>
      <c r="AB262" s="59" t="str">
        <f aca="false">IF(ISBLANK($C262),"",IF(ISNUMBER(L262),IF(L262&gt;=0,L262,""),""))</f>
        <v/>
      </c>
      <c r="AC262" s="59" t="str">
        <f aca="false">IF(ISBLANK($C262),"",IF(M262=Constants!$B$19,Constants!$B$19,Constants!$B$18))</f>
        <v/>
      </c>
      <c r="AD262" s="59" t="str">
        <f aca="false">IF(ISBLANK($C262),"",IF(ISNUMBER(N262),IF(N262&gt;=0,N262,""),""))</f>
        <v/>
      </c>
      <c r="AE262" s="59" t="str">
        <f aca="false">IF(ISBLANK($C262),"",IF(O262=Constants!$B$19,Constants!$B$19,Constants!$B$18))</f>
        <v/>
      </c>
      <c r="AF262" s="59" t="str">
        <f aca="false">IF(ISBLANK($C262),"",IF(ISNUMBER(P262),IF(P262&gt;=0,P262,""),""))</f>
        <v/>
      </c>
      <c r="AG262" s="59" t="str">
        <f aca="false">IF(ISBLANK($C262),"",IF(Q262=Constants!$B$19,Constants!$B$19,Constants!$B$18))</f>
        <v/>
      </c>
      <c r="AH262" s="59" t="str">
        <f aca="false">IF(ISBLANK($C262),"",IF(ISNUMBER(R262),IF(R262&gt;=0,R262,""),""))</f>
        <v/>
      </c>
      <c r="AI262" s="59" t="str">
        <f aca="false">IF(ISBLANK($C262),"",IF(S262=Constants!$B$2, TRUE(), IF(S262=Constants!$B$3, FALSE(), FALSE())))</f>
        <v/>
      </c>
      <c r="AJ262" s="59" t="str">
        <f aca="false">IF(ISBLANK($C262),"",IF(AI262,Constants!$B$4,IF(COUNTA(E262:R262)=0,Constants!$B$5,IF(COUNTA(J262,L262,N262,P262,R262)=0,Constants!$B$6,Constants!$B$7))))</f>
        <v/>
      </c>
      <c r="AK262" s="59" t="str">
        <f aca="false">IF(ISBLANK($C262),"",IF($AJ262&lt;&gt;Constants!$B$7,$AJ262,IF(OR(NOT(X262),AND(NOT(U262),COUNTIFS(Y262:AG262,Constants!$B$18,Z262:AH262,"&gt;=0")&gt;0),AND(NOT(V262),COUNTIFS(Y262:AG262,Constants!$B$19,Z262:AH262,"&gt;=0")&gt;0)),Constants!$B$12,Constants!$B$11)))</f>
        <v/>
      </c>
      <c r="AL262" s="59" t="str">
        <f aca="false">IF($AJ262=Constants!$B$7,IF(Z262="",Constants!$B$13,Z262),"")</f>
        <v/>
      </c>
      <c r="AM262" s="59" t="str">
        <f aca="false">IF($AJ262=Constants!$B$7,IF(AB262="",Constants!$B$13,AB262),"")</f>
        <v/>
      </c>
      <c r="AN262" s="59" t="str">
        <f aca="false">IF($AJ262=Constants!$B$7,IF(AD262="",Constants!$B$13,AD262),"")</f>
        <v/>
      </c>
      <c r="AO262" s="59" t="str">
        <f aca="false">IF($AJ262=Constants!$B$7,IF(AF262="",Constants!$B$13,AF262),"")</f>
        <v/>
      </c>
      <c r="AP262" s="59" t="str">
        <f aca="false">IF($AJ262=Constants!$B$7,IF(AH262="",Constants!$B$13,AH262),"")</f>
        <v/>
      </c>
      <c r="AQ262" s="59" t="str">
        <f aca="false">IF($AJ262=Constants!$B$7,IF(SUMPRODUCT(--($AL262:$AP262&gt;AL262))+SUMPRODUCT(--($AL262:AL262=AL262))=1,1,IF(SUMPRODUCT(--($AL262:$AP262&gt;AM262))+SUMPRODUCT(--($AL262:AM262=AM262))=1,2,IF(SUMPRODUCT(--($AL262:$AP262&gt;AN262))+SUMPRODUCT(--($AL262:AN262=AN262))=1,3,IF(SUMPRODUCT(--($AL262:$AP262&gt;AO262))+SUMPRODUCT(--($AL262:AO262=AO262))=1,4,5)))),"")</f>
        <v/>
      </c>
      <c r="AR262" s="59" t="str">
        <f aca="false">IF($AJ262=Constants!$B$7,IF(SUMPRODUCT(--($AL262:$AP262&gt;AL262))+SUMPRODUCT(--($AL262:AL262=AL262))=2,1,IF(SUMPRODUCT(--($AL262:$AP262&gt;AM262))+SUMPRODUCT(--($AL262:AM262=AM262))=2,2,IF(SUMPRODUCT(--($AL262:$AP262&gt;AN262))+SUMPRODUCT(--($AL262:AN262=AN262))=2,3,IF(SUMPRODUCT(--($AL262:$AP262&gt;AO262))+SUMPRODUCT(--($AL262:AO262=AO262))=2,4,5)))),"")</f>
        <v/>
      </c>
      <c r="AS262" s="59" t="str">
        <f aca="false">IF($AJ262=Constants!$B$7,IF(SUMPRODUCT(--($AL262:$AP262&gt;AL262))+SUMPRODUCT(--($AL262:AL262=AL262))=3,1,IF(SUMPRODUCT(--($AL262:$AP262&gt;AM262))+SUMPRODUCT(--($AL262:AM262=AM262))=3,2,IF(SUMPRODUCT(--($AL262:$AP262&gt;AN262))+SUMPRODUCT(--($AL262:AN262=AN262))=3,3,IF(SUMPRODUCT(--($AL262:$AP262&gt;AO262))+SUMPRODUCT(--($AL262:AO262=AO262))=3,4,5)))),"")</f>
        <v/>
      </c>
      <c r="AT262" s="59" t="str">
        <f aca="false">IF($AJ262=Constants!$B$7,LARGE(AL262:AP262,1)+LARGE(AL262:AP262,2)+LARGE(AL262:AP262,3),"")</f>
        <v/>
      </c>
      <c r="AU262" s="59" t="str">
        <f aca="false">IF(ISBLANK($C262),"",IF($AJ262&lt;&gt;Constants!$B$7,$AJ262,AT262*W262))</f>
        <v/>
      </c>
      <c r="AV262" s="59" t="str">
        <f aca="false">IF(ISBLANK($C262),"",IF($AJ262=Constants!$B$7,IF(ISNUMBER(AU262),RANK(AU262,$AU$8:$AU$507),Constants!$B$14),$AJ262))</f>
        <v/>
      </c>
      <c r="AW262" s="59" t="str">
        <f aca="false">IF(ISBLANK($C262),"",IF($AJ262=Constants!$B$7,IF(ISNUMBER(AV262),COUNTIFS($AK$8:$AK$507,"&lt;"&amp;$AK262)+COUNTIFS($AK$8:$AK$507,$AK262,$AV$8:$AV$507,"&lt;"&amp;$AV262)+1,Constants!$B$14),$AJ262))</f>
        <v/>
      </c>
      <c r="AX262" s="59" t="str">
        <f aca="false">IF(ISBLANK($C262),"",IF($AJ262=Constants!$B$7,LARGE(AL262:AP262,4)*W262,""))</f>
        <v/>
      </c>
      <c r="AY262" s="59" t="str">
        <f aca="false">IF(ISBLANK($C262),"",IF($AJ262=Constants!$B$7,RANK(AX262,$AX$8:$AX$507),$AJ262))</f>
        <v/>
      </c>
      <c r="AZ262" s="59" t="str">
        <f aca="false">IF(ISBLANK($C262),"",IF($AJ262=Constants!$B$7,IF(ISNUMBER(AV262),COUNTIFS($AK$8:$AK$507,"&lt;"&amp;$AK262)+COUNTIFS($AK$8:$AK$507,$AK262,$AV$8:$AV$507,"&lt;"&amp;$AV262)+COUNTIFS($AK$8:$AK$507,$AK262,$AV$8:$AV$507,$AV262,$AY$8:$AY$507,"&lt;"&amp;$AY262)+1,Constants!$B$14),$AJ262))</f>
        <v/>
      </c>
      <c r="BA262" s="59" t="str">
        <f aca="false">IF(ISBLANK($C262),"",IF($AJ262=Constants!$B$7,IF(ISNUMBER(AW262),AW262-AZ262,Constants!$B$14),$AJ262))</f>
        <v/>
      </c>
      <c r="BB262" s="61"/>
      <c r="BC262" s="62" t="str">
        <f aca="false">IF(ISBLANK($C262),"",IF($AJ262&lt;&gt;Constants!$B$7,$AJ262,SMALL(AQ262:AS262,1)&amp;", "&amp;SMALL(AQ262:AS262,2)&amp;", "&amp;SMALL(AQ262:AS262,3)))</f>
        <v/>
      </c>
      <c r="BD262" s="63" t="str">
        <f aca="false">IF(ISBLANK($C262),"",IF($AJ262&lt;&gt;Constants!$B$7,$AJ262,W262))</f>
        <v/>
      </c>
      <c r="BE262" s="64" t="str">
        <f aca="false">IF(ISBLANK($C262),"",IF($AJ262&lt;&gt;Constants!$B$7,$AJ262,AU262))</f>
        <v/>
      </c>
      <c r="BF262" s="65" t="str">
        <f aca="false">IF(ISBLANK($C262),"",IF($AJ262&lt;&gt;Constants!$B$7,$AJ262,AK262))</f>
        <v/>
      </c>
      <c r="BG262" s="63" t="str">
        <f aca="false">IF(ISBLANK($C262),"",BA262)</f>
        <v/>
      </c>
      <c r="BH262" s="63" t="str">
        <f aca="false">IF(ISBLANK($C262),"",AZ262)</f>
        <v/>
      </c>
      <c r="BI262" s="66" t="str">
        <f aca="false">IF(ISBLANK($C262),"",IF(BH262=Constants!$B$4,COUNTA($C$8:$C$507)+2,IF(BH262=Constants!$B$5,COUNTA($C$8:$C$507)+1,IF(BH262=Constants!$B$6,COUNTA($C$8:$C$507),BH262))))</f>
        <v/>
      </c>
      <c r="BJ262" s="5"/>
      <c r="BK262" s="67" t="n">
        <f aca="false">IF(OR(ISNUMBER(BH262),BH262=Constants!$B$4,BH262=Constants!$B$6,BH262=Constants!$B$5),1,0)</f>
        <v>0</v>
      </c>
      <c r="BL262" s="67" t="n">
        <v>255</v>
      </c>
      <c r="BM262" s="67" t="str">
        <f aca="false">IF(ISBLANK($C262),"",IF(ISNUMBER(BI262),BI262+ROW($B262)/1000,""))</f>
        <v/>
      </c>
      <c r="BN262" s="67" t="str">
        <f aca="false">IF(ISNUMBER(BM262),RANK(BM262,$BM$8:$BM$507,1),"")</f>
        <v/>
      </c>
      <c r="BO262" s="67" t="str">
        <f aca="false">IF(ISBLANK($C262),"",$B262)</f>
        <v/>
      </c>
      <c r="BP262" s="67" t="str">
        <f aca="false">IF(ISBLANK($C262),"",$C262)</f>
        <v/>
      </c>
      <c r="BQ262" s="67" t="str">
        <f aca="false">IF(ISBLANK($C262),"",$D262)</f>
        <v/>
      </c>
      <c r="BR262" s="68" t="str">
        <f aca="false">BF262</f>
        <v/>
      </c>
      <c r="BS262" s="69" t="str">
        <f aca="false">BE262</f>
        <v/>
      </c>
      <c r="BT262" s="67" t="str">
        <f aca="false">IF(ISBLANK($C262),"",BH262)</f>
        <v/>
      </c>
      <c r="BU262" s="70" t="str">
        <f aca="false">IF($BL262&gt;$BK$7,"",VLOOKUP($BL262,$BN$8:$BT$507,7,FALSE()))</f>
        <v/>
      </c>
      <c r="BV262" s="71" t="str">
        <f aca="false">IF($BL262&gt;$BK$7,"",VLOOKUP($BL262,$BN$8:$BT$507,2,FALSE()))</f>
        <v/>
      </c>
      <c r="BW262" s="71" t="str">
        <f aca="false">IF($BL262&gt;$BK$7,"",VLOOKUP($BL262,$BN$8:$BT$507,3,FALSE()))</f>
        <v/>
      </c>
      <c r="BX262" s="71" t="str">
        <f aca="false">IF($BL262&gt;$BK$7,"",VLOOKUP($BL262,$BN$8:$BT$507,4,FALSE()))</f>
        <v/>
      </c>
      <c r="BY262" s="71" t="str">
        <f aca="false">IF($BL262&gt;$BK$7,"",VLOOKUP($BL262,$BN$8:$BT$507,5,FALSE()))</f>
        <v/>
      </c>
      <c r="BZ262" s="72" t="str">
        <f aca="false">IF($BL262&gt;$BK$7,"",VLOOKUP($BL262,$BN$8:$BT$507,6,FALSE()))</f>
        <v/>
      </c>
      <c r="CA262" s="48"/>
    </row>
    <row r="263" customFormat="false" ht="15.75" hidden="false" customHeight="false" outlineLevel="0" collapsed="false">
      <c r="A263" s="5"/>
      <c r="B263" s="114"/>
      <c r="C263" s="115"/>
      <c r="D263" s="100"/>
      <c r="E263" s="120"/>
      <c r="F263" s="125"/>
      <c r="G263" s="82"/>
      <c r="H263" s="126"/>
      <c r="I263" s="127"/>
      <c r="J263" s="82"/>
      <c r="K263" s="126"/>
      <c r="L263" s="82"/>
      <c r="M263" s="126"/>
      <c r="N263" s="82"/>
      <c r="O263" s="126"/>
      <c r="P263" s="82"/>
      <c r="Q263" s="126"/>
      <c r="R263" s="82"/>
      <c r="S263" s="120"/>
      <c r="T263" s="86"/>
      <c r="U263" s="87" t="str">
        <f aca="false">IF(ISBLANK($C263),"",IF(E263=Constants!$B$2, TRUE(), IF(E263=Constants!$B$3, FALSE(), TRUE())))</f>
        <v/>
      </c>
      <c r="V263" s="87" t="str">
        <f aca="false">IF(ISBLANK($C263),"",IF(F263=Constants!$B$2, TRUE(), IF(F263=Constants!$B$3, FALSE(), TRUE())))</f>
        <v/>
      </c>
      <c r="W263" s="87" t="str">
        <f aca="false">IF(ISBLANK($C263),"",IF(G263=Constants!$B$15,Constants!$B$8,IF(G263=Constants!$B$16,Constants!$B$9,Constants!$B$10)))</f>
        <v/>
      </c>
      <c r="X263" s="87" t="str">
        <f aca="false">IF(ISBLANK($C263),"",IF(H263=Constants!$B$2, TRUE(), IF(H263=Constants!$B$3, FALSE(), TRUE())))</f>
        <v/>
      </c>
      <c r="Y263" s="87" t="str">
        <f aca="false">IF(ISBLANK($C263),"",IF(I263=Constants!$B$19,Constants!$B$19,Constants!$B$18))</f>
        <v/>
      </c>
      <c r="Z263" s="87" t="str">
        <f aca="false">IF(ISBLANK($C263),"",IF(ISNUMBER(J263),IF(J263&gt;=0,J263,""),""))</f>
        <v/>
      </c>
      <c r="AA263" s="87" t="str">
        <f aca="false">IF(ISBLANK($C263),"",IF(K263=Constants!$B$19,Constants!$B$19,Constants!$B$18))</f>
        <v/>
      </c>
      <c r="AB263" s="87" t="str">
        <f aca="false">IF(ISBLANK($C263),"",IF(ISNUMBER(L263),IF(L263&gt;=0,L263,""),""))</f>
        <v/>
      </c>
      <c r="AC263" s="87" t="str">
        <f aca="false">IF(ISBLANK($C263),"",IF(M263=Constants!$B$19,Constants!$B$19,Constants!$B$18))</f>
        <v/>
      </c>
      <c r="AD263" s="87" t="str">
        <f aca="false">IF(ISBLANK($C263),"",IF(ISNUMBER(N263),IF(N263&gt;=0,N263,""),""))</f>
        <v/>
      </c>
      <c r="AE263" s="87" t="str">
        <f aca="false">IF(ISBLANK($C263),"",IF(O263=Constants!$B$19,Constants!$B$19,Constants!$B$18))</f>
        <v/>
      </c>
      <c r="AF263" s="87" t="str">
        <f aca="false">IF(ISBLANK($C263),"",IF(ISNUMBER(P263),IF(P263&gt;=0,P263,""),""))</f>
        <v/>
      </c>
      <c r="AG263" s="87" t="str">
        <f aca="false">IF(ISBLANK($C263),"",IF(Q263=Constants!$B$19,Constants!$B$19,Constants!$B$18))</f>
        <v/>
      </c>
      <c r="AH263" s="87" t="str">
        <f aca="false">IF(ISBLANK($C263),"",IF(ISNUMBER(R263),IF(R263&gt;=0,R263,""),""))</f>
        <v/>
      </c>
      <c r="AI263" s="87" t="str">
        <f aca="false">IF(ISBLANK($C263),"",IF(S263=Constants!$B$2, TRUE(), IF(S263=Constants!$B$3, FALSE(), FALSE())))</f>
        <v/>
      </c>
      <c r="AJ263" s="87" t="str">
        <f aca="false">IF(ISBLANK($C263),"",IF(AI263,Constants!$B$4,IF(COUNTA(E263:R263)=0,Constants!$B$5,IF(COUNTA(J263,L263,N263,P263,R263)=0,Constants!$B$6,Constants!$B$7))))</f>
        <v/>
      </c>
      <c r="AK263" s="87" t="str">
        <f aca="false">IF(ISBLANK($C263),"",IF($AJ263&lt;&gt;Constants!$B$7,$AJ263,IF(OR(NOT(X263),AND(NOT(U263),COUNTIFS(Y263:AG263,Constants!$B$18,Z263:AH263,"&gt;=0")&gt;0),AND(NOT(V263),COUNTIFS(Y263:AG263,Constants!$B$19,Z263:AH263,"&gt;=0")&gt;0)),Constants!$B$12,Constants!$B$11)))</f>
        <v/>
      </c>
      <c r="AL263" s="87" t="str">
        <f aca="false">IF($AJ263=Constants!$B$7,IF(Z263="",Constants!$B$13,Z263),"")</f>
        <v/>
      </c>
      <c r="AM263" s="87" t="str">
        <f aca="false">IF($AJ263=Constants!$B$7,IF(AB263="",Constants!$B$13,AB263),"")</f>
        <v/>
      </c>
      <c r="AN263" s="87" t="str">
        <f aca="false">IF($AJ263=Constants!$B$7,IF(AD263="",Constants!$B$13,AD263),"")</f>
        <v/>
      </c>
      <c r="AO263" s="87" t="str">
        <f aca="false">IF($AJ263=Constants!$B$7,IF(AF263="",Constants!$B$13,AF263),"")</f>
        <v/>
      </c>
      <c r="AP263" s="87" t="str">
        <f aca="false">IF($AJ263=Constants!$B$7,IF(AH263="",Constants!$B$13,AH263),"")</f>
        <v/>
      </c>
      <c r="AQ263" s="87" t="str">
        <f aca="false">IF($AJ263=Constants!$B$7,IF(SUMPRODUCT(--($AL263:$AP263&gt;AL263))+SUMPRODUCT(--($AL263:AL263=AL263))=1,1,IF(SUMPRODUCT(--($AL263:$AP263&gt;AM263))+SUMPRODUCT(--($AL263:AM263=AM263))=1,2,IF(SUMPRODUCT(--($AL263:$AP263&gt;AN263))+SUMPRODUCT(--($AL263:AN263=AN263))=1,3,IF(SUMPRODUCT(--($AL263:$AP263&gt;AO263))+SUMPRODUCT(--($AL263:AO263=AO263))=1,4,5)))),"")</f>
        <v/>
      </c>
      <c r="AR263" s="87" t="str">
        <f aca="false">IF($AJ263=Constants!$B$7,IF(SUMPRODUCT(--($AL263:$AP263&gt;AL263))+SUMPRODUCT(--($AL263:AL263=AL263))=2,1,IF(SUMPRODUCT(--($AL263:$AP263&gt;AM263))+SUMPRODUCT(--($AL263:AM263=AM263))=2,2,IF(SUMPRODUCT(--($AL263:$AP263&gt;AN263))+SUMPRODUCT(--($AL263:AN263=AN263))=2,3,IF(SUMPRODUCT(--($AL263:$AP263&gt;AO263))+SUMPRODUCT(--($AL263:AO263=AO263))=2,4,5)))),"")</f>
        <v/>
      </c>
      <c r="AS263" s="87" t="str">
        <f aca="false">IF($AJ263=Constants!$B$7,IF(SUMPRODUCT(--($AL263:$AP263&gt;AL263))+SUMPRODUCT(--($AL263:AL263=AL263))=3,1,IF(SUMPRODUCT(--($AL263:$AP263&gt;AM263))+SUMPRODUCT(--($AL263:AM263=AM263))=3,2,IF(SUMPRODUCT(--($AL263:$AP263&gt;AN263))+SUMPRODUCT(--($AL263:AN263=AN263))=3,3,IF(SUMPRODUCT(--($AL263:$AP263&gt;AO263))+SUMPRODUCT(--($AL263:AO263=AO263))=3,4,5)))),"")</f>
        <v/>
      </c>
      <c r="AT263" s="87" t="str">
        <f aca="false">IF($AJ263=Constants!$B$7,LARGE(AL263:AP263,1)+LARGE(AL263:AP263,2)+LARGE(AL263:AP263,3),"")</f>
        <v/>
      </c>
      <c r="AU263" s="87" t="str">
        <f aca="false">IF(ISBLANK($C263),"",IF($AJ263&lt;&gt;Constants!$B$7,$AJ263,AT263*W263))</f>
        <v/>
      </c>
      <c r="AV263" s="87" t="str">
        <f aca="false">IF(ISBLANK($C263),"",IF($AJ263=Constants!$B$7,IF(ISNUMBER(AU263),RANK(AU263,$AU$8:$AU$507),Constants!$B$14),$AJ263))</f>
        <v/>
      </c>
      <c r="AW263" s="87" t="str">
        <f aca="false">IF(ISBLANK($C263),"",IF($AJ263=Constants!$B$7,IF(ISNUMBER(AV263),COUNTIFS($AK$8:$AK$507,"&lt;"&amp;$AK263)+COUNTIFS($AK$8:$AK$507,$AK263,$AV$8:$AV$507,"&lt;"&amp;$AV263)+1,Constants!$B$14),$AJ263))</f>
        <v/>
      </c>
      <c r="AX263" s="87" t="str">
        <f aca="false">IF(ISBLANK($C263),"",IF($AJ263=Constants!$B$7,LARGE(AL263:AP263,4)*W263,""))</f>
        <v/>
      </c>
      <c r="AY263" s="87" t="str">
        <f aca="false">IF(ISBLANK($C263),"",IF($AJ263=Constants!$B$7,RANK(AX263,$AX$8:$AX$507),$AJ263))</f>
        <v/>
      </c>
      <c r="AZ263" s="87" t="str">
        <f aca="false">IF(ISBLANK($C263),"",IF($AJ263=Constants!$B$7,IF(ISNUMBER(AV263),COUNTIFS($AK$8:$AK$507,"&lt;"&amp;$AK263)+COUNTIFS($AK$8:$AK$507,$AK263,$AV$8:$AV$507,"&lt;"&amp;$AV263)+COUNTIFS($AK$8:$AK$507,$AK263,$AV$8:$AV$507,$AV263,$AY$8:$AY$507,"&lt;"&amp;$AY263)+1,Constants!$B$14),$AJ263))</f>
        <v/>
      </c>
      <c r="BA263" s="87" t="str">
        <f aca="false">IF(ISBLANK($C263),"",IF($AJ263=Constants!$B$7,IF(ISNUMBER(AW263),AW263-AZ263,Constants!$B$14),$AJ263))</f>
        <v/>
      </c>
      <c r="BB263" s="88"/>
      <c r="BC263" s="89" t="str">
        <f aca="false">IF(ISBLANK($C263),"",IF($AJ263&lt;&gt;Constants!$B$7,$AJ263,SMALL(AQ263:AS263,1)&amp;", "&amp;SMALL(AQ263:AS263,2)&amp;", "&amp;SMALL(AQ263:AS263,3)))</f>
        <v/>
      </c>
      <c r="BD263" s="90" t="str">
        <f aca="false">IF(ISBLANK($C263),"",IF($AJ263&lt;&gt;Constants!$B$7,$AJ263,W263))</f>
        <v/>
      </c>
      <c r="BE263" s="91" t="str">
        <f aca="false">IF(ISBLANK($C263),"",IF($AJ263&lt;&gt;Constants!$B$7,$AJ263,AU263))</f>
        <v/>
      </c>
      <c r="BF263" s="92" t="str">
        <f aca="false">IF(ISBLANK($C263),"",IF($AJ263&lt;&gt;Constants!$B$7,$AJ263,AK263))</f>
        <v/>
      </c>
      <c r="BG263" s="90" t="str">
        <f aca="false">IF(ISBLANK($C263),"",BA263)</f>
        <v/>
      </c>
      <c r="BH263" s="90" t="str">
        <f aca="false">IF(ISBLANK($C263),"",AZ263)</f>
        <v/>
      </c>
      <c r="BI263" s="93" t="str">
        <f aca="false">IF(ISBLANK($C263),"",IF(BH263=Constants!$B$4,COUNTA($C$8:$C$507)+2,IF(BH263=Constants!$B$5,COUNTA($C$8:$C$507)+1,IF(BH263=Constants!$B$6,COUNTA($C$8:$C$507),BH263))))</f>
        <v/>
      </c>
      <c r="BJ263" s="5"/>
      <c r="BK263" s="94" t="n">
        <f aca="false">IF(OR(ISNUMBER(BH263),BH263=Constants!$B$4,BH263=Constants!$B$6,BH263=Constants!$B$5),1,0)</f>
        <v>0</v>
      </c>
      <c r="BL263" s="94" t="n">
        <v>256</v>
      </c>
      <c r="BM263" s="94" t="str">
        <f aca="false">IF(ISBLANK($C263),"",IF(ISNUMBER(BI263),BI263+ROW($B263)/1000,""))</f>
        <v/>
      </c>
      <c r="BN263" s="94" t="str">
        <f aca="false">IF(ISNUMBER(BM263),RANK(BM263,$BM$8:$BM$507,1),"")</f>
        <v/>
      </c>
      <c r="BO263" s="94" t="str">
        <f aca="false">IF(ISBLANK($C263),"",$B263)</f>
        <v/>
      </c>
      <c r="BP263" s="94" t="str">
        <f aca="false">IF(ISBLANK($C263),"",$C263)</f>
        <v/>
      </c>
      <c r="BQ263" s="94" t="str">
        <f aca="false">IF(ISBLANK($C263),"",$D263)</f>
        <v/>
      </c>
      <c r="BR263" s="95" t="str">
        <f aca="false">BF263</f>
        <v/>
      </c>
      <c r="BS263" s="96" t="str">
        <f aca="false">BE263</f>
        <v/>
      </c>
      <c r="BT263" s="94" t="str">
        <f aca="false">IF(ISBLANK($C263),"",BH263)</f>
        <v/>
      </c>
      <c r="BU263" s="97" t="str">
        <f aca="false">IF($BL263&gt;$BK$7,"",VLOOKUP($BL263,$BN$8:$BT$507,7,FALSE()))</f>
        <v/>
      </c>
      <c r="BV263" s="98" t="str">
        <f aca="false">IF($BL263&gt;$BK$7,"",VLOOKUP($BL263,$BN$8:$BT$507,2,FALSE()))</f>
        <v/>
      </c>
      <c r="BW263" s="98" t="str">
        <f aca="false">IF($BL263&gt;$BK$7,"",VLOOKUP($BL263,$BN$8:$BT$507,3,FALSE()))</f>
        <v/>
      </c>
      <c r="BX263" s="98" t="str">
        <f aca="false">IF($BL263&gt;$BK$7,"",VLOOKUP($BL263,$BN$8:$BT$507,4,FALSE()))</f>
        <v/>
      </c>
      <c r="BY263" s="98" t="str">
        <f aca="false">IF($BL263&gt;$BK$7,"",VLOOKUP($BL263,$BN$8:$BT$507,5,FALSE()))</f>
        <v/>
      </c>
      <c r="BZ263" s="99" t="str">
        <f aca="false">IF($BL263&gt;$BK$7,"",VLOOKUP($BL263,$BN$8:$BT$507,6,FALSE()))</f>
        <v/>
      </c>
      <c r="CA263" s="48"/>
    </row>
    <row r="264" customFormat="false" ht="15.75" hidden="false" customHeight="false" outlineLevel="0" collapsed="false">
      <c r="A264" s="5"/>
      <c r="B264" s="114"/>
      <c r="C264" s="115"/>
      <c r="D264" s="100"/>
      <c r="E264" s="120"/>
      <c r="F264" s="125"/>
      <c r="G264" s="82"/>
      <c r="H264" s="126"/>
      <c r="I264" s="127"/>
      <c r="J264" s="82"/>
      <c r="K264" s="126"/>
      <c r="L264" s="82"/>
      <c r="M264" s="126"/>
      <c r="N264" s="82"/>
      <c r="O264" s="126"/>
      <c r="P264" s="82"/>
      <c r="Q264" s="126"/>
      <c r="R264" s="82"/>
      <c r="S264" s="120"/>
      <c r="T264" s="86"/>
      <c r="U264" s="87" t="str">
        <f aca="false">IF(ISBLANK($C264),"",IF(E264=Constants!$B$2, TRUE(), IF(E264=Constants!$B$3, FALSE(), TRUE())))</f>
        <v/>
      </c>
      <c r="V264" s="87" t="str">
        <f aca="false">IF(ISBLANK($C264),"",IF(F264=Constants!$B$2, TRUE(), IF(F264=Constants!$B$3, FALSE(), TRUE())))</f>
        <v/>
      </c>
      <c r="W264" s="87" t="str">
        <f aca="false">IF(ISBLANK($C264),"",IF(G264=Constants!$B$15,Constants!$B$8,IF(G264=Constants!$B$16,Constants!$B$9,Constants!$B$10)))</f>
        <v/>
      </c>
      <c r="X264" s="87" t="str">
        <f aca="false">IF(ISBLANK($C264),"",IF(H264=Constants!$B$2, TRUE(), IF(H264=Constants!$B$3, FALSE(), TRUE())))</f>
        <v/>
      </c>
      <c r="Y264" s="87" t="str">
        <f aca="false">IF(ISBLANK($C264),"",IF(I264=Constants!$B$19,Constants!$B$19,Constants!$B$18))</f>
        <v/>
      </c>
      <c r="Z264" s="87" t="str">
        <f aca="false">IF(ISBLANK($C264),"",IF(ISNUMBER(J264),IF(J264&gt;=0,J264,""),""))</f>
        <v/>
      </c>
      <c r="AA264" s="87" t="str">
        <f aca="false">IF(ISBLANK($C264),"",IF(K264=Constants!$B$19,Constants!$B$19,Constants!$B$18))</f>
        <v/>
      </c>
      <c r="AB264" s="87" t="str">
        <f aca="false">IF(ISBLANK($C264),"",IF(ISNUMBER(L264),IF(L264&gt;=0,L264,""),""))</f>
        <v/>
      </c>
      <c r="AC264" s="87" t="str">
        <f aca="false">IF(ISBLANK($C264),"",IF(M264=Constants!$B$19,Constants!$B$19,Constants!$B$18))</f>
        <v/>
      </c>
      <c r="AD264" s="87" t="str">
        <f aca="false">IF(ISBLANK($C264),"",IF(ISNUMBER(N264),IF(N264&gt;=0,N264,""),""))</f>
        <v/>
      </c>
      <c r="AE264" s="87" t="str">
        <f aca="false">IF(ISBLANK($C264),"",IF(O264=Constants!$B$19,Constants!$B$19,Constants!$B$18))</f>
        <v/>
      </c>
      <c r="AF264" s="87" t="str">
        <f aca="false">IF(ISBLANK($C264),"",IF(ISNUMBER(P264),IF(P264&gt;=0,P264,""),""))</f>
        <v/>
      </c>
      <c r="AG264" s="87" t="str">
        <f aca="false">IF(ISBLANK($C264),"",IF(Q264=Constants!$B$19,Constants!$B$19,Constants!$B$18))</f>
        <v/>
      </c>
      <c r="AH264" s="87" t="str">
        <f aca="false">IF(ISBLANK($C264),"",IF(ISNUMBER(R264),IF(R264&gt;=0,R264,""),""))</f>
        <v/>
      </c>
      <c r="AI264" s="87" t="str">
        <f aca="false">IF(ISBLANK($C264),"",IF(S264=Constants!$B$2, TRUE(), IF(S264=Constants!$B$3, FALSE(), FALSE())))</f>
        <v/>
      </c>
      <c r="AJ264" s="87" t="str">
        <f aca="false">IF(ISBLANK($C264),"",IF(AI264,Constants!$B$4,IF(COUNTA(E264:R264)=0,Constants!$B$5,IF(COUNTA(J264,L264,N264,P264,R264)=0,Constants!$B$6,Constants!$B$7))))</f>
        <v/>
      </c>
      <c r="AK264" s="87" t="str">
        <f aca="false">IF(ISBLANK($C264),"",IF($AJ264&lt;&gt;Constants!$B$7,$AJ264,IF(OR(NOT(X264),AND(NOT(U264),COUNTIFS(Y264:AG264,Constants!$B$18,Z264:AH264,"&gt;=0")&gt;0),AND(NOT(V264),COUNTIFS(Y264:AG264,Constants!$B$19,Z264:AH264,"&gt;=0")&gt;0)),Constants!$B$12,Constants!$B$11)))</f>
        <v/>
      </c>
      <c r="AL264" s="87" t="str">
        <f aca="false">IF($AJ264=Constants!$B$7,IF(Z264="",Constants!$B$13,Z264),"")</f>
        <v/>
      </c>
      <c r="AM264" s="87" t="str">
        <f aca="false">IF($AJ264=Constants!$B$7,IF(AB264="",Constants!$B$13,AB264),"")</f>
        <v/>
      </c>
      <c r="AN264" s="87" t="str">
        <f aca="false">IF($AJ264=Constants!$B$7,IF(AD264="",Constants!$B$13,AD264),"")</f>
        <v/>
      </c>
      <c r="AO264" s="87" t="str">
        <f aca="false">IF($AJ264=Constants!$B$7,IF(AF264="",Constants!$B$13,AF264),"")</f>
        <v/>
      </c>
      <c r="AP264" s="87" t="str">
        <f aca="false">IF($AJ264=Constants!$B$7,IF(AH264="",Constants!$B$13,AH264),"")</f>
        <v/>
      </c>
      <c r="AQ264" s="87" t="str">
        <f aca="false">IF($AJ264=Constants!$B$7,IF(SUMPRODUCT(--($AL264:$AP264&gt;AL264))+SUMPRODUCT(--($AL264:AL264=AL264))=1,1,IF(SUMPRODUCT(--($AL264:$AP264&gt;AM264))+SUMPRODUCT(--($AL264:AM264=AM264))=1,2,IF(SUMPRODUCT(--($AL264:$AP264&gt;AN264))+SUMPRODUCT(--($AL264:AN264=AN264))=1,3,IF(SUMPRODUCT(--($AL264:$AP264&gt;AO264))+SUMPRODUCT(--($AL264:AO264=AO264))=1,4,5)))),"")</f>
        <v/>
      </c>
      <c r="AR264" s="87" t="str">
        <f aca="false">IF($AJ264=Constants!$B$7,IF(SUMPRODUCT(--($AL264:$AP264&gt;AL264))+SUMPRODUCT(--($AL264:AL264=AL264))=2,1,IF(SUMPRODUCT(--($AL264:$AP264&gt;AM264))+SUMPRODUCT(--($AL264:AM264=AM264))=2,2,IF(SUMPRODUCT(--($AL264:$AP264&gt;AN264))+SUMPRODUCT(--($AL264:AN264=AN264))=2,3,IF(SUMPRODUCT(--($AL264:$AP264&gt;AO264))+SUMPRODUCT(--($AL264:AO264=AO264))=2,4,5)))),"")</f>
        <v/>
      </c>
      <c r="AS264" s="87" t="str">
        <f aca="false">IF($AJ264=Constants!$B$7,IF(SUMPRODUCT(--($AL264:$AP264&gt;AL264))+SUMPRODUCT(--($AL264:AL264=AL264))=3,1,IF(SUMPRODUCT(--($AL264:$AP264&gt;AM264))+SUMPRODUCT(--($AL264:AM264=AM264))=3,2,IF(SUMPRODUCT(--($AL264:$AP264&gt;AN264))+SUMPRODUCT(--($AL264:AN264=AN264))=3,3,IF(SUMPRODUCT(--($AL264:$AP264&gt;AO264))+SUMPRODUCT(--($AL264:AO264=AO264))=3,4,5)))),"")</f>
        <v/>
      </c>
      <c r="AT264" s="87" t="str">
        <f aca="false">IF($AJ264=Constants!$B$7,LARGE(AL264:AP264,1)+LARGE(AL264:AP264,2)+LARGE(AL264:AP264,3),"")</f>
        <v/>
      </c>
      <c r="AU264" s="87" t="str">
        <f aca="false">IF(ISBLANK($C264),"",IF($AJ264&lt;&gt;Constants!$B$7,$AJ264,AT264*W264))</f>
        <v/>
      </c>
      <c r="AV264" s="87" t="str">
        <f aca="false">IF(ISBLANK($C264),"",IF($AJ264=Constants!$B$7,IF(ISNUMBER(AU264),RANK(AU264,$AU$8:$AU$507),Constants!$B$14),$AJ264))</f>
        <v/>
      </c>
      <c r="AW264" s="87" t="str">
        <f aca="false">IF(ISBLANK($C264),"",IF($AJ264=Constants!$B$7,IF(ISNUMBER(AV264),COUNTIFS($AK$8:$AK$507,"&lt;"&amp;$AK264)+COUNTIFS($AK$8:$AK$507,$AK264,$AV$8:$AV$507,"&lt;"&amp;$AV264)+1,Constants!$B$14),$AJ264))</f>
        <v/>
      </c>
      <c r="AX264" s="87" t="str">
        <f aca="false">IF(ISBLANK($C264),"",IF($AJ264=Constants!$B$7,LARGE(AL264:AP264,4)*W264,""))</f>
        <v/>
      </c>
      <c r="AY264" s="87" t="str">
        <f aca="false">IF(ISBLANK($C264),"",IF($AJ264=Constants!$B$7,RANK(AX264,$AX$8:$AX$507),$AJ264))</f>
        <v/>
      </c>
      <c r="AZ264" s="87" t="str">
        <f aca="false">IF(ISBLANK($C264),"",IF($AJ264=Constants!$B$7,IF(ISNUMBER(AV264),COUNTIFS($AK$8:$AK$507,"&lt;"&amp;$AK264)+COUNTIFS($AK$8:$AK$507,$AK264,$AV$8:$AV$507,"&lt;"&amp;$AV264)+COUNTIFS($AK$8:$AK$507,$AK264,$AV$8:$AV$507,$AV264,$AY$8:$AY$507,"&lt;"&amp;$AY264)+1,Constants!$B$14),$AJ264))</f>
        <v/>
      </c>
      <c r="BA264" s="87" t="str">
        <f aca="false">IF(ISBLANK($C264),"",IF($AJ264=Constants!$B$7,IF(ISNUMBER(AW264),AW264-AZ264,Constants!$B$14),$AJ264))</f>
        <v/>
      </c>
      <c r="BB264" s="88"/>
      <c r="BC264" s="89" t="str">
        <f aca="false">IF(ISBLANK($C264),"",IF($AJ264&lt;&gt;Constants!$B$7,$AJ264,SMALL(AQ264:AS264,1)&amp;", "&amp;SMALL(AQ264:AS264,2)&amp;", "&amp;SMALL(AQ264:AS264,3)))</f>
        <v/>
      </c>
      <c r="BD264" s="90" t="str">
        <f aca="false">IF(ISBLANK($C264),"",IF($AJ264&lt;&gt;Constants!$B$7,$AJ264,W264))</f>
        <v/>
      </c>
      <c r="BE264" s="91" t="str">
        <f aca="false">IF(ISBLANK($C264),"",IF($AJ264&lt;&gt;Constants!$B$7,$AJ264,AU264))</f>
        <v/>
      </c>
      <c r="BF264" s="92" t="str">
        <f aca="false">IF(ISBLANK($C264),"",IF($AJ264&lt;&gt;Constants!$B$7,$AJ264,AK264))</f>
        <v/>
      </c>
      <c r="BG264" s="90" t="str">
        <f aca="false">IF(ISBLANK($C264),"",BA264)</f>
        <v/>
      </c>
      <c r="BH264" s="90" t="str">
        <f aca="false">IF(ISBLANK($C264),"",AZ264)</f>
        <v/>
      </c>
      <c r="BI264" s="93" t="str">
        <f aca="false">IF(ISBLANK($C264),"",IF(BH264=Constants!$B$4,COUNTA($C$8:$C$507)+2,IF(BH264=Constants!$B$5,COUNTA($C$8:$C$507)+1,IF(BH264=Constants!$B$6,COUNTA($C$8:$C$507),BH264))))</f>
        <v/>
      </c>
      <c r="BJ264" s="5"/>
      <c r="BK264" s="94" t="n">
        <f aca="false">IF(OR(ISNUMBER(BH264),BH264=Constants!$B$4,BH264=Constants!$B$6,BH264=Constants!$B$5),1,0)</f>
        <v>0</v>
      </c>
      <c r="BL264" s="94" t="n">
        <v>257</v>
      </c>
      <c r="BM264" s="94" t="str">
        <f aca="false">IF(ISBLANK($C264),"",IF(ISNUMBER(BI264),BI264+ROW($B264)/1000,""))</f>
        <v/>
      </c>
      <c r="BN264" s="94" t="str">
        <f aca="false">IF(ISNUMBER(BM264),RANK(BM264,$BM$8:$BM$507,1),"")</f>
        <v/>
      </c>
      <c r="BO264" s="94" t="str">
        <f aca="false">IF(ISBLANK($C264),"",$B264)</f>
        <v/>
      </c>
      <c r="BP264" s="94" t="str">
        <f aca="false">IF(ISBLANK($C264),"",$C264)</f>
        <v/>
      </c>
      <c r="BQ264" s="94" t="str">
        <f aca="false">IF(ISBLANK($C264),"",$D264)</f>
        <v/>
      </c>
      <c r="BR264" s="95" t="str">
        <f aca="false">BF264</f>
        <v/>
      </c>
      <c r="BS264" s="96" t="str">
        <f aca="false">BE264</f>
        <v/>
      </c>
      <c r="BT264" s="94" t="str">
        <f aca="false">IF(ISBLANK($C264),"",BH264)</f>
        <v/>
      </c>
      <c r="BU264" s="97" t="str">
        <f aca="false">IF($BL264&gt;$BK$7,"",VLOOKUP($BL264,$BN$8:$BT$507,7,FALSE()))</f>
        <v/>
      </c>
      <c r="BV264" s="98" t="str">
        <f aca="false">IF($BL264&gt;$BK$7,"",VLOOKUP($BL264,$BN$8:$BT$507,2,FALSE()))</f>
        <v/>
      </c>
      <c r="BW264" s="98" t="str">
        <f aca="false">IF($BL264&gt;$BK$7,"",VLOOKUP($BL264,$BN$8:$BT$507,3,FALSE()))</f>
        <v/>
      </c>
      <c r="BX264" s="98" t="str">
        <f aca="false">IF($BL264&gt;$BK$7,"",VLOOKUP($BL264,$BN$8:$BT$507,4,FALSE()))</f>
        <v/>
      </c>
      <c r="BY264" s="98" t="str">
        <f aca="false">IF($BL264&gt;$BK$7,"",VLOOKUP($BL264,$BN$8:$BT$507,5,FALSE()))</f>
        <v/>
      </c>
      <c r="BZ264" s="99" t="str">
        <f aca="false">IF($BL264&gt;$BK$7,"",VLOOKUP($BL264,$BN$8:$BT$507,6,FALSE()))</f>
        <v/>
      </c>
      <c r="CA264" s="48"/>
    </row>
    <row r="265" customFormat="false" ht="15.75" hidden="false" customHeight="false" outlineLevel="0" collapsed="false">
      <c r="A265" s="5"/>
      <c r="B265" s="114"/>
      <c r="C265" s="115"/>
      <c r="D265" s="100"/>
      <c r="E265" s="120"/>
      <c r="F265" s="125"/>
      <c r="G265" s="82"/>
      <c r="H265" s="126"/>
      <c r="I265" s="127"/>
      <c r="J265" s="82"/>
      <c r="K265" s="126"/>
      <c r="L265" s="82"/>
      <c r="M265" s="126"/>
      <c r="N265" s="82"/>
      <c r="O265" s="126"/>
      <c r="P265" s="82"/>
      <c r="Q265" s="126"/>
      <c r="R265" s="82"/>
      <c r="S265" s="120"/>
      <c r="T265" s="86"/>
      <c r="U265" s="87" t="str">
        <f aca="false">IF(ISBLANK($C265),"",IF(E265=Constants!$B$2, TRUE(), IF(E265=Constants!$B$3, FALSE(), TRUE())))</f>
        <v/>
      </c>
      <c r="V265" s="87" t="str">
        <f aca="false">IF(ISBLANK($C265),"",IF(F265=Constants!$B$2, TRUE(), IF(F265=Constants!$B$3, FALSE(), TRUE())))</f>
        <v/>
      </c>
      <c r="W265" s="87" t="str">
        <f aca="false">IF(ISBLANK($C265),"",IF(G265=Constants!$B$15,Constants!$B$8,IF(G265=Constants!$B$16,Constants!$B$9,Constants!$B$10)))</f>
        <v/>
      </c>
      <c r="X265" s="87" t="str">
        <f aca="false">IF(ISBLANK($C265),"",IF(H265=Constants!$B$2, TRUE(), IF(H265=Constants!$B$3, FALSE(), TRUE())))</f>
        <v/>
      </c>
      <c r="Y265" s="87" t="str">
        <f aca="false">IF(ISBLANK($C265),"",IF(I265=Constants!$B$19,Constants!$B$19,Constants!$B$18))</f>
        <v/>
      </c>
      <c r="Z265" s="87" t="str">
        <f aca="false">IF(ISBLANK($C265),"",IF(ISNUMBER(J265),IF(J265&gt;=0,J265,""),""))</f>
        <v/>
      </c>
      <c r="AA265" s="87" t="str">
        <f aca="false">IF(ISBLANK($C265),"",IF(K265=Constants!$B$19,Constants!$B$19,Constants!$B$18))</f>
        <v/>
      </c>
      <c r="AB265" s="87" t="str">
        <f aca="false">IF(ISBLANK($C265),"",IF(ISNUMBER(L265),IF(L265&gt;=0,L265,""),""))</f>
        <v/>
      </c>
      <c r="AC265" s="87" t="str">
        <f aca="false">IF(ISBLANK($C265),"",IF(M265=Constants!$B$19,Constants!$B$19,Constants!$B$18))</f>
        <v/>
      </c>
      <c r="AD265" s="87" t="str">
        <f aca="false">IF(ISBLANK($C265),"",IF(ISNUMBER(N265),IF(N265&gt;=0,N265,""),""))</f>
        <v/>
      </c>
      <c r="AE265" s="87" t="str">
        <f aca="false">IF(ISBLANK($C265),"",IF(O265=Constants!$B$19,Constants!$B$19,Constants!$B$18))</f>
        <v/>
      </c>
      <c r="AF265" s="87" t="str">
        <f aca="false">IF(ISBLANK($C265),"",IF(ISNUMBER(P265),IF(P265&gt;=0,P265,""),""))</f>
        <v/>
      </c>
      <c r="AG265" s="87" t="str">
        <f aca="false">IF(ISBLANK($C265),"",IF(Q265=Constants!$B$19,Constants!$B$19,Constants!$B$18))</f>
        <v/>
      </c>
      <c r="AH265" s="87" t="str">
        <f aca="false">IF(ISBLANK($C265),"",IF(ISNUMBER(R265),IF(R265&gt;=0,R265,""),""))</f>
        <v/>
      </c>
      <c r="AI265" s="87" t="str">
        <f aca="false">IF(ISBLANK($C265),"",IF(S265=Constants!$B$2, TRUE(), IF(S265=Constants!$B$3, FALSE(), FALSE())))</f>
        <v/>
      </c>
      <c r="AJ265" s="87" t="str">
        <f aca="false">IF(ISBLANK($C265),"",IF(AI265,Constants!$B$4,IF(COUNTA(E265:R265)=0,Constants!$B$5,IF(COUNTA(J265,L265,N265,P265,R265)=0,Constants!$B$6,Constants!$B$7))))</f>
        <v/>
      </c>
      <c r="AK265" s="87" t="str">
        <f aca="false">IF(ISBLANK($C265),"",IF($AJ265&lt;&gt;Constants!$B$7,$AJ265,IF(OR(NOT(X265),AND(NOT(U265),COUNTIFS(Y265:AG265,Constants!$B$18,Z265:AH265,"&gt;=0")&gt;0),AND(NOT(V265),COUNTIFS(Y265:AG265,Constants!$B$19,Z265:AH265,"&gt;=0")&gt;0)),Constants!$B$12,Constants!$B$11)))</f>
        <v/>
      </c>
      <c r="AL265" s="87" t="str">
        <f aca="false">IF($AJ265=Constants!$B$7,IF(Z265="",Constants!$B$13,Z265),"")</f>
        <v/>
      </c>
      <c r="AM265" s="87" t="str">
        <f aca="false">IF($AJ265=Constants!$B$7,IF(AB265="",Constants!$B$13,AB265),"")</f>
        <v/>
      </c>
      <c r="AN265" s="87" t="str">
        <f aca="false">IF($AJ265=Constants!$B$7,IF(AD265="",Constants!$B$13,AD265),"")</f>
        <v/>
      </c>
      <c r="AO265" s="87" t="str">
        <f aca="false">IF($AJ265=Constants!$B$7,IF(AF265="",Constants!$B$13,AF265),"")</f>
        <v/>
      </c>
      <c r="AP265" s="87" t="str">
        <f aca="false">IF($AJ265=Constants!$B$7,IF(AH265="",Constants!$B$13,AH265),"")</f>
        <v/>
      </c>
      <c r="AQ265" s="87" t="str">
        <f aca="false">IF($AJ265=Constants!$B$7,IF(SUMPRODUCT(--($AL265:$AP265&gt;AL265))+SUMPRODUCT(--($AL265:AL265=AL265))=1,1,IF(SUMPRODUCT(--($AL265:$AP265&gt;AM265))+SUMPRODUCT(--($AL265:AM265=AM265))=1,2,IF(SUMPRODUCT(--($AL265:$AP265&gt;AN265))+SUMPRODUCT(--($AL265:AN265=AN265))=1,3,IF(SUMPRODUCT(--($AL265:$AP265&gt;AO265))+SUMPRODUCT(--($AL265:AO265=AO265))=1,4,5)))),"")</f>
        <v/>
      </c>
      <c r="AR265" s="87" t="str">
        <f aca="false">IF($AJ265=Constants!$B$7,IF(SUMPRODUCT(--($AL265:$AP265&gt;AL265))+SUMPRODUCT(--($AL265:AL265=AL265))=2,1,IF(SUMPRODUCT(--($AL265:$AP265&gt;AM265))+SUMPRODUCT(--($AL265:AM265=AM265))=2,2,IF(SUMPRODUCT(--($AL265:$AP265&gt;AN265))+SUMPRODUCT(--($AL265:AN265=AN265))=2,3,IF(SUMPRODUCT(--($AL265:$AP265&gt;AO265))+SUMPRODUCT(--($AL265:AO265=AO265))=2,4,5)))),"")</f>
        <v/>
      </c>
      <c r="AS265" s="87" t="str">
        <f aca="false">IF($AJ265=Constants!$B$7,IF(SUMPRODUCT(--($AL265:$AP265&gt;AL265))+SUMPRODUCT(--($AL265:AL265=AL265))=3,1,IF(SUMPRODUCT(--($AL265:$AP265&gt;AM265))+SUMPRODUCT(--($AL265:AM265=AM265))=3,2,IF(SUMPRODUCT(--($AL265:$AP265&gt;AN265))+SUMPRODUCT(--($AL265:AN265=AN265))=3,3,IF(SUMPRODUCT(--($AL265:$AP265&gt;AO265))+SUMPRODUCT(--($AL265:AO265=AO265))=3,4,5)))),"")</f>
        <v/>
      </c>
      <c r="AT265" s="87" t="str">
        <f aca="false">IF($AJ265=Constants!$B$7,LARGE(AL265:AP265,1)+LARGE(AL265:AP265,2)+LARGE(AL265:AP265,3),"")</f>
        <v/>
      </c>
      <c r="AU265" s="87" t="str">
        <f aca="false">IF(ISBLANK($C265),"",IF($AJ265&lt;&gt;Constants!$B$7,$AJ265,AT265*W265))</f>
        <v/>
      </c>
      <c r="AV265" s="87" t="str">
        <f aca="false">IF(ISBLANK($C265),"",IF($AJ265=Constants!$B$7,IF(ISNUMBER(AU265),RANK(AU265,$AU$8:$AU$507),Constants!$B$14),$AJ265))</f>
        <v/>
      </c>
      <c r="AW265" s="87" t="str">
        <f aca="false">IF(ISBLANK($C265),"",IF($AJ265=Constants!$B$7,IF(ISNUMBER(AV265),COUNTIFS($AK$8:$AK$507,"&lt;"&amp;$AK265)+COUNTIFS($AK$8:$AK$507,$AK265,$AV$8:$AV$507,"&lt;"&amp;$AV265)+1,Constants!$B$14),$AJ265))</f>
        <v/>
      </c>
      <c r="AX265" s="87" t="str">
        <f aca="false">IF(ISBLANK($C265),"",IF($AJ265=Constants!$B$7,LARGE(AL265:AP265,4)*W265,""))</f>
        <v/>
      </c>
      <c r="AY265" s="87" t="str">
        <f aca="false">IF(ISBLANK($C265),"",IF($AJ265=Constants!$B$7,RANK(AX265,$AX$8:$AX$507),$AJ265))</f>
        <v/>
      </c>
      <c r="AZ265" s="87" t="str">
        <f aca="false">IF(ISBLANK($C265),"",IF($AJ265=Constants!$B$7,IF(ISNUMBER(AV265),COUNTIFS($AK$8:$AK$507,"&lt;"&amp;$AK265)+COUNTIFS($AK$8:$AK$507,$AK265,$AV$8:$AV$507,"&lt;"&amp;$AV265)+COUNTIFS($AK$8:$AK$507,$AK265,$AV$8:$AV$507,$AV265,$AY$8:$AY$507,"&lt;"&amp;$AY265)+1,Constants!$B$14),$AJ265))</f>
        <v/>
      </c>
      <c r="BA265" s="87" t="str">
        <f aca="false">IF(ISBLANK($C265),"",IF($AJ265=Constants!$B$7,IF(ISNUMBER(AW265),AW265-AZ265,Constants!$B$14),$AJ265))</f>
        <v/>
      </c>
      <c r="BB265" s="88"/>
      <c r="BC265" s="89" t="str">
        <f aca="false">IF(ISBLANK($C265),"",IF($AJ265&lt;&gt;Constants!$B$7,$AJ265,SMALL(AQ265:AS265,1)&amp;", "&amp;SMALL(AQ265:AS265,2)&amp;", "&amp;SMALL(AQ265:AS265,3)))</f>
        <v/>
      </c>
      <c r="BD265" s="90" t="str">
        <f aca="false">IF(ISBLANK($C265),"",IF($AJ265&lt;&gt;Constants!$B$7,$AJ265,W265))</f>
        <v/>
      </c>
      <c r="BE265" s="91" t="str">
        <f aca="false">IF(ISBLANK($C265),"",IF($AJ265&lt;&gt;Constants!$B$7,$AJ265,AU265))</f>
        <v/>
      </c>
      <c r="BF265" s="92" t="str">
        <f aca="false">IF(ISBLANK($C265),"",IF($AJ265&lt;&gt;Constants!$B$7,$AJ265,AK265))</f>
        <v/>
      </c>
      <c r="BG265" s="90" t="str">
        <f aca="false">IF(ISBLANK($C265),"",BA265)</f>
        <v/>
      </c>
      <c r="BH265" s="90" t="str">
        <f aca="false">IF(ISBLANK($C265),"",AZ265)</f>
        <v/>
      </c>
      <c r="BI265" s="93" t="str">
        <f aca="false">IF(ISBLANK($C265),"",IF(BH265=Constants!$B$4,COUNTA($C$8:$C$507)+2,IF(BH265=Constants!$B$5,COUNTA($C$8:$C$507)+1,IF(BH265=Constants!$B$6,COUNTA($C$8:$C$507),BH265))))</f>
        <v/>
      </c>
      <c r="BJ265" s="5"/>
      <c r="BK265" s="94" t="n">
        <f aca="false">IF(OR(ISNUMBER(BH265),BH265=Constants!$B$4,BH265=Constants!$B$6,BH265=Constants!$B$5),1,0)</f>
        <v>0</v>
      </c>
      <c r="BL265" s="94" t="n">
        <v>258</v>
      </c>
      <c r="BM265" s="94" t="str">
        <f aca="false">IF(ISBLANK($C265),"",IF(ISNUMBER(BI265),BI265+ROW($B265)/1000,""))</f>
        <v/>
      </c>
      <c r="BN265" s="94" t="str">
        <f aca="false">IF(ISNUMBER(BM265),RANK(BM265,$BM$8:$BM$507,1),"")</f>
        <v/>
      </c>
      <c r="BO265" s="94" t="str">
        <f aca="false">IF(ISBLANK($C265),"",$B265)</f>
        <v/>
      </c>
      <c r="BP265" s="94" t="str">
        <f aca="false">IF(ISBLANK($C265),"",$C265)</f>
        <v/>
      </c>
      <c r="BQ265" s="94" t="str">
        <f aca="false">IF(ISBLANK($C265),"",$D265)</f>
        <v/>
      </c>
      <c r="BR265" s="95" t="str">
        <f aca="false">BF265</f>
        <v/>
      </c>
      <c r="BS265" s="96" t="str">
        <f aca="false">BE265</f>
        <v/>
      </c>
      <c r="BT265" s="94" t="str">
        <f aca="false">IF(ISBLANK($C265),"",BH265)</f>
        <v/>
      </c>
      <c r="BU265" s="97" t="str">
        <f aca="false">IF($BL265&gt;$BK$7,"",VLOOKUP($BL265,$BN$8:$BT$507,7,FALSE()))</f>
        <v/>
      </c>
      <c r="BV265" s="98" t="str">
        <f aca="false">IF($BL265&gt;$BK$7,"",VLOOKUP($BL265,$BN$8:$BT$507,2,FALSE()))</f>
        <v/>
      </c>
      <c r="BW265" s="98" t="str">
        <f aca="false">IF($BL265&gt;$BK$7,"",VLOOKUP($BL265,$BN$8:$BT$507,3,FALSE()))</f>
        <v/>
      </c>
      <c r="BX265" s="98" t="str">
        <f aca="false">IF($BL265&gt;$BK$7,"",VLOOKUP($BL265,$BN$8:$BT$507,4,FALSE()))</f>
        <v/>
      </c>
      <c r="BY265" s="98" t="str">
        <f aca="false">IF($BL265&gt;$BK$7,"",VLOOKUP($BL265,$BN$8:$BT$507,5,FALSE()))</f>
        <v/>
      </c>
      <c r="BZ265" s="99" t="str">
        <f aca="false">IF($BL265&gt;$BK$7,"",VLOOKUP($BL265,$BN$8:$BT$507,6,FALSE()))</f>
        <v/>
      </c>
      <c r="CA265" s="48"/>
    </row>
    <row r="266" customFormat="false" ht="15.75" hidden="false" customHeight="false" outlineLevel="0" collapsed="false">
      <c r="A266" s="5"/>
      <c r="B266" s="121"/>
      <c r="C266" s="50"/>
      <c r="D266" s="51"/>
      <c r="E266" s="74"/>
      <c r="F266" s="122"/>
      <c r="G266" s="54"/>
      <c r="H266" s="123"/>
      <c r="I266" s="124"/>
      <c r="J266" s="54"/>
      <c r="K266" s="123"/>
      <c r="L266" s="54"/>
      <c r="M266" s="123"/>
      <c r="N266" s="54"/>
      <c r="O266" s="123"/>
      <c r="P266" s="54"/>
      <c r="Q266" s="123"/>
      <c r="R266" s="54"/>
      <c r="S266" s="74"/>
      <c r="T266" s="58"/>
      <c r="U266" s="59" t="str">
        <f aca="false">IF(ISBLANK($C266),"",IF(E266=Constants!$B$2, TRUE(), IF(E266=Constants!$B$3, FALSE(), TRUE())))</f>
        <v/>
      </c>
      <c r="V266" s="59" t="str">
        <f aca="false">IF(ISBLANK($C266),"",IF(F266=Constants!$B$2, TRUE(), IF(F266=Constants!$B$3, FALSE(), TRUE())))</f>
        <v/>
      </c>
      <c r="W266" s="59" t="str">
        <f aca="false">IF(ISBLANK($C266),"",IF(G266=Constants!$B$15,Constants!$B$8,IF(G266=Constants!$B$16,Constants!$B$9,Constants!$B$10)))</f>
        <v/>
      </c>
      <c r="X266" s="59" t="str">
        <f aca="false">IF(ISBLANK($C266),"",IF(H266=Constants!$B$2, TRUE(), IF(H266=Constants!$B$3, FALSE(), TRUE())))</f>
        <v/>
      </c>
      <c r="Y266" s="59" t="str">
        <f aca="false">IF(ISBLANK($C266),"",IF(I266=Constants!$B$19,Constants!$B$19,Constants!$B$18))</f>
        <v/>
      </c>
      <c r="Z266" s="59" t="str">
        <f aca="false">IF(ISBLANK($C266),"",IF(ISNUMBER(J266),IF(J266&gt;=0,J266,""),""))</f>
        <v/>
      </c>
      <c r="AA266" s="59" t="str">
        <f aca="false">IF(ISBLANK($C266),"",IF(K266=Constants!$B$19,Constants!$B$19,Constants!$B$18))</f>
        <v/>
      </c>
      <c r="AB266" s="59" t="str">
        <f aca="false">IF(ISBLANK($C266),"",IF(ISNUMBER(L266),IF(L266&gt;=0,L266,""),""))</f>
        <v/>
      </c>
      <c r="AC266" s="59" t="str">
        <f aca="false">IF(ISBLANK($C266),"",IF(M266=Constants!$B$19,Constants!$B$19,Constants!$B$18))</f>
        <v/>
      </c>
      <c r="AD266" s="59" t="str">
        <f aca="false">IF(ISBLANK($C266),"",IF(ISNUMBER(N266),IF(N266&gt;=0,N266,""),""))</f>
        <v/>
      </c>
      <c r="AE266" s="59" t="str">
        <f aca="false">IF(ISBLANK($C266),"",IF(O266=Constants!$B$19,Constants!$B$19,Constants!$B$18))</f>
        <v/>
      </c>
      <c r="AF266" s="59" t="str">
        <f aca="false">IF(ISBLANK($C266),"",IF(ISNUMBER(P266),IF(P266&gt;=0,P266,""),""))</f>
        <v/>
      </c>
      <c r="AG266" s="59" t="str">
        <f aca="false">IF(ISBLANK($C266),"",IF(Q266=Constants!$B$19,Constants!$B$19,Constants!$B$18))</f>
        <v/>
      </c>
      <c r="AH266" s="59" t="str">
        <f aca="false">IF(ISBLANK($C266),"",IF(ISNUMBER(R266),IF(R266&gt;=0,R266,""),""))</f>
        <v/>
      </c>
      <c r="AI266" s="59" t="str">
        <f aca="false">IF(ISBLANK($C266),"",IF(S266=Constants!$B$2, TRUE(), IF(S266=Constants!$B$3, FALSE(), FALSE())))</f>
        <v/>
      </c>
      <c r="AJ266" s="59" t="str">
        <f aca="false">IF(ISBLANK($C266),"",IF(AI266,Constants!$B$4,IF(COUNTA(E266:R266)=0,Constants!$B$5,IF(COUNTA(J266,L266,N266,P266,R266)=0,Constants!$B$6,Constants!$B$7))))</f>
        <v/>
      </c>
      <c r="AK266" s="59" t="str">
        <f aca="false">IF(ISBLANK($C266),"",IF($AJ266&lt;&gt;Constants!$B$7,$AJ266,IF(OR(NOT(X266),AND(NOT(U266),COUNTIFS(Y266:AG266,Constants!$B$18,Z266:AH266,"&gt;=0")&gt;0),AND(NOT(V266),COUNTIFS(Y266:AG266,Constants!$B$19,Z266:AH266,"&gt;=0")&gt;0)),Constants!$B$12,Constants!$B$11)))</f>
        <v/>
      </c>
      <c r="AL266" s="59" t="str">
        <f aca="false">IF($AJ266=Constants!$B$7,IF(Z266="",Constants!$B$13,Z266),"")</f>
        <v/>
      </c>
      <c r="AM266" s="59" t="str">
        <f aca="false">IF($AJ266=Constants!$B$7,IF(AB266="",Constants!$B$13,AB266),"")</f>
        <v/>
      </c>
      <c r="AN266" s="59" t="str">
        <f aca="false">IF($AJ266=Constants!$B$7,IF(AD266="",Constants!$B$13,AD266),"")</f>
        <v/>
      </c>
      <c r="AO266" s="59" t="str">
        <f aca="false">IF($AJ266=Constants!$B$7,IF(AF266="",Constants!$B$13,AF266),"")</f>
        <v/>
      </c>
      <c r="AP266" s="59" t="str">
        <f aca="false">IF($AJ266=Constants!$B$7,IF(AH266="",Constants!$B$13,AH266),"")</f>
        <v/>
      </c>
      <c r="AQ266" s="59" t="str">
        <f aca="false">IF($AJ266=Constants!$B$7,IF(SUMPRODUCT(--($AL266:$AP266&gt;AL266))+SUMPRODUCT(--($AL266:AL266=AL266))=1,1,IF(SUMPRODUCT(--($AL266:$AP266&gt;AM266))+SUMPRODUCT(--($AL266:AM266=AM266))=1,2,IF(SUMPRODUCT(--($AL266:$AP266&gt;AN266))+SUMPRODUCT(--($AL266:AN266=AN266))=1,3,IF(SUMPRODUCT(--($AL266:$AP266&gt;AO266))+SUMPRODUCT(--($AL266:AO266=AO266))=1,4,5)))),"")</f>
        <v/>
      </c>
      <c r="AR266" s="59" t="str">
        <f aca="false">IF($AJ266=Constants!$B$7,IF(SUMPRODUCT(--($AL266:$AP266&gt;AL266))+SUMPRODUCT(--($AL266:AL266=AL266))=2,1,IF(SUMPRODUCT(--($AL266:$AP266&gt;AM266))+SUMPRODUCT(--($AL266:AM266=AM266))=2,2,IF(SUMPRODUCT(--($AL266:$AP266&gt;AN266))+SUMPRODUCT(--($AL266:AN266=AN266))=2,3,IF(SUMPRODUCT(--($AL266:$AP266&gt;AO266))+SUMPRODUCT(--($AL266:AO266=AO266))=2,4,5)))),"")</f>
        <v/>
      </c>
      <c r="AS266" s="59" t="str">
        <f aca="false">IF($AJ266=Constants!$B$7,IF(SUMPRODUCT(--($AL266:$AP266&gt;AL266))+SUMPRODUCT(--($AL266:AL266=AL266))=3,1,IF(SUMPRODUCT(--($AL266:$AP266&gt;AM266))+SUMPRODUCT(--($AL266:AM266=AM266))=3,2,IF(SUMPRODUCT(--($AL266:$AP266&gt;AN266))+SUMPRODUCT(--($AL266:AN266=AN266))=3,3,IF(SUMPRODUCT(--($AL266:$AP266&gt;AO266))+SUMPRODUCT(--($AL266:AO266=AO266))=3,4,5)))),"")</f>
        <v/>
      </c>
      <c r="AT266" s="59" t="str">
        <f aca="false">IF($AJ266=Constants!$B$7,LARGE(AL266:AP266,1)+LARGE(AL266:AP266,2)+LARGE(AL266:AP266,3),"")</f>
        <v/>
      </c>
      <c r="AU266" s="59" t="str">
        <f aca="false">IF(ISBLANK($C266),"",IF($AJ266&lt;&gt;Constants!$B$7,$AJ266,AT266*W266))</f>
        <v/>
      </c>
      <c r="AV266" s="59" t="str">
        <f aca="false">IF(ISBLANK($C266),"",IF($AJ266=Constants!$B$7,IF(ISNUMBER(AU266),RANK(AU266,$AU$8:$AU$507),Constants!$B$14),$AJ266))</f>
        <v/>
      </c>
      <c r="AW266" s="59" t="str">
        <f aca="false">IF(ISBLANK($C266),"",IF($AJ266=Constants!$B$7,IF(ISNUMBER(AV266),COUNTIFS($AK$8:$AK$507,"&lt;"&amp;$AK266)+COUNTIFS($AK$8:$AK$507,$AK266,$AV$8:$AV$507,"&lt;"&amp;$AV266)+1,Constants!$B$14),$AJ266))</f>
        <v/>
      </c>
      <c r="AX266" s="59" t="str">
        <f aca="false">IF(ISBLANK($C266),"",IF($AJ266=Constants!$B$7,LARGE(AL266:AP266,4)*W266,""))</f>
        <v/>
      </c>
      <c r="AY266" s="59" t="str">
        <f aca="false">IF(ISBLANK($C266),"",IF($AJ266=Constants!$B$7,RANK(AX266,$AX$8:$AX$507),$AJ266))</f>
        <v/>
      </c>
      <c r="AZ266" s="59" t="str">
        <f aca="false">IF(ISBLANK($C266),"",IF($AJ266=Constants!$B$7,IF(ISNUMBER(AV266),COUNTIFS($AK$8:$AK$507,"&lt;"&amp;$AK266)+COUNTIFS($AK$8:$AK$507,$AK266,$AV$8:$AV$507,"&lt;"&amp;$AV266)+COUNTIFS($AK$8:$AK$507,$AK266,$AV$8:$AV$507,$AV266,$AY$8:$AY$507,"&lt;"&amp;$AY266)+1,Constants!$B$14),$AJ266))</f>
        <v/>
      </c>
      <c r="BA266" s="59" t="str">
        <f aca="false">IF(ISBLANK($C266),"",IF($AJ266=Constants!$B$7,IF(ISNUMBER(AW266),AW266-AZ266,Constants!$B$14),$AJ266))</f>
        <v/>
      </c>
      <c r="BB266" s="61"/>
      <c r="BC266" s="62" t="str">
        <f aca="false">IF(ISBLANK($C266),"",IF($AJ266&lt;&gt;Constants!$B$7,$AJ266,SMALL(AQ266:AS266,1)&amp;", "&amp;SMALL(AQ266:AS266,2)&amp;", "&amp;SMALL(AQ266:AS266,3)))</f>
        <v/>
      </c>
      <c r="BD266" s="63" t="str">
        <f aca="false">IF(ISBLANK($C266),"",IF($AJ266&lt;&gt;Constants!$B$7,$AJ266,W266))</f>
        <v/>
      </c>
      <c r="BE266" s="64" t="str">
        <f aca="false">IF(ISBLANK($C266),"",IF($AJ266&lt;&gt;Constants!$B$7,$AJ266,AU266))</f>
        <v/>
      </c>
      <c r="BF266" s="65" t="str">
        <f aca="false">IF(ISBLANK($C266),"",IF($AJ266&lt;&gt;Constants!$B$7,$AJ266,AK266))</f>
        <v/>
      </c>
      <c r="BG266" s="63" t="str">
        <f aca="false">IF(ISBLANK($C266),"",BA266)</f>
        <v/>
      </c>
      <c r="BH266" s="63" t="str">
        <f aca="false">IF(ISBLANK($C266),"",AZ266)</f>
        <v/>
      </c>
      <c r="BI266" s="66" t="str">
        <f aca="false">IF(ISBLANK($C266),"",IF(BH266=Constants!$B$4,COUNTA($C$8:$C$507)+2,IF(BH266=Constants!$B$5,COUNTA($C$8:$C$507)+1,IF(BH266=Constants!$B$6,COUNTA($C$8:$C$507),BH266))))</f>
        <v/>
      </c>
      <c r="BJ266" s="5"/>
      <c r="BK266" s="67" t="n">
        <f aca="false">IF(OR(ISNUMBER(BH266),BH266=Constants!$B$4,BH266=Constants!$B$6,BH266=Constants!$B$5),1,0)</f>
        <v>0</v>
      </c>
      <c r="BL266" s="67" t="n">
        <v>259</v>
      </c>
      <c r="BM266" s="67" t="str">
        <f aca="false">IF(ISBLANK($C266),"",IF(ISNUMBER(BI266),BI266+ROW($B266)/1000,""))</f>
        <v/>
      </c>
      <c r="BN266" s="67" t="str">
        <f aca="false">IF(ISNUMBER(BM266),RANK(BM266,$BM$8:$BM$507,1),"")</f>
        <v/>
      </c>
      <c r="BO266" s="67" t="str">
        <f aca="false">IF(ISBLANK($C266),"",$B266)</f>
        <v/>
      </c>
      <c r="BP266" s="67" t="str">
        <f aca="false">IF(ISBLANK($C266),"",$C266)</f>
        <v/>
      </c>
      <c r="BQ266" s="67" t="str">
        <f aca="false">IF(ISBLANK($C266),"",$D266)</f>
        <v/>
      </c>
      <c r="BR266" s="68" t="str">
        <f aca="false">BF266</f>
        <v/>
      </c>
      <c r="BS266" s="69" t="str">
        <f aca="false">BE266</f>
        <v/>
      </c>
      <c r="BT266" s="67" t="str">
        <f aca="false">IF(ISBLANK($C266),"",BH266)</f>
        <v/>
      </c>
      <c r="BU266" s="70" t="str">
        <f aca="false">IF($BL266&gt;$BK$7,"",VLOOKUP($BL266,$BN$8:$BT$507,7,FALSE()))</f>
        <v/>
      </c>
      <c r="BV266" s="71" t="str">
        <f aca="false">IF($BL266&gt;$BK$7,"",VLOOKUP($BL266,$BN$8:$BT$507,2,FALSE()))</f>
        <v/>
      </c>
      <c r="BW266" s="71" t="str">
        <f aca="false">IF($BL266&gt;$BK$7,"",VLOOKUP($BL266,$BN$8:$BT$507,3,FALSE()))</f>
        <v/>
      </c>
      <c r="BX266" s="71" t="str">
        <f aca="false">IF($BL266&gt;$BK$7,"",VLOOKUP($BL266,$BN$8:$BT$507,4,FALSE()))</f>
        <v/>
      </c>
      <c r="BY266" s="71" t="str">
        <f aca="false">IF($BL266&gt;$BK$7,"",VLOOKUP($BL266,$BN$8:$BT$507,5,FALSE()))</f>
        <v/>
      </c>
      <c r="BZ266" s="72" t="str">
        <f aca="false">IF($BL266&gt;$BK$7,"",VLOOKUP($BL266,$BN$8:$BT$507,6,FALSE()))</f>
        <v/>
      </c>
      <c r="CA266" s="48"/>
    </row>
    <row r="267" customFormat="false" ht="15.75" hidden="false" customHeight="false" outlineLevel="0" collapsed="false">
      <c r="A267" s="5"/>
      <c r="B267" s="121"/>
      <c r="C267" s="50"/>
      <c r="D267" s="51"/>
      <c r="E267" s="74"/>
      <c r="F267" s="122"/>
      <c r="G267" s="54"/>
      <c r="H267" s="123"/>
      <c r="I267" s="124"/>
      <c r="J267" s="54"/>
      <c r="K267" s="123"/>
      <c r="L267" s="54"/>
      <c r="M267" s="123"/>
      <c r="N267" s="54"/>
      <c r="O267" s="123"/>
      <c r="P267" s="54"/>
      <c r="Q267" s="123"/>
      <c r="R267" s="54"/>
      <c r="S267" s="74"/>
      <c r="T267" s="58"/>
      <c r="U267" s="59" t="str">
        <f aca="false">IF(ISBLANK($C267),"",IF(E267=Constants!$B$2, TRUE(), IF(E267=Constants!$B$3, FALSE(), TRUE())))</f>
        <v/>
      </c>
      <c r="V267" s="59" t="str">
        <f aca="false">IF(ISBLANK($C267),"",IF(F267=Constants!$B$2, TRUE(), IF(F267=Constants!$B$3, FALSE(), TRUE())))</f>
        <v/>
      </c>
      <c r="W267" s="59" t="str">
        <f aca="false">IF(ISBLANK($C267),"",IF(G267=Constants!$B$15,Constants!$B$8,IF(G267=Constants!$B$16,Constants!$B$9,Constants!$B$10)))</f>
        <v/>
      </c>
      <c r="X267" s="59" t="str">
        <f aca="false">IF(ISBLANK($C267),"",IF(H267=Constants!$B$2, TRUE(), IF(H267=Constants!$B$3, FALSE(), TRUE())))</f>
        <v/>
      </c>
      <c r="Y267" s="59" t="str">
        <f aca="false">IF(ISBLANK($C267),"",IF(I267=Constants!$B$19,Constants!$B$19,Constants!$B$18))</f>
        <v/>
      </c>
      <c r="Z267" s="59" t="str">
        <f aca="false">IF(ISBLANK($C267),"",IF(ISNUMBER(J267),IF(J267&gt;=0,J267,""),""))</f>
        <v/>
      </c>
      <c r="AA267" s="59" t="str">
        <f aca="false">IF(ISBLANK($C267),"",IF(K267=Constants!$B$19,Constants!$B$19,Constants!$B$18))</f>
        <v/>
      </c>
      <c r="AB267" s="59" t="str">
        <f aca="false">IF(ISBLANK($C267),"",IF(ISNUMBER(L267),IF(L267&gt;=0,L267,""),""))</f>
        <v/>
      </c>
      <c r="AC267" s="59" t="str">
        <f aca="false">IF(ISBLANK($C267),"",IF(M267=Constants!$B$19,Constants!$B$19,Constants!$B$18))</f>
        <v/>
      </c>
      <c r="AD267" s="59" t="str">
        <f aca="false">IF(ISBLANK($C267),"",IF(ISNUMBER(N267),IF(N267&gt;=0,N267,""),""))</f>
        <v/>
      </c>
      <c r="AE267" s="59" t="str">
        <f aca="false">IF(ISBLANK($C267),"",IF(O267=Constants!$B$19,Constants!$B$19,Constants!$B$18))</f>
        <v/>
      </c>
      <c r="AF267" s="59" t="str">
        <f aca="false">IF(ISBLANK($C267),"",IF(ISNUMBER(P267),IF(P267&gt;=0,P267,""),""))</f>
        <v/>
      </c>
      <c r="AG267" s="59" t="str">
        <f aca="false">IF(ISBLANK($C267),"",IF(Q267=Constants!$B$19,Constants!$B$19,Constants!$B$18))</f>
        <v/>
      </c>
      <c r="AH267" s="59" t="str">
        <f aca="false">IF(ISBLANK($C267),"",IF(ISNUMBER(R267),IF(R267&gt;=0,R267,""),""))</f>
        <v/>
      </c>
      <c r="AI267" s="59" t="str">
        <f aca="false">IF(ISBLANK($C267),"",IF(S267=Constants!$B$2, TRUE(), IF(S267=Constants!$B$3, FALSE(), FALSE())))</f>
        <v/>
      </c>
      <c r="AJ267" s="59" t="str">
        <f aca="false">IF(ISBLANK($C267),"",IF(AI267,Constants!$B$4,IF(COUNTA(E267:R267)=0,Constants!$B$5,IF(COUNTA(J267,L267,N267,P267,R267)=0,Constants!$B$6,Constants!$B$7))))</f>
        <v/>
      </c>
      <c r="AK267" s="59" t="str">
        <f aca="false">IF(ISBLANK($C267),"",IF($AJ267&lt;&gt;Constants!$B$7,$AJ267,IF(OR(NOT(X267),AND(NOT(U267),COUNTIFS(Y267:AG267,Constants!$B$18,Z267:AH267,"&gt;=0")&gt;0),AND(NOT(V267),COUNTIFS(Y267:AG267,Constants!$B$19,Z267:AH267,"&gt;=0")&gt;0)),Constants!$B$12,Constants!$B$11)))</f>
        <v/>
      </c>
      <c r="AL267" s="59" t="str">
        <f aca="false">IF($AJ267=Constants!$B$7,IF(Z267="",Constants!$B$13,Z267),"")</f>
        <v/>
      </c>
      <c r="AM267" s="59" t="str">
        <f aca="false">IF($AJ267=Constants!$B$7,IF(AB267="",Constants!$B$13,AB267),"")</f>
        <v/>
      </c>
      <c r="AN267" s="59" t="str">
        <f aca="false">IF($AJ267=Constants!$B$7,IF(AD267="",Constants!$B$13,AD267),"")</f>
        <v/>
      </c>
      <c r="AO267" s="59" t="str">
        <f aca="false">IF($AJ267=Constants!$B$7,IF(AF267="",Constants!$B$13,AF267),"")</f>
        <v/>
      </c>
      <c r="AP267" s="59" t="str">
        <f aca="false">IF($AJ267=Constants!$B$7,IF(AH267="",Constants!$B$13,AH267),"")</f>
        <v/>
      </c>
      <c r="AQ267" s="59" t="str">
        <f aca="false">IF($AJ267=Constants!$B$7,IF(SUMPRODUCT(--($AL267:$AP267&gt;AL267))+SUMPRODUCT(--($AL267:AL267=AL267))=1,1,IF(SUMPRODUCT(--($AL267:$AP267&gt;AM267))+SUMPRODUCT(--($AL267:AM267=AM267))=1,2,IF(SUMPRODUCT(--($AL267:$AP267&gt;AN267))+SUMPRODUCT(--($AL267:AN267=AN267))=1,3,IF(SUMPRODUCT(--($AL267:$AP267&gt;AO267))+SUMPRODUCT(--($AL267:AO267=AO267))=1,4,5)))),"")</f>
        <v/>
      </c>
      <c r="AR267" s="59" t="str">
        <f aca="false">IF($AJ267=Constants!$B$7,IF(SUMPRODUCT(--($AL267:$AP267&gt;AL267))+SUMPRODUCT(--($AL267:AL267=AL267))=2,1,IF(SUMPRODUCT(--($AL267:$AP267&gt;AM267))+SUMPRODUCT(--($AL267:AM267=AM267))=2,2,IF(SUMPRODUCT(--($AL267:$AP267&gt;AN267))+SUMPRODUCT(--($AL267:AN267=AN267))=2,3,IF(SUMPRODUCT(--($AL267:$AP267&gt;AO267))+SUMPRODUCT(--($AL267:AO267=AO267))=2,4,5)))),"")</f>
        <v/>
      </c>
      <c r="AS267" s="59" t="str">
        <f aca="false">IF($AJ267=Constants!$B$7,IF(SUMPRODUCT(--($AL267:$AP267&gt;AL267))+SUMPRODUCT(--($AL267:AL267=AL267))=3,1,IF(SUMPRODUCT(--($AL267:$AP267&gt;AM267))+SUMPRODUCT(--($AL267:AM267=AM267))=3,2,IF(SUMPRODUCT(--($AL267:$AP267&gt;AN267))+SUMPRODUCT(--($AL267:AN267=AN267))=3,3,IF(SUMPRODUCT(--($AL267:$AP267&gt;AO267))+SUMPRODUCT(--($AL267:AO267=AO267))=3,4,5)))),"")</f>
        <v/>
      </c>
      <c r="AT267" s="59" t="str">
        <f aca="false">IF($AJ267=Constants!$B$7,LARGE(AL267:AP267,1)+LARGE(AL267:AP267,2)+LARGE(AL267:AP267,3),"")</f>
        <v/>
      </c>
      <c r="AU267" s="59" t="str">
        <f aca="false">IF(ISBLANK($C267),"",IF($AJ267&lt;&gt;Constants!$B$7,$AJ267,AT267*W267))</f>
        <v/>
      </c>
      <c r="AV267" s="59" t="str">
        <f aca="false">IF(ISBLANK($C267),"",IF($AJ267=Constants!$B$7,IF(ISNUMBER(AU267),RANK(AU267,$AU$8:$AU$507),Constants!$B$14),$AJ267))</f>
        <v/>
      </c>
      <c r="AW267" s="59" t="str">
        <f aca="false">IF(ISBLANK($C267),"",IF($AJ267=Constants!$B$7,IF(ISNUMBER(AV267),COUNTIFS($AK$8:$AK$507,"&lt;"&amp;$AK267)+COUNTIFS($AK$8:$AK$507,$AK267,$AV$8:$AV$507,"&lt;"&amp;$AV267)+1,Constants!$B$14),$AJ267))</f>
        <v/>
      </c>
      <c r="AX267" s="59" t="str">
        <f aca="false">IF(ISBLANK($C267),"",IF($AJ267=Constants!$B$7,LARGE(AL267:AP267,4)*W267,""))</f>
        <v/>
      </c>
      <c r="AY267" s="59" t="str">
        <f aca="false">IF(ISBLANK($C267),"",IF($AJ267=Constants!$B$7,RANK(AX267,$AX$8:$AX$507),$AJ267))</f>
        <v/>
      </c>
      <c r="AZ267" s="59" t="str">
        <f aca="false">IF(ISBLANK($C267),"",IF($AJ267=Constants!$B$7,IF(ISNUMBER(AV267),COUNTIFS($AK$8:$AK$507,"&lt;"&amp;$AK267)+COUNTIFS($AK$8:$AK$507,$AK267,$AV$8:$AV$507,"&lt;"&amp;$AV267)+COUNTIFS($AK$8:$AK$507,$AK267,$AV$8:$AV$507,$AV267,$AY$8:$AY$507,"&lt;"&amp;$AY267)+1,Constants!$B$14),$AJ267))</f>
        <v/>
      </c>
      <c r="BA267" s="59" t="str">
        <f aca="false">IF(ISBLANK($C267),"",IF($AJ267=Constants!$B$7,IF(ISNUMBER(AW267),AW267-AZ267,Constants!$B$14),$AJ267))</f>
        <v/>
      </c>
      <c r="BB267" s="61"/>
      <c r="BC267" s="62" t="str">
        <f aca="false">IF(ISBLANK($C267),"",IF($AJ267&lt;&gt;Constants!$B$7,$AJ267,SMALL(AQ267:AS267,1)&amp;", "&amp;SMALL(AQ267:AS267,2)&amp;", "&amp;SMALL(AQ267:AS267,3)))</f>
        <v/>
      </c>
      <c r="BD267" s="63" t="str">
        <f aca="false">IF(ISBLANK($C267),"",IF($AJ267&lt;&gt;Constants!$B$7,$AJ267,W267))</f>
        <v/>
      </c>
      <c r="BE267" s="64" t="str">
        <f aca="false">IF(ISBLANK($C267),"",IF($AJ267&lt;&gt;Constants!$B$7,$AJ267,AU267))</f>
        <v/>
      </c>
      <c r="BF267" s="65" t="str">
        <f aca="false">IF(ISBLANK($C267),"",IF($AJ267&lt;&gt;Constants!$B$7,$AJ267,AK267))</f>
        <v/>
      </c>
      <c r="BG267" s="63" t="str">
        <f aca="false">IF(ISBLANK($C267),"",BA267)</f>
        <v/>
      </c>
      <c r="BH267" s="63" t="str">
        <f aca="false">IF(ISBLANK($C267),"",AZ267)</f>
        <v/>
      </c>
      <c r="BI267" s="66" t="str">
        <f aca="false">IF(ISBLANK($C267),"",IF(BH267=Constants!$B$4,COUNTA($C$8:$C$507)+2,IF(BH267=Constants!$B$5,COUNTA($C$8:$C$507)+1,IF(BH267=Constants!$B$6,COUNTA($C$8:$C$507),BH267))))</f>
        <v/>
      </c>
      <c r="BJ267" s="5"/>
      <c r="BK267" s="67" t="n">
        <f aca="false">IF(OR(ISNUMBER(BH267),BH267=Constants!$B$4,BH267=Constants!$B$6,BH267=Constants!$B$5),1,0)</f>
        <v>0</v>
      </c>
      <c r="BL267" s="67" t="n">
        <v>260</v>
      </c>
      <c r="BM267" s="67" t="str">
        <f aca="false">IF(ISBLANK($C267),"",IF(ISNUMBER(BI267),BI267+ROW($B267)/1000,""))</f>
        <v/>
      </c>
      <c r="BN267" s="67" t="str">
        <f aca="false">IF(ISNUMBER(BM267),RANK(BM267,$BM$8:$BM$507,1),"")</f>
        <v/>
      </c>
      <c r="BO267" s="67" t="str">
        <f aca="false">IF(ISBLANK($C267),"",$B267)</f>
        <v/>
      </c>
      <c r="BP267" s="67" t="str">
        <f aca="false">IF(ISBLANK($C267),"",$C267)</f>
        <v/>
      </c>
      <c r="BQ267" s="67" t="str">
        <f aca="false">IF(ISBLANK($C267),"",$D267)</f>
        <v/>
      </c>
      <c r="BR267" s="68" t="str">
        <f aca="false">BF267</f>
        <v/>
      </c>
      <c r="BS267" s="69" t="str">
        <f aca="false">BE267</f>
        <v/>
      </c>
      <c r="BT267" s="67" t="str">
        <f aca="false">IF(ISBLANK($C267),"",BH267)</f>
        <v/>
      </c>
      <c r="BU267" s="70" t="str">
        <f aca="false">IF($BL267&gt;$BK$7,"",VLOOKUP($BL267,$BN$8:$BT$507,7,FALSE()))</f>
        <v/>
      </c>
      <c r="BV267" s="71" t="str">
        <f aca="false">IF($BL267&gt;$BK$7,"",VLOOKUP($BL267,$BN$8:$BT$507,2,FALSE()))</f>
        <v/>
      </c>
      <c r="BW267" s="71" t="str">
        <f aca="false">IF($BL267&gt;$BK$7,"",VLOOKUP($BL267,$BN$8:$BT$507,3,FALSE()))</f>
        <v/>
      </c>
      <c r="BX267" s="71" t="str">
        <f aca="false">IF($BL267&gt;$BK$7,"",VLOOKUP($BL267,$BN$8:$BT$507,4,FALSE()))</f>
        <v/>
      </c>
      <c r="BY267" s="71" t="str">
        <f aca="false">IF($BL267&gt;$BK$7,"",VLOOKUP($BL267,$BN$8:$BT$507,5,FALSE()))</f>
        <v/>
      </c>
      <c r="BZ267" s="72" t="str">
        <f aca="false">IF($BL267&gt;$BK$7,"",VLOOKUP($BL267,$BN$8:$BT$507,6,FALSE()))</f>
        <v/>
      </c>
      <c r="CA267" s="48"/>
    </row>
    <row r="268" customFormat="false" ht="15.75" hidden="false" customHeight="false" outlineLevel="0" collapsed="false">
      <c r="A268" s="5"/>
      <c r="B268" s="121"/>
      <c r="C268" s="50"/>
      <c r="D268" s="51"/>
      <c r="E268" s="74"/>
      <c r="F268" s="122"/>
      <c r="G268" s="54"/>
      <c r="H268" s="123"/>
      <c r="I268" s="124"/>
      <c r="J268" s="54"/>
      <c r="K268" s="123"/>
      <c r="L268" s="54"/>
      <c r="M268" s="123"/>
      <c r="N268" s="54"/>
      <c r="O268" s="123"/>
      <c r="P268" s="54"/>
      <c r="Q268" s="123"/>
      <c r="R268" s="54"/>
      <c r="S268" s="74"/>
      <c r="T268" s="58"/>
      <c r="U268" s="59" t="str">
        <f aca="false">IF(ISBLANK($C268),"",IF(E268=Constants!$B$2, TRUE(), IF(E268=Constants!$B$3, FALSE(), TRUE())))</f>
        <v/>
      </c>
      <c r="V268" s="59" t="str">
        <f aca="false">IF(ISBLANK($C268),"",IF(F268=Constants!$B$2, TRUE(), IF(F268=Constants!$B$3, FALSE(), TRUE())))</f>
        <v/>
      </c>
      <c r="W268" s="59" t="str">
        <f aca="false">IF(ISBLANK($C268),"",IF(G268=Constants!$B$15,Constants!$B$8,IF(G268=Constants!$B$16,Constants!$B$9,Constants!$B$10)))</f>
        <v/>
      </c>
      <c r="X268" s="59" t="str">
        <f aca="false">IF(ISBLANK($C268),"",IF(H268=Constants!$B$2, TRUE(), IF(H268=Constants!$B$3, FALSE(), TRUE())))</f>
        <v/>
      </c>
      <c r="Y268" s="59" t="str">
        <f aca="false">IF(ISBLANK($C268),"",IF(I268=Constants!$B$19,Constants!$B$19,Constants!$B$18))</f>
        <v/>
      </c>
      <c r="Z268" s="59" t="str">
        <f aca="false">IF(ISBLANK($C268),"",IF(ISNUMBER(J268),IF(J268&gt;=0,J268,""),""))</f>
        <v/>
      </c>
      <c r="AA268" s="59" t="str">
        <f aca="false">IF(ISBLANK($C268),"",IF(K268=Constants!$B$19,Constants!$B$19,Constants!$B$18))</f>
        <v/>
      </c>
      <c r="AB268" s="59" t="str">
        <f aca="false">IF(ISBLANK($C268),"",IF(ISNUMBER(L268),IF(L268&gt;=0,L268,""),""))</f>
        <v/>
      </c>
      <c r="AC268" s="59" t="str">
        <f aca="false">IF(ISBLANK($C268),"",IF(M268=Constants!$B$19,Constants!$B$19,Constants!$B$18))</f>
        <v/>
      </c>
      <c r="AD268" s="59" t="str">
        <f aca="false">IF(ISBLANK($C268),"",IF(ISNUMBER(N268),IF(N268&gt;=0,N268,""),""))</f>
        <v/>
      </c>
      <c r="AE268" s="59" t="str">
        <f aca="false">IF(ISBLANK($C268),"",IF(O268=Constants!$B$19,Constants!$B$19,Constants!$B$18))</f>
        <v/>
      </c>
      <c r="AF268" s="59" t="str">
        <f aca="false">IF(ISBLANK($C268),"",IF(ISNUMBER(P268),IF(P268&gt;=0,P268,""),""))</f>
        <v/>
      </c>
      <c r="AG268" s="59" t="str">
        <f aca="false">IF(ISBLANK($C268),"",IF(Q268=Constants!$B$19,Constants!$B$19,Constants!$B$18))</f>
        <v/>
      </c>
      <c r="AH268" s="59" t="str">
        <f aca="false">IF(ISBLANK($C268),"",IF(ISNUMBER(R268),IF(R268&gt;=0,R268,""),""))</f>
        <v/>
      </c>
      <c r="AI268" s="59" t="str">
        <f aca="false">IF(ISBLANK($C268),"",IF(S268=Constants!$B$2, TRUE(), IF(S268=Constants!$B$3, FALSE(), FALSE())))</f>
        <v/>
      </c>
      <c r="AJ268" s="59" t="str">
        <f aca="false">IF(ISBLANK($C268),"",IF(AI268,Constants!$B$4,IF(COUNTA(E268:R268)=0,Constants!$B$5,IF(COUNTA(J268,L268,N268,P268,R268)=0,Constants!$B$6,Constants!$B$7))))</f>
        <v/>
      </c>
      <c r="AK268" s="59" t="str">
        <f aca="false">IF(ISBLANK($C268),"",IF($AJ268&lt;&gt;Constants!$B$7,$AJ268,IF(OR(NOT(X268),AND(NOT(U268),COUNTIFS(Y268:AG268,Constants!$B$18,Z268:AH268,"&gt;=0")&gt;0),AND(NOT(V268),COUNTIFS(Y268:AG268,Constants!$B$19,Z268:AH268,"&gt;=0")&gt;0)),Constants!$B$12,Constants!$B$11)))</f>
        <v/>
      </c>
      <c r="AL268" s="59" t="str">
        <f aca="false">IF($AJ268=Constants!$B$7,IF(Z268="",Constants!$B$13,Z268),"")</f>
        <v/>
      </c>
      <c r="AM268" s="59" t="str">
        <f aca="false">IF($AJ268=Constants!$B$7,IF(AB268="",Constants!$B$13,AB268),"")</f>
        <v/>
      </c>
      <c r="AN268" s="59" t="str">
        <f aca="false">IF($AJ268=Constants!$B$7,IF(AD268="",Constants!$B$13,AD268),"")</f>
        <v/>
      </c>
      <c r="AO268" s="59" t="str">
        <f aca="false">IF($AJ268=Constants!$B$7,IF(AF268="",Constants!$B$13,AF268),"")</f>
        <v/>
      </c>
      <c r="AP268" s="59" t="str">
        <f aca="false">IF($AJ268=Constants!$B$7,IF(AH268="",Constants!$B$13,AH268),"")</f>
        <v/>
      </c>
      <c r="AQ268" s="59" t="str">
        <f aca="false">IF($AJ268=Constants!$B$7,IF(SUMPRODUCT(--($AL268:$AP268&gt;AL268))+SUMPRODUCT(--($AL268:AL268=AL268))=1,1,IF(SUMPRODUCT(--($AL268:$AP268&gt;AM268))+SUMPRODUCT(--($AL268:AM268=AM268))=1,2,IF(SUMPRODUCT(--($AL268:$AP268&gt;AN268))+SUMPRODUCT(--($AL268:AN268=AN268))=1,3,IF(SUMPRODUCT(--($AL268:$AP268&gt;AO268))+SUMPRODUCT(--($AL268:AO268=AO268))=1,4,5)))),"")</f>
        <v/>
      </c>
      <c r="AR268" s="59" t="str">
        <f aca="false">IF($AJ268=Constants!$B$7,IF(SUMPRODUCT(--($AL268:$AP268&gt;AL268))+SUMPRODUCT(--($AL268:AL268=AL268))=2,1,IF(SUMPRODUCT(--($AL268:$AP268&gt;AM268))+SUMPRODUCT(--($AL268:AM268=AM268))=2,2,IF(SUMPRODUCT(--($AL268:$AP268&gt;AN268))+SUMPRODUCT(--($AL268:AN268=AN268))=2,3,IF(SUMPRODUCT(--($AL268:$AP268&gt;AO268))+SUMPRODUCT(--($AL268:AO268=AO268))=2,4,5)))),"")</f>
        <v/>
      </c>
      <c r="AS268" s="59" t="str">
        <f aca="false">IF($AJ268=Constants!$B$7,IF(SUMPRODUCT(--($AL268:$AP268&gt;AL268))+SUMPRODUCT(--($AL268:AL268=AL268))=3,1,IF(SUMPRODUCT(--($AL268:$AP268&gt;AM268))+SUMPRODUCT(--($AL268:AM268=AM268))=3,2,IF(SUMPRODUCT(--($AL268:$AP268&gt;AN268))+SUMPRODUCT(--($AL268:AN268=AN268))=3,3,IF(SUMPRODUCT(--($AL268:$AP268&gt;AO268))+SUMPRODUCT(--($AL268:AO268=AO268))=3,4,5)))),"")</f>
        <v/>
      </c>
      <c r="AT268" s="59" t="str">
        <f aca="false">IF($AJ268=Constants!$B$7,LARGE(AL268:AP268,1)+LARGE(AL268:AP268,2)+LARGE(AL268:AP268,3),"")</f>
        <v/>
      </c>
      <c r="AU268" s="59" t="str">
        <f aca="false">IF(ISBLANK($C268),"",IF($AJ268&lt;&gt;Constants!$B$7,$AJ268,AT268*W268))</f>
        <v/>
      </c>
      <c r="AV268" s="59" t="str">
        <f aca="false">IF(ISBLANK($C268),"",IF($AJ268=Constants!$B$7,IF(ISNUMBER(AU268),RANK(AU268,$AU$8:$AU$507),Constants!$B$14),$AJ268))</f>
        <v/>
      </c>
      <c r="AW268" s="59" t="str">
        <f aca="false">IF(ISBLANK($C268),"",IF($AJ268=Constants!$B$7,IF(ISNUMBER(AV268),COUNTIFS($AK$8:$AK$507,"&lt;"&amp;$AK268)+COUNTIFS($AK$8:$AK$507,$AK268,$AV$8:$AV$507,"&lt;"&amp;$AV268)+1,Constants!$B$14),$AJ268))</f>
        <v/>
      </c>
      <c r="AX268" s="59" t="str">
        <f aca="false">IF(ISBLANK($C268),"",IF($AJ268=Constants!$B$7,LARGE(AL268:AP268,4)*W268,""))</f>
        <v/>
      </c>
      <c r="AY268" s="59" t="str">
        <f aca="false">IF(ISBLANK($C268),"",IF($AJ268=Constants!$B$7,RANK(AX268,$AX$8:$AX$507),$AJ268))</f>
        <v/>
      </c>
      <c r="AZ268" s="59" t="str">
        <f aca="false">IF(ISBLANK($C268),"",IF($AJ268=Constants!$B$7,IF(ISNUMBER(AV268),COUNTIFS($AK$8:$AK$507,"&lt;"&amp;$AK268)+COUNTIFS($AK$8:$AK$507,$AK268,$AV$8:$AV$507,"&lt;"&amp;$AV268)+COUNTIFS($AK$8:$AK$507,$AK268,$AV$8:$AV$507,$AV268,$AY$8:$AY$507,"&lt;"&amp;$AY268)+1,Constants!$B$14),$AJ268))</f>
        <v/>
      </c>
      <c r="BA268" s="59" t="str">
        <f aca="false">IF(ISBLANK($C268),"",IF($AJ268=Constants!$B$7,IF(ISNUMBER(AW268),AW268-AZ268,Constants!$B$14),$AJ268))</f>
        <v/>
      </c>
      <c r="BB268" s="61"/>
      <c r="BC268" s="62" t="str">
        <f aca="false">IF(ISBLANK($C268),"",IF($AJ268&lt;&gt;Constants!$B$7,$AJ268,SMALL(AQ268:AS268,1)&amp;", "&amp;SMALL(AQ268:AS268,2)&amp;", "&amp;SMALL(AQ268:AS268,3)))</f>
        <v/>
      </c>
      <c r="BD268" s="63" t="str">
        <f aca="false">IF(ISBLANK($C268),"",IF($AJ268&lt;&gt;Constants!$B$7,$AJ268,W268))</f>
        <v/>
      </c>
      <c r="BE268" s="64" t="str">
        <f aca="false">IF(ISBLANK($C268),"",IF($AJ268&lt;&gt;Constants!$B$7,$AJ268,AU268))</f>
        <v/>
      </c>
      <c r="BF268" s="65" t="str">
        <f aca="false">IF(ISBLANK($C268),"",IF($AJ268&lt;&gt;Constants!$B$7,$AJ268,AK268))</f>
        <v/>
      </c>
      <c r="BG268" s="63" t="str">
        <f aca="false">IF(ISBLANK($C268),"",BA268)</f>
        <v/>
      </c>
      <c r="BH268" s="63" t="str">
        <f aca="false">IF(ISBLANK($C268),"",AZ268)</f>
        <v/>
      </c>
      <c r="BI268" s="66" t="str">
        <f aca="false">IF(ISBLANK($C268),"",IF(BH268=Constants!$B$4,COUNTA($C$8:$C$507)+2,IF(BH268=Constants!$B$5,COUNTA($C$8:$C$507)+1,IF(BH268=Constants!$B$6,COUNTA($C$8:$C$507),BH268))))</f>
        <v/>
      </c>
      <c r="BJ268" s="5"/>
      <c r="BK268" s="67" t="n">
        <f aca="false">IF(OR(ISNUMBER(BH268),BH268=Constants!$B$4,BH268=Constants!$B$6,BH268=Constants!$B$5),1,0)</f>
        <v>0</v>
      </c>
      <c r="BL268" s="67" t="n">
        <v>261</v>
      </c>
      <c r="BM268" s="67" t="str">
        <f aca="false">IF(ISBLANK($C268),"",IF(ISNUMBER(BI268),BI268+ROW($B268)/1000,""))</f>
        <v/>
      </c>
      <c r="BN268" s="67" t="str">
        <f aca="false">IF(ISNUMBER(BM268),RANK(BM268,$BM$8:$BM$507,1),"")</f>
        <v/>
      </c>
      <c r="BO268" s="67" t="str">
        <f aca="false">IF(ISBLANK($C268),"",$B268)</f>
        <v/>
      </c>
      <c r="BP268" s="67" t="str">
        <f aca="false">IF(ISBLANK($C268),"",$C268)</f>
        <v/>
      </c>
      <c r="BQ268" s="67" t="str">
        <f aca="false">IF(ISBLANK($C268),"",$D268)</f>
        <v/>
      </c>
      <c r="BR268" s="68" t="str">
        <f aca="false">BF268</f>
        <v/>
      </c>
      <c r="BS268" s="69" t="str">
        <f aca="false">BE268</f>
        <v/>
      </c>
      <c r="BT268" s="67" t="str">
        <f aca="false">IF(ISBLANK($C268),"",BH268)</f>
        <v/>
      </c>
      <c r="BU268" s="70" t="str">
        <f aca="false">IF($BL268&gt;$BK$7,"",VLOOKUP($BL268,$BN$8:$BT$507,7,FALSE()))</f>
        <v/>
      </c>
      <c r="BV268" s="71" t="str">
        <f aca="false">IF($BL268&gt;$BK$7,"",VLOOKUP($BL268,$BN$8:$BT$507,2,FALSE()))</f>
        <v/>
      </c>
      <c r="BW268" s="71" t="str">
        <f aca="false">IF($BL268&gt;$BK$7,"",VLOOKUP($BL268,$BN$8:$BT$507,3,FALSE()))</f>
        <v/>
      </c>
      <c r="BX268" s="71" t="str">
        <f aca="false">IF($BL268&gt;$BK$7,"",VLOOKUP($BL268,$BN$8:$BT$507,4,FALSE()))</f>
        <v/>
      </c>
      <c r="BY268" s="71" t="str">
        <f aca="false">IF($BL268&gt;$BK$7,"",VLOOKUP($BL268,$BN$8:$BT$507,5,FALSE()))</f>
        <v/>
      </c>
      <c r="BZ268" s="72" t="str">
        <f aca="false">IF($BL268&gt;$BK$7,"",VLOOKUP($BL268,$BN$8:$BT$507,6,FALSE()))</f>
        <v/>
      </c>
      <c r="CA268" s="48"/>
    </row>
    <row r="269" customFormat="false" ht="15.75" hidden="false" customHeight="false" outlineLevel="0" collapsed="false">
      <c r="A269" s="5"/>
      <c r="B269" s="114"/>
      <c r="C269" s="115"/>
      <c r="D269" s="100"/>
      <c r="E269" s="120"/>
      <c r="F269" s="125"/>
      <c r="G269" s="82"/>
      <c r="H269" s="126"/>
      <c r="I269" s="127"/>
      <c r="J269" s="82"/>
      <c r="K269" s="126"/>
      <c r="L269" s="82"/>
      <c r="M269" s="126"/>
      <c r="N269" s="82"/>
      <c r="O269" s="126"/>
      <c r="P269" s="82"/>
      <c r="Q269" s="126"/>
      <c r="R269" s="82"/>
      <c r="S269" s="120"/>
      <c r="T269" s="86"/>
      <c r="U269" s="87" t="str">
        <f aca="false">IF(ISBLANK($C269),"",IF(E269=Constants!$B$2, TRUE(), IF(E269=Constants!$B$3, FALSE(), TRUE())))</f>
        <v/>
      </c>
      <c r="V269" s="87" t="str">
        <f aca="false">IF(ISBLANK($C269),"",IF(F269=Constants!$B$2, TRUE(), IF(F269=Constants!$B$3, FALSE(), TRUE())))</f>
        <v/>
      </c>
      <c r="W269" s="87" t="str">
        <f aca="false">IF(ISBLANK($C269),"",IF(G269=Constants!$B$15,Constants!$B$8,IF(G269=Constants!$B$16,Constants!$B$9,Constants!$B$10)))</f>
        <v/>
      </c>
      <c r="X269" s="87" t="str">
        <f aca="false">IF(ISBLANK($C269),"",IF(H269=Constants!$B$2, TRUE(), IF(H269=Constants!$B$3, FALSE(), TRUE())))</f>
        <v/>
      </c>
      <c r="Y269" s="87" t="str">
        <f aca="false">IF(ISBLANK($C269),"",IF(I269=Constants!$B$19,Constants!$B$19,Constants!$B$18))</f>
        <v/>
      </c>
      <c r="Z269" s="87" t="str">
        <f aca="false">IF(ISBLANK($C269),"",IF(ISNUMBER(J269),IF(J269&gt;=0,J269,""),""))</f>
        <v/>
      </c>
      <c r="AA269" s="87" t="str">
        <f aca="false">IF(ISBLANK($C269),"",IF(K269=Constants!$B$19,Constants!$B$19,Constants!$B$18))</f>
        <v/>
      </c>
      <c r="AB269" s="87" t="str">
        <f aca="false">IF(ISBLANK($C269),"",IF(ISNUMBER(L269),IF(L269&gt;=0,L269,""),""))</f>
        <v/>
      </c>
      <c r="AC269" s="87" t="str">
        <f aca="false">IF(ISBLANK($C269),"",IF(M269=Constants!$B$19,Constants!$B$19,Constants!$B$18))</f>
        <v/>
      </c>
      <c r="AD269" s="87" t="str">
        <f aca="false">IF(ISBLANK($C269),"",IF(ISNUMBER(N269),IF(N269&gt;=0,N269,""),""))</f>
        <v/>
      </c>
      <c r="AE269" s="87" t="str">
        <f aca="false">IF(ISBLANK($C269),"",IF(O269=Constants!$B$19,Constants!$B$19,Constants!$B$18))</f>
        <v/>
      </c>
      <c r="AF269" s="87" t="str">
        <f aca="false">IF(ISBLANK($C269),"",IF(ISNUMBER(P269),IF(P269&gt;=0,P269,""),""))</f>
        <v/>
      </c>
      <c r="AG269" s="87" t="str">
        <f aca="false">IF(ISBLANK($C269),"",IF(Q269=Constants!$B$19,Constants!$B$19,Constants!$B$18))</f>
        <v/>
      </c>
      <c r="AH269" s="87" t="str">
        <f aca="false">IF(ISBLANK($C269),"",IF(ISNUMBER(R269),IF(R269&gt;=0,R269,""),""))</f>
        <v/>
      </c>
      <c r="AI269" s="87" t="str">
        <f aca="false">IF(ISBLANK($C269),"",IF(S269=Constants!$B$2, TRUE(), IF(S269=Constants!$B$3, FALSE(), FALSE())))</f>
        <v/>
      </c>
      <c r="AJ269" s="87" t="str">
        <f aca="false">IF(ISBLANK($C269),"",IF(AI269,Constants!$B$4,IF(COUNTA(E269:R269)=0,Constants!$B$5,IF(COUNTA(J269,L269,N269,P269,R269)=0,Constants!$B$6,Constants!$B$7))))</f>
        <v/>
      </c>
      <c r="AK269" s="87" t="str">
        <f aca="false">IF(ISBLANK($C269),"",IF($AJ269&lt;&gt;Constants!$B$7,$AJ269,IF(OR(NOT(X269),AND(NOT(U269),COUNTIFS(Y269:AG269,Constants!$B$18,Z269:AH269,"&gt;=0")&gt;0),AND(NOT(V269),COUNTIFS(Y269:AG269,Constants!$B$19,Z269:AH269,"&gt;=0")&gt;0)),Constants!$B$12,Constants!$B$11)))</f>
        <v/>
      </c>
      <c r="AL269" s="87" t="str">
        <f aca="false">IF($AJ269=Constants!$B$7,IF(Z269="",Constants!$B$13,Z269),"")</f>
        <v/>
      </c>
      <c r="AM269" s="87" t="str">
        <f aca="false">IF($AJ269=Constants!$B$7,IF(AB269="",Constants!$B$13,AB269),"")</f>
        <v/>
      </c>
      <c r="AN269" s="87" t="str">
        <f aca="false">IF($AJ269=Constants!$B$7,IF(AD269="",Constants!$B$13,AD269),"")</f>
        <v/>
      </c>
      <c r="AO269" s="87" t="str">
        <f aca="false">IF($AJ269=Constants!$B$7,IF(AF269="",Constants!$B$13,AF269),"")</f>
        <v/>
      </c>
      <c r="AP269" s="87" t="str">
        <f aca="false">IF($AJ269=Constants!$B$7,IF(AH269="",Constants!$B$13,AH269),"")</f>
        <v/>
      </c>
      <c r="AQ269" s="87" t="str">
        <f aca="false">IF($AJ269=Constants!$B$7,IF(SUMPRODUCT(--($AL269:$AP269&gt;AL269))+SUMPRODUCT(--($AL269:AL269=AL269))=1,1,IF(SUMPRODUCT(--($AL269:$AP269&gt;AM269))+SUMPRODUCT(--($AL269:AM269=AM269))=1,2,IF(SUMPRODUCT(--($AL269:$AP269&gt;AN269))+SUMPRODUCT(--($AL269:AN269=AN269))=1,3,IF(SUMPRODUCT(--($AL269:$AP269&gt;AO269))+SUMPRODUCT(--($AL269:AO269=AO269))=1,4,5)))),"")</f>
        <v/>
      </c>
      <c r="AR269" s="87" t="str">
        <f aca="false">IF($AJ269=Constants!$B$7,IF(SUMPRODUCT(--($AL269:$AP269&gt;AL269))+SUMPRODUCT(--($AL269:AL269=AL269))=2,1,IF(SUMPRODUCT(--($AL269:$AP269&gt;AM269))+SUMPRODUCT(--($AL269:AM269=AM269))=2,2,IF(SUMPRODUCT(--($AL269:$AP269&gt;AN269))+SUMPRODUCT(--($AL269:AN269=AN269))=2,3,IF(SUMPRODUCT(--($AL269:$AP269&gt;AO269))+SUMPRODUCT(--($AL269:AO269=AO269))=2,4,5)))),"")</f>
        <v/>
      </c>
      <c r="AS269" s="87" t="str">
        <f aca="false">IF($AJ269=Constants!$B$7,IF(SUMPRODUCT(--($AL269:$AP269&gt;AL269))+SUMPRODUCT(--($AL269:AL269=AL269))=3,1,IF(SUMPRODUCT(--($AL269:$AP269&gt;AM269))+SUMPRODUCT(--($AL269:AM269=AM269))=3,2,IF(SUMPRODUCT(--($AL269:$AP269&gt;AN269))+SUMPRODUCT(--($AL269:AN269=AN269))=3,3,IF(SUMPRODUCT(--($AL269:$AP269&gt;AO269))+SUMPRODUCT(--($AL269:AO269=AO269))=3,4,5)))),"")</f>
        <v/>
      </c>
      <c r="AT269" s="87" t="str">
        <f aca="false">IF($AJ269=Constants!$B$7,LARGE(AL269:AP269,1)+LARGE(AL269:AP269,2)+LARGE(AL269:AP269,3),"")</f>
        <v/>
      </c>
      <c r="AU269" s="87" t="str">
        <f aca="false">IF(ISBLANK($C269),"",IF($AJ269&lt;&gt;Constants!$B$7,$AJ269,AT269*W269))</f>
        <v/>
      </c>
      <c r="AV269" s="87" t="str">
        <f aca="false">IF(ISBLANK($C269),"",IF($AJ269=Constants!$B$7,IF(ISNUMBER(AU269),RANK(AU269,$AU$8:$AU$507),Constants!$B$14),$AJ269))</f>
        <v/>
      </c>
      <c r="AW269" s="87" t="str">
        <f aca="false">IF(ISBLANK($C269),"",IF($AJ269=Constants!$B$7,IF(ISNUMBER(AV269),COUNTIFS($AK$8:$AK$507,"&lt;"&amp;$AK269)+COUNTIFS($AK$8:$AK$507,$AK269,$AV$8:$AV$507,"&lt;"&amp;$AV269)+1,Constants!$B$14),$AJ269))</f>
        <v/>
      </c>
      <c r="AX269" s="87" t="str">
        <f aca="false">IF(ISBLANK($C269),"",IF($AJ269=Constants!$B$7,LARGE(AL269:AP269,4)*W269,""))</f>
        <v/>
      </c>
      <c r="AY269" s="87" t="str">
        <f aca="false">IF(ISBLANK($C269),"",IF($AJ269=Constants!$B$7,RANK(AX269,$AX$8:$AX$507),$AJ269))</f>
        <v/>
      </c>
      <c r="AZ269" s="87" t="str">
        <f aca="false">IF(ISBLANK($C269),"",IF($AJ269=Constants!$B$7,IF(ISNUMBER(AV269),COUNTIFS($AK$8:$AK$507,"&lt;"&amp;$AK269)+COUNTIFS($AK$8:$AK$507,$AK269,$AV$8:$AV$507,"&lt;"&amp;$AV269)+COUNTIFS($AK$8:$AK$507,$AK269,$AV$8:$AV$507,$AV269,$AY$8:$AY$507,"&lt;"&amp;$AY269)+1,Constants!$B$14),$AJ269))</f>
        <v/>
      </c>
      <c r="BA269" s="87" t="str">
        <f aca="false">IF(ISBLANK($C269),"",IF($AJ269=Constants!$B$7,IF(ISNUMBER(AW269),AW269-AZ269,Constants!$B$14),$AJ269))</f>
        <v/>
      </c>
      <c r="BB269" s="88"/>
      <c r="BC269" s="89" t="str">
        <f aca="false">IF(ISBLANK($C269),"",IF($AJ269&lt;&gt;Constants!$B$7,$AJ269,SMALL(AQ269:AS269,1)&amp;", "&amp;SMALL(AQ269:AS269,2)&amp;", "&amp;SMALL(AQ269:AS269,3)))</f>
        <v/>
      </c>
      <c r="BD269" s="90" t="str">
        <f aca="false">IF(ISBLANK($C269),"",IF($AJ269&lt;&gt;Constants!$B$7,$AJ269,W269))</f>
        <v/>
      </c>
      <c r="BE269" s="91" t="str">
        <f aca="false">IF(ISBLANK($C269),"",IF($AJ269&lt;&gt;Constants!$B$7,$AJ269,AU269))</f>
        <v/>
      </c>
      <c r="BF269" s="92" t="str">
        <f aca="false">IF(ISBLANK($C269),"",IF($AJ269&lt;&gt;Constants!$B$7,$AJ269,AK269))</f>
        <v/>
      </c>
      <c r="BG269" s="90" t="str">
        <f aca="false">IF(ISBLANK($C269),"",BA269)</f>
        <v/>
      </c>
      <c r="BH269" s="90" t="str">
        <f aca="false">IF(ISBLANK($C269),"",AZ269)</f>
        <v/>
      </c>
      <c r="BI269" s="93" t="str">
        <f aca="false">IF(ISBLANK($C269),"",IF(BH269=Constants!$B$4,COUNTA($C$8:$C$507)+2,IF(BH269=Constants!$B$5,COUNTA($C$8:$C$507)+1,IF(BH269=Constants!$B$6,COUNTA($C$8:$C$507),BH269))))</f>
        <v/>
      </c>
      <c r="BJ269" s="5"/>
      <c r="BK269" s="94" t="n">
        <f aca="false">IF(OR(ISNUMBER(BH269),BH269=Constants!$B$4,BH269=Constants!$B$6,BH269=Constants!$B$5),1,0)</f>
        <v>0</v>
      </c>
      <c r="BL269" s="94" t="n">
        <v>262</v>
      </c>
      <c r="BM269" s="94" t="str">
        <f aca="false">IF(ISBLANK($C269),"",IF(ISNUMBER(BI269),BI269+ROW($B269)/1000,""))</f>
        <v/>
      </c>
      <c r="BN269" s="94" t="str">
        <f aca="false">IF(ISNUMBER(BM269),RANK(BM269,$BM$8:$BM$507,1),"")</f>
        <v/>
      </c>
      <c r="BO269" s="94" t="str">
        <f aca="false">IF(ISBLANK($C269),"",$B269)</f>
        <v/>
      </c>
      <c r="BP269" s="94" t="str">
        <f aca="false">IF(ISBLANK($C269),"",$C269)</f>
        <v/>
      </c>
      <c r="BQ269" s="94" t="str">
        <f aca="false">IF(ISBLANK($C269),"",$D269)</f>
        <v/>
      </c>
      <c r="BR269" s="95" t="str">
        <f aca="false">BF269</f>
        <v/>
      </c>
      <c r="BS269" s="96" t="str">
        <f aca="false">BE269</f>
        <v/>
      </c>
      <c r="BT269" s="94" t="str">
        <f aca="false">IF(ISBLANK($C269),"",BH269)</f>
        <v/>
      </c>
      <c r="BU269" s="97" t="str">
        <f aca="false">IF($BL269&gt;$BK$7,"",VLOOKUP($BL269,$BN$8:$BT$507,7,FALSE()))</f>
        <v/>
      </c>
      <c r="BV269" s="98" t="str">
        <f aca="false">IF($BL269&gt;$BK$7,"",VLOOKUP($BL269,$BN$8:$BT$507,2,FALSE()))</f>
        <v/>
      </c>
      <c r="BW269" s="98" t="str">
        <f aca="false">IF($BL269&gt;$BK$7,"",VLOOKUP($BL269,$BN$8:$BT$507,3,FALSE()))</f>
        <v/>
      </c>
      <c r="BX269" s="98" t="str">
        <f aca="false">IF($BL269&gt;$BK$7,"",VLOOKUP($BL269,$BN$8:$BT$507,4,FALSE()))</f>
        <v/>
      </c>
      <c r="BY269" s="98" t="str">
        <f aca="false">IF($BL269&gt;$BK$7,"",VLOOKUP($BL269,$BN$8:$BT$507,5,FALSE()))</f>
        <v/>
      </c>
      <c r="BZ269" s="99" t="str">
        <f aca="false">IF($BL269&gt;$BK$7,"",VLOOKUP($BL269,$BN$8:$BT$507,6,FALSE()))</f>
        <v/>
      </c>
      <c r="CA269" s="48"/>
    </row>
    <row r="270" customFormat="false" ht="15.75" hidden="false" customHeight="false" outlineLevel="0" collapsed="false">
      <c r="A270" s="5"/>
      <c r="B270" s="114"/>
      <c r="C270" s="115"/>
      <c r="D270" s="100"/>
      <c r="E270" s="120"/>
      <c r="F270" s="125"/>
      <c r="G270" s="82"/>
      <c r="H270" s="126"/>
      <c r="I270" s="127"/>
      <c r="J270" s="82"/>
      <c r="K270" s="126"/>
      <c r="L270" s="82"/>
      <c r="M270" s="126"/>
      <c r="N270" s="82"/>
      <c r="O270" s="126"/>
      <c r="P270" s="82"/>
      <c r="Q270" s="126"/>
      <c r="R270" s="82"/>
      <c r="S270" s="120"/>
      <c r="T270" s="86"/>
      <c r="U270" s="87" t="str">
        <f aca="false">IF(ISBLANK($C270),"",IF(E270=Constants!$B$2, TRUE(), IF(E270=Constants!$B$3, FALSE(), TRUE())))</f>
        <v/>
      </c>
      <c r="V270" s="87" t="str">
        <f aca="false">IF(ISBLANK($C270),"",IF(F270=Constants!$B$2, TRUE(), IF(F270=Constants!$B$3, FALSE(), TRUE())))</f>
        <v/>
      </c>
      <c r="W270" s="87" t="str">
        <f aca="false">IF(ISBLANK($C270),"",IF(G270=Constants!$B$15,Constants!$B$8,IF(G270=Constants!$B$16,Constants!$B$9,Constants!$B$10)))</f>
        <v/>
      </c>
      <c r="X270" s="87" t="str">
        <f aca="false">IF(ISBLANK($C270),"",IF(H270=Constants!$B$2, TRUE(), IF(H270=Constants!$B$3, FALSE(), TRUE())))</f>
        <v/>
      </c>
      <c r="Y270" s="87" t="str">
        <f aca="false">IF(ISBLANK($C270),"",IF(I270=Constants!$B$19,Constants!$B$19,Constants!$B$18))</f>
        <v/>
      </c>
      <c r="Z270" s="87" t="str">
        <f aca="false">IF(ISBLANK($C270),"",IF(ISNUMBER(J270),IF(J270&gt;=0,J270,""),""))</f>
        <v/>
      </c>
      <c r="AA270" s="87" t="str">
        <f aca="false">IF(ISBLANK($C270),"",IF(K270=Constants!$B$19,Constants!$B$19,Constants!$B$18))</f>
        <v/>
      </c>
      <c r="AB270" s="87" t="str">
        <f aca="false">IF(ISBLANK($C270),"",IF(ISNUMBER(L270),IF(L270&gt;=0,L270,""),""))</f>
        <v/>
      </c>
      <c r="AC270" s="87" t="str">
        <f aca="false">IF(ISBLANK($C270),"",IF(M270=Constants!$B$19,Constants!$B$19,Constants!$B$18))</f>
        <v/>
      </c>
      <c r="AD270" s="87" t="str">
        <f aca="false">IF(ISBLANK($C270),"",IF(ISNUMBER(N270),IF(N270&gt;=0,N270,""),""))</f>
        <v/>
      </c>
      <c r="AE270" s="87" t="str">
        <f aca="false">IF(ISBLANK($C270),"",IF(O270=Constants!$B$19,Constants!$B$19,Constants!$B$18))</f>
        <v/>
      </c>
      <c r="AF270" s="87" t="str">
        <f aca="false">IF(ISBLANK($C270),"",IF(ISNUMBER(P270),IF(P270&gt;=0,P270,""),""))</f>
        <v/>
      </c>
      <c r="AG270" s="87" t="str">
        <f aca="false">IF(ISBLANK($C270),"",IF(Q270=Constants!$B$19,Constants!$B$19,Constants!$B$18))</f>
        <v/>
      </c>
      <c r="AH270" s="87" t="str">
        <f aca="false">IF(ISBLANK($C270),"",IF(ISNUMBER(R270),IF(R270&gt;=0,R270,""),""))</f>
        <v/>
      </c>
      <c r="AI270" s="87" t="str">
        <f aca="false">IF(ISBLANK($C270),"",IF(S270=Constants!$B$2, TRUE(), IF(S270=Constants!$B$3, FALSE(), FALSE())))</f>
        <v/>
      </c>
      <c r="AJ270" s="87" t="str">
        <f aca="false">IF(ISBLANK($C270),"",IF(AI270,Constants!$B$4,IF(COUNTA(E270:R270)=0,Constants!$B$5,IF(COUNTA(J270,L270,N270,P270,R270)=0,Constants!$B$6,Constants!$B$7))))</f>
        <v/>
      </c>
      <c r="AK270" s="87" t="str">
        <f aca="false">IF(ISBLANK($C270),"",IF($AJ270&lt;&gt;Constants!$B$7,$AJ270,IF(OR(NOT(X270),AND(NOT(U270),COUNTIFS(Y270:AG270,Constants!$B$18,Z270:AH270,"&gt;=0")&gt;0),AND(NOT(V270),COUNTIFS(Y270:AG270,Constants!$B$19,Z270:AH270,"&gt;=0")&gt;0)),Constants!$B$12,Constants!$B$11)))</f>
        <v/>
      </c>
      <c r="AL270" s="87" t="str">
        <f aca="false">IF($AJ270=Constants!$B$7,IF(Z270="",Constants!$B$13,Z270),"")</f>
        <v/>
      </c>
      <c r="AM270" s="87" t="str">
        <f aca="false">IF($AJ270=Constants!$B$7,IF(AB270="",Constants!$B$13,AB270),"")</f>
        <v/>
      </c>
      <c r="AN270" s="87" t="str">
        <f aca="false">IF($AJ270=Constants!$B$7,IF(AD270="",Constants!$B$13,AD270),"")</f>
        <v/>
      </c>
      <c r="AO270" s="87" t="str">
        <f aca="false">IF($AJ270=Constants!$B$7,IF(AF270="",Constants!$B$13,AF270),"")</f>
        <v/>
      </c>
      <c r="AP270" s="87" t="str">
        <f aca="false">IF($AJ270=Constants!$B$7,IF(AH270="",Constants!$B$13,AH270),"")</f>
        <v/>
      </c>
      <c r="AQ270" s="87" t="str">
        <f aca="false">IF($AJ270=Constants!$B$7,IF(SUMPRODUCT(--($AL270:$AP270&gt;AL270))+SUMPRODUCT(--($AL270:AL270=AL270))=1,1,IF(SUMPRODUCT(--($AL270:$AP270&gt;AM270))+SUMPRODUCT(--($AL270:AM270=AM270))=1,2,IF(SUMPRODUCT(--($AL270:$AP270&gt;AN270))+SUMPRODUCT(--($AL270:AN270=AN270))=1,3,IF(SUMPRODUCT(--($AL270:$AP270&gt;AO270))+SUMPRODUCT(--($AL270:AO270=AO270))=1,4,5)))),"")</f>
        <v/>
      </c>
      <c r="AR270" s="87" t="str">
        <f aca="false">IF($AJ270=Constants!$B$7,IF(SUMPRODUCT(--($AL270:$AP270&gt;AL270))+SUMPRODUCT(--($AL270:AL270=AL270))=2,1,IF(SUMPRODUCT(--($AL270:$AP270&gt;AM270))+SUMPRODUCT(--($AL270:AM270=AM270))=2,2,IF(SUMPRODUCT(--($AL270:$AP270&gt;AN270))+SUMPRODUCT(--($AL270:AN270=AN270))=2,3,IF(SUMPRODUCT(--($AL270:$AP270&gt;AO270))+SUMPRODUCT(--($AL270:AO270=AO270))=2,4,5)))),"")</f>
        <v/>
      </c>
      <c r="AS270" s="87" t="str">
        <f aca="false">IF($AJ270=Constants!$B$7,IF(SUMPRODUCT(--($AL270:$AP270&gt;AL270))+SUMPRODUCT(--($AL270:AL270=AL270))=3,1,IF(SUMPRODUCT(--($AL270:$AP270&gt;AM270))+SUMPRODUCT(--($AL270:AM270=AM270))=3,2,IF(SUMPRODUCT(--($AL270:$AP270&gt;AN270))+SUMPRODUCT(--($AL270:AN270=AN270))=3,3,IF(SUMPRODUCT(--($AL270:$AP270&gt;AO270))+SUMPRODUCT(--($AL270:AO270=AO270))=3,4,5)))),"")</f>
        <v/>
      </c>
      <c r="AT270" s="87" t="str">
        <f aca="false">IF($AJ270=Constants!$B$7,LARGE(AL270:AP270,1)+LARGE(AL270:AP270,2)+LARGE(AL270:AP270,3),"")</f>
        <v/>
      </c>
      <c r="AU270" s="87" t="str">
        <f aca="false">IF(ISBLANK($C270),"",IF($AJ270&lt;&gt;Constants!$B$7,$AJ270,AT270*W270))</f>
        <v/>
      </c>
      <c r="AV270" s="87" t="str">
        <f aca="false">IF(ISBLANK($C270),"",IF($AJ270=Constants!$B$7,IF(ISNUMBER(AU270),RANK(AU270,$AU$8:$AU$507),Constants!$B$14),$AJ270))</f>
        <v/>
      </c>
      <c r="AW270" s="87" t="str">
        <f aca="false">IF(ISBLANK($C270),"",IF($AJ270=Constants!$B$7,IF(ISNUMBER(AV270),COUNTIFS($AK$8:$AK$507,"&lt;"&amp;$AK270)+COUNTIFS($AK$8:$AK$507,$AK270,$AV$8:$AV$507,"&lt;"&amp;$AV270)+1,Constants!$B$14),$AJ270))</f>
        <v/>
      </c>
      <c r="AX270" s="87" t="str">
        <f aca="false">IF(ISBLANK($C270),"",IF($AJ270=Constants!$B$7,LARGE(AL270:AP270,4)*W270,""))</f>
        <v/>
      </c>
      <c r="AY270" s="87" t="str">
        <f aca="false">IF(ISBLANK($C270),"",IF($AJ270=Constants!$B$7,RANK(AX270,$AX$8:$AX$507),$AJ270))</f>
        <v/>
      </c>
      <c r="AZ270" s="87" t="str">
        <f aca="false">IF(ISBLANK($C270),"",IF($AJ270=Constants!$B$7,IF(ISNUMBER(AV270),COUNTIFS($AK$8:$AK$507,"&lt;"&amp;$AK270)+COUNTIFS($AK$8:$AK$507,$AK270,$AV$8:$AV$507,"&lt;"&amp;$AV270)+COUNTIFS($AK$8:$AK$507,$AK270,$AV$8:$AV$507,$AV270,$AY$8:$AY$507,"&lt;"&amp;$AY270)+1,Constants!$B$14),$AJ270))</f>
        <v/>
      </c>
      <c r="BA270" s="87" t="str">
        <f aca="false">IF(ISBLANK($C270),"",IF($AJ270=Constants!$B$7,IF(ISNUMBER(AW270),AW270-AZ270,Constants!$B$14),$AJ270))</f>
        <v/>
      </c>
      <c r="BB270" s="88"/>
      <c r="BC270" s="89" t="str">
        <f aca="false">IF(ISBLANK($C270),"",IF($AJ270&lt;&gt;Constants!$B$7,$AJ270,SMALL(AQ270:AS270,1)&amp;", "&amp;SMALL(AQ270:AS270,2)&amp;", "&amp;SMALL(AQ270:AS270,3)))</f>
        <v/>
      </c>
      <c r="BD270" s="90" t="str">
        <f aca="false">IF(ISBLANK($C270),"",IF($AJ270&lt;&gt;Constants!$B$7,$AJ270,W270))</f>
        <v/>
      </c>
      <c r="BE270" s="91" t="str">
        <f aca="false">IF(ISBLANK($C270),"",IF($AJ270&lt;&gt;Constants!$B$7,$AJ270,AU270))</f>
        <v/>
      </c>
      <c r="BF270" s="92" t="str">
        <f aca="false">IF(ISBLANK($C270),"",IF($AJ270&lt;&gt;Constants!$B$7,$AJ270,AK270))</f>
        <v/>
      </c>
      <c r="BG270" s="90" t="str">
        <f aca="false">IF(ISBLANK($C270),"",BA270)</f>
        <v/>
      </c>
      <c r="BH270" s="90" t="str">
        <f aca="false">IF(ISBLANK($C270),"",AZ270)</f>
        <v/>
      </c>
      <c r="BI270" s="93" t="str">
        <f aca="false">IF(ISBLANK($C270),"",IF(BH270=Constants!$B$4,COUNTA($C$8:$C$507)+2,IF(BH270=Constants!$B$5,COUNTA($C$8:$C$507)+1,IF(BH270=Constants!$B$6,COUNTA($C$8:$C$507),BH270))))</f>
        <v/>
      </c>
      <c r="BJ270" s="5"/>
      <c r="BK270" s="94" t="n">
        <f aca="false">IF(OR(ISNUMBER(BH270),BH270=Constants!$B$4,BH270=Constants!$B$6,BH270=Constants!$B$5),1,0)</f>
        <v>0</v>
      </c>
      <c r="BL270" s="94" t="n">
        <v>263</v>
      </c>
      <c r="BM270" s="94" t="str">
        <f aca="false">IF(ISBLANK($C270),"",IF(ISNUMBER(BI270),BI270+ROW($B270)/1000,""))</f>
        <v/>
      </c>
      <c r="BN270" s="94" t="str">
        <f aca="false">IF(ISNUMBER(BM270),RANK(BM270,$BM$8:$BM$507,1),"")</f>
        <v/>
      </c>
      <c r="BO270" s="94" t="str">
        <f aca="false">IF(ISBLANK($C270),"",$B270)</f>
        <v/>
      </c>
      <c r="BP270" s="94" t="str">
        <f aca="false">IF(ISBLANK($C270),"",$C270)</f>
        <v/>
      </c>
      <c r="BQ270" s="94" t="str">
        <f aca="false">IF(ISBLANK($C270),"",$D270)</f>
        <v/>
      </c>
      <c r="BR270" s="95" t="str">
        <f aca="false">BF270</f>
        <v/>
      </c>
      <c r="BS270" s="96" t="str">
        <f aca="false">BE270</f>
        <v/>
      </c>
      <c r="BT270" s="94" t="str">
        <f aca="false">IF(ISBLANK($C270),"",BH270)</f>
        <v/>
      </c>
      <c r="BU270" s="97" t="str">
        <f aca="false">IF($BL270&gt;$BK$7,"",VLOOKUP($BL270,$BN$8:$BT$507,7,FALSE()))</f>
        <v/>
      </c>
      <c r="BV270" s="98" t="str">
        <f aca="false">IF($BL270&gt;$BK$7,"",VLOOKUP($BL270,$BN$8:$BT$507,2,FALSE()))</f>
        <v/>
      </c>
      <c r="BW270" s="98" t="str">
        <f aca="false">IF($BL270&gt;$BK$7,"",VLOOKUP($BL270,$BN$8:$BT$507,3,FALSE()))</f>
        <v/>
      </c>
      <c r="BX270" s="98" t="str">
        <f aca="false">IF($BL270&gt;$BK$7,"",VLOOKUP($BL270,$BN$8:$BT$507,4,FALSE()))</f>
        <v/>
      </c>
      <c r="BY270" s="98" t="str">
        <f aca="false">IF($BL270&gt;$BK$7,"",VLOOKUP($BL270,$BN$8:$BT$507,5,FALSE()))</f>
        <v/>
      </c>
      <c r="BZ270" s="99" t="str">
        <f aca="false">IF($BL270&gt;$BK$7,"",VLOOKUP($BL270,$BN$8:$BT$507,6,FALSE()))</f>
        <v/>
      </c>
      <c r="CA270" s="48"/>
    </row>
    <row r="271" customFormat="false" ht="15.75" hidden="false" customHeight="false" outlineLevel="0" collapsed="false">
      <c r="A271" s="5"/>
      <c r="B271" s="114"/>
      <c r="C271" s="115"/>
      <c r="D271" s="100"/>
      <c r="E271" s="120"/>
      <c r="F271" s="125"/>
      <c r="G271" s="82"/>
      <c r="H271" s="126"/>
      <c r="I271" s="127"/>
      <c r="J271" s="82"/>
      <c r="K271" s="126"/>
      <c r="L271" s="82"/>
      <c r="M271" s="126"/>
      <c r="N271" s="82"/>
      <c r="O271" s="126"/>
      <c r="P271" s="82"/>
      <c r="Q271" s="126"/>
      <c r="R271" s="82"/>
      <c r="S271" s="120"/>
      <c r="T271" s="86"/>
      <c r="U271" s="87" t="str">
        <f aca="false">IF(ISBLANK($C271),"",IF(E271=Constants!$B$2, TRUE(), IF(E271=Constants!$B$3, FALSE(), TRUE())))</f>
        <v/>
      </c>
      <c r="V271" s="87" t="str">
        <f aca="false">IF(ISBLANK($C271),"",IF(F271=Constants!$B$2, TRUE(), IF(F271=Constants!$B$3, FALSE(), TRUE())))</f>
        <v/>
      </c>
      <c r="W271" s="87" t="str">
        <f aca="false">IF(ISBLANK($C271),"",IF(G271=Constants!$B$15,Constants!$B$8,IF(G271=Constants!$B$16,Constants!$B$9,Constants!$B$10)))</f>
        <v/>
      </c>
      <c r="X271" s="87" t="str">
        <f aca="false">IF(ISBLANK($C271),"",IF(H271=Constants!$B$2, TRUE(), IF(H271=Constants!$B$3, FALSE(), TRUE())))</f>
        <v/>
      </c>
      <c r="Y271" s="87" t="str">
        <f aca="false">IF(ISBLANK($C271),"",IF(I271=Constants!$B$19,Constants!$B$19,Constants!$B$18))</f>
        <v/>
      </c>
      <c r="Z271" s="87" t="str">
        <f aca="false">IF(ISBLANK($C271),"",IF(ISNUMBER(J271),IF(J271&gt;=0,J271,""),""))</f>
        <v/>
      </c>
      <c r="AA271" s="87" t="str">
        <f aca="false">IF(ISBLANK($C271),"",IF(K271=Constants!$B$19,Constants!$B$19,Constants!$B$18))</f>
        <v/>
      </c>
      <c r="AB271" s="87" t="str">
        <f aca="false">IF(ISBLANK($C271),"",IF(ISNUMBER(L271),IF(L271&gt;=0,L271,""),""))</f>
        <v/>
      </c>
      <c r="AC271" s="87" t="str">
        <f aca="false">IF(ISBLANK($C271),"",IF(M271=Constants!$B$19,Constants!$B$19,Constants!$B$18))</f>
        <v/>
      </c>
      <c r="AD271" s="87" t="str">
        <f aca="false">IF(ISBLANK($C271),"",IF(ISNUMBER(N271),IF(N271&gt;=0,N271,""),""))</f>
        <v/>
      </c>
      <c r="AE271" s="87" t="str">
        <f aca="false">IF(ISBLANK($C271),"",IF(O271=Constants!$B$19,Constants!$B$19,Constants!$B$18))</f>
        <v/>
      </c>
      <c r="AF271" s="87" t="str">
        <f aca="false">IF(ISBLANK($C271),"",IF(ISNUMBER(P271),IF(P271&gt;=0,P271,""),""))</f>
        <v/>
      </c>
      <c r="AG271" s="87" t="str">
        <f aca="false">IF(ISBLANK($C271),"",IF(Q271=Constants!$B$19,Constants!$B$19,Constants!$B$18))</f>
        <v/>
      </c>
      <c r="AH271" s="87" t="str">
        <f aca="false">IF(ISBLANK($C271),"",IF(ISNUMBER(R271),IF(R271&gt;=0,R271,""),""))</f>
        <v/>
      </c>
      <c r="AI271" s="87" t="str">
        <f aca="false">IF(ISBLANK($C271),"",IF(S271=Constants!$B$2, TRUE(), IF(S271=Constants!$B$3, FALSE(), FALSE())))</f>
        <v/>
      </c>
      <c r="AJ271" s="87" t="str">
        <f aca="false">IF(ISBLANK($C271),"",IF(AI271,Constants!$B$4,IF(COUNTA(E271:R271)=0,Constants!$B$5,IF(COUNTA(J271,L271,N271,P271,R271)=0,Constants!$B$6,Constants!$B$7))))</f>
        <v/>
      </c>
      <c r="AK271" s="87" t="str">
        <f aca="false">IF(ISBLANK($C271),"",IF($AJ271&lt;&gt;Constants!$B$7,$AJ271,IF(OR(NOT(X271),AND(NOT(U271),COUNTIFS(Y271:AG271,Constants!$B$18,Z271:AH271,"&gt;=0")&gt;0),AND(NOT(V271),COUNTIFS(Y271:AG271,Constants!$B$19,Z271:AH271,"&gt;=0")&gt;0)),Constants!$B$12,Constants!$B$11)))</f>
        <v/>
      </c>
      <c r="AL271" s="87" t="str">
        <f aca="false">IF($AJ271=Constants!$B$7,IF(Z271="",Constants!$B$13,Z271),"")</f>
        <v/>
      </c>
      <c r="AM271" s="87" t="str">
        <f aca="false">IF($AJ271=Constants!$B$7,IF(AB271="",Constants!$B$13,AB271),"")</f>
        <v/>
      </c>
      <c r="AN271" s="87" t="str">
        <f aca="false">IF($AJ271=Constants!$B$7,IF(AD271="",Constants!$B$13,AD271),"")</f>
        <v/>
      </c>
      <c r="AO271" s="87" t="str">
        <f aca="false">IF($AJ271=Constants!$B$7,IF(AF271="",Constants!$B$13,AF271),"")</f>
        <v/>
      </c>
      <c r="AP271" s="87" t="str">
        <f aca="false">IF($AJ271=Constants!$B$7,IF(AH271="",Constants!$B$13,AH271),"")</f>
        <v/>
      </c>
      <c r="AQ271" s="87" t="str">
        <f aca="false">IF($AJ271=Constants!$B$7,IF(SUMPRODUCT(--($AL271:$AP271&gt;AL271))+SUMPRODUCT(--($AL271:AL271=AL271))=1,1,IF(SUMPRODUCT(--($AL271:$AP271&gt;AM271))+SUMPRODUCT(--($AL271:AM271=AM271))=1,2,IF(SUMPRODUCT(--($AL271:$AP271&gt;AN271))+SUMPRODUCT(--($AL271:AN271=AN271))=1,3,IF(SUMPRODUCT(--($AL271:$AP271&gt;AO271))+SUMPRODUCT(--($AL271:AO271=AO271))=1,4,5)))),"")</f>
        <v/>
      </c>
      <c r="AR271" s="87" t="str">
        <f aca="false">IF($AJ271=Constants!$B$7,IF(SUMPRODUCT(--($AL271:$AP271&gt;AL271))+SUMPRODUCT(--($AL271:AL271=AL271))=2,1,IF(SUMPRODUCT(--($AL271:$AP271&gt;AM271))+SUMPRODUCT(--($AL271:AM271=AM271))=2,2,IF(SUMPRODUCT(--($AL271:$AP271&gt;AN271))+SUMPRODUCT(--($AL271:AN271=AN271))=2,3,IF(SUMPRODUCT(--($AL271:$AP271&gt;AO271))+SUMPRODUCT(--($AL271:AO271=AO271))=2,4,5)))),"")</f>
        <v/>
      </c>
      <c r="AS271" s="87" t="str">
        <f aca="false">IF($AJ271=Constants!$B$7,IF(SUMPRODUCT(--($AL271:$AP271&gt;AL271))+SUMPRODUCT(--($AL271:AL271=AL271))=3,1,IF(SUMPRODUCT(--($AL271:$AP271&gt;AM271))+SUMPRODUCT(--($AL271:AM271=AM271))=3,2,IF(SUMPRODUCT(--($AL271:$AP271&gt;AN271))+SUMPRODUCT(--($AL271:AN271=AN271))=3,3,IF(SUMPRODUCT(--($AL271:$AP271&gt;AO271))+SUMPRODUCT(--($AL271:AO271=AO271))=3,4,5)))),"")</f>
        <v/>
      </c>
      <c r="AT271" s="87" t="str">
        <f aca="false">IF($AJ271=Constants!$B$7,LARGE(AL271:AP271,1)+LARGE(AL271:AP271,2)+LARGE(AL271:AP271,3),"")</f>
        <v/>
      </c>
      <c r="AU271" s="87" t="str">
        <f aca="false">IF(ISBLANK($C271),"",IF($AJ271&lt;&gt;Constants!$B$7,$AJ271,AT271*W271))</f>
        <v/>
      </c>
      <c r="AV271" s="87" t="str">
        <f aca="false">IF(ISBLANK($C271),"",IF($AJ271=Constants!$B$7,IF(ISNUMBER(AU271),RANK(AU271,$AU$8:$AU$507),Constants!$B$14),$AJ271))</f>
        <v/>
      </c>
      <c r="AW271" s="87" t="str">
        <f aca="false">IF(ISBLANK($C271),"",IF($AJ271=Constants!$B$7,IF(ISNUMBER(AV271),COUNTIFS($AK$8:$AK$507,"&lt;"&amp;$AK271)+COUNTIFS($AK$8:$AK$507,$AK271,$AV$8:$AV$507,"&lt;"&amp;$AV271)+1,Constants!$B$14),$AJ271))</f>
        <v/>
      </c>
      <c r="AX271" s="87" t="str">
        <f aca="false">IF(ISBLANK($C271),"",IF($AJ271=Constants!$B$7,LARGE(AL271:AP271,4)*W271,""))</f>
        <v/>
      </c>
      <c r="AY271" s="87" t="str">
        <f aca="false">IF(ISBLANK($C271),"",IF($AJ271=Constants!$B$7,RANK(AX271,$AX$8:$AX$507),$AJ271))</f>
        <v/>
      </c>
      <c r="AZ271" s="87" t="str">
        <f aca="false">IF(ISBLANK($C271),"",IF($AJ271=Constants!$B$7,IF(ISNUMBER(AV271),COUNTIFS($AK$8:$AK$507,"&lt;"&amp;$AK271)+COUNTIFS($AK$8:$AK$507,$AK271,$AV$8:$AV$507,"&lt;"&amp;$AV271)+COUNTIFS($AK$8:$AK$507,$AK271,$AV$8:$AV$507,$AV271,$AY$8:$AY$507,"&lt;"&amp;$AY271)+1,Constants!$B$14),$AJ271))</f>
        <v/>
      </c>
      <c r="BA271" s="87" t="str">
        <f aca="false">IF(ISBLANK($C271),"",IF($AJ271=Constants!$B$7,IF(ISNUMBER(AW271),AW271-AZ271,Constants!$B$14),$AJ271))</f>
        <v/>
      </c>
      <c r="BB271" s="88"/>
      <c r="BC271" s="89" t="str">
        <f aca="false">IF(ISBLANK($C271),"",IF($AJ271&lt;&gt;Constants!$B$7,$AJ271,SMALL(AQ271:AS271,1)&amp;", "&amp;SMALL(AQ271:AS271,2)&amp;", "&amp;SMALL(AQ271:AS271,3)))</f>
        <v/>
      </c>
      <c r="BD271" s="90" t="str">
        <f aca="false">IF(ISBLANK($C271),"",IF($AJ271&lt;&gt;Constants!$B$7,$AJ271,W271))</f>
        <v/>
      </c>
      <c r="BE271" s="91" t="str">
        <f aca="false">IF(ISBLANK($C271),"",IF($AJ271&lt;&gt;Constants!$B$7,$AJ271,AU271))</f>
        <v/>
      </c>
      <c r="BF271" s="92" t="str">
        <f aca="false">IF(ISBLANK($C271),"",IF($AJ271&lt;&gt;Constants!$B$7,$AJ271,AK271))</f>
        <v/>
      </c>
      <c r="BG271" s="90" t="str">
        <f aca="false">IF(ISBLANK($C271),"",BA271)</f>
        <v/>
      </c>
      <c r="BH271" s="90" t="str">
        <f aca="false">IF(ISBLANK($C271),"",AZ271)</f>
        <v/>
      </c>
      <c r="BI271" s="93" t="str">
        <f aca="false">IF(ISBLANK($C271),"",IF(BH271=Constants!$B$4,COUNTA($C$8:$C$507)+2,IF(BH271=Constants!$B$5,COUNTA($C$8:$C$507)+1,IF(BH271=Constants!$B$6,COUNTA($C$8:$C$507),BH271))))</f>
        <v/>
      </c>
      <c r="BJ271" s="5"/>
      <c r="BK271" s="94" t="n">
        <f aca="false">IF(OR(ISNUMBER(BH271),BH271=Constants!$B$4,BH271=Constants!$B$6,BH271=Constants!$B$5),1,0)</f>
        <v>0</v>
      </c>
      <c r="BL271" s="94" t="n">
        <v>264</v>
      </c>
      <c r="BM271" s="94" t="str">
        <f aca="false">IF(ISBLANK($C271),"",IF(ISNUMBER(BI271),BI271+ROW($B271)/1000,""))</f>
        <v/>
      </c>
      <c r="BN271" s="94" t="str">
        <f aca="false">IF(ISNUMBER(BM271),RANK(BM271,$BM$8:$BM$507,1),"")</f>
        <v/>
      </c>
      <c r="BO271" s="94" t="str">
        <f aca="false">IF(ISBLANK($C271),"",$B271)</f>
        <v/>
      </c>
      <c r="BP271" s="94" t="str">
        <f aca="false">IF(ISBLANK($C271),"",$C271)</f>
        <v/>
      </c>
      <c r="BQ271" s="94" t="str">
        <f aca="false">IF(ISBLANK($C271),"",$D271)</f>
        <v/>
      </c>
      <c r="BR271" s="95" t="str">
        <f aca="false">BF271</f>
        <v/>
      </c>
      <c r="BS271" s="96" t="str">
        <f aca="false">BE271</f>
        <v/>
      </c>
      <c r="BT271" s="94" t="str">
        <f aca="false">IF(ISBLANK($C271),"",BH271)</f>
        <v/>
      </c>
      <c r="BU271" s="97" t="str">
        <f aca="false">IF($BL271&gt;$BK$7,"",VLOOKUP($BL271,$BN$8:$BT$507,7,FALSE()))</f>
        <v/>
      </c>
      <c r="BV271" s="98" t="str">
        <f aca="false">IF($BL271&gt;$BK$7,"",VLOOKUP($BL271,$BN$8:$BT$507,2,FALSE()))</f>
        <v/>
      </c>
      <c r="BW271" s="98" t="str">
        <f aca="false">IF($BL271&gt;$BK$7,"",VLOOKUP($BL271,$BN$8:$BT$507,3,FALSE()))</f>
        <v/>
      </c>
      <c r="BX271" s="98" t="str">
        <f aca="false">IF($BL271&gt;$BK$7,"",VLOOKUP($BL271,$BN$8:$BT$507,4,FALSE()))</f>
        <v/>
      </c>
      <c r="BY271" s="98" t="str">
        <f aca="false">IF($BL271&gt;$BK$7,"",VLOOKUP($BL271,$BN$8:$BT$507,5,FALSE()))</f>
        <v/>
      </c>
      <c r="BZ271" s="99" t="str">
        <f aca="false">IF($BL271&gt;$BK$7,"",VLOOKUP($BL271,$BN$8:$BT$507,6,FALSE()))</f>
        <v/>
      </c>
      <c r="CA271" s="48"/>
    </row>
    <row r="272" customFormat="false" ht="15.75" hidden="false" customHeight="false" outlineLevel="0" collapsed="false">
      <c r="A272" s="5"/>
      <c r="B272" s="121"/>
      <c r="C272" s="50"/>
      <c r="D272" s="51"/>
      <c r="E272" s="74"/>
      <c r="F272" s="122"/>
      <c r="G272" s="54"/>
      <c r="H272" s="123"/>
      <c r="I272" s="124"/>
      <c r="J272" s="54"/>
      <c r="K272" s="123"/>
      <c r="L272" s="54"/>
      <c r="M272" s="123"/>
      <c r="N272" s="54"/>
      <c r="O272" s="123"/>
      <c r="P272" s="54"/>
      <c r="Q272" s="123"/>
      <c r="R272" s="54"/>
      <c r="S272" s="74"/>
      <c r="T272" s="58"/>
      <c r="U272" s="59" t="str">
        <f aca="false">IF(ISBLANK($C272),"",IF(E272=Constants!$B$2, TRUE(), IF(E272=Constants!$B$3, FALSE(), TRUE())))</f>
        <v/>
      </c>
      <c r="V272" s="59" t="str">
        <f aca="false">IF(ISBLANK($C272),"",IF(F272=Constants!$B$2, TRUE(), IF(F272=Constants!$B$3, FALSE(), TRUE())))</f>
        <v/>
      </c>
      <c r="W272" s="59" t="str">
        <f aca="false">IF(ISBLANK($C272),"",IF(G272=Constants!$B$15,Constants!$B$8,IF(G272=Constants!$B$16,Constants!$B$9,Constants!$B$10)))</f>
        <v/>
      </c>
      <c r="X272" s="59" t="str">
        <f aca="false">IF(ISBLANK($C272),"",IF(H272=Constants!$B$2, TRUE(), IF(H272=Constants!$B$3, FALSE(), TRUE())))</f>
        <v/>
      </c>
      <c r="Y272" s="59" t="str">
        <f aca="false">IF(ISBLANK($C272),"",IF(I272=Constants!$B$19,Constants!$B$19,Constants!$B$18))</f>
        <v/>
      </c>
      <c r="Z272" s="59" t="str">
        <f aca="false">IF(ISBLANK($C272),"",IF(ISNUMBER(J272),IF(J272&gt;=0,J272,""),""))</f>
        <v/>
      </c>
      <c r="AA272" s="59" t="str">
        <f aca="false">IF(ISBLANK($C272),"",IF(K272=Constants!$B$19,Constants!$B$19,Constants!$B$18))</f>
        <v/>
      </c>
      <c r="AB272" s="59" t="str">
        <f aca="false">IF(ISBLANK($C272),"",IF(ISNUMBER(L272),IF(L272&gt;=0,L272,""),""))</f>
        <v/>
      </c>
      <c r="AC272" s="59" t="str">
        <f aca="false">IF(ISBLANK($C272),"",IF(M272=Constants!$B$19,Constants!$B$19,Constants!$B$18))</f>
        <v/>
      </c>
      <c r="AD272" s="59" t="str">
        <f aca="false">IF(ISBLANK($C272),"",IF(ISNUMBER(N272),IF(N272&gt;=0,N272,""),""))</f>
        <v/>
      </c>
      <c r="AE272" s="59" t="str">
        <f aca="false">IF(ISBLANK($C272),"",IF(O272=Constants!$B$19,Constants!$B$19,Constants!$B$18))</f>
        <v/>
      </c>
      <c r="AF272" s="59" t="str">
        <f aca="false">IF(ISBLANK($C272),"",IF(ISNUMBER(P272),IF(P272&gt;=0,P272,""),""))</f>
        <v/>
      </c>
      <c r="AG272" s="59" t="str">
        <f aca="false">IF(ISBLANK($C272),"",IF(Q272=Constants!$B$19,Constants!$B$19,Constants!$B$18))</f>
        <v/>
      </c>
      <c r="AH272" s="59" t="str">
        <f aca="false">IF(ISBLANK($C272),"",IF(ISNUMBER(R272),IF(R272&gt;=0,R272,""),""))</f>
        <v/>
      </c>
      <c r="AI272" s="59" t="str">
        <f aca="false">IF(ISBLANK($C272),"",IF(S272=Constants!$B$2, TRUE(), IF(S272=Constants!$B$3, FALSE(), FALSE())))</f>
        <v/>
      </c>
      <c r="AJ272" s="59" t="str">
        <f aca="false">IF(ISBLANK($C272),"",IF(AI272,Constants!$B$4,IF(COUNTA(E272:R272)=0,Constants!$B$5,IF(COUNTA(J272,L272,N272,P272,R272)=0,Constants!$B$6,Constants!$B$7))))</f>
        <v/>
      </c>
      <c r="AK272" s="59" t="str">
        <f aca="false">IF(ISBLANK($C272),"",IF($AJ272&lt;&gt;Constants!$B$7,$AJ272,IF(OR(NOT(X272),AND(NOT(U272),COUNTIFS(Y272:AG272,Constants!$B$18,Z272:AH272,"&gt;=0")&gt;0),AND(NOT(V272),COUNTIFS(Y272:AG272,Constants!$B$19,Z272:AH272,"&gt;=0")&gt;0)),Constants!$B$12,Constants!$B$11)))</f>
        <v/>
      </c>
      <c r="AL272" s="59" t="str">
        <f aca="false">IF($AJ272=Constants!$B$7,IF(Z272="",Constants!$B$13,Z272),"")</f>
        <v/>
      </c>
      <c r="AM272" s="59" t="str">
        <f aca="false">IF($AJ272=Constants!$B$7,IF(AB272="",Constants!$B$13,AB272),"")</f>
        <v/>
      </c>
      <c r="AN272" s="59" t="str">
        <f aca="false">IF($AJ272=Constants!$B$7,IF(AD272="",Constants!$B$13,AD272),"")</f>
        <v/>
      </c>
      <c r="AO272" s="59" t="str">
        <f aca="false">IF($AJ272=Constants!$B$7,IF(AF272="",Constants!$B$13,AF272),"")</f>
        <v/>
      </c>
      <c r="AP272" s="59" t="str">
        <f aca="false">IF($AJ272=Constants!$B$7,IF(AH272="",Constants!$B$13,AH272),"")</f>
        <v/>
      </c>
      <c r="AQ272" s="59" t="str">
        <f aca="false">IF($AJ272=Constants!$B$7,IF(SUMPRODUCT(--($AL272:$AP272&gt;AL272))+SUMPRODUCT(--($AL272:AL272=AL272))=1,1,IF(SUMPRODUCT(--($AL272:$AP272&gt;AM272))+SUMPRODUCT(--($AL272:AM272=AM272))=1,2,IF(SUMPRODUCT(--($AL272:$AP272&gt;AN272))+SUMPRODUCT(--($AL272:AN272=AN272))=1,3,IF(SUMPRODUCT(--($AL272:$AP272&gt;AO272))+SUMPRODUCT(--($AL272:AO272=AO272))=1,4,5)))),"")</f>
        <v/>
      </c>
      <c r="AR272" s="59" t="str">
        <f aca="false">IF($AJ272=Constants!$B$7,IF(SUMPRODUCT(--($AL272:$AP272&gt;AL272))+SUMPRODUCT(--($AL272:AL272=AL272))=2,1,IF(SUMPRODUCT(--($AL272:$AP272&gt;AM272))+SUMPRODUCT(--($AL272:AM272=AM272))=2,2,IF(SUMPRODUCT(--($AL272:$AP272&gt;AN272))+SUMPRODUCT(--($AL272:AN272=AN272))=2,3,IF(SUMPRODUCT(--($AL272:$AP272&gt;AO272))+SUMPRODUCT(--($AL272:AO272=AO272))=2,4,5)))),"")</f>
        <v/>
      </c>
      <c r="AS272" s="59" t="str">
        <f aca="false">IF($AJ272=Constants!$B$7,IF(SUMPRODUCT(--($AL272:$AP272&gt;AL272))+SUMPRODUCT(--($AL272:AL272=AL272))=3,1,IF(SUMPRODUCT(--($AL272:$AP272&gt;AM272))+SUMPRODUCT(--($AL272:AM272=AM272))=3,2,IF(SUMPRODUCT(--($AL272:$AP272&gt;AN272))+SUMPRODUCT(--($AL272:AN272=AN272))=3,3,IF(SUMPRODUCT(--($AL272:$AP272&gt;AO272))+SUMPRODUCT(--($AL272:AO272=AO272))=3,4,5)))),"")</f>
        <v/>
      </c>
      <c r="AT272" s="59" t="str">
        <f aca="false">IF($AJ272=Constants!$B$7,LARGE(AL272:AP272,1)+LARGE(AL272:AP272,2)+LARGE(AL272:AP272,3),"")</f>
        <v/>
      </c>
      <c r="AU272" s="59" t="str">
        <f aca="false">IF(ISBLANK($C272),"",IF($AJ272&lt;&gt;Constants!$B$7,$AJ272,AT272*W272))</f>
        <v/>
      </c>
      <c r="AV272" s="59" t="str">
        <f aca="false">IF(ISBLANK($C272),"",IF($AJ272=Constants!$B$7,IF(ISNUMBER(AU272),RANK(AU272,$AU$8:$AU$507),Constants!$B$14),$AJ272))</f>
        <v/>
      </c>
      <c r="AW272" s="59" t="str">
        <f aca="false">IF(ISBLANK($C272),"",IF($AJ272=Constants!$B$7,IF(ISNUMBER(AV272),COUNTIFS($AK$8:$AK$507,"&lt;"&amp;$AK272)+COUNTIFS($AK$8:$AK$507,$AK272,$AV$8:$AV$507,"&lt;"&amp;$AV272)+1,Constants!$B$14),$AJ272))</f>
        <v/>
      </c>
      <c r="AX272" s="59" t="str">
        <f aca="false">IF(ISBLANK($C272),"",IF($AJ272=Constants!$B$7,LARGE(AL272:AP272,4)*W272,""))</f>
        <v/>
      </c>
      <c r="AY272" s="59" t="str">
        <f aca="false">IF(ISBLANK($C272),"",IF($AJ272=Constants!$B$7,RANK(AX272,$AX$8:$AX$507),$AJ272))</f>
        <v/>
      </c>
      <c r="AZ272" s="59" t="str">
        <f aca="false">IF(ISBLANK($C272),"",IF($AJ272=Constants!$B$7,IF(ISNUMBER(AV272),COUNTIFS($AK$8:$AK$507,"&lt;"&amp;$AK272)+COUNTIFS($AK$8:$AK$507,$AK272,$AV$8:$AV$507,"&lt;"&amp;$AV272)+COUNTIFS($AK$8:$AK$507,$AK272,$AV$8:$AV$507,$AV272,$AY$8:$AY$507,"&lt;"&amp;$AY272)+1,Constants!$B$14),$AJ272))</f>
        <v/>
      </c>
      <c r="BA272" s="59" t="str">
        <f aca="false">IF(ISBLANK($C272),"",IF($AJ272=Constants!$B$7,IF(ISNUMBER(AW272),AW272-AZ272,Constants!$B$14),$AJ272))</f>
        <v/>
      </c>
      <c r="BB272" s="61"/>
      <c r="BC272" s="62" t="str">
        <f aca="false">IF(ISBLANK($C272),"",IF($AJ272&lt;&gt;Constants!$B$7,$AJ272,SMALL(AQ272:AS272,1)&amp;", "&amp;SMALL(AQ272:AS272,2)&amp;", "&amp;SMALL(AQ272:AS272,3)))</f>
        <v/>
      </c>
      <c r="BD272" s="63" t="str">
        <f aca="false">IF(ISBLANK($C272),"",IF($AJ272&lt;&gt;Constants!$B$7,$AJ272,W272))</f>
        <v/>
      </c>
      <c r="BE272" s="64" t="str">
        <f aca="false">IF(ISBLANK($C272),"",IF($AJ272&lt;&gt;Constants!$B$7,$AJ272,AU272))</f>
        <v/>
      </c>
      <c r="BF272" s="65" t="str">
        <f aca="false">IF(ISBLANK($C272),"",IF($AJ272&lt;&gt;Constants!$B$7,$AJ272,AK272))</f>
        <v/>
      </c>
      <c r="BG272" s="63" t="str">
        <f aca="false">IF(ISBLANK($C272),"",BA272)</f>
        <v/>
      </c>
      <c r="BH272" s="63" t="str">
        <f aca="false">IF(ISBLANK($C272),"",AZ272)</f>
        <v/>
      </c>
      <c r="BI272" s="66" t="str">
        <f aca="false">IF(ISBLANK($C272),"",IF(BH272=Constants!$B$4,COUNTA($C$8:$C$507)+2,IF(BH272=Constants!$B$5,COUNTA($C$8:$C$507)+1,IF(BH272=Constants!$B$6,COUNTA($C$8:$C$507),BH272))))</f>
        <v/>
      </c>
      <c r="BJ272" s="5"/>
      <c r="BK272" s="67" t="n">
        <f aca="false">IF(OR(ISNUMBER(BH272),BH272=Constants!$B$4,BH272=Constants!$B$6,BH272=Constants!$B$5),1,0)</f>
        <v>0</v>
      </c>
      <c r="BL272" s="67" t="n">
        <v>265</v>
      </c>
      <c r="BM272" s="67" t="str">
        <f aca="false">IF(ISBLANK($C272),"",IF(ISNUMBER(BI272),BI272+ROW($B272)/1000,""))</f>
        <v/>
      </c>
      <c r="BN272" s="67" t="str">
        <f aca="false">IF(ISNUMBER(BM272),RANK(BM272,$BM$8:$BM$507,1),"")</f>
        <v/>
      </c>
      <c r="BO272" s="67" t="str">
        <f aca="false">IF(ISBLANK($C272),"",$B272)</f>
        <v/>
      </c>
      <c r="BP272" s="67" t="str">
        <f aca="false">IF(ISBLANK($C272),"",$C272)</f>
        <v/>
      </c>
      <c r="BQ272" s="67" t="str">
        <f aca="false">IF(ISBLANK($C272),"",$D272)</f>
        <v/>
      </c>
      <c r="BR272" s="68" t="str">
        <f aca="false">BF272</f>
        <v/>
      </c>
      <c r="BS272" s="69" t="str">
        <f aca="false">BE272</f>
        <v/>
      </c>
      <c r="BT272" s="67" t="str">
        <f aca="false">IF(ISBLANK($C272),"",BH272)</f>
        <v/>
      </c>
      <c r="BU272" s="70" t="str">
        <f aca="false">IF($BL272&gt;$BK$7,"",VLOOKUP($BL272,$BN$8:$BT$507,7,FALSE()))</f>
        <v/>
      </c>
      <c r="BV272" s="71" t="str">
        <f aca="false">IF($BL272&gt;$BK$7,"",VLOOKUP($BL272,$BN$8:$BT$507,2,FALSE()))</f>
        <v/>
      </c>
      <c r="BW272" s="71" t="str">
        <f aca="false">IF($BL272&gt;$BK$7,"",VLOOKUP($BL272,$BN$8:$BT$507,3,FALSE()))</f>
        <v/>
      </c>
      <c r="BX272" s="71" t="str">
        <f aca="false">IF($BL272&gt;$BK$7,"",VLOOKUP($BL272,$BN$8:$BT$507,4,FALSE()))</f>
        <v/>
      </c>
      <c r="BY272" s="71" t="str">
        <f aca="false">IF($BL272&gt;$BK$7,"",VLOOKUP($BL272,$BN$8:$BT$507,5,FALSE()))</f>
        <v/>
      </c>
      <c r="BZ272" s="72" t="str">
        <f aca="false">IF($BL272&gt;$BK$7,"",VLOOKUP($BL272,$BN$8:$BT$507,6,FALSE()))</f>
        <v/>
      </c>
      <c r="CA272" s="48"/>
    </row>
    <row r="273" customFormat="false" ht="15.75" hidden="false" customHeight="false" outlineLevel="0" collapsed="false">
      <c r="A273" s="5"/>
      <c r="B273" s="121"/>
      <c r="C273" s="50"/>
      <c r="D273" s="51"/>
      <c r="E273" s="74"/>
      <c r="F273" s="122"/>
      <c r="G273" s="54"/>
      <c r="H273" s="123"/>
      <c r="I273" s="124"/>
      <c r="J273" s="54"/>
      <c r="K273" s="123"/>
      <c r="L273" s="54"/>
      <c r="M273" s="123"/>
      <c r="N273" s="54"/>
      <c r="O273" s="123"/>
      <c r="P273" s="54"/>
      <c r="Q273" s="123"/>
      <c r="R273" s="54"/>
      <c r="S273" s="74"/>
      <c r="T273" s="58"/>
      <c r="U273" s="59" t="str">
        <f aca="false">IF(ISBLANK($C273),"",IF(E273=Constants!$B$2, TRUE(), IF(E273=Constants!$B$3, FALSE(), TRUE())))</f>
        <v/>
      </c>
      <c r="V273" s="59" t="str">
        <f aca="false">IF(ISBLANK($C273),"",IF(F273=Constants!$B$2, TRUE(), IF(F273=Constants!$B$3, FALSE(), TRUE())))</f>
        <v/>
      </c>
      <c r="W273" s="59" t="str">
        <f aca="false">IF(ISBLANK($C273),"",IF(G273=Constants!$B$15,Constants!$B$8,IF(G273=Constants!$B$16,Constants!$B$9,Constants!$B$10)))</f>
        <v/>
      </c>
      <c r="X273" s="59" t="str">
        <f aca="false">IF(ISBLANK($C273),"",IF(H273=Constants!$B$2, TRUE(), IF(H273=Constants!$B$3, FALSE(), TRUE())))</f>
        <v/>
      </c>
      <c r="Y273" s="59" t="str">
        <f aca="false">IF(ISBLANK($C273),"",IF(I273=Constants!$B$19,Constants!$B$19,Constants!$B$18))</f>
        <v/>
      </c>
      <c r="Z273" s="59" t="str">
        <f aca="false">IF(ISBLANK($C273),"",IF(ISNUMBER(J273),IF(J273&gt;=0,J273,""),""))</f>
        <v/>
      </c>
      <c r="AA273" s="59" t="str">
        <f aca="false">IF(ISBLANK($C273),"",IF(K273=Constants!$B$19,Constants!$B$19,Constants!$B$18))</f>
        <v/>
      </c>
      <c r="AB273" s="59" t="str">
        <f aca="false">IF(ISBLANK($C273),"",IF(ISNUMBER(L273),IF(L273&gt;=0,L273,""),""))</f>
        <v/>
      </c>
      <c r="AC273" s="59" t="str">
        <f aca="false">IF(ISBLANK($C273),"",IF(M273=Constants!$B$19,Constants!$B$19,Constants!$B$18))</f>
        <v/>
      </c>
      <c r="AD273" s="59" t="str">
        <f aca="false">IF(ISBLANK($C273),"",IF(ISNUMBER(N273),IF(N273&gt;=0,N273,""),""))</f>
        <v/>
      </c>
      <c r="AE273" s="59" t="str">
        <f aca="false">IF(ISBLANK($C273),"",IF(O273=Constants!$B$19,Constants!$B$19,Constants!$B$18))</f>
        <v/>
      </c>
      <c r="AF273" s="59" t="str">
        <f aca="false">IF(ISBLANK($C273),"",IF(ISNUMBER(P273),IF(P273&gt;=0,P273,""),""))</f>
        <v/>
      </c>
      <c r="AG273" s="59" t="str">
        <f aca="false">IF(ISBLANK($C273),"",IF(Q273=Constants!$B$19,Constants!$B$19,Constants!$B$18))</f>
        <v/>
      </c>
      <c r="AH273" s="59" t="str">
        <f aca="false">IF(ISBLANK($C273),"",IF(ISNUMBER(R273),IF(R273&gt;=0,R273,""),""))</f>
        <v/>
      </c>
      <c r="AI273" s="59" t="str">
        <f aca="false">IF(ISBLANK($C273),"",IF(S273=Constants!$B$2, TRUE(), IF(S273=Constants!$B$3, FALSE(), FALSE())))</f>
        <v/>
      </c>
      <c r="AJ273" s="59" t="str">
        <f aca="false">IF(ISBLANK($C273),"",IF(AI273,Constants!$B$4,IF(COUNTA(E273:R273)=0,Constants!$B$5,IF(COUNTA(J273,L273,N273,P273,R273)=0,Constants!$B$6,Constants!$B$7))))</f>
        <v/>
      </c>
      <c r="AK273" s="59" t="str">
        <f aca="false">IF(ISBLANK($C273),"",IF($AJ273&lt;&gt;Constants!$B$7,$AJ273,IF(OR(NOT(X273),AND(NOT(U273),COUNTIFS(Y273:AG273,Constants!$B$18,Z273:AH273,"&gt;=0")&gt;0),AND(NOT(V273),COUNTIFS(Y273:AG273,Constants!$B$19,Z273:AH273,"&gt;=0")&gt;0)),Constants!$B$12,Constants!$B$11)))</f>
        <v/>
      </c>
      <c r="AL273" s="59" t="str">
        <f aca="false">IF($AJ273=Constants!$B$7,IF(Z273="",Constants!$B$13,Z273),"")</f>
        <v/>
      </c>
      <c r="AM273" s="59" t="str">
        <f aca="false">IF($AJ273=Constants!$B$7,IF(AB273="",Constants!$B$13,AB273),"")</f>
        <v/>
      </c>
      <c r="AN273" s="59" t="str">
        <f aca="false">IF($AJ273=Constants!$B$7,IF(AD273="",Constants!$B$13,AD273),"")</f>
        <v/>
      </c>
      <c r="AO273" s="59" t="str">
        <f aca="false">IF($AJ273=Constants!$B$7,IF(AF273="",Constants!$B$13,AF273),"")</f>
        <v/>
      </c>
      <c r="AP273" s="59" t="str">
        <f aca="false">IF($AJ273=Constants!$B$7,IF(AH273="",Constants!$B$13,AH273),"")</f>
        <v/>
      </c>
      <c r="AQ273" s="59" t="str">
        <f aca="false">IF($AJ273=Constants!$B$7,IF(SUMPRODUCT(--($AL273:$AP273&gt;AL273))+SUMPRODUCT(--($AL273:AL273=AL273))=1,1,IF(SUMPRODUCT(--($AL273:$AP273&gt;AM273))+SUMPRODUCT(--($AL273:AM273=AM273))=1,2,IF(SUMPRODUCT(--($AL273:$AP273&gt;AN273))+SUMPRODUCT(--($AL273:AN273=AN273))=1,3,IF(SUMPRODUCT(--($AL273:$AP273&gt;AO273))+SUMPRODUCT(--($AL273:AO273=AO273))=1,4,5)))),"")</f>
        <v/>
      </c>
      <c r="AR273" s="59" t="str">
        <f aca="false">IF($AJ273=Constants!$B$7,IF(SUMPRODUCT(--($AL273:$AP273&gt;AL273))+SUMPRODUCT(--($AL273:AL273=AL273))=2,1,IF(SUMPRODUCT(--($AL273:$AP273&gt;AM273))+SUMPRODUCT(--($AL273:AM273=AM273))=2,2,IF(SUMPRODUCT(--($AL273:$AP273&gt;AN273))+SUMPRODUCT(--($AL273:AN273=AN273))=2,3,IF(SUMPRODUCT(--($AL273:$AP273&gt;AO273))+SUMPRODUCT(--($AL273:AO273=AO273))=2,4,5)))),"")</f>
        <v/>
      </c>
      <c r="AS273" s="59" t="str">
        <f aca="false">IF($AJ273=Constants!$B$7,IF(SUMPRODUCT(--($AL273:$AP273&gt;AL273))+SUMPRODUCT(--($AL273:AL273=AL273))=3,1,IF(SUMPRODUCT(--($AL273:$AP273&gt;AM273))+SUMPRODUCT(--($AL273:AM273=AM273))=3,2,IF(SUMPRODUCT(--($AL273:$AP273&gt;AN273))+SUMPRODUCT(--($AL273:AN273=AN273))=3,3,IF(SUMPRODUCT(--($AL273:$AP273&gt;AO273))+SUMPRODUCT(--($AL273:AO273=AO273))=3,4,5)))),"")</f>
        <v/>
      </c>
      <c r="AT273" s="59" t="str">
        <f aca="false">IF($AJ273=Constants!$B$7,LARGE(AL273:AP273,1)+LARGE(AL273:AP273,2)+LARGE(AL273:AP273,3),"")</f>
        <v/>
      </c>
      <c r="AU273" s="59" t="str">
        <f aca="false">IF(ISBLANK($C273),"",IF($AJ273&lt;&gt;Constants!$B$7,$AJ273,AT273*W273))</f>
        <v/>
      </c>
      <c r="AV273" s="59" t="str">
        <f aca="false">IF(ISBLANK($C273),"",IF($AJ273=Constants!$B$7,IF(ISNUMBER(AU273),RANK(AU273,$AU$8:$AU$507),Constants!$B$14),$AJ273))</f>
        <v/>
      </c>
      <c r="AW273" s="59" t="str">
        <f aca="false">IF(ISBLANK($C273),"",IF($AJ273=Constants!$B$7,IF(ISNUMBER(AV273),COUNTIFS($AK$8:$AK$507,"&lt;"&amp;$AK273)+COUNTIFS($AK$8:$AK$507,$AK273,$AV$8:$AV$507,"&lt;"&amp;$AV273)+1,Constants!$B$14),$AJ273))</f>
        <v/>
      </c>
      <c r="AX273" s="59" t="str">
        <f aca="false">IF(ISBLANK($C273),"",IF($AJ273=Constants!$B$7,LARGE(AL273:AP273,4)*W273,""))</f>
        <v/>
      </c>
      <c r="AY273" s="59" t="str">
        <f aca="false">IF(ISBLANK($C273),"",IF($AJ273=Constants!$B$7,RANK(AX273,$AX$8:$AX$507),$AJ273))</f>
        <v/>
      </c>
      <c r="AZ273" s="59" t="str">
        <f aca="false">IF(ISBLANK($C273),"",IF($AJ273=Constants!$B$7,IF(ISNUMBER(AV273),COUNTIFS($AK$8:$AK$507,"&lt;"&amp;$AK273)+COUNTIFS($AK$8:$AK$507,$AK273,$AV$8:$AV$507,"&lt;"&amp;$AV273)+COUNTIFS($AK$8:$AK$507,$AK273,$AV$8:$AV$507,$AV273,$AY$8:$AY$507,"&lt;"&amp;$AY273)+1,Constants!$B$14),$AJ273))</f>
        <v/>
      </c>
      <c r="BA273" s="59" t="str">
        <f aca="false">IF(ISBLANK($C273),"",IF($AJ273=Constants!$B$7,IF(ISNUMBER(AW273),AW273-AZ273,Constants!$B$14),$AJ273))</f>
        <v/>
      </c>
      <c r="BB273" s="61"/>
      <c r="BC273" s="62" t="str">
        <f aca="false">IF(ISBLANK($C273),"",IF($AJ273&lt;&gt;Constants!$B$7,$AJ273,SMALL(AQ273:AS273,1)&amp;", "&amp;SMALL(AQ273:AS273,2)&amp;", "&amp;SMALL(AQ273:AS273,3)))</f>
        <v/>
      </c>
      <c r="BD273" s="63" t="str">
        <f aca="false">IF(ISBLANK($C273),"",IF($AJ273&lt;&gt;Constants!$B$7,$AJ273,W273))</f>
        <v/>
      </c>
      <c r="BE273" s="64" t="str">
        <f aca="false">IF(ISBLANK($C273),"",IF($AJ273&lt;&gt;Constants!$B$7,$AJ273,AU273))</f>
        <v/>
      </c>
      <c r="BF273" s="65" t="str">
        <f aca="false">IF(ISBLANK($C273),"",IF($AJ273&lt;&gt;Constants!$B$7,$AJ273,AK273))</f>
        <v/>
      </c>
      <c r="BG273" s="63" t="str">
        <f aca="false">IF(ISBLANK($C273),"",BA273)</f>
        <v/>
      </c>
      <c r="BH273" s="63" t="str">
        <f aca="false">IF(ISBLANK($C273),"",AZ273)</f>
        <v/>
      </c>
      <c r="BI273" s="66" t="str">
        <f aca="false">IF(ISBLANK($C273),"",IF(BH273=Constants!$B$4,COUNTA($C$8:$C$507)+2,IF(BH273=Constants!$B$5,COUNTA($C$8:$C$507)+1,IF(BH273=Constants!$B$6,COUNTA($C$8:$C$507),BH273))))</f>
        <v/>
      </c>
      <c r="BJ273" s="5"/>
      <c r="BK273" s="67" t="n">
        <f aca="false">IF(OR(ISNUMBER(BH273),BH273=Constants!$B$4,BH273=Constants!$B$6,BH273=Constants!$B$5),1,0)</f>
        <v>0</v>
      </c>
      <c r="BL273" s="67" t="n">
        <v>266</v>
      </c>
      <c r="BM273" s="67" t="str">
        <f aca="false">IF(ISBLANK($C273),"",IF(ISNUMBER(BI273),BI273+ROW($B273)/1000,""))</f>
        <v/>
      </c>
      <c r="BN273" s="67" t="str">
        <f aca="false">IF(ISNUMBER(BM273),RANK(BM273,$BM$8:$BM$507,1),"")</f>
        <v/>
      </c>
      <c r="BO273" s="67" t="str">
        <f aca="false">IF(ISBLANK($C273),"",$B273)</f>
        <v/>
      </c>
      <c r="BP273" s="67" t="str">
        <f aca="false">IF(ISBLANK($C273),"",$C273)</f>
        <v/>
      </c>
      <c r="BQ273" s="67" t="str">
        <f aca="false">IF(ISBLANK($C273),"",$D273)</f>
        <v/>
      </c>
      <c r="BR273" s="68" t="str">
        <f aca="false">BF273</f>
        <v/>
      </c>
      <c r="BS273" s="69" t="str">
        <f aca="false">BE273</f>
        <v/>
      </c>
      <c r="BT273" s="67" t="str">
        <f aca="false">IF(ISBLANK($C273),"",BH273)</f>
        <v/>
      </c>
      <c r="BU273" s="70" t="str">
        <f aca="false">IF($BL273&gt;$BK$7,"",VLOOKUP($BL273,$BN$8:$BT$507,7,FALSE()))</f>
        <v/>
      </c>
      <c r="BV273" s="71" t="str">
        <f aca="false">IF($BL273&gt;$BK$7,"",VLOOKUP($BL273,$BN$8:$BT$507,2,FALSE()))</f>
        <v/>
      </c>
      <c r="BW273" s="71" t="str">
        <f aca="false">IF($BL273&gt;$BK$7,"",VLOOKUP($BL273,$BN$8:$BT$507,3,FALSE()))</f>
        <v/>
      </c>
      <c r="BX273" s="71" t="str">
        <f aca="false">IF($BL273&gt;$BK$7,"",VLOOKUP($BL273,$BN$8:$BT$507,4,FALSE()))</f>
        <v/>
      </c>
      <c r="BY273" s="71" t="str">
        <f aca="false">IF($BL273&gt;$BK$7,"",VLOOKUP($BL273,$BN$8:$BT$507,5,FALSE()))</f>
        <v/>
      </c>
      <c r="BZ273" s="72" t="str">
        <f aca="false">IF($BL273&gt;$BK$7,"",VLOOKUP($BL273,$BN$8:$BT$507,6,FALSE()))</f>
        <v/>
      </c>
      <c r="CA273" s="48"/>
    </row>
    <row r="274" customFormat="false" ht="15.75" hidden="false" customHeight="false" outlineLevel="0" collapsed="false">
      <c r="A274" s="5"/>
      <c r="B274" s="121"/>
      <c r="C274" s="50"/>
      <c r="D274" s="51"/>
      <c r="E274" s="74"/>
      <c r="F274" s="122"/>
      <c r="G274" s="54"/>
      <c r="H274" s="123"/>
      <c r="I274" s="124"/>
      <c r="J274" s="54"/>
      <c r="K274" s="123"/>
      <c r="L274" s="54"/>
      <c r="M274" s="123"/>
      <c r="N274" s="54"/>
      <c r="O274" s="123"/>
      <c r="P274" s="54"/>
      <c r="Q274" s="123"/>
      <c r="R274" s="54"/>
      <c r="S274" s="74"/>
      <c r="T274" s="58"/>
      <c r="U274" s="59" t="str">
        <f aca="false">IF(ISBLANK($C274),"",IF(E274=Constants!$B$2, TRUE(), IF(E274=Constants!$B$3, FALSE(), TRUE())))</f>
        <v/>
      </c>
      <c r="V274" s="59" t="str">
        <f aca="false">IF(ISBLANK($C274),"",IF(F274=Constants!$B$2, TRUE(), IF(F274=Constants!$B$3, FALSE(), TRUE())))</f>
        <v/>
      </c>
      <c r="W274" s="59" t="str">
        <f aca="false">IF(ISBLANK($C274),"",IF(G274=Constants!$B$15,Constants!$B$8,IF(G274=Constants!$B$16,Constants!$B$9,Constants!$B$10)))</f>
        <v/>
      </c>
      <c r="X274" s="59" t="str">
        <f aca="false">IF(ISBLANK($C274),"",IF(H274=Constants!$B$2, TRUE(), IF(H274=Constants!$B$3, FALSE(), TRUE())))</f>
        <v/>
      </c>
      <c r="Y274" s="59" t="str">
        <f aca="false">IF(ISBLANK($C274),"",IF(I274=Constants!$B$19,Constants!$B$19,Constants!$B$18))</f>
        <v/>
      </c>
      <c r="Z274" s="59" t="str">
        <f aca="false">IF(ISBLANK($C274),"",IF(ISNUMBER(J274),IF(J274&gt;=0,J274,""),""))</f>
        <v/>
      </c>
      <c r="AA274" s="59" t="str">
        <f aca="false">IF(ISBLANK($C274),"",IF(K274=Constants!$B$19,Constants!$B$19,Constants!$B$18))</f>
        <v/>
      </c>
      <c r="AB274" s="59" t="str">
        <f aca="false">IF(ISBLANK($C274),"",IF(ISNUMBER(L274),IF(L274&gt;=0,L274,""),""))</f>
        <v/>
      </c>
      <c r="AC274" s="59" t="str">
        <f aca="false">IF(ISBLANK($C274),"",IF(M274=Constants!$B$19,Constants!$B$19,Constants!$B$18))</f>
        <v/>
      </c>
      <c r="AD274" s="59" t="str">
        <f aca="false">IF(ISBLANK($C274),"",IF(ISNUMBER(N274),IF(N274&gt;=0,N274,""),""))</f>
        <v/>
      </c>
      <c r="AE274" s="59" t="str">
        <f aca="false">IF(ISBLANK($C274),"",IF(O274=Constants!$B$19,Constants!$B$19,Constants!$B$18))</f>
        <v/>
      </c>
      <c r="AF274" s="59" t="str">
        <f aca="false">IF(ISBLANK($C274),"",IF(ISNUMBER(P274),IF(P274&gt;=0,P274,""),""))</f>
        <v/>
      </c>
      <c r="AG274" s="59" t="str">
        <f aca="false">IF(ISBLANK($C274),"",IF(Q274=Constants!$B$19,Constants!$B$19,Constants!$B$18))</f>
        <v/>
      </c>
      <c r="AH274" s="59" t="str">
        <f aca="false">IF(ISBLANK($C274),"",IF(ISNUMBER(R274),IF(R274&gt;=0,R274,""),""))</f>
        <v/>
      </c>
      <c r="AI274" s="59" t="str">
        <f aca="false">IF(ISBLANK($C274),"",IF(S274=Constants!$B$2, TRUE(), IF(S274=Constants!$B$3, FALSE(), FALSE())))</f>
        <v/>
      </c>
      <c r="AJ274" s="59" t="str">
        <f aca="false">IF(ISBLANK($C274),"",IF(AI274,Constants!$B$4,IF(COUNTA(E274:R274)=0,Constants!$B$5,IF(COUNTA(J274,L274,N274,P274,R274)=0,Constants!$B$6,Constants!$B$7))))</f>
        <v/>
      </c>
      <c r="AK274" s="59" t="str">
        <f aca="false">IF(ISBLANK($C274),"",IF($AJ274&lt;&gt;Constants!$B$7,$AJ274,IF(OR(NOT(X274),AND(NOT(U274),COUNTIFS(Y274:AG274,Constants!$B$18,Z274:AH274,"&gt;=0")&gt;0),AND(NOT(V274),COUNTIFS(Y274:AG274,Constants!$B$19,Z274:AH274,"&gt;=0")&gt;0)),Constants!$B$12,Constants!$B$11)))</f>
        <v/>
      </c>
      <c r="AL274" s="59" t="str">
        <f aca="false">IF($AJ274=Constants!$B$7,IF(Z274="",Constants!$B$13,Z274),"")</f>
        <v/>
      </c>
      <c r="AM274" s="59" t="str">
        <f aca="false">IF($AJ274=Constants!$B$7,IF(AB274="",Constants!$B$13,AB274),"")</f>
        <v/>
      </c>
      <c r="AN274" s="59" t="str">
        <f aca="false">IF($AJ274=Constants!$B$7,IF(AD274="",Constants!$B$13,AD274),"")</f>
        <v/>
      </c>
      <c r="AO274" s="59" t="str">
        <f aca="false">IF($AJ274=Constants!$B$7,IF(AF274="",Constants!$B$13,AF274),"")</f>
        <v/>
      </c>
      <c r="AP274" s="59" t="str">
        <f aca="false">IF($AJ274=Constants!$B$7,IF(AH274="",Constants!$B$13,AH274),"")</f>
        <v/>
      </c>
      <c r="AQ274" s="59" t="str">
        <f aca="false">IF($AJ274=Constants!$B$7,IF(SUMPRODUCT(--($AL274:$AP274&gt;AL274))+SUMPRODUCT(--($AL274:AL274=AL274))=1,1,IF(SUMPRODUCT(--($AL274:$AP274&gt;AM274))+SUMPRODUCT(--($AL274:AM274=AM274))=1,2,IF(SUMPRODUCT(--($AL274:$AP274&gt;AN274))+SUMPRODUCT(--($AL274:AN274=AN274))=1,3,IF(SUMPRODUCT(--($AL274:$AP274&gt;AO274))+SUMPRODUCT(--($AL274:AO274=AO274))=1,4,5)))),"")</f>
        <v/>
      </c>
      <c r="AR274" s="59" t="str">
        <f aca="false">IF($AJ274=Constants!$B$7,IF(SUMPRODUCT(--($AL274:$AP274&gt;AL274))+SUMPRODUCT(--($AL274:AL274=AL274))=2,1,IF(SUMPRODUCT(--($AL274:$AP274&gt;AM274))+SUMPRODUCT(--($AL274:AM274=AM274))=2,2,IF(SUMPRODUCT(--($AL274:$AP274&gt;AN274))+SUMPRODUCT(--($AL274:AN274=AN274))=2,3,IF(SUMPRODUCT(--($AL274:$AP274&gt;AO274))+SUMPRODUCT(--($AL274:AO274=AO274))=2,4,5)))),"")</f>
        <v/>
      </c>
      <c r="AS274" s="59" t="str">
        <f aca="false">IF($AJ274=Constants!$B$7,IF(SUMPRODUCT(--($AL274:$AP274&gt;AL274))+SUMPRODUCT(--($AL274:AL274=AL274))=3,1,IF(SUMPRODUCT(--($AL274:$AP274&gt;AM274))+SUMPRODUCT(--($AL274:AM274=AM274))=3,2,IF(SUMPRODUCT(--($AL274:$AP274&gt;AN274))+SUMPRODUCT(--($AL274:AN274=AN274))=3,3,IF(SUMPRODUCT(--($AL274:$AP274&gt;AO274))+SUMPRODUCT(--($AL274:AO274=AO274))=3,4,5)))),"")</f>
        <v/>
      </c>
      <c r="AT274" s="59" t="str">
        <f aca="false">IF($AJ274=Constants!$B$7,LARGE(AL274:AP274,1)+LARGE(AL274:AP274,2)+LARGE(AL274:AP274,3),"")</f>
        <v/>
      </c>
      <c r="AU274" s="59" t="str">
        <f aca="false">IF(ISBLANK($C274),"",IF($AJ274&lt;&gt;Constants!$B$7,$AJ274,AT274*W274))</f>
        <v/>
      </c>
      <c r="AV274" s="59" t="str">
        <f aca="false">IF(ISBLANK($C274),"",IF($AJ274=Constants!$B$7,IF(ISNUMBER(AU274),RANK(AU274,$AU$8:$AU$507),Constants!$B$14),$AJ274))</f>
        <v/>
      </c>
      <c r="AW274" s="59" t="str">
        <f aca="false">IF(ISBLANK($C274),"",IF($AJ274=Constants!$B$7,IF(ISNUMBER(AV274),COUNTIFS($AK$8:$AK$507,"&lt;"&amp;$AK274)+COUNTIFS($AK$8:$AK$507,$AK274,$AV$8:$AV$507,"&lt;"&amp;$AV274)+1,Constants!$B$14),$AJ274))</f>
        <v/>
      </c>
      <c r="AX274" s="59" t="str">
        <f aca="false">IF(ISBLANK($C274),"",IF($AJ274=Constants!$B$7,LARGE(AL274:AP274,4)*W274,""))</f>
        <v/>
      </c>
      <c r="AY274" s="59" t="str">
        <f aca="false">IF(ISBLANK($C274),"",IF($AJ274=Constants!$B$7,RANK(AX274,$AX$8:$AX$507),$AJ274))</f>
        <v/>
      </c>
      <c r="AZ274" s="59" t="str">
        <f aca="false">IF(ISBLANK($C274),"",IF($AJ274=Constants!$B$7,IF(ISNUMBER(AV274),COUNTIFS($AK$8:$AK$507,"&lt;"&amp;$AK274)+COUNTIFS($AK$8:$AK$507,$AK274,$AV$8:$AV$507,"&lt;"&amp;$AV274)+COUNTIFS($AK$8:$AK$507,$AK274,$AV$8:$AV$507,$AV274,$AY$8:$AY$507,"&lt;"&amp;$AY274)+1,Constants!$B$14),$AJ274))</f>
        <v/>
      </c>
      <c r="BA274" s="59" t="str">
        <f aca="false">IF(ISBLANK($C274),"",IF($AJ274=Constants!$B$7,IF(ISNUMBER(AW274),AW274-AZ274,Constants!$B$14),$AJ274))</f>
        <v/>
      </c>
      <c r="BB274" s="61"/>
      <c r="BC274" s="62" t="str">
        <f aca="false">IF(ISBLANK($C274),"",IF($AJ274&lt;&gt;Constants!$B$7,$AJ274,SMALL(AQ274:AS274,1)&amp;", "&amp;SMALL(AQ274:AS274,2)&amp;", "&amp;SMALL(AQ274:AS274,3)))</f>
        <v/>
      </c>
      <c r="BD274" s="63" t="str">
        <f aca="false">IF(ISBLANK($C274),"",IF($AJ274&lt;&gt;Constants!$B$7,$AJ274,W274))</f>
        <v/>
      </c>
      <c r="BE274" s="64" t="str">
        <f aca="false">IF(ISBLANK($C274),"",IF($AJ274&lt;&gt;Constants!$B$7,$AJ274,AU274))</f>
        <v/>
      </c>
      <c r="BF274" s="65" t="str">
        <f aca="false">IF(ISBLANK($C274),"",IF($AJ274&lt;&gt;Constants!$B$7,$AJ274,AK274))</f>
        <v/>
      </c>
      <c r="BG274" s="63" t="str">
        <f aca="false">IF(ISBLANK($C274),"",BA274)</f>
        <v/>
      </c>
      <c r="BH274" s="63" t="str">
        <f aca="false">IF(ISBLANK($C274),"",AZ274)</f>
        <v/>
      </c>
      <c r="BI274" s="66" t="str">
        <f aca="false">IF(ISBLANK($C274),"",IF(BH274=Constants!$B$4,COUNTA($C$8:$C$507)+2,IF(BH274=Constants!$B$5,COUNTA($C$8:$C$507)+1,IF(BH274=Constants!$B$6,COUNTA($C$8:$C$507),BH274))))</f>
        <v/>
      </c>
      <c r="BJ274" s="5"/>
      <c r="BK274" s="67" t="n">
        <f aca="false">IF(OR(ISNUMBER(BH274),BH274=Constants!$B$4,BH274=Constants!$B$6,BH274=Constants!$B$5),1,0)</f>
        <v>0</v>
      </c>
      <c r="BL274" s="67" t="n">
        <v>267</v>
      </c>
      <c r="BM274" s="67" t="str">
        <f aca="false">IF(ISBLANK($C274),"",IF(ISNUMBER(BI274),BI274+ROW($B274)/1000,""))</f>
        <v/>
      </c>
      <c r="BN274" s="67" t="str">
        <f aca="false">IF(ISNUMBER(BM274),RANK(BM274,$BM$8:$BM$507,1),"")</f>
        <v/>
      </c>
      <c r="BO274" s="67" t="str">
        <f aca="false">IF(ISBLANK($C274),"",$B274)</f>
        <v/>
      </c>
      <c r="BP274" s="67" t="str">
        <f aca="false">IF(ISBLANK($C274),"",$C274)</f>
        <v/>
      </c>
      <c r="BQ274" s="67" t="str">
        <f aca="false">IF(ISBLANK($C274),"",$D274)</f>
        <v/>
      </c>
      <c r="BR274" s="68" t="str">
        <f aca="false">BF274</f>
        <v/>
      </c>
      <c r="BS274" s="69" t="str">
        <f aca="false">BE274</f>
        <v/>
      </c>
      <c r="BT274" s="67" t="str">
        <f aca="false">IF(ISBLANK($C274),"",BH274)</f>
        <v/>
      </c>
      <c r="BU274" s="70" t="str">
        <f aca="false">IF($BL274&gt;$BK$7,"",VLOOKUP($BL274,$BN$8:$BT$507,7,FALSE()))</f>
        <v/>
      </c>
      <c r="BV274" s="71" t="str">
        <f aca="false">IF($BL274&gt;$BK$7,"",VLOOKUP($BL274,$BN$8:$BT$507,2,FALSE()))</f>
        <v/>
      </c>
      <c r="BW274" s="71" t="str">
        <f aca="false">IF($BL274&gt;$BK$7,"",VLOOKUP($BL274,$BN$8:$BT$507,3,FALSE()))</f>
        <v/>
      </c>
      <c r="BX274" s="71" t="str">
        <f aca="false">IF($BL274&gt;$BK$7,"",VLOOKUP($BL274,$BN$8:$BT$507,4,FALSE()))</f>
        <v/>
      </c>
      <c r="BY274" s="71" t="str">
        <f aca="false">IF($BL274&gt;$BK$7,"",VLOOKUP($BL274,$BN$8:$BT$507,5,FALSE()))</f>
        <v/>
      </c>
      <c r="BZ274" s="72" t="str">
        <f aca="false">IF($BL274&gt;$BK$7,"",VLOOKUP($BL274,$BN$8:$BT$507,6,FALSE()))</f>
        <v/>
      </c>
      <c r="CA274" s="48"/>
    </row>
    <row r="275" customFormat="false" ht="15.75" hidden="false" customHeight="false" outlineLevel="0" collapsed="false">
      <c r="A275" s="5"/>
      <c r="B275" s="114"/>
      <c r="C275" s="115"/>
      <c r="D275" s="100"/>
      <c r="E275" s="120"/>
      <c r="F275" s="125"/>
      <c r="G275" s="82"/>
      <c r="H275" s="126"/>
      <c r="I275" s="127"/>
      <c r="J275" s="82"/>
      <c r="K275" s="126"/>
      <c r="L275" s="82"/>
      <c r="M275" s="126"/>
      <c r="N275" s="82"/>
      <c r="O275" s="126"/>
      <c r="P275" s="82"/>
      <c r="Q275" s="126"/>
      <c r="R275" s="82"/>
      <c r="S275" s="120"/>
      <c r="T275" s="86"/>
      <c r="U275" s="87" t="str">
        <f aca="false">IF(ISBLANK($C275),"",IF(E275=Constants!$B$2, TRUE(), IF(E275=Constants!$B$3, FALSE(), TRUE())))</f>
        <v/>
      </c>
      <c r="V275" s="87" t="str">
        <f aca="false">IF(ISBLANK($C275),"",IF(F275=Constants!$B$2, TRUE(), IF(F275=Constants!$B$3, FALSE(), TRUE())))</f>
        <v/>
      </c>
      <c r="W275" s="87" t="str">
        <f aca="false">IF(ISBLANK($C275),"",IF(G275=Constants!$B$15,Constants!$B$8,IF(G275=Constants!$B$16,Constants!$B$9,Constants!$B$10)))</f>
        <v/>
      </c>
      <c r="X275" s="87" t="str">
        <f aca="false">IF(ISBLANK($C275),"",IF(H275=Constants!$B$2, TRUE(), IF(H275=Constants!$B$3, FALSE(), TRUE())))</f>
        <v/>
      </c>
      <c r="Y275" s="87" t="str">
        <f aca="false">IF(ISBLANK($C275),"",IF(I275=Constants!$B$19,Constants!$B$19,Constants!$B$18))</f>
        <v/>
      </c>
      <c r="Z275" s="87" t="str">
        <f aca="false">IF(ISBLANK($C275),"",IF(ISNUMBER(J275),IF(J275&gt;=0,J275,""),""))</f>
        <v/>
      </c>
      <c r="AA275" s="87" t="str">
        <f aca="false">IF(ISBLANK($C275),"",IF(K275=Constants!$B$19,Constants!$B$19,Constants!$B$18))</f>
        <v/>
      </c>
      <c r="AB275" s="87" t="str">
        <f aca="false">IF(ISBLANK($C275),"",IF(ISNUMBER(L275),IF(L275&gt;=0,L275,""),""))</f>
        <v/>
      </c>
      <c r="AC275" s="87" t="str">
        <f aca="false">IF(ISBLANK($C275),"",IF(M275=Constants!$B$19,Constants!$B$19,Constants!$B$18))</f>
        <v/>
      </c>
      <c r="AD275" s="87" t="str">
        <f aca="false">IF(ISBLANK($C275),"",IF(ISNUMBER(N275),IF(N275&gt;=0,N275,""),""))</f>
        <v/>
      </c>
      <c r="AE275" s="87" t="str">
        <f aca="false">IF(ISBLANK($C275),"",IF(O275=Constants!$B$19,Constants!$B$19,Constants!$B$18))</f>
        <v/>
      </c>
      <c r="AF275" s="87" t="str">
        <f aca="false">IF(ISBLANK($C275),"",IF(ISNUMBER(P275),IF(P275&gt;=0,P275,""),""))</f>
        <v/>
      </c>
      <c r="AG275" s="87" t="str">
        <f aca="false">IF(ISBLANK($C275),"",IF(Q275=Constants!$B$19,Constants!$B$19,Constants!$B$18))</f>
        <v/>
      </c>
      <c r="AH275" s="87" t="str">
        <f aca="false">IF(ISBLANK($C275),"",IF(ISNUMBER(R275),IF(R275&gt;=0,R275,""),""))</f>
        <v/>
      </c>
      <c r="AI275" s="87" t="str">
        <f aca="false">IF(ISBLANK($C275),"",IF(S275=Constants!$B$2, TRUE(), IF(S275=Constants!$B$3, FALSE(), FALSE())))</f>
        <v/>
      </c>
      <c r="AJ275" s="87" t="str">
        <f aca="false">IF(ISBLANK($C275),"",IF(AI275,Constants!$B$4,IF(COUNTA(E275:R275)=0,Constants!$B$5,IF(COUNTA(J275,L275,N275,P275,R275)=0,Constants!$B$6,Constants!$B$7))))</f>
        <v/>
      </c>
      <c r="AK275" s="87" t="str">
        <f aca="false">IF(ISBLANK($C275),"",IF($AJ275&lt;&gt;Constants!$B$7,$AJ275,IF(OR(NOT(X275),AND(NOT(U275),COUNTIFS(Y275:AG275,Constants!$B$18,Z275:AH275,"&gt;=0")&gt;0),AND(NOT(V275),COUNTIFS(Y275:AG275,Constants!$B$19,Z275:AH275,"&gt;=0")&gt;0)),Constants!$B$12,Constants!$B$11)))</f>
        <v/>
      </c>
      <c r="AL275" s="87" t="str">
        <f aca="false">IF($AJ275=Constants!$B$7,IF(Z275="",Constants!$B$13,Z275),"")</f>
        <v/>
      </c>
      <c r="AM275" s="87" t="str">
        <f aca="false">IF($AJ275=Constants!$B$7,IF(AB275="",Constants!$B$13,AB275),"")</f>
        <v/>
      </c>
      <c r="AN275" s="87" t="str">
        <f aca="false">IF($AJ275=Constants!$B$7,IF(AD275="",Constants!$B$13,AD275),"")</f>
        <v/>
      </c>
      <c r="AO275" s="87" t="str">
        <f aca="false">IF($AJ275=Constants!$B$7,IF(AF275="",Constants!$B$13,AF275),"")</f>
        <v/>
      </c>
      <c r="AP275" s="87" t="str">
        <f aca="false">IF($AJ275=Constants!$B$7,IF(AH275="",Constants!$B$13,AH275),"")</f>
        <v/>
      </c>
      <c r="AQ275" s="87" t="str">
        <f aca="false">IF($AJ275=Constants!$B$7,IF(SUMPRODUCT(--($AL275:$AP275&gt;AL275))+SUMPRODUCT(--($AL275:AL275=AL275))=1,1,IF(SUMPRODUCT(--($AL275:$AP275&gt;AM275))+SUMPRODUCT(--($AL275:AM275=AM275))=1,2,IF(SUMPRODUCT(--($AL275:$AP275&gt;AN275))+SUMPRODUCT(--($AL275:AN275=AN275))=1,3,IF(SUMPRODUCT(--($AL275:$AP275&gt;AO275))+SUMPRODUCT(--($AL275:AO275=AO275))=1,4,5)))),"")</f>
        <v/>
      </c>
      <c r="AR275" s="87" t="str">
        <f aca="false">IF($AJ275=Constants!$B$7,IF(SUMPRODUCT(--($AL275:$AP275&gt;AL275))+SUMPRODUCT(--($AL275:AL275=AL275))=2,1,IF(SUMPRODUCT(--($AL275:$AP275&gt;AM275))+SUMPRODUCT(--($AL275:AM275=AM275))=2,2,IF(SUMPRODUCT(--($AL275:$AP275&gt;AN275))+SUMPRODUCT(--($AL275:AN275=AN275))=2,3,IF(SUMPRODUCT(--($AL275:$AP275&gt;AO275))+SUMPRODUCT(--($AL275:AO275=AO275))=2,4,5)))),"")</f>
        <v/>
      </c>
      <c r="AS275" s="87" t="str">
        <f aca="false">IF($AJ275=Constants!$B$7,IF(SUMPRODUCT(--($AL275:$AP275&gt;AL275))+SUMPRODUCT(--($AL275:AL275=AL275))=3,1,IF(SUMPRODUCT(--($AL275:$AP275&gt;AM275))+SUMPRODUCT(--($AL275:AM275=AM275))=3,2,IF(SUMPRODUCT(--($AL275:$AP275&gt;AN275))+SUMPRODUCT(--($AL275:AN275=AN275))=3,3,IF(SUMPRODUCT(--($AL275:$AP275&gt;AO275))+SUMPRODUCT(--($AL275:AO275=AO275))=3,4,5)))),"")</f>
        <v/>
      </c>
      <c r="AT275" s="87" t="str">
        <f aca="false">IF($AJ275=Constants!$B$7,LARGE(AL275:AP275,1)+LARGE(AL275:AP275,2)+LARGE(AL275:AP275,3),"")</f>
        <v/>
      </c>
      <c r="AU275" s="87" t="str">
        <f aca="false">IF(ISBLANK($C275),"",IF($AJ275&lt;&gt;Constants!$B$7,$AJ275,AT275*W275))</f>
        <v/>
      </c>
      <c r="AV275" s="87" t="str">
        <f aca="false">IF(ISBLANK($C275),"",IF($AJ275=Constants!$B$7,IF(ISNUMBER(AU275),RANK(AU275,$AU$8:$AU$507),Constants!$B$14),$AJ275))</f>
        <v/>
      </c>
      <c r="AW275" s="87" t="str">
        <f aca="false">IF(ISBLANK($C275),"",IF($AJ275=Constants!$B$7,IF(ISNUMBER(AV275),COUNTIFS($AK$8:$AK$507,"&lt;"&amp;$AK275)+COUNTIFS($AK$8:$AK$507,$AK275,$AV$8:$AV$507,"&lt;"&amp;$AV275)+1,Constants!$B$14),$AJ275))</f>
        <v/>
      </c>
      <c r="AX275" s="87" t="str">
        <f aca="false">IF(ISBLANK($C275),"",IF($AJ275=Constants!$B$7,LARGE(AL275:AP275,4)*W275,""))</f>
        <v/>
      </c>
      <c r="AY275" s="87" t="str">
        <f aca="false">IF(ISBLANK($C275),"",IF($AJ275=Constants!$B$7,RANK(AX275,$AX$8:$AX$507),$AJ275))</f>
        <v/>
      </c>
      <c r="AZ275" s="87" t="str">
        <f aca="false">IF(ISBLANK($C275),"",IF($AJ275=Constants!$B$7,IF(ISNUMBER(AV275),COUNTIFS($AK$8:$AK$507,"&lt;"&amp;$AK275)+COUNTIFS($AK$8:$AK$507,$AK275,$AV$8:$AV$507,"&lt;"&amp;$AV275)+COUNTIFS($AK$8:$AK$507,$AK275,$AV$8:$AV$507,$AV275,$AY$8:$AY$507,"&lt;"&amp;$AY275)+1,Constants!$B$14),$AJ275))</f>
        <v/>
      </c>
      <c r="BA275" s="87" t="str">
        <f aca="false">IF(ISBLANK($C275),"",IF($AJ275=Constants!$B$7,IF(ISNUMBER(AW275),AW275-AZ275,Constants!$B$14),$AJ275))</f>
        <v/>
      </c>
      <c r="BB275" s="88"/>
      <c r="BC275" s="89" t="str">
        <f aca="false">IF(ISBLANK($C275),"",IF($AJ275&lt;&gt;Constants!$B$7,$AJ275,SMALL(AQ275:AS275,1)&amp;", "&amp;SMALL(AQ275:AS275,2)&amp;", "&amp;SMALL(AQ275:AS275,3)))</f>
        <v/>
      </c>
      <c r="BD275" s="90" t="str">
        <f aca="false">IF(ISBLANK($C275),"",IF($AJ275&lt;&gt;Constants!$B$7,$AJ275,W275))</f>
        <v/>
      </c>
      <c r="BE275" s="91" t="str">
        <f aca="false">IF(ISBLANK($C275),"",IF($AJ275&lt;&gt;Constants!$B$7,$AJ275,AU275))</f>
        <v/>
      </c>
      <c r="BF275" s="92" t="str">
        <f aca="false">IF(ISBLANK($C275),"",IF($AJ275&lt;&gt;Constants!$B$7,$AJ275,AK275))</f>
        <v/>
      </c>
      <c r="BG275" s="90" t="str">
        <f aca="false">IF(ISBLANK($C275),"",BA275)</f>
        <v/>
      </c>
      <c r="BH275" s="90" t="str">
        <f aca="false">IF(ISBLANK($C275),"",AZ275)</f>
        <v/>
      </c>
      <c r="BI275" s="93" t="str">
        <f aca="false">IF(ISBLANK($C275),"",IF(BH275=Constants!$B$4,COUNTA($C$8:$C$507)+2,IF(BH275=Constants!$B$5,COUNTA($C$8:$C$507)+1,IF(BH275=Constants!$B$6,COUNTA($C$8:$C$507),BH275))))</f>
        <v/>
      </c>
      <c r="BJ275" s="5"/>
      <c r="BK275" s="94" t="n">
        <f aca="false">IF(OR(ISNUMBER(BH275),BH275=Constants!$B$4,BH275=Constants!$B$6,BH275=Constants!$B$5),1,0)</f>
        <v>0</v>
      </c>
      <c r="BL275" s="94" t="n">
        <v>268</v>
      </c>
      <c r="BM275" s="94" t="str">
        <f aca="false">IF(ISBLANK($C275),"",IF(ISNUMBER(BI275),BI275+ROW($B275)/1000,""))</f>
        <v/>
      </c>
      <c r="BN275" s="94" t="str">
        <f aca="false">IF(ISNUMBER(BM275),RANK(BM275,$BM$8:$BM$507,1),"")</f>
        <v/>
      </c>
      <c r="BO275" s="94" t="str">
        <f aca="false">IF(ISBLANK($C275),"",$B275)</f>
        <v/>
      </c>
      <c r="BP275" s="94" t="str">
        <f aca="false">IF(ISBLANK($C275),"",$C275)</f>
        <v/>
      </c>
      <c r="BQ275" s="94" t="str">
        <f aca="false">IF(ISBLANK($C275),"",$D275)</f>
        <v/>
      </c>
      <c r="BR275" s="95" t="str">
        <f aca="false">BF275</f>
        <v/>
      </c>
      <c r="BS275" s="96" t="str">
        <f aca="false">BE275</f>
        <v/>
      </c>
      <c r="BT275" s="94" t="str">
        <f aca="false">IF(ISBLANK($C275),"",BH275)</f>
        <v/>
      </c>
      <c r="BU275" s="97" t="str">
        <f aca="false">IF($BL275&gt;$BK$7,"",VLOOKUP($BL275,$BN$8:$BT$507,7,FALSE()))</f>
        <v/>
      </c>
      <c r="BV275" s="98" t="str">
        <f aca="false">IF($BL275&gt;$BK$7,"",VLOOKUP($BL275,$BN$8:$BT$507,2,FALSE()))</f>
        <v/>
      </c>
      <c r="BW275" s="98" t="str">
        <f aca="false">IF($BL275&gt;$BK$7,"",VLOOKUP($BL275,$BN$8:$BT$507,3,FALSE()))</f>
        <v/>
      </c>
      <c r="BX275" s="98" t="str">
        <f aca="false">IF($BL275&gt;$BK$7,"",VLOOKUP($BL275,$BN$8:$BT$507,4,FALSE()))</f>
        <v/>
      </c>
      <c r="BY275" s="98" t="str">
        <f aca="false">IF($BL275&gt;$BK$7,"",VLOOKUP($BL275,$BN$8:$BT$507,5,FALSE()))</f>
        <v/>
      </c>
      <c r="BZ275" s="99" t="str">
        <f aca="false">IF($BL275&gt;$BK$7,"",VLOOKUP($BL275,$BN$8:$BT$507,6,FALSE()))</f>
        <v/>
      </c>
      <c r="CA275" s="48"/>
    </row>
    <row r="276" customFormat="false" ht="15.75" hidden="false" customHeight="false" outlineLevel="0" collapsed="false">
      <c r="A276" s="5"/>
      <c r="B276" s="114"/>
      <c r="C276" s="115"/>
      <c r="D276" s="100"/>
      <c r="E276" s="120"/>
      <c r="F276" s="125"/>
      <c r="G276" s="82"/>
      <c r="H276" s="126"/>
      <c r="I276" s="127"/>
      <c r="J276" s="82"/>
      <c r="K276" s="126"/>
      <c r="L276" s="82"/>
      <c r="M276" s="126"/>
      <c r="N276" s="82"/>
      <c r="O276" s="126"/>
      <c r="P276" s="82"/>
      <c r="Q276" s="126"/>
      <c r="R276" s="82"/>
      <c r="S276" s="120"/>
      <c r="T276" s="86"/>
      <c r="U276" s="87" t="str">
        <f aca="false">IF(ISBLANK($C276),"",IF(E276=Constants!$B$2, TRUE(), IF(E276=Constants!$B$3, FALSE(), TRUE())))</f>
        <v/>
      </c>
      <c r="V276" s="87" t="str">
        <f aca="false">IF(ISBLANK($C276),"",IF(F276=Constants!$B$2, TRUE(), IF(F276=Constants!$B$3, FALSE(), TRUE())))</f>
        <v/>
      </c>
      <c r="W276" s="87" t="str">
        <f aca="false">IF(ISBLANK($C276),"",IF(G276=Constants!$B$15,Constants!$B$8,IF(G276=Constants!$B$16,Constants!$B$9,Constants!$B$10)))</f>
        <v/>
      </c>
      <c r="X276" s="87" t="str">
        <f aca="false">IF(ISBLANK($C276),"",IF(H276=Constants!$B$2, TRUE(), IF(H276=Constants!$B$3, FALSE(), TRUE())))</f>
        <v/>
      </c>
      <c r="Y276" s="87" t="str">
        <f aca="false">IF(ISBLANK($C276),"",IF(I276=Constants!$B$19,Constants!$B$19,Constants!$B$18))</f>
        <v/>
      </c>
      <c r="Z276" s="87" t="str">
        <f aca="false">IF(ISBLANK($C276),"",IF(ISNUMBER(J276),IF(J276&gt;=0,J276,""),""))</f>
        <v/>
      </c>
      <c r="AA276" s="87" t="str">
        <f aca="false">IF(ISBLANK($C276),"",IF(K276=Constants!$B$19,Constants!$B$19,Constants!$B$18))</f>
        <v/>
      </c>
      <c r="AB276" s="87" t="str">
        <f aca="false">IF(ISBLANK($C276),"",IF(ISNUMBER(L276),IF(L276&gt;=0,L276,""),""))</f>
        <v/>
      </c>
      <c r="AC276" s="87" t="str">
        <f aca="false">IF(ISBLANK($C276),"",IF(M276=Constants!$B$19,Constants!$B$19,Constants!$B$18))</f>
        <v/>
      </c>
      <c r="AD276" s="87" t="str">
        <f aca="false">IF(ISBLANK($C276),"",IF(ISNUMBER(N276),IF(N276&gt;=0,N276,""),""))</f>
        <v/>
      </c>
      <c r="AE276" s="87" t="str">
        <f aca="false">IF(ISBLANK($C276),"",IF(O276=Constants!$B$19,Constants!$B$19,Constants!$B$18))</f>
        <v/>
      </c>
      <c r="AF276" s="87" t="str">
        <f aca="false">IF(ISBLANK($C276),"",IF(ISNUMBER(P276),IF(P276&gt;=0,P276,""),""))</f>
        <v/>
      </c>
      <c r="AG276" s="87" t="str">
        <f aca="false">IF(ISBLANK($C276),"",IF(Q276=Constants!$B$19,Constants!$B$19,Constants!$B$18))</f>
        <v/>
      </c>
      <c r="AH276" s="87" t="str">
        <f aca="false">IF(ISBLANK($C276),"",IF(ISNUMBER(R276),IF(R276&gt;=0,R276,""),""))</f>
        <v/>
      </c>
      <c r="AI276" s="87" t="str">
        <f aca="false">IF(ISBLANK($C276),"",IF(S276=Constants!$B$2, TRUE(), IF(S276=Constants!$B$3, FALSE(), FALSE())))</f>
        <v/>
      </c>
      <c r="AJ276" s="87" t="str">
        <f aca="false">IF(ISBLANK($C276),"",IF(AI276,Constants!$B$4,IF(COUNTA(E276:R276)=0,Constants!$B$5,IF(COUNTA(J276,L276,N276,P276,R276)=0,Constants!$B$6,Constants!$B$7))))</f>
        <v/>
      </c>
      <c r="AK276" s="87" t="str">
        <f aca="false">IF(ISBLANK($C276),"",IF($AJ276&lt;&gt;Constants!$B$7,$AJ276,IF(OR(NOT(X276),AND(NOT(U276),COUNTIFS(Y276:AG276,Constants!$B$18,Z276:AH276,"&gt;=0")&gt;0),AND(NOT(V276),COUNTIFS(Y276:AG276,Constants!$B$19,Z276:AH276,"&gt;=0")&gt;0)),Constants!$B$12,Constants!$B$11)))</f>
        <v/>
      </c>
      <c r="AL276" s="87" t="str">
        <f aca="false">IF($AJ276=Constants!$B$7,IF(Z276="",Constants!$B$13,Z276),"")</f>
        <v/>
      </c>
      <c r="AM276" s="87" t="str">
        <f aca="false">IF($AJ276=Constants!$B$7,IF(AB276="",Constants!$B$13,AB276),"")</f>
        <v/>
      </c>
      <c r="AN276" s="87" t="str">
        <f aca="false">IF($AJ276=Constants!$B$7,IF(AD276="",Constants!$B$13,AD276),"")</f>
        <v/>
      </c>
      <c r="AO276" s="87" t="str">
        <f aca="false">IF($AJ276=Constants!$B$7,IF(AF276="",Constants!$B$13,AF276),"")</f>
        <v/>
      </c>
      <c r="AP276" s="87" t="str">
        <f aca="false">IF($AJ276=Constants!$B$7,IF(AH276="",Constants!$B$13,AH276),"")</f>
        <v/>
      </c>
      <c r="AQ276" s="87" t="str">
        <f aca="false">IF($AJ276=Constants!$B$7,IF(SUMPRODUCT(--($AL276:$AP276&gt;AL276))+SUMPRODUCT(--($AL276:AL276=AL276))=1,1,IF(SUMPRODUCT(--($AL276:$AP276&gt;AM276))+SUMPRODUCT(--($AL276:AM276=AM276))=1,2,IF(SUMPRODUCT(--($AL276:$AP276&gt;AN276))+SUMPRODUCT(--($AL276:AN276=AN276))=1,3,IF(SUMPRODUCT(--($AL276:$AP276&gt;AO276))+SUMPRODUCT(--($AL276:AO276=AO276))=1,4,5)))),"")</f>
        <v/>
      </c>
      <c r="AR276" s="87" t="str">
        <f aca="false">IF($AJ276=Constants!$B$7,IF(SUMPRODUCT(--($AL276:$AP276&gt;AL276))+SUMPRODUCT(--($AL276:AL276=AL276))=2,1,IF(SUMPRODUCT(--($AL276:$AP276&gt;AM276))+SUMPRODUCT(--($AL276:AM276=AM276))=2,2,IF(SUMPRODUCT(--($AL276:$AP276&gt;AN276))+SUMPRODUCT(--($AL276:AN276=AN276))=2,3,IF(SUMPRODUCT(--($AL276:$AP276&gt;AO276))+SUMPRODUCT(--($AL276:AO276=AO276))=2,4,5)))),"")</f>
        <v/>
      </c>
      <c r="AS276" s="87" t="str">
        <f aca="false">IF($AJ276=Constants!$B$7,IF(SUMPRODUCT(--($AL276:$AP276&gt;AL276))+SUMPRODUCT(--($AL276:AL276=AL276))=3,1,IF(SUMPRODUCT(--($AL276:$AP276&gt;AM276))+SUMPRODUCT(--($AL276:AM276=AM276))=3,2,IF(SUMPRODUCT(--($AL276:$AP276&gt;AN276))+SUMPRODUCT(--($AL276:AN276=AN276))=3,3,IF(SUMPRODUCT(--($AL276:$AP276&gt;AO276))+SUMPRODUCT(--($AL276:AO276=AO276))=3,4,5)))),"")</f>
        <v/>
      </c>
      <c r="AT276" s="87" t="str">
        <f aca="false">IF($AJ276=Constants!$B$7,LARGE(AL276:AP276,1)+LARGE(AL276:AP276,2)+LARGE(AL276:AP276,3),"")</f>
        <v/>
      </c>
      <c r="AU276" s="87" t="str">
        <f aca="false">IF(ISBLANK($C276),"",IF($AJ276&lt;&gt;Constants!$B$7,$AJ276,AT276*W276))</f>
        <v/>
      </c>
      <c r="AV276" s="87" t="str">
        <f aca="false">IF(ISBLANK($C276),"",IF($AJ276=Constants!$B$7,IF(ISNUMBER(AU276),RANK(AU276,$AU$8:$AU$507),Constants!$B$14),$AJ276))</f>
        <v/>
      </c>
      <c r="AW276" s="87" t="str">
        <f aca="false">IF(ISBLANK($C276),"",IF($AJ276=Constants!$B$7,IF(ISNUMBER(AV276),COUNTIFS($AK$8:$AK$507,"&lt;"&amp;$AK276)+COUNTIFS($AK$8:$AK$507,$AK276,$AV$8:$AV$507,"&lt;"&amp;$AV276)+1,Constants!$B$14),$AJ276))</f>
        <v/>
      </c>
      <c r="AX276" s="87" t="str">
        <f aca="false">IF(ISBLANK($C276),"",IF($AJ276=Constants!$B$7,LARGE(AL276:AP276,4)*W276,""))</f>
        <v/>
      </c>
      <c r="AY276" s="87" t="str">
        <f aca="false">IF(ISBLANK($C276),"",IF($AJ276=Constants!$B$7,RANK(AX276,$AX$8:$AX$507),$AJ276))</f>
        <v/>
      </c>
      <c r="AZ276" s="87" t="str">
        <f aca="false">IF(ISBLANK($C276),"",IF($AJ276=Constants!$B$7,IF(ISNUMBER(AV276),COUNTIFS($AK$8:$AK$507,"&lt;"&amp;$AK276)+COUNTIFS($AK$8:$AK$507,$AK276,$AV$8:$AV$507,"&lt;"&amp;$AV276)+COUNTIFS($AK$8:$AK$507,$AK276,$AV$8:$AV$507,$AV276,$AY$8:$AY$507,"&lt;"&amp;$AY276)+1,Constants!$B$14),$AJ276))</f>
        <v/>
      </c>
      <c r="BA276" s="87" t="str">
        <f aca="false">IF(ISBLANK($C276),"",IF($AJ276=Constants!$B$7,IF(ISNUMBER(AW276),AW276-AZ276,Constants!$B$14),$AJ276))</f>
        <v/>
      </c>
      <c r="BB276" s="88"/>
      <c r="BC276" s="89" t="str">
        <f aca="false">IF(ISBLANK($C276),"",IF($AJ276&lt;&gt;Constants!$B$7,$AJ276,SMALL(AQ276:AS276,1)&amp;", "&amp;SMALL(AQ276:AS276,2)&amp;", "&amp;SMALL(AQ276:AS276,3)))</f>
        <v/>
      </c>
      <c r="BD276" s="90" t="str">
        <f aca="false">IF(ISBLANK($C276),"",IF($AJ276&lt;&gt;Constants!$B$7,$AJ276,W276))</f>
        <v/>
      </c>
      <c r="BE276" s="91" t="str">
        <f aca="false">IF(ISBLANK($C276),"",IF($AJ276&lt;&gt;Constants!$B$7,$AJ276,AU276))</f>
        <v/>
      </c>
      <c r="BF276" s="92" t="str">
        <f aca="false">IF(ISBLANK($C276),"",IF($AJ276&lt;&gt;Constants!$B$7,$AJ276,AK276))</f>
        <v/>
      </c>
      <c r="BG276" s="90" t="str">
        <f aca="false">IF(ISBLANK($C276),"",BA276)</f>
        <v/>
      </c>
      <c r="BH276" s="90" t="str">
        <f aca="false">IF(ISBLANK($C276),"",AZ276)</f>
        <v/>
      </c>
      <c r="BI276" s="93" t="str">
        <f aca="false">IF(ISBLANK($C276),"",IF(BH276=Constants!$B$4,COUNTA($C$8:$C$507)+2,IF(BH276=Constants!$B$5,COUNTA($C$8:$C$507)+1,IF(BH276=Constants!$B$6,COUNTA($C$8:$C$507),BH276))))</f>
        <v/>
      </c>
      <c r="BJ276" s="5"/>
      <c r="BK276" s="94" t="n">
        <f aca="false">IF(OR(ISNUMBER(BH276),BH276=Constants!$B$4,BH276=Constants!$B$6,BH276=Constants!$B$5),1,0)</f>
        <v>0</v>
      </c>
      <c r="BL276" s="94" t="n">
        <v>269</v>
      </c>
      <c r="BM276" s="94" t="str">
        <f aca="false">IF(ISBLANK($C276),"",IF(ISNUMBER(BI276),BI276+ROW($B276)/1000,""))</f>
        <v/>
      </c>
      <c r="BN276" s="94" t="str">
        <f aca="false">IF(ISNUMBER(BM276),RANK(BM276,$BM$8:$BM$507,1),"")</f>
        <v/>
      </c>
      <c r="BO276" s="94" t="str">
        <f aca="false">IF(ISBLANK($C276),"",$B276)</f>
        <v/>
      </c>
      <c r="BP276" s="94" t="str">
        <f aca="false">IF(ISBLANK($C276),"",$C276)</f>
        <v/>
      </c>
      <c r="BQ276" s="94" t="str">
        <f aca="false">IF(ISBLANK($C276),"",$D276)</f>
        <v/>
      </c>
      <c r="BR276" s="95" t="str">
        <f aca="false">BF276</f>
        <v/>
      </c>
      <c r="BS276" s="96" t="str">
        <f aca="false">BE276</f>
        <v/>
      </c>
      <c r="BT276" s="94" t="str">
        <f aca="false">IF(ISBLANK($C276),"",BH276)</f>
        <v/>
      </c>
      <c r="BU276" s="97" t="str">
        <f aca="false">IF($BL276&gt;$BK$7,"",VLOOKUP($BL276,$BN$8:$BT$507,7,FALSE()))</f>
        <v/>
      </c>
      <c r="BV276" s="98" t="str">
        <f aca="false">IF($BL276&gt;$BK$7,"",VLOOKUP($BL276,$BN$8:$BT$507,2,FALSE()))</f>
        <v/>
      </c>
      <c r="BW276" s="98" t="str">
        <f aca="false">IF($BL276&gt;$BK$7,"",VLOOKUP($BL276,$BN$8:$BT$507,3,FALSE()))</f>
        <v/>
      </c>
      <c r="BX276" s="98" t="str">
        <f aca="false">IF($BL276&gt;$BK$7,"",VLOOKUP($BL276,$BN$8:$BT$507,4,FALSE()))</f>
        <v/>
      </c>
      <c r="BY276" s="98" t="str">
        <f aca="false">IF($BL276&gt;$BK$7,"",VLOOKUP($BL276,$BN$8:$BT$507,5,FALSE()))</f>
        <v/>
      </c>
      <c r="BZ276" s="99" t="str">
        <f aca="false">IF($BL276&gt;$BK$7,"",VLOOKUP($BL276,$BN$8:$BT$507,6,FALSE()))</f>
        <v/>
      </c>
      <c r="CA276" s="48"/>
    </row>
    <row r="277" customFormat="false" ht="15.75" hidden="false" customHeight="false" outlineLevel="0" collapsed="false">
      <c r="A277" s="5"/>
      <c r="B277" s="114"/>
      <c r="C277" s="115"/>
      <c r="D277" s="100"/>
      <c r="E277" s="120"/>
      <c r="F277" s="125"/>
      <c r="G277" s="82"/>
      <c r="H277" s="126"/>
      <c r="I277" s="127"/>
      <c r="J277" s="82"/>
      <c r="K277" s="126"/>
      <c r="L277" s="82"/>
      <c r="M277" s="126"/>
      <c r="N277" s="82"/>
      <c r="O277" s="126"/>
      <c r="P277" s="82"/>
      <c r="Q277" s="126"/>
      <c r="R277" s="82"/>
      <c r="S277" s="120"/>
      <c r="T277" s="86"/>
      <c r="U277" s="87" t="str">
        <f aca="false">IF(ISBLANK($C277),"",IF(E277=Constants!$B$2, TRUE(), IF(E277=Constants!$B$3, FALSE(), TRUE())))</f>
        <v/>
      </c>
      <c r="V277" s="87" t="str">
        <f aca="false">IF(ISBLANK($C277),"",IF(F277=Constants!$B$2, TRUE(), IF(F277=Constants!$B$3, FALSE(), TRUE())))</f>
        <v/>
      </c>
      <c r="W277" s="87" t="str">
        <f aca="false">IF(ISBLANK($C277),"",IF(G277=Constants!$B$15,Constants!$B$8,IF(G277=Constants!$B$16,Constants!$B$9,Constants!$B$10)))</f>
        <v/>
      </c>
      <c r="X277" s="87" t="str">
        <f aca="false">IF(ISBLANK($C277),"",IF(H277=Constants!$B$2, TRUE(), IF(H277=Constants!$B$3, FALSE(), TRUE())))</f>
        <v/>
      </c>
      <c r="Y277" s="87" t="str">
        <f aca="false">IF(ISBLANK($C277),"",IF(I277=Constants!$B$19,Constants!$B$19,Constants!$B$18))</f>
        <v/>
      </c>
      <c r="Z277" s="87" t="str">
        <f aca="false">IF(ISBLANK($C277),"",IF(ISNUMBER(J277),IF(J277&gt;=0,J277,""),""))</f>
        <v/>
      </c>
      <c r="AA277" s="87" t="str">
        <f aca="false">IF(ISBLANK($C277),"",IF(K277=Constants!$B$19,Constants!$B$19,Constants!$B$18))</f>
        <v/>
      </c>
      <c r="AB277" s="87" t="str">
        <f aca="false">IF(ISBLANK($C277),"",IF(ISNUMBER(L277),IF(L277&gt;=0,L277,""),""))</f>
        <v/>
      </c>
      <c r="AC277" s="87" t="str">
        <f aca="false">IF(ISBLANK($C277),"",IF(M277=Constants!$B$19,Constants!$B$19,Constants!$B$18))</f>
        <v/>
      </c>
      <c r="AD277" s="87" t="str">
        <f aca="false">IF(ISBLANK($C277),"",IF(ISNUMBER(N277),IF(N277&gt;=0,N277,""),""))</f>
        <v/>
      </c>
      <c r="AE277" s="87" t="str">
        <f aca="false">IF(ISBLANK($C277),"",IF(O277=Constants!$B$19,Constants!$B$19,Constants!$B$18))</f>
        <v/>
      </c>
      <c r="AF277" s="87" t="str">
        <f aca="false">IF(ISBLANK($C277),"",IF(ISNUMBER(P277),IF(P277&gt;=0,P277,""),""))</f>
        <v/>
      </c>
      <c r="AG277" s="87" t="str">
        <f aca="false">IF(ISBLANK($C277),"",IF(Q277=Constants!$B$19,Constants!$B$19,Constants!$B$18))</f>
        <v/>
      </c>
      <c r="AH277" s="87" t="str">
        <f aca="false">IF(ISBLANK($C277),"",IF(ISNUMBER(R277),IF(R277&gt;=0,R277,""),""))</f>
        <v/>
      </c>
      <c r="AI277" s="87" t="str">
        <f aca="false">IF(ISBLANK($C277),"",IF(S277=Constants!$B$2, TRUE(), IF(S277=Constants!$B$3, FALSE(), FALSE())))</f>
        <v/>
      </c>
      <c r="AJ277" s="87" t="str">
        <f aca="false">IF(ISBLANK($C277),"",IF(AI277,Constants!$B$4,IF(COUNTA(E277:R277)=0,Constants!$B$5,IF(COUNTA(J277,L277,N277,P277,R277)=0,Constants!$B$6,Constants!$B$7))))</f>
        <v/>
      </c>
      <c r="AK277" s="87" t="str">
        <f aca="false">IF(ISBLANK($C277),"",IF($AJ277&lt;&gt;Constants!$B$7,$AJ277,IF(OR(NOT(X277),AND(NOT(U277),COUNTIFS(Y277:AG277,Constants!$B$18,Z277:AH277,"&gt;=0")&gt;0),AND(NOT(V277),COUNTIFS(Y277:AG277,Constants!$B$19,Z277:AH277,"&gt;=0")&gt;0)),Constants!$B$12,Constants!$B$11)))</f>
        <v/>
      </c>
      <c r="AL277" s="87" t="str">
        <f aca="false">IF($AJ277=Constants!$B$7,IF(Z277="",Constants!$B$13,Z277),"")</f>
        <v/>
      </c>
      <c r="AM277" s="87" t="str">
        <f aca="false">IF($AJ277=Constants!$B$7,IF(AB277="",Constants!$B$13,AB277),"")</f>
        <v/>
      </c>
      <c r="AN277" s="87" t="str">
        <f aca="false">IF($AJ277=Constants!$B$7,IF(AD277="",Constants!$B$13,AD277),"")</f>
        <v/>
      </c>
      <c r="AO277" s="87" t="str">
        <f aca="false">IF($AJ277=Constants!$B$7,IF(AF277="",Constants!$B$13,AF277),"")</f>
        <v/>
      </c>
      <c r="AP277" s="87" t="str">
        <f aca="false">IF($AJ277=Constants!$B$7,IF(AH277="",Constants!$B$13,AH277),"")</f>
        <v/>
      </c>
      <c r="AQ277" s="87" t="str">
        <f aca="false">IF($AJ277=Constants!$B$7,IF(SUMPRODUCT(--($AL277:$AP277&gt;AL277))+SUMPRODUCT(--($AL277:AL277=AL277))=1,1,IF(SUMPRODUCT(--($AL277:$AP277&gt;AM277))+SUMPRODUCT(--($AL277:AM277=AM277))=1,2,IF(SUMPRODUCT(--($AL277:$AP277&gt;AN277))+SUMPRODUCT(--($AL277:AN277=AN277))=1,3,IF(SUMPRODUCT(--($AL277:$AP277&gt;AO277))+SUMPRODUCT(--($AL277:AO277=AO277))=1,4,5)))),"")</f>
        <v/>
      </c>
      <c r="AR277" s="87" t="str">
        <f aca="false">IF($AJ277=Constants!$B$7,IF(SUMPRODUCT(--($AL277:$AP277&gt;AL277))+SUMPRODUCT(--($AL277:AL277=AL277))=2,1,IF(SUMPRODUCT(--($AL277:$AP277&gt;AM277))+SUMPRODUCT(--($AL277:AM277=AM277))=2,2,IF(SUMPRODUCT(--($AL277:$AP277&gt;AN277))+SUMPRODUCT(--($AL277:AN277=AN277))=2,3,IF(SUMPRODUCT(--($AL277:$AP277&gt;AO277))+SUMPRODUCT(--($AL277:AO277=AO277))=2,4,5)))),"")</f>
        <v/>
      </c>
      <c r="AS277" s="87" t="str">
        <f aca="false">IF($AJ277=Constants!$B$7,IF(SUMPRODUCT(--($AL277:$AP277&gt;AL277))+SUMPRODUCT(--($AL277:AL277=AL277))=3,1,IF(SUMPRODUCT(--($AL277:$AP277&gt;AM277))+SUMPRODUCT(--($AL277:AM277=AM277))=3,2,IF(SUMPRODUCT(--($AL277:$AP277&gt;AN277))+SUMPRODUCT(--($AL277:AN277=AN277))=3,3,IF(SUMPRODUCT(--($AL277:$AP277&gt;AO277))+SUMPRODUCT(--($AL277:AO277=AO277))=3,4,5)))),"")</f>
        <v/>
      </c>
      <c r="AT277" s="87" t="str">
        <f aca="false">IF($AJ277=Constants!$B$7,LARGE(AL277:AP277,1)+LARGE(AL277:AP277,2)+LARGE(AL277:AP277,3),"")</f>
        <v/>
      </c>
      <c r="AU277" s="87" t="str">
        <f aca="false">IF(ISBLANK($C277),"",IF($AJ277&lt;&gt;Constants!$B$7,$AJ277,AT277*W277))</f>
        <v/>
      </c>
      <c r="AV277" s="87" t="str">
        <f aca="false">IF(ISBLANK($C277),"",IF($AJ277=Constants!$B$7,IF(ISNUMBER(AU277),RANK(AU277,$AU$8:$AU$507),Constants!$B$14),$AJ277))</f>
        <v/>
      </c>
      <c r="AW277" s="87" t="str">
        <f aca="false">IF(ISBLANK($C277),"",IF($AJ277=Constants!$B$7,IF(ISNUMBER(AV277),COUNTIFS($AK$8:$AK$507,"&lt;"&amp;$AK277)+COUNTIFS($AK$8:$AK$507,$AK277,$AV$8:$AV$507,"&lt;"&amp;$AV277)+1,Constants!$B$14),$AJ277))</f>
        <v/>
      </c>
      <c r="AX277" s="87" t="str">
        <f aca="false">IF(ISBLANK($C277),"",IF($AJ277=Constants!$B$7,LARGE(AL277:AP277,4)*W277,""))</f>
        <v/>
      </c>
      <c r="AY277" s="87" t="str">
        <f aca="false">IF(ISBLANK($C277),"",IF($AJ277=Constants!$B$7,RANK(AX277,$AX$8:$AX$507),$AJ277))</f>
        <v/>
      </c>
      <c r="AZ277" s="87" t="str">
        <f aca="false">IF(ISBLANK($C277),"",IF($AJ277=Constants!$B$7,IF(ISNUMBER(AV277),COUNTIFS($AK$8:$AK$507,"&lt;"&amp;$AK277)+COUNTIFS($AK$8:$AK$507,$AK277,$AV$8:$AV$507,"&lt;"&amp;$AV277)+COUNTIFS($AK$8:$AK$507,$AK277,$AV$8:$AV$507,$AV277,$AY$8:$AY$507,"&lt;"&amp;$AY277)+1,Constants!$B$14),$AJ277))</f>
        <v/>
      </c>
      <c r="BA277" s="87" t="str">
        <f aca="false">IF(ISBLANK($C277),"",IF($AJ277=Constants!$B$7,IF(ISNUMBER(AW277),AW277-AZ277,Constants!$B$14),$AJ277))</f>
        <v/>
      </c>
      <c r="BB277" s="88"/>
      <c r="BC277" s="89" t="str">
        <f aca="false">IF(ISBLANK($C277),"",IF($AJ277&lt;&gt;Constants!$B$7,$AJ277,SMALL(AQ277:AS277,1)&amp;", "&amp;SMALL(AQ277:AS277,2)&amp;", "&amp;SMALL(AQ277:AS277,3)))</f>
        <v/>
      </c>
      <c r="BD277" s="90" t="str">
        <f aca="false">IF(ISBLANK($C277),"",IF($AJ277&lt;&gt;Constants!$B$7,$AJ277,W277))</f>
        <v/>
      </c>
      <c r="BE277" s="91" t="str">
        <f aca="false">IF(ISBLANK($C277),"",IF($AJ277&lt;&gt;Constants!$B$7,$AJ277,AU277))</f>
        <v/>
      </c>
      <c r="BF277" s="92" t="str">
        <f aca="false">IF(ISBLANK($C277),"",IF($AJ277&lt;&gt;Constants!$B$7,$AJ277,AK277))</f>
        <v/>
      </c>
      <c r="BG277" s="90" t="str">
        <f aca="false">IF(ISBLANK($C277),"",BA277)</f>
        <v/>
      </c>
      <c r="BH277" s="90" t="str">
        <f aca="false">IF(ISBLANK($C277),"",AZ277)</f>
        <v/>
      </c>
      <c r="BI277" s="93" t="str">
        <f aca="false">IF(ISBLANK($C277),"",IF(BH277=Constants!$B$4,COUNTA($C$8:$C$507)+2,IF(BH277=Constants!$B$5,COUNTA($C$8:$C$507)+1,IF(BH277=Constants!$B$6,COUNTA($C$8:$C$507),BH277))))</f>
        <v/>
      </c>
      <c r="BJ277" s="5"/>
      <c r="BK277" s="94" t="n">
        <f aca="false">IF(OR(ISNUMBER(BH277),BH277=Constants!$B$4,BH277=Constants!$B$6,BH277=Constants!$B$5),1,0)</f>
        <v>0</v>
      </c>
      <c r="BL277" s="94" t="n">
        <v>270</v>
      </c>
      <c r="BM277" s="94" t="str">
        <f aca="false">IF(ISBLANK($C277),"",IF(ISNUMBER(BI277),BI277+ROW($B277)/1000,""))</f>
        <v/>
      </c>
      <c r="BN277" s="94" t="str">
        <f aca="false">IF(ISNUMBER(BM277),RANK(BM277,$BM$8:$BM$507,1),"")</f>
        <v/>
      </c>
      <c r="BO277" s="94" t="str">
        <f aca="false">IF(ISBLANK($C277),"",$B277)</f>
        <v/>
      </c>
      <c r="BP277" s="94" t="str">
        <f aca="false">IF(ISBLANK($C277),"",$C277)</f>
        <v/>
      </c>
      <c r="BQ277" s="94" t="str">
        <f aca="false">IF(ISBLANK($C277),"",$D277)</f>
        <v/>
      </c>
      <c r="BR277" s="95" t="str">
        <f aca="false">BF277</f>
        <v/>
      </c>
      <c r="BS277" s="96" t="str">
        <f aca="false">BE277</f>
        <v/>
      </c>
      <c r="BT277" s="94" t="str">
        <f aca="false">IF(ISBLANK($C277),"",BH277)</f>
        <v/>
      </c>
      <c r="BU277" s="97" t="str">
        <f aca="false">IF($BL277&gt;$BK$7,"",VLOOKUP($BL277,$BN$8:$BT$507,7,FALSE()))</f>
        <v/>
      </c>
      <c r="BV277" s="98" t="str">
        <f aca="false">IF($BL277&gt;$BK$7,"",VLOOKUP($BL277,$BN$8:$BT$507,2,FALSE()))</f>
        <v/>
      </c>
      <c r="BW277" s="98" t="str">
        <f aca="false">IF($BL277&gt;$BK$7,"",VLOOKUP($BL277,$BN$8:$BT$507,3,FALSE()))</f>
        <v/>
      </c>
      <c r="BX277" s="98" t="str">
        <f aca="false">IF($BL277&gt;$BK$7,"",VLOOKUP($BL277,$BN$8:$BT$507,4,FALSE()))</f>
        <v/>
      </c>
      <c r="BY277" s="98" t="str">
        <f aca="false">IF($BL277&gt;$BK$7,"",VLOOKUP($BL277,$BN$8:$BT$507,5,FALSE()))</f>
        <v/>
      </c>
      <c r="BZ277" s="99" t="str">
        <f aca="false">IF($BL277&gt;$BK$7,"",VLOOKUP($BL277,$BN$8:$BT$507,6,FALSE()))</f>
        <v/>
      </c>
      <c r="CA277" s="48"/>
    </row>
    <row r="278" customFormat="false" ht="15.75" hidden="false" customHeight="false" outlineLevel="0" collapsed="false">
      <c r="A278" s="5"/>
      <c r="B278" s="121"/>
      <c r="C278" s="50"/>
      <c r="D278" s="51"/>
      <c r="E278" s="74"/>
      <c r="F278" s="122"/>
      <c r="G278" s="54"/>
      <c r="H278" s="123"/>
      <c r="I278" s="124"/>
      <c r="J278" s="54"/>
      <c r="K278" s="123"/>
      <c r="L278" s="54"/>
      <c r="M278" s="123"/>
      <c r="N278" s="54"/>
      <c r="O278" s="123"/>
      <c r="P278" s="54"/>
      <c r="Q278" s="123"/>
      <c r="R278" s="54"/>
      <c r="S278" s="74"/>
      <c r="T278" s="58"/>
      <c r="U278" s="59" t="str">
        <f aca="false">IF(ISBLANK($C278),"",IF(E278=Constants!$B$2, TRUE(), IF(E278=Constants!$B$3, FALSE(), TRUE())))</f>
        <v/>
      </c>
      <c r="V278" s="59" t="str">
        <f aca="false">IF(ISBLANK($C278),"",IF(F278=Constants!$B$2, TRUE(), IF(F278=Constants!$B$3, FALSE(), TRUE())))</f>
        <v/>
      </c>
      <c r="W278" s="59" t="str">
        <f aca="false">IF(ISBLANK($C278),"",IF(G278=Constants!$B$15,Constants!$B$8,IF(G278=Constants!$B$16,Constants!$B$9,Constants!$B$10)))</f>
        <v/>
      </c>
      <c r="X278" s="59" t="str">
        <f aca="false">IF(ISBLANK($C278),"",IF(H278=Constants!$B$2, TRUE(), IF(H278=Constants!$B$3, FALSE(), TRUE())))</f>
        <v/>
      </c>
      <c r="Y278" s="59" t="str">
        <f aca="false">IF(ISBLANK($C278),"",IF(I278=Constants!$B$19,Constants!$B$19,Constants!$B$18))</f>
        <v/>
      </c>
      <c r="Z278" s="59" t="str">
        <f aca="false">IF(ISBLANK($C278),"",IF(ISNUMBER(J278),IF(J278&gt;=0,J278,""),""))</f>
        <v/>
      </c>
      <c r="AA278" s="59" t="str">
        <f aca="false">IF(ISBLANK($C278),"",IF(K278=Constants!$B$19,Constants!$B$19,Constants!$B$18))</f>
        <v/>
      </c>
      <c r="AB278" s="59" t="str">
        <f aca="false">IF(ISBLANK($C278),"",IF(ISNUMBER(L278),IF(L278&gt;=0,L278,""),""))</f>
        <v/>
      </c>
      <c r="AC278" s="59" t="str">
        <f aca="false">IF(ISBLANK($C278),"",IF(M278=Constants!$B$19,Constants!$B$19,Constants!$B$18))</f>
        <v/>
      </c>
      <c r="AD278" s="59" t="str">
        <f aca="false">IF(ISBLANK($C278),"",IF(ISNUMBER(N278),IF(N278&gt;=0,N278,""),""))</f>
        <v/>
      </c>
      <c r="AE278" s="59" t="str">
        <f aca="false">IF(ISBLANK($C278),"",IF(O278=Constants!$B$19,Constants!$B$19,Constants!$B$18))</f>
        <v/>
      </c>
      <c r="AF278" s="59" t="str">
        <f aca="false">IF(ISBLANK($C278),"",IF(ISNUMBER(P278),IF(P278&gt;=0,P278,""),""))</f>
        <v/>
      </c>
      <c r="AG278" s="59" t="str">
        <f aca="false">IF(ISBLANK($C278),"",IF(Q278=Constants!$B$19,Constants!$B$19,Constants!$B$18))</f>
        <v/>
      </c>
      <c r="AH278" s="59" t="str">
        <f aca="false">IF(ISBLANK($C278),"",IF(ISNUMBER(R278),IF(R278&gt;=0,R278,""),""))</f>
        <v/>
      </c>
      <c r="AI278" s="59" t="str">
        <f aca="false">IF(ISBLANK($C278),"",IF(S278=Constants!$B$2, TRUE(), IF(S278=Constants!$B$3, FALSE(), FALSE())))</f>
        <v/>
      </c>
      <c r="AJ278" s="59" t="str">
        <f aca="false">IF(ISBLANK($C278),"",IF(AI278,Constants!$B$4,IF(COUNTA(E278:R278)=0,Constants!$B$5,IF(COUNTA(J278,L278,N278,P278,R278)=0,Constants!$B$6,Constants!$B$7))))</f>
        <v/>
      </c>
      <c r="AK278" s="59" t="str">
        <f aca="false">IF(ISBLANK($C278),"",IF($AJ278&lt;&gt;Constants!$B$7,$AJ278,IF(OR(NOT(X278),AND(NOT(U278),COUNTIFS(Y278:AG278,Constants!$B$18,Z278:AH278,"&gt;=0")&gt;0),AND(NOT(V278),COUNTIFS(Y278:AG278,Constants!$B$19,Z278:AH278,"&gt;=0")&gt;0)),Constants!$B$12,Constants!$B$11)))</f>
        <v/>
      </c>
      <c r="AL278" s="59" t="str">
        <f aca="false">IF($AJ278=Constants!$B$7,IF(Z278="",Constants!$B$13,Z278),"")</f>
        <v/>
      </c>
      <c r="AM278" s="59" t="str">
        <f aca="false">IF($AJ278=Constants!$B$7,IF(AB278="",Constants!$B$13,AB278),"")</f>
        <v/>
      </c>
      <c r="AN278" s="59" t="str">
        <f aca="false">IF($AJ278=Constants!$B$7,IF(AD278="",Constants!$B$13,AD278),"")</f>
        <v/>
      </c>
      <c r="AO278" s="59" t="str">
        <f aca="false">IF($AJ278=Constants!$B$7,IF(AF278="",Constants!$B$13,AF278),"")</f>
        <v/>
      </c>
      <c r="AP278" s="59" t="str">
        <f aca="false">IF($AJ278=Constants!$B$7,IF(AH278="",Constants!$B$13,AH278),"")</f>
        <v/>
      </c>
      <c r="AQ278" s="59" t="str">
        <f aca="false">IF($AJ278=Constants!$B$7,IF(SUMPRODUCT(--($AL278:$AP278&gt;AL278))+SUMPRODUCT(--($AL278:AL278=AL278))=1,1,IF(SUMPRODUCT(--($AL278:$AP278&gt;AM278))+SUMPRODUCT(--($AL278:AM278=AM278))=1,2,IF(SUMPRODUCT(--($AL278:$AP278&gt;AN278))+SUMPRODUCT(--($AL278:AN278=AN278))=1,3,IF(SUMPRODUCT(--($AL278:$AP278&gt;AO278))+SUMPRODUCT(--($AL278:AO278=AO278))=1,4,5)))),"")</f>
        <v/>
      </c>
      <c r="AR278" s="59" t="str">
        <f aca="false">IF($AJ278=Constants!$B$7,IF(SUMPRODUCT(--($AL278:$AP278&gt;AL278))+SUMPRODUCT(--($AL278:AL278=AL278))=2,1,IF(SUMPRODUCT(--($AL278:$AP278&gt;AM278))+SUMPRODUCT(--($AL278:AM278=AM278))=2,2,IF(SUMPRODUCT(--($AL278:$AP278&gt;AN278))+SUMPRODUCT(--($AL278:AN278=AN278))=2,3,IF(SUMPRODUCT(--($AL278:$AP278&gt;AO278))+SUMPRODUCT(--($AL278:AO278=AO278))=2,4,5)))),"")</f>
        <v/>
      </c>
      <c r="AS278" s="59" t="str">
        <f aca="false">IF($AJ278=Constants!$B$7,IF(SUMPRODUCT(--($AL278:$AP278&gt;AL278))+SUMPRODUCT(--($AL278:AL278=AL278))=3,1,IF(SUMPRODUCT(--($AL278:$AP278&gt;AM278))+SUMPRODUCT(--($AL278:AM278=AM278))=3,2,IF(SUMPRODUCT(--($AL278:$AP278&gt;AN278))+SUMPRODUCT(--($AL278:AN278=AN278))=3,3,IF(SUMPRODUCT(--($AL278:$AP278&gt;AO278))+SUMPRODUCT(--($AL278:AO278=AO278))=3,4,5)))),"")</f>
        <v/>
      </c>
      <c r="AT278" s="59" t="str">
        <f aca="false">IF($AJ278=Constants!$B$7,LARGE(AL278:AP278,1)+LARGE(AL278:AP278,2)+LARGE(AL278:AP278,3),"")</f>
        <v/>
      </c>
      <c r="AU278" s="59" t="str">
        <f aca="false">IF(ISBLANK($C278),"",IF($AJ278&lt;&gt;Constants!$B$7,$AJ278,AT278*W278))</f>
        <v/>
      </c>
      <c r="AV278" s="59" t="str">
        <f aca="false">IF(ISBLANK($C278),"",IF($AJ278=Constants!$B$7,IF(ISNUMBER(AU278),RANK(AU278,$AU$8:$AU$507),Constants!$B$14),$AJ278))</f>
        <v/>
      </c>
      <c r="AW278" s="59" t="str">
        <f aca="false">IF(ISBLANK($C278),"",IF($AJ278=Constants!$B$7,IF(ISNUMBER(AV278),COUNTIFS($AK$8:$AK$507,"&lt;"&amp;$AK278)+COUNTIFS($AK$8:$AK$507,$AK278,$AV$8:$AV$507,"&lt;"&amp;$AV278)+1,Constants!$B$14),$AJ278))</f>
        <v/>
      </c>
      <c r="AX278" s="59" t="str">
        <f aca="false">IF(ISBLANK($C278),"",IF($AJ278=Constants!$B$7,LARGE(AL278:AP278,4)*W278,""))</f>
        <v/>
      </c>
      <c r="AY278" s="59" t="str">
        <f aca="false">IF(ISBLANK($C278),"",IF($AJ278=Constants!$B$7,RANK(AX278,$AX$8:$AX$507),$AJ278))</f>
        <v/>
      </c>
      <c r="AZ278" s="59" t="str">
        <f aca="false">IF(ISBLANK($C278),"",IF($AJ278=Constants!$B$7,IF(ISNUMBER(AV278),COUNTIFS($AK$8:$AK$507,"&lt;"&amp;$AK278)+COUNTIFS($AK$8:$AK$507,$AK278,$AV$8:$AV$507,"&lt;"&amp;$AV278)+COUNTIFS($AK$8:$AK$507,$AK278,$AV$8:$AV$507,$AV278,$AY$8:$AY$507,"&lt;"&amp;$AY278)+1,Constants!$B$14),$AJ278))</f>
        <v/>
      </c>
      <c r="BA278" s="59" t="str">
        <f aca="false">IF(ISBLANK($C278),"",IF($AJ278=Constants!$B$7,IF(ISNUMBER(AW278),AW278-AZ278,Constants!$B$14),$AJ278))</f>
        <v/>
      </c>
      <c r="BB278" s="61"/>
      <c r="BC278" s="62" t="str">
        <f aca="false">IF(ISBLANK($C278),"",IF($AJ278&lt;&gt;Constants!$B$7,$AJ278,SMALL(AQ278:AS278,1)&amp;", "&amp;SMALL(AQ278:AS278,2)&amp;", "&amp;SMALL(AQ278:AS278,3)))</f>
        <v/>
      </c>
      <c r="BD278" s="63" t="str">
        <f aca="false">IF(ISBLANK($C278),"",IF($AJ278&lt;&gt;Constants!$B$7,$AJ278,W278))</f>
        <v/>
      </c>
      <c r="BE278" s="64" t="str">
        <f aca="false">IF(ISBLANK($C278),"",IF($AJ278&lt;&gt;Constants!$B$7,$AJ278,AU278))</f>
        <v/>
      </c>
      <c r="BF278" s="65" t="str">
        <f aca="false">IF(ISBLANK($C278),"",IF($AJ278&lt;&gt;Constants!$B$7,$AJ278,AK278))</f>
        <v/>
      </c>
      <c r="BG278" s="63" t="str">
        <f aca="false">IF(ISBLANK($C278),"",BA278)</f>
        <v/>
      </c>
      <c r="BH278" s="63" t="str">
        <f aca="false">IF(ISBLANK($C278),"",AZ278)</f>
        <v/>
      </c>
      <c r="BI278" s="66" t="str">
        <f aca="false">IF(ISBLANK($C278),"",IF(BH278=Constants!$B$4,COUNTA($C$8:$C$507)+2,IF(BH278=Constants!$B$5,COUNTA($C$8:$C$507)+1,IF(BH278=Constants!$B$6,COUNTA($C$8:$C$507),BH278))))</f>
        <v/>
      </c>
      <c r="BJ278" s="5"/>
      <c r="BK278" s="67" t="n">
        <f aca="false">IF(OR(ISNUMBER(BH278),BH278=Constants!$B$4,BH278=Constants!$B$6,BH278=Constants!$B$5),1,0)</f>
        <v>0</v>
      </c>
      <c r="BL278" s="67" t="n">
        <v>271</v>
      </c>
      <c r="BM278" s="67" t="str">
        <f aca="false">IF(ISBLANK($C278),"",IF(ISNUMBER(BI278),BI278+ROW($B278)/1000,""))</f>
        <v/>
      </c>
      <c r="BN278" s="67" t="str">
        <f aca="false">IF(ISNUMBER(BM278),RANK(BM278,$BM$8:$BM$507,1),"")</f>
        <v/>
      </c>
      <c r="BO278" s="67" t="str">
        <f aca="false">IF(ISBLANK($C278),"",$B278)</f>
        <v/>
      </c>
      <c r="BP278" s="67" t="str">
        <f aca="false">IF(ISBLANK($C278),"",$C278)</f>
        <v/>
      </c>
      <c r="BQ278" s="67" t="str">
        <f aca="false">IF(ISBLANK($C278),"",$D278)</f>
        <v/>
      </c>
      <c r="BR278" s="68" t="str">
        <f aca="false">BF278</f>
        <v/>
      </c>
      <c r="BS278" s="69" t="str">
        <f aca="false">BE278</f>
        <v/>
      </c>
      <c r="BT278" s="67" t="str">
        <f aca="false">IF(ISBLANK($C278),"",BH278)</f>
        <v/>
      </c>
      <c r="BU278" s="70" t="str">
        <f aca="false">IF($BL278&gt;$BK$7,"",VLOOKUP($BL278,$BN$8:$BT$507,7,FALSE()))</f>
        <v/>
      </c>
      <c r="BV278" s="71" t="str">
        <f aca="false">IF($BL278&gt;$BK$7,"",VLOOKUP($BL278,$BN$8:$BT$507,2,FALSE()))</f>
        <v/>
      </c>
      <c r="BW278" s="71" t="str">
        <f aca="false">IF($BL278&gt;$BK$7,"",VLOOKUP($BL278,$BN$8:$BT$507,3,FALSE()))</f>
        <v/>
      </c>
      <c r="BX278" s="71" t="str">
        <f aca="false">IF($BL278&gt;$BK$7,"",VLOOKUP($BL278,$BN$8:$BT$507,4,FALSE()))</f>
        <v/>
      </c>
      <c r="BY278" s="71" t="str">
        <f aca="false">IF($BL278&gt;$BK$7,"",VLOOKUP($BL278,$BN$8:$BT$507,5,FALSE()))</f>
        <v/>
      </c>
      <c r="BZ278" s="72" t="str">
        <f aca="false">IF($BL278&gt;$BK$7,"",VLOOKUP($BL278,$BN$8:$BT$507,6,FALSE()))</f>
        <v/>
      </c>
      <c r="CA278" s="48"/>
    </row>
    <row r="279" customFormat="false" ht="15.75" hidden="false" customHeight="false" outlineLevel="0" collapsed="false">
      <c r="A279" s="5"/>
      <c r="B279" s="121"/>
      <c r="C279" s="50"/>
      <c r="D279" s="51"/>
      <c r="E279" s="74"/>
      <c r="F279" s="122"/>
      <c r="G279" s="54"/>
      <c r="H279" s="123"/>
      <c r="I279" s="124"/>
      <c r="J279" s="54"/>
      <c r="K279" s="123"/>
      <c r="L279" s="54"/>
      <c r="M279" s="123"/>
      <c r="N279" s="54"/>
      <c r="O279" s="123"/>
      <c r="P279" s="54"/>
      <c r="Q279" s="123"/>
      <c r="R279" s="54"/>
      <c r="S279" s="74"/>
      <c r="T279" s="58"/>
      <c r="U279" s="59" t="str">
        <f aca="false">IF(ISBLANK($C279),"",IF(E279=Constants!$B$2, TRUE(), IF(E279=Constants!$B$3, FALSE(), TRUE())))</f>
        <v/>
      </c>
      <c r="V279" s="59" t="str">
        <f aca="false">IF(ISBLANK($C279),"",IF(F279=Constants!$B$2, TRUE(), IF(F279=Constants!$B$3, FALSE(), TRUE())))</f>
        <v/>
      </c>
      <c r="W279" s="59" t="str">
        <f aca="false">IF(ISBLANK($C279),"",IF(G279=Constants!$B$15,Constants!$B$8,IF(G279=Constants!$B$16,Constants!$B$9,Constants!$B$10)))</f>
        <v/>
      </c>
      <c r="X279" s="59" t="str">
        <f aca="false">IF(ISBLANK($C279),"",IF(H279=Constants!$B$2, TRUE(), IF(H279=Constants!$B$3, FALSE(), TRUE())))</f>
        <v/>
      </c>
      <c r="Y279" s="59" t="str">
        <f aca="false">IF(ISBLANK($C279),"",IF(I279=Constants!$B$19,Constants!$B$19,Constants!$B$18))</f>
        <v/>
      </c>
      <c r="Z279" s="59" t="str">
        <f aca="false">IF(ISBLANK($C279),"",IF(ISNUMBER(J279),IF(J279&gt;=0,J279,""),""))</f>
        <v/>
      </c>
      <c r="AA279" s="59" t="str">
        <f aca="false">IF(ISBLANK($C279),"",IF(K279=Constants!$B$19,Constants!$B$19,Constants!$B$18))</f>
        <v/>
      </c>
      <c r="AB279" s="59" t="str">
        <f aca="false">IF(ISBLANK($C279),"",IF(ISNUMBER(L279),IF(L279&gt;=0,L279,""),""))</f>
        <v/>
      </c>
      <c r="AC279" s="59" t="str">
        <f aca="false">IF(ISBLANK($C279),"",IF(M279=Constants!$B$19,Constants!$B$19,Constants!$B$18))</f>
        <v/>
      </c>
      <c r="AD279" s="59" t="str">
        <f aca="false">IF(ISBLANK($C279),"",IF(ISNUMBER(N279),IF(N279&gt;=0,N279,""),""))</f>
        <v/>
      </c>
      <c r="AE279" s="59" t="str">
        <f aca="false">IF(ISBLANK($C279),"",IF(O279=Constants!$B$19,Constants!$B$19,Constants!$B$18))</f>
        <v/>
      </c>
      <c r="AF279" s="59" t="str">
        <f aca="false">IF(ISBLANK($C279),"",IF(ISNUMBER(P279),IF(P279&gt;=0,P279,""),""))</f>
        <v/>
      </c>
      <c r="AG279" s="59" t="str">
        <f aca="false">IF(ISBLANK($C279),"",IF(Q279=Constants!$B$19,Constants!$B$19,Constants!$B$18))</f>
        <v/>
      </c>
      <c r="AH279" s="59" t="str">
        <f aca="false">IF(ISBLANK($C279),"",IF(ISNUMBER(R279),IF(R279&gt;=0,R279,""),""))</f>
        <v/>
      </c>
      <c r="AI279" s="59" t="str">
        <f aca="false">IF(ISBLANK($C279),"",IF(S279=Constants!$B$2, TRUE(), IF(S279=Constants!$B$3, FALSE(), FALSE())))</f>
        <v/>
      </c>
      <c r="AJ279" s="59" t="str">
        <f aca="false">IF(ISBLANK($C279),"",IF(AI279,Constants!$B$4,IF(COUNTA(E279:R279)=0,Constants!$B$5,IF(COUNTA(J279,L279,N279,P279,R279)=0,Constants!$B$6,Constants!$B$7))))</f>
        <v/>
      </c>
      <c r="AK279" s="59" t="str">
        <f aca="false">IF(ISBLANK($C279),"",IF($AJ279&lt;&gt;Constants!$B$7,$AJ279,IF(OR(NOT(X279),AND(NOT(U279),COUNTIFS(Y279:AG279,Constants!$B$18,Z279:AH279,"&gt;=0")&gt;0),AND(NOT(V279),COUNTIFS(Y279:AG279,Constants!$B$19,Z279:AH279,"&gt;=0")&gt;0)),Constants!$B$12,Constants!$B$11)))</f>
        <v/>
      </c>
      <c r="AL279" s="59" t="str">
        <f aca="false">IF($AJ279=Constants!$B$7,IF(Z279="",Constants!$B$13,Z279),"")</f>
        <v/>
      </c>
      <c r="AM279" s="59" t="str">
        <f aca="false">IF($AJ279=Constants!$B$7,IF(AB279="",Constants!$B$13,AB279),"")</f>
        <v/>
      </c>
      <c r="AN279" s="59" t="str">
        <f aca="false">IF($AJ279=Constants!$B$7,IF(AD279="",Constants!$B$13,AD279),"")</f>
        <v/>
      </c>
      <c r="AO279" s="59" t="str">
        <f aca="false">IF($AJ279=Constants!$B$7,IF(AF279="",Constants!$B$13,AF279),"")</f>
        <v/>
      </c>
      <c r="AP279" s="59" t="str">
        <f aca="false">IF($AJ279=Constants!$B$7,IF(AH279="",Constants!$B$13,AH279),"")</f>
        <v/>
      </c>
      <c r="AQ279" s="59" t="str">
        <f aca="false">IF($AJ279=Constants!$B$7,IF(SUMPRODUCT(--($AL279:$AP279&gt;AL279))+SUMPRODUCT(--($AL279:AL279=AL279))=1,1,IF(SUMPRODUCT(--($AL279:$AP279&gt;AM279))+SUMPRODUCT(--($AL279:AM279=AM279))=1,2,IF(SUMPRODUCT(--($AL279:$AP279&gt;AN279))+SUMPRODUCT(--($AL279:AN279=AN279))=1,3,IF(SUMPRODUCT(--($AL279:$AP279&gt;AO279))+SUMPRODUCT(--($AL279:AO279=AO279))=1,4,5)))),"")</f>
        <v/>
      </c>
      <c r="AR279" s="59" t="str">
        <f aca="false">IF($AJ279=Constants!$B$7,IF(SUMPRODUCT(--($AL279:$AP279&gt;AL279))+SUMPRODUCT(--($AL279:AL279=AL279))=2,1,IF(SUMPRODUCT(--($AL279:$AP279&gt;AM279))+SUMPRODUCT(--($AL279:AM279=AM279))=2,2,IF(SUMPRODUCT(--($AL279:$AP279&gt;AN279))+SUMPRODUCT(--($AL279:AN279=AN279))=2,3,IF(SUMPRODUCT(--($AL279:$AP279&gt;AO279))+SUMPRODUCT(--($AL279:AO279=AO279))=2,4,5)))),"")</f>
        <v/>
      </c>
      <c r="AS279" s="59" t="str">
        <f aca="false">IF($AJ279=Constants!$B$7,IF(SUMPRODUCT(--($AL279:$AP279&gt;AL279))+SUMPRODUCT(--($AL279:AL279=AL279))=3,1,IF(SUMPRODUCT(--($AL279:$AP279&gt;AM279))+SUMPRODUCT(--($AL279:AM279=AM279))=3,2,IF(SUMPRODUCT(--($AL279:$AP279&gt;AN279))+SUMPRODUCT(--($AL279:AN279=AN279))=3,3,IF(SUMPRODUCT(--($AL279:$AP279&gt;AO279))+SUMPRODUCT(--($AL279:AO279=AO279))=3,4,5)))),"")</f>
        <v/>
      </c>
      <c r="AT279" s="59" t="str">
        <f aca="false">IF($AJ279=Constants!$B$7,LARGE(AL279:AP279,1)+LARGE(AL279:AP279,2)+LARGE(AL279:AP279,3),"")</f>
        <v/>
      </c>
      <c r="AU279" s="59" t="str">
        <f aca="false">IF(ISBLANK($C279),"",IF($AJ279&lt;&gt;Constants!$B$7,$AJ279,AT279*W279))</f>
        <v/>
      </c>
      <c r="AV279" s="59" t="str">
        <f aca="false">IF(ISBLANK($C279),"",IF($AJ279=Constants!$B$7,IF(ISNUMBER(AU279),RANK(AU279,$AU$8:$AU$507),Constants!$B$14),$AJ279))</f>
        <v/>
      </c>
      <c r="AW279" s="59" t="str">
        <f aca="false">IF(ISBLANK($C279),"",IF($AJ279=Constants!$B$7,IF(ISNUMBER(AV279),COUNTIFS($AK$8:$AK$507,"&lt;"&amp;$AK279)+COUNTIFS($AK$8:$AK$507,$AK279,$AV$8:$AV$507,"&lt;"&amp;$AV279)+1,Constants!$B$14),$AJ279))</f>
        <v/>
      </c>
      <c r="AX279" s="59" t="str">
        <f aca="false">IF(ISBLANK($C279),"",IF($AJ279=Constants!$B$7,LARGE(AL279:AP279,4)*W279,""))</f>
        <v/>
      </c>
      <c r="AY279" s="59" t="str">
        <f aca="false">IF(ISBLANK($C279),"",IF($AJ279=Constants!$B$7,RANK(AX279,$AX$8:$AX$507),$AJ279))</f>
        <v/>
      </c>
      <c r="AZ279" s="59" t="str">
        <f aca="false">IF(ISBLANK($C279),"",IF($AJ279=Constants!$B$7,IF(ISNUMBER(AV279),COUNTIFS($AK$8:$AK$507,"&lt;"&amp;$AK279)+COUNTIFS($AK$8:$AK$507,$AK279,$AV$8:$AV$507,"&lt;"&amp;$AV279)+COUNTIFS($AK$8:$AK$507,$AK279,$AV$8:$AV$507,$AV279,$AY$8:$AY$507,"&lt;"&amp;$AY279)+1,Constants!$B$14),$AJ279))</f>
        <v/>
      </c>
      <c r="BA279" s="59" t="str">
        <f aca="false">IF(ISBLANK($C279),"",IF($AJ279=Constants!$B$7,IF(ISNUMBER(AW279),AW279-AZ279,Constants!$B$14),$AJ279))</f>
        <v/>
      </c>
      <c r="BB279" s="61"/>
      <c r="BC279" s="62" t="str">
        <f aca="false">IF(ISBLANK($C279),"",IF($AJ279&lt;&gt;Constants!$B$7,$AJ279,SMALL(AQ279:AS279,1)&amp;", "&amp;SMALL(AQ279:AS279,2)&amp;", "&amp;SMALL(AQ279:AS279,3)))</f>
        <v/>
      </c>
      <c r="BD279" s="63" t="str">
        <f aca="false">IF(ISBLANK($C279),"",IF($AJ279&lt;&gt;Constants!$B$7,$AJ279,W279))</f>
        <v/>
      </c>
      <c r="BE279" s="64" t="str">
        <f aca="false">IF(ISBLANK($C279),"",IF($AJ279&lt;&gt;Constants!$B$7,$AJ279,AU279))</f>
        <v/>
      </c>
      <c r="BF279" s="65" t="str">
        <f aca="false">IF(ISBLANK($C279),"",IF($AJ279&lt;&gt;Constants!$B$7,$AJ279,AK279))</f>
        <v/>
      </c>
      <c r="BG279" s="63" t="str">
        <f aca="false">IF(ISBLANK($C279),"",BA279)</f>
        <v/>
      </c>
      <c r="BH279" s="63" t="str">
        <f aca="false">IF(ISBLANK($C279),"",AZ279)</f>
        <v/>
      </c>
      <c r="BI279" s="66" t="str">
        <f aca="false">IF(ISBLANK($C279),"",IF(BH279=Constants!$B$4,COUNTA($C$8:$C$507)+2,IF(BH279=Constants!$B$5,COUNTA($C$8:$C$507)+1,IF(BH279=Constants!$B$6,COUNTA($C$8:$C$507),BH279))))</f>
        <v/>
      </c>
      <c r="BJ279" s="5"/>
      <c r="BK279" s="67" t="n">
        <f aca="false">IF(OR(ISNUMBER(BH279),BH279=Constants!$B$4,BH279=Constants!$B$6,BH279=Constants!$B$5),1,0)</f>
        <v>0</v>
      </c>
      <c r="BL279" s="67" t="n">
        <v>272</v>
      </c>
      <c r="BM279" s="67" t="str">
        <f aca="false">IF(ISBLANK($C279),"",IF(ISNUMBER(BI279),BI279+ROW($B279)/1000,""))</f>
        <v/>
      </c>
      <c r="BN279" s="67" t="str">
        <f aca="false">IF(ISNUMBER(BM279),RANK(BM279,$BM$8:$BM$507,1),"")</f>
        <v/>
      </c>
      <c r="BO279" s="67" t="str">
        <f aca="false">IF(ISBLANK($C279),"",$B279)</f>
        <v/>
      </c>
      <c r="BP279" s="67" t="str">
        <f aca="false">IF(ISBLANK($C279),"",$C279)</f>
        <v/>
      </c>
      <c r="BQ279" s="67" t="str">
        <f aca="false">IF(ISBLANK($C279),"",$D279)</f>
        <v/>
      </c>
      <c r="BR279" s="68" t="str">
        <f aca="false">BF279</f>
        <v/>
      </c>
      <c r="BS279" s="69" t="str">
        <f aca="false">BE279</f>
        <v/>
      </c>
      <c r="BT279" s="67" t="str">
        <f aca="false">IF(ISBLANK($C279),"",BH279)</f>
        <v/>
      </c>
      <c r="BU279" s="70" t="str">
        <f aca="false">IF($BL279&gt;$BK$7,"",VLOOKUP($BL279,$BN$8:$BT$507,7,FALSE()))</f>
        <v/>
      </c>
      <c r="BV279" s="71" t="str">
        <f aca="false">IF($BL279&gt;$BK$7,"",VLOOKUP($BL279,$BN$8:$BT$507,2,FALSE()))</f>
        <v/>
      </c>
      <c r="BW279" s="71" t="str">
        <f aca="false">IF($BL279&gt;$BK$7,"",VLOOKUP($BL279,$BN$8:$BT$507,3,FALSE()))</f>
        <v/>
      </c>
      <c r="BX279" s="71" t="str">
        <f aca="false">IF($BL279&gt;$BK$7,"",VLOOKUP($BL279,$BN$8:$BT$507,4,FALSE()))</f>
        <v/>
      </c>
      <c r="BY279" s="71" t="str">
        <f aca="false">IF($BL279&gt;$BK$7,"",VLOOKUP($BL279,$BN$8:$BT$507,5,FALSE()))</f>
        <v/>
      </c>
      <c r="BZ279" s="72" t="str">
        <f aca="false">IF($BL279&gt;$BK$7,"",VLOOKUP($BL279,$BN$8:$BT$507,6,FALSE()))</f>
        <v/>
      </c>
      <c r="CA279" s="48"/>
    </row>
    <row r="280" customFormat="false" ht="15.75" hidden="false" customHeight="false" outlineLevel="0" collapsed="false">
      <c r="A280" s="5"/>
      <c r="B280" s="121"/>
      <c r="C280" s="50"/>
      <c r="D280" s="51"/>
      <c r="E280" s="74"/>
      <c r="F280" s="122"/>
      <c r="G280" s="54"/>
      <c r="H280" s="123"/>
      <c r="I280" s="124"/>
      <c r="J280" s="54"/>
      <c r="K280" s="123"/>
      <c r="L280" s="54"/>
      <c r="M280" s="123"/>
      <c r="N280" s="54"/>
      <c r="O280" s="123"/>
      <c r="P280" s="54"/>
      <c r="Q280" s="123"/>
      <c r="R280" s="54"/>
      <c r="S280" s="74"/>
      <c r="T280" s="58"/>
      <c r="U280" s="59" t="str">
        <f aca="false">IF(ISBLANK($C280),"",IF(E280=Constants!$B$2, TRUE(), IF(E280=Constants!$B$3, FALSE(), TRUE())))</f>
        <v/>
      </c>
      <c r="V280" s="59" t="str">
        <f aca="false">IF(ISBLANK($C280),"",IF(F280=Constants!$B$2, TRUE(), IF(F280=Constants!$B$3, FALSE(), TRUE())))</f>
        <v/>
      </c>
      <c r="W280" s="59" t="str">
        <f aca="false">IF(ISBLANK($C280),"",IF(G280=Constants!$B$15,Constants!$B$8,IF(G280=Constants!$B$16,Constants!$B$9,Constants!$B$10)))</f>
        <v/>
      </c>
      <c r="X280" s="59" t="str">
        <f aca="false">IF(ISBLANK($C280),"",IF(H280=Constants!$B$2, TRUE(), IF(H280=Constants!$B$3, FALSE(), TRUE())))</f>
        <v/>
      </c>
      <c r="Y280" s="59" t="str">
        <f aca="false">IF(ISBLANK($C280),"",IF(I280=Constants!$B$19,Constants!$B$19,Constants!$B$18))</f>
        <v/>
      </c>
      <c r="Z280" s="59" t="str">
        <f aca="false">IF(ISBLANK($C280),"",IF(ISNUMBER(J280),IF(J280&gt;=0,J280,""),""))</f>
        <v/>
      </c>
      <c r="AA280" s="59" t="str">
        <f aca="false">IF(ISBLANK($C280),"",IF(K280=Constants!$B$19,Constants!$B$19,Constants!$B$18))</f>
        <v/>
      </c>
      <c r="AB280" s="59" t="str">
        <f aca="false">IF(ISBLANK($C280),"",IF(ISNUMBER(L280),IF(L280&gt;=0,L280,""),""))</f>
        <v/>
      </c>
      <c r="AC280" s="59" t="str">
        <f aca="false">IF(ISBLANK($C280),"",IF(M280=Constants!$B$19,Constants!$B$19,Constants!$B$18))</f>
        <v/>
      </c>
      <c r="AD280" s="59" t="str">
        <f aca="false">IF(ISBLANK($C280),"",IF(ISNUMBER(N280),IF(N280&gt;=0,N280,""),""))</f>
        <v/>
      </c>
      <c r="AE280" s="59" t="str">
        <f aca="false">IF(ISBLANK($C280),"",IF(O280=Constants!$B$19,Constants!$B$19,Constants!$B$18))</f>
        <v/>
      </c>
      <c r="AF280" s="59" t="str">
        <f aca="false">IF(ISBLANK($C280),"",IF(ISNUMBER(P280),IF(P280&gt;=0,P280,""),""))</f>
        <v/>
      </c>
      <c r="AG280" s="59" t="str">
        <f aca="false">IF(ISBLANK($C280),"",IF(Q280=Constants!$B$19,Constants!$B$19,Constants!$B$18))</f>
        <v/>
      </c>
      <c r="AH280" s="59" t="str">
        <f aca="false">IF(ISBLANK($C280),"",IF(ISNUMBER(R280),IF(R280&gt;=0,R280,""),""))</f>
        <v/>
      </c>
      <c r="AI280" s="59" t="str">
        <f aca="false">IF(ISBLANK($C280),"",IF(S280=Constants!$B$2, TRUE(), IF(S280=Constants!$B$3, FALSE(), FALSE())))</f>
        <v/>
      </c>
      <c r="AJ280" s="59" t="str">
        <f aca="false">IF(ISBLANK($C280),"",IF(AI280,Constants!$B$4,IF(COUNTA(E280:R280)=0,Constants!$B$5,IF(COUNTA(J280,L280,N280,P280,R280)=0,Constants!$B$6,Constants!$B$7))))</f>
        <v/>
      </c>
      <c r="AK280" s="59" t="str">
        <f aca="false">IF(ISBLANK($C280),"",IF($AJ280&lt;&gt;Constants!$B$7,$AJ280,IF(OR(NOT(X280),AND(NOT(U280),COUNTIFS(Y280:AG280,Constants!$B$18,Z280:AH280,"&gt;=0")&gt;0),AND(NOT(V280),COUNTIFS(Y280:AG280,Constants!$B$19,Z280:AH280,"&gt;=0")&gt;0)),Constants!$B$12,Constants!$B$11)))</f>
        <v/>
      </c>
      <c r="AL280" s="59" t="str">
        <f aca="false">IF($AJ280=Constants!$B$7,IF(Z280="",Constants!$B$13,Z280),"")</f>
        <v/>
      </c>
      <c r="AM280" s="59" t="str">
        <f aca="false">IF($AJ280=Constants!$B$7,IF(AB280="",Constants!$B$13,AB280),"")</f>
        <v/>
      </c>
      <c r="AN280" s="59" t="str">
        <f aca="false">IF($AJ280=Constants!$B$7,IF(AD280="",Constants!$B$13,AD280),"")</f>
        <v/>
      </c>
      <c r="AO280" s="59" t="str">
        <f aca="false">IF($AJ280=Constants!$B$7,IF(AF280="",Constants!$B$13,AF280),"")</f>
        <v/>
      </c>
      <c r="AP280" s="59" t="str">
        <f aca="false">IF($AJ280=Constants!$B$7,IF(AH280="",Constants!$B$13,AH280),"")</f>
        <v/>
      </c>
      <c r="AQ280" s="59" t="str">
        <f aca="false">IF($AJ280=Constants!$B$7,IF(SUMPRODUCT(--($AL280:$AP280&gt;AL280))+SUMPRODUCT(--($AL280:AL280=AL280))=1,1,IF(SUMPRODUCT(--($AL280:$AP280&gt;AM280))+SUMPRODUCT(--($AL280:AM280=AM280))=1,2,IF(SUMPRODUCT(--($AL280:$AP280&gt;AN280))+SUMPRODUCT(--($AL280:AN280=AN280))=1,3,IF(SUMPRODUCT(--($AL280:$AP280&gt;AO280))+SUMPRODUCT(--($AL280:AO280=AO280))=1,4,5)))),"")</f>
        <v/>
      </c>
      <c r="AR280" s="59" t="str">
        <f aca="false">IF($AJ280=Constants!$B$7,IF(SUMPRODUCT(--($AL280:$AP280&gt;AL280))+SUMPRODUCT(--($AL280:AL280=AL280))=2,1,IF(SUMPRODUCT(--($AL280:$AP280&gt;AM280))+SUMPRODUCT(--($AL280:AM280=AM280))=2,2,IF(SUMPRODUCT(--($AL280:$AP280&gt;AN280))+SUMPRODUCT(--($AL280:AN280=AN280))=2,3,IF(SUMPRODUCT(--($AL280:$AP280&gt;AO280))+SUMPRODUCT(--($AL280:AO280=AO280))=2,4,5)))),"")</f>
        <v/>
      </c>
      <c r="AS280" s="59" t="str">
        <f aca="false">IF($AJ280=Constants!$B$7,IF(SUMPRODUCT(--($AL280:$AP280&gt;AL280))+SUMPRODUCT(--($AL280:AL280=AL280))=3,1,IF(SUMPRODUCT(--($AL280:$AP280&gt;AM280))+SUMPRODUCT(--($AL280:AM280=AM280))=3,2,IF(SUMPRODUCT(--($AL280:$AP280&gt;AN280))+SUMPRODUCT(--($AL280:AN280=AN280))=3,3,IF(SUMPRODUCT(--($AL280:$AP280&gt;AO280))+SUMPRODUCT(--($AL280:AO280=AO280))=3,4,5)))),"")</f>
        <v/>
      </c>
      <c r="AT280" s="59" t="str">
        <f aca="false">IF($AJ280=Constants!$B$7,LARGE(AL280:AP280,1)+LARGE(AL280:AP280,2)+LARGE(AL280:AP280,3),"")</f>
        <v/>
      </c>
      <c r="AU280" s="59" t="str">
        <f aca="false">IF(ISBLANK($C280),"",IF($AJ280&lt;&gt;Constants!$B$7,$AJ280,AT280*W280))</f>
        <v/>
      </c>
      <c r="AV280" s="59" t="str">
        <f aca="false">IF(ISBLANK($C280),"",IF($AJ280=Constants!$B$7,IF(ISNUMBER(AU280),RANK(AU280,$AU$8:$AU$507),Constants!$B$14),$AJ280))</f>
        <v/>
      </c>
      <c r="AW280" s="59" t="str">
        <f aca="false">IF(ISBLANK($C280),"",IF($AJ280=Constants!$B$7,IF(ISNUMBER(AV280),COUNTIFS($AK$8:$AK$507,"&lt;"&amp;$AK280)+COUNTIFS($AK$8:$AK$507,$AK280,$AV$8:$AV$507,"&lt;"&amp;$AV280)+1,Constants!$B$14),$AJ280))</f>
        <v/>
      </c>
      <c r="AX280" s="59" t="str">
        <f aca="false">IF(ISBLANK($C280),"",IF($AJ280=Constants!$B$7,LARGE(AL280:AP280,4)*W280,""))</f>
        <v/>
      </c>
      <c r="AY280" s="59" t="str">
        <f aca="false">IF(ISBLANK($C280),"",IF($AJ280=Constants!$B$7,RANK(AX280,$AX$8:$AX$507),$AJ280))</f>
        <v/>
      </c>
      <c r="AZ280" s="59" t="str">
        <f aca="false">IF(ISBLANK($C280),"",IF($AJ280=Constants!$B$7,IF(ISNUMBER(AV280),COUNTIFS($AK$8:$AK$507,"&lt;"&amp;$AK280)+COUNTIFS($AK$8:$AK$507,$AK280,$AV$8:$AV$507,"&lt;"&amp;$AV280)+COUNTIFS($AK$8:$AK$507,$AK280,$AV$8:$AV$507,$AV280,$AY$8:$AY$507,"&lt;"&amp;$AY280)+1,Constants!$B$14),$AJ280))</f>
        <v/>
      </c>
      <c r="BA280" s="59" t="str">
        <f aca="false">IF(ISBLANK($C280),"",IF($AJ280=Constants!$B$7,IF(ISNUMBER(AW280),AW280-AZ280,Constants!$B$14),$AJ280))</f>
        <v/>
      </c>
      <c r="BB280" s="61"/>
      <c r="BC280" s="62" t="str">
        <f aca="false">IF(ISBLANK($C280),"",IF($AJ280&lt;&gt;Constants!$B$7,$AJ280,SMALL(AQ280:AS280,1)&amp;", "&amp;SMALL(AQ280:AS280,2)&amp;", "&amp;SMALL(AQ280:AS280,3)))</f>
        <v/>
      </c>
      <c r="BD280" s="63" t="str">
        <f aca="false">IF(ISBLANK($C280),"",IF($AJ280&lt;&gt;Constants!$B$7,$AJ280,W280))</f>
        <v/>
      </c>
      <c r="BE280" s="64" t="str">
        <f aca="false">IF(ISBLANK($C280),"",IF($AJ280&lt;&gt;Constants!$B$7,$AJ280,AU280))</f>
        <v/>
      </c>
      <c r="BF280" s="65" t="str">
        <f aca="false">IF(ISBLANK($C280),"",IF($AJ280&lt;&gt;Constants!$B$7,$AJ280,AK280))</f>
        <v/>
      </c>
      <c r="BG280" s="63" t="str">
        <f aca="false">IF(ISBLANK($C280),"",BA280)</f>
        <v/>
      </c>
      <c r="BH280" s="63" t="str">
        <f aca="false">IF(ISBLANK($C280),"",AZ280)</f>
        <v/>
      </c>
      <c r="BI280" s="66" t="str">
        <f aca="false">IF(ISBLANK($C280),"",IF(BH280=Constants!$B$4,COUNTA($C$8:$C$507)+2,IF(BH280=Constants!$B$5,COUNTA($C$8:$C$507)+1,IF(BH280=Constants!$B$6,COUNTA($C$8:$C$507),BH280))))</f>
        <v/>
      </c>
      <c r="BJ280" s="5"/>
      <c r="BK280" s="67" t="n">
        <f aca="false">IF(OR(ISNUMBER(BH280),BH280=Constants!$B$4,BH280=Constants!$B$6,BH280=Constants!$B$5),1,0)</f>
        <v>0</v>
      </c>
      <c r="BL280" s="67" t="n">
        <v>273</v>
      </c>
      <c r="BM280" s="67" t="str">
        <f aca="false">IF(ISBLANK($C280),"",IF(ISNUMBER(BI280),BI280+ROW($B280)/1000,""))</f>
        <v/>
      </c>
      <c r="BN280" s="67" t="str">
        <f aca="false">IF(ISNUMBER(BM280),RANK(BM280,$BM$8:$BM$507,1),"")</f>
        <v/>
      </c>
      <c r="BO280" s="67" t="str">
        <f aca="false">IF(ISBLANK($C280),"",$B280)</f>
        <v/>
      </c>
      <c r="BP280" s="67" t="str">
        <f aca="false">IF(ISBLANK($C280),"",$C280)</f>
        <v/>
      </c>
      <c r="BQ280" s="67" t="str">
        <f aca="false">IF(ISBLANK($C280),"",$D280)</f>
        <v/>
      </c>
      <c r="BR280" s="68" t="str">
        <f aca="false">BF280</f>
        <v/>
      </c>
      <c r="BS280" s="69" t="str">
        <f aca="false">BE280</f>
        <v/>
      </c>
      <c r="BT280" s="67" t="str">
        <f aca="false">IF(ISBLANK($C280),"",BH280)</f>
        <v/>
      </c>
      <c r="BU280" s="70" t="str">
        <f aca="false">IF($BL280&gt;$BK$7,"",VLOOKUP($BL280,$BN$8:$BT$507,7,FALSE()))</f>
        <v/>
      </c>
      <c r="BV280" s="71" t="str">
        <f aca="false">IF($BL280&gt;$BK$7,"",VLOOKUP($BL280,$BN$8:$BT$507,2,FALSE()))</f>
        <v/>
      </c>
      <c r="BW280" s="71" t="str">
        <f aca="false">IF($BL280&gt;$BK$7,"",VLOOKUP($BL280,$BN$8:$BT$507,3,FALSE()))</f>
        <v/>
      </c>
      <c r="BX280" s="71" t="str">
        <f aca="false">IF($BL280&gt;$BK$7,"",VLOOKUP($BL280,$BN$8:$BT$507,4,FALSE()))</f>
        <v/>
      </c>
      <c r="BY280" s="71" t="str">
        <f aca="false">IF($BL280&gt;$BK$7,"",VLOOKUP($BL280,$BN$8:$BT$507,5,FALSE()))</f>
        <v/>
      </c>
      <c r="BZ280" s="72" t="str">
        <f aca="false">IF($BL280&gt;$BK$7,"",VLOOKUP($BL280,$BN$8:$BT$507,6,FALSE()))</f>
        <v/>
      </c>
      <c r="CA280" s="48"/>
    </row>
    <row r="281" customFormat="false" ht="15.75" hidden="false" customHeight="false" outlineLevel="0" collapsed="false">
      <c r="A281" s="5"/>
      <c r="B281" s="114"/>
      <c r="C281" s="115"/>
      <c r="D281" s="100"/>
      <c r="E281" s="120"/>
      <c r="F281" s="125"/>
      <c r="G281" s="82"/>
      <c r="H281" s="126"/>
      <c r="I281" s="127"/>
      <c r="J281" s="82"/>
      <c r="K281" s="126"/>
      <c r="L281" s="82"/>
      <c r="M281" s="126"/>
      <c r="N281" s="82"/>
      <c r="O281" s="126"/>
      <c r="P281" s="82"/>
      <c r="Q281" s="126"/>
      <c r="R281" s="82"/>
      <c r="S281" s="120"/>
      <c r="T281" s="86"/>
      <c r="U281" s="87" t="str">
        <f aca="false">IF(ISBLANK($C281),"",IF(E281=Constants!$B$2, TRUE(), IF(E281=Constants!$B$3, FALSE(), TRUE())))</f>
        <v/>
      </c>
      <c r="V281" s="87" t="str">
        <f aca="false">IF(ISBLANK($C281),"",IF(F281=Constants!$B$2, TRUE(), IF(F281=Constants!$B$3, FALSE(), TRUE())))</f>
        <v/>
      </c>
      <c r="W281" s="87" t="str">
        <f aca="false">IF(ISBLANK($C281),"",IF(G281=Constants!$B$15,Constants!$B$8,IF(G281=Constants!$B$16,Constants!$B$9,Constants!$B$10)))</f>
        <v/>
      </c>
      <c r="X281" s="87" t="str">
        <f aca="false">IF(ISBLANK($C281),"",IF(H281=Constants!$B$2, TRUE(), IF(H281=Constants!$B$3, FALSE(), TRUE())))</f>
        <v/>
      </c>
      <c r="Y281" s="87" t="str">
        <f aca="false">IF(ISBLANK($C281),"",IF(I281=Constants!$B$19,Constants!$B$19,Constants!$B$18))</f>
        <v/>
      </c>
      <c r="Z281" s="87" t="str">
        <f aca="false">IF(ISBLANK($C281),"",IF(ISNUMBER(J281),IF(J281&gt;=0,J281,""),""))</f>
        <v/>
      </c>
      <c r="AA281" s="87" t="str">
        <f aca="false">IF(ISBLANK($C281),"",IF(K281=Constants!$B$19,Constants!$B$19,Constants!$B$18))</f>
        <v/>
      </c>
      <c r="AB281" s="87" t="str">
        <f aca="false">IF(ISBLANK($C281),"",IF(ISNUMBER(L281),IF(L281&gt;=0,L281,""),""))</f>
        <v/>
      </c>
      <c r="AC281" s="87" t="str">
        <f aca="false">IF(ISBLANK($C281),"",IF(M281=Constants!$B$19,Constants!$B$19,Constants!$B$18))</f>
        <v/>
      </c>
      <c r="AD281" s="87" t="str">
        <f aca="false">IF(ISBLANK($C281),"",IF(ISNUMBER(N281),IF(N281&gt;=0,N281,""),""))</f>
        <v/>
      </c>
      <c r="AE281" s="87" t="str">
        <f aca="false">IF(ISBLANK($C281),"",IF(O281=Constants!$B$19,Constants!$B$19,Constants!$B$18))</f>
        <v/>
      </c>
      <c r="AF281" s="87" t="str">
        <f aca="false">IF(ISBLANK($C281),"",IF(ISNUMBER(P281),IF(P281&gt;=0,P281,""),""))</f>
        <v/>
      </c>
      <c r="AG281" s="87" t="str">
        <f aca="false">IF(ISBLANK($C281),"",IF(Q281=Constants!$B$19,Constants!$B$19,Constants!$B$18))</f>
        <v/>
      </c>
      <c r="AH281" s="87" t="str">
        <f aca="false">IF(ISBLANK($C281),"",IF(ISNUMBER(R281),IF(R281&gt;=0,R281,""),""))</f>
        <v/>
      </c>
      <c r="AI281" s="87" t="str">
        <f aca="false">IF(ISBLANK($C281),"",IF(S281=Constants!$B$2, TRUE(), IF(S281=Constants!$B$3, FALSE(), FALSE())))</f>
        <v/>
      </c>
      <c r="AJ281" s="87" t="str">
        <f aca="false">IF(ISBLANK($C281),"",IF(AI281,Constants!$B$4,IF(COUNTA(E281:R281)=0,Constants!$B$5,IF(COUNTA(J281,L281,N281,P281,R281)=0,Constants!$B$6,Constants!$B$7))))</f>
        <v/>
      </c>
      <c r="AK281" s="87" t="str">
        <f aca="false">IF(ISBLANK($C281),"",IF($AJ281&lt;&gt;Constants!$B$7,$AJ281,IF(OR(NOT(X281),AND(NOT(U281),COUNTIFS(Y281:AG281,Constants!$B$18,Z281:AH281,"&gt;=0")&gt;0),AND(NOT(V281),COUNTIFS(Y281:AG281,Constants!$B$19,Z281:AH281,"&gt;=0")&gt;0)),Constants!$B$12,Constants!$B$11)))</f>
        <v/>
      </c>
      <c r="AL281" s="87" t="str">
        <f aca="false">IF($AJ281=Constants!$B$7,IF(Z281="",Constants!$B$13,Z281),"")</f>
        <v/>
      </c>
      <c r="AM281" s="87" t="str">
        <f aca="false">IF($AJ281=Constants!$B$7,IF(AB281="",Constants!$B$13,AB281),"")</f>
        <v/>
      </c>
      <c r="AN281" s="87" t="str">
        <f aca="false">IF($AJ281=Constants!$B$7,IF(AD281="",Constants!$B$13,AD281),"")</f>
        <v/>
      </c>
      <c r="AO281" s="87" t="str">
        <f aca="false">IF($AJ281=Constants!$B$7,IF(AF281="",Constants!$B$13,AF281),"")</f>
        <v/>
      </c>
      <c r="AP281" s="87" t="str">
        <f aca="false">IF($AJ281=Constants!$B$7,IF(AH281="",Constants!$B$13,AH281),"")</f>
        <v/>
      </c>
      <c r="AQ281" s="87" t="str">
        <f aca="false">IF($AJ281=Constants!$B$7,IF(SUMPRODUCT(--($AL281:$AP281&gt;AL281))+SUMPRODUCT(--($AL281:AL281=AL281))=1,1,IF(SUMPRODUCT(--($AL281:$AP281&gt;AM281))+SUMPRODUCT(--($AL281:AM281=AM281))=1,2,IF(SUMPRODUCT(--($AL281:$AP281&gt;AN281))+SUMPRODUCT(--($AL281:AN281=AN281))=1,3,IF(SUMPRODUCT(--($AL281:$AP281&gt;AO281))+SUMPRODUCT(--($AL281:AO281=AO281))=1,4,5)))),"")</f>
        <v/>
      </c>
      <c r="AR281" s="87" t="str">
        <f aca="false">IF($AJ281=Constants!$B$7,IF(SUMPRODUCT(--($AL281:$AP281&gt;AL281))+SUMPRODUCT(--($AL281:AL281=AL281))=2,1,IF(SUMPRODUCT(--($AL281:$AP281&gt;AM281))+SUMPRODUCT(--($AL281:AM281=AM281))=2,2,IF(SUMPRODUCT(--($AL281:$AP281&gt;AN281))+SUMPRODUCT(--($AL281:AN281=AN281))=2,3,IF(SUMPRODUCT(--($AL281:$AP281&gt;AO281))+SUMPRODUCT(--($AL281:AO281=AO281))=2,4,5)))),"")</f>
        <v/>
      </c>
      <c r="AS281" s="87" t="str">
        <f aca="false">IF($AJ281=Constants!$B$7,IF(SUMPRODUCT(--($AL281:$AP281&gt;AL281))+SUMPRODUCT(--($AL281:AL281=AL281))=3,1,IF(SUMPRODUCT(--($AL281:$AP281&gt;AM281))+SUMPRODUCT(--($AL281:AM281=AM281))=3,2,IF(SUMPRODUCT(--($AL281:$AP281&gt;AN281))+SUMPRODUCT(--($AL281:AN281=AN281))=3,3,IF(SUMPRODUCT(--($AL281:$AP281&gt;AO281))+SUMPRODUCT(--($AL281:AO281=AO281))=3,4,5)))),"")</f>
        <v/>
      </c>
      <c r="AT281" s="87" t="str">
        <f aca="false">IF($AJ281=Constants!$B$7,LARGE(AL281:AP281,1)+LARGE(AL281:AP281,2)+LARGE(AL281:AP281,3),"")</f>
        <v/>
      </c>
      <c r="AU281" s="87" t="str">
        <f aca="false">IF(ISBLANK($C281),"",IF($AJ281&lt;&gt;Constants!$B$7,$AJ281,AT281*W281))</f>
        <v/>
      </c>
      <c r="AV281" s="87" t="str">
        <f aca="false">IF(ISBLANK($C281),"",IF($AJ281=Constants!$B$7,IF(ISNUMBER(AU281),RANK(AU281,$AU$8:$AU$507),Constants!$B$14),$AJ281))</f>
        <v/>
      </c>
      <c r="AW281" s="87" t="str">
        <f aca="false">IF(ISBLANK($C281),"",IF($AJ281=Constants!$B$7,IF(ISNUMBER(AV281),COUNTIFS($AK$8:$AK$507,"&lt;"&amp;$AK281)+COUNTIFS($AK$8:$AK$507,$AK281,$AV$8:$AV$507,"&lt;"&amp;$AV281)+1,Constants!$B$14),$AJ281))</f>
        <v/>
      </c>
      <c r="AX281" s="87" t="str">
        <f aca="false">IF(ISBLANK($C281),"",IF($AJ281=Constants!$B$7,LARGE(AL281:AP281,4)*W281,""))</f>
        <v/>
      </c>
      <c r="AY281" s="87" t="str">
        <f aca="false">IF(ISBLANK($C281),"",IF($AJ281=Constants!$B$7,RANK(AX281,$AX$8:$AX$507),$AJ281))</f>
        <v/>
      </c>
      <c r="AZ281" s="87" t="str">
        <f aca="false">IF(ISBLANK($C281),"",IF($AJ281=Constants!$B$7,IF(ISNUMBER(AV281),COUNTIFS($AK$8:$AK$507,"&lt;"&amp;$AK281)+COUNTIFS($AK$8:$AK$507,$AK281,$AV$8:$AV$507,"&lt;"&amp;$AV281)+COUNTIFS($AK$8:$AK$507,$AK281,$AV$8:$AV$507,$AV281,$AY$8:$AY$507,"&lt;"&amp;$AY281)+1,Constants!$B$14),$AJ281))</f>
        <v/>
      </c>
      <c r="BA281" s="87" t="str">
        <f aca="false">IF(ISBLANK($C281),"",IF($AJ281=Constants!$B$7,IF(ISNUMBER(AW281),AW281-AZ281,Constants!$B$14),$AJ281))</f>
        <v/>
      </c>
      <c r="BB281" s="88"/>
      <c r="BC281" s="89" t="str">
        <f aca="false">IF(ISBLANK($C281),"",IF($AJ281&lt;&gt;Constants!$B$7,$AJ281,SMALL(AQ281:AS281,1)&amp;", "&amp;SMALL(AQ281:AS281,2)&amp;", "&amp;SMALL(AQ281:AS281,3)))</f>
        <v/>
      </c>
      <c r="BD281" s="90" t="str">
        <f aca="false">IF(ISBLANK($C281),"",IF($AJ281&lt;&gt;Constants!$B$7,$AJ281,W281))</f>
        <v/>
      </c>
      <c r="BE281" s="91" t="str">
        <f aca="false">IF(ISBLANK($C281),"",IF($AJ281&lt;&gt;Constants!$B$7,$AJ281,AU281))</f>
        <v/>
      </c>
      <c r="BF281" s="92" t="str">
        <f aca="false">IF(ISBLANK($C281),"",IF($AJ281&lt;&gt;Constants!$B$7,$AJ281,AK281))</f>
        <v/>
      </c>
      <c r="BG281" s="90" t="str">
        <f aca="false">IF(ISBLANK($C281),"",BA281)</f>
        <v/>
      </c>
      <c r="BH281" s="90" t="str">
        <f aca="false">IF(ISBLANK($C281),"",AZ281)</f>
        <v/>
      </c>
      <c r="BI281" s="93" t="str">
        <f aca="false">IF(ISBLANK($C281),"",IF(BH281=Constants!$B$4,COUNTA($C$8:$C$507)+2,IF(BH281=Constants!$B$5,COUNTA($C$8:$C$507)+1,IF(BH281=Constants!$B$6,COUNTA($C$8:$C$507),BH281))))</f>
        <v/>
      </c>
      <c r="BJ281" s="5"/>
      <c r="BK281" s="94" t="n">
        <f aca="false">IF(OR(ISNUMBER(BH281),BH281=Constants!$B$4,BH281=Constants!$B$6,BH281=Constants!$B$5),1,0)</f>
        <v>0</v>
      </c>
      <c r="BL281" s="94" t="n">
        <v>274</v>
      </c>
      <c r="BM281" s="94" t="str">
        <f aca="false">IF(ISBLANK($C281),"",IF(ISNUMBER(BI281),BI281+ROW($B281)/1000,""))</f>
        <v/>
      </c>
      <c r="BN281" s="94" t="str">
        <f aca="false">IF(ISNUMBER(BM281),RANK(BM281,$BM$8:$BM$507,1),"")</f>
        <v/>
      </c>
      <c r="BO281" s="94" t="str">
        <f aca="false">IF(ISBLANK($C281),"",$B281)</f>
        <v/>
      </c>
      <c r="BP281" s="94" t="str">
        <f aca="false">IF(ISBLANK($C281),"",$C281)</f>
        <v/>
      </c>
      <c r="BQ281" s="94" t="str">
        <f aca="false">IF(ISBLANK($C281),"",$D281)</f>
        <v/>
      </c>
      <c r="BR281" s="95" t="str">
        <f aca="false">BF281</f>
        <v/>
      </c>
      <c r="BS281" s="96" t="str">
        <f aca="false">BE281</f>
        <v/>
      </c>
      <c r="BT281" s="94" t="str">
        <f aca="false">IF(ISBLANK($C281),"",BH281)</f>
        <v/>
      </c>
      <c r="BU281" s="97" t="str">
        <f aca="false">IF($BL281&gt;$BK$7,"",VLOOKUP($BL281,$BN$8:$BT$507,7,FALSE()))</f>
        <v/>
      </c>
      <c r="BV281" s="98" t="str">
        <f aca="false">IF($BL281&gt;$BK$7,"",VLOOKUP($BL281,$BN$8:$BT$507,2,FALSE()))</f>
        <v/>
      </c>
      <c r="BW281" s="98" t="str">
        <f aca="false">IF($BL281&gt;$BK$7,"",VLOOKUP($BL281,$BN$8:$BT$507,3,FALSE()))</f>
        <v/>
      </c>
      <c r="BX281" s="98" t="str">
        <f aca="false">IF($BL281&gt;$BK$7,"",VLOOKUP($BL281,$BN$8:$BT$507,4,FALSE()))</f>
        <v/>
      </c>
      <c r="BY281" s="98" t="str">
        <f aca="false">IF($BL281&gt;$BK$7,"",VLOOKUP($BL281,$BN$8:$BT$507,5,FALSE()))</f>
        <v/>
      </c>
      <c r="BZ281" s="99" t="str">
        <f aca="false">IF($BL281&gt;$BK$7,"",VLOOKUP($BL281,$BN$8:$BT$507,6,FALSE()))</f>
        <v/>
      </c>
      <c r="CA281" s="48"/>
    </row>
    <row r="282" customFormat="false" ht="15.75" hidden="false" customHeight="false" outlineLevel="0" collapsed="false">
      <c r="A282" s="5"/>
      <c r="B282" s="114"/>
      <c r="C282" s="115"/>
      <c r="D282" s="100"/>
      <c r="E282" s="120"/>
      <c r="F282" s="125"/>
      <c r="G282" s="82"/>
      <c r="H282" s="126"/>
      <c r="I282" s="127"/>
      <c r="J282" s="82"/>
      <c r="K282" s="126"/>
      <c r="L282" s="82"/>
      <c r="M282" s="126"/>
      <c r="N282" s="82"/>
      <c r="O282" s="126"/>
      <c r="P282" s="82"/>
      <c r="Q282" s="126"/>
      <c r="R282" s="82"/>
      <c r="S282" s="120"/>
      <c r="T282" s="86"/>
      <c r="U282" s="87" t="str">
        <f aca="false">IF(ISBLANK($C282),"",IF(E282=Constants!$B$2, TRUE(), IF(E282=Constants!$B$3, FALSE(), TRUE())))</f>
        <v/>
      </c>
      <c r="V282" s="87" t="str">
        <f aca="false">IF(ISBLANK($C282),"",IF(F282=Constants!$B$2, TRUE(), IF(F282=Constants!$B$3, FALSE(), TRUE())))</f>
        <v/>
      </c>
      <c r="W282" s="87" t="str">
        <f aca="false">IF(ISBLANK($C282),"",IF(G282=Constants!$B$15,Constants!$B$8,IF(G282=Constants!$B$16,Constants!$B$9,Constants!$B$10)))</f>
        <v/>
      </c>
      <c r="X282" s="87" t="str">
        <f aca="false">IF(ISBLANK($C282),"",IF(H282=Constants!$B$2, TRUE(), IF(H282=Constants!$B$3, FALSE(), TRUE())))</f>
        <v/>
      </c>
      <c r="Y282" s="87" t="str">
        <f aca="false">IF(ISBLANK($C282),"",IF(I282=Constants!$B$19,Constants!$B$19,Constants!$B$18))</f>
        <v/>
      </c>
      <c r="Z282" s="87" t="str">
        <f aca="false">IF(ISBLANK($C282),"",IF(ISNUMBER(J282),IF(J282&gt;=0,J282,""),""))</f>
        <v/>
      </c>
      <c r="AA282" s="87" t="str">
        <f aca="false">IF(ISBLANK($C282),"",IF(K282=Constants!$B$19,Constants!$B$19,Constants!$B$18))</f>
        <v/>
      </c>
      <c r="AB282" s="87" t="str">
        <f aca="false">IF(ISBLANK($C282),"",IF(ISNUMBER(L282),IF(L282&gt;=0,L282,""),""))</f>
        <v/>
      </c>
      <c r="AC282" s="87" t="str">
        <f aca="false">IF(ISBLANK($C282),"",IF(M282=Constants!$B$19,Constants!$B$19,Constants!$B$18))</f>
        <v/>
      </c>
      <c r="AD282" s="87" t="str">
        <f aca="false">IF(ISBLANK($C282),"",IF(ISNUMBER(N282),IF(N282&gt;=0,N282,""),""))</f>
        <v/>
      </c>
      <c r="AE282" s="87" t="str">
        <f aca="false">IF(ISBLANK($C282),"",IF(O282=Constants!$B$19,Constants!$B$19,Constants!$B$18))</f>
        <v/>
      </c>
      <c r="AF282" s="87" t="str">
        <f aca="false">IF(ISBLANK($C282),"",IF(ISNUMBER(P282),IF(P282&gt;=0,P282,""),""))</f>
        <v/>
      </c>
      <c r="AG282" s="87" t="str">
        <f aca="false">IF(ISBLANK($C282),"",IF(Q282=Constants!$B$19,Constants!$B$19,Constants!$B$18))</f>
        <v/>
      </c>
      <c r="AH282" s="87" t="str">
        <f aca="false">IF(ISBLANK($C282),"",IF(ISNUMBER(R282),IF(R282&gt;=0,R282,""),""))</f>
        <v/>
      </c>
      <c r="AI282" s="87" t="str">
        <f aca="false">IF(ISBLANK($C282),"",IF(S282=Constants!$B$2, TRUE(), IF(S282=Constants!$B$3, FALSE(), FALSE())))</f>
        <v/>
      </c>
      <c r="AJ282" s="87" t="str">
        <f aca="false">IF(ISBLANK($C282),"",IF(AI282,Constants!$B$4,IF(COUNTA(E282:R282)=0,Constants!$B$5,IF(COUNTA(J282,L282,N282,P282,R282)=0,Constants!$B$6,Constants!$B$7))))</f>
        <v/>
      </c>
      <c r="AK282" s="87" t="str">
        <f aca="false">IF(ISBLANK($C282),"",IF($AJ282&lt;&gt;Constants!$B$7,$AJ282,IF(OR(NOT(X282),AND(NOT(U282),COUNTIFS(Y282:AG282,Constants!$B$18,Z282:AH282,"&gt;=0")&gt;0),AND(NOT(V282),COUNTIFS(Y282:AG282,Constants!$B$19,Z282:AH282,"&gt;=0")&gt;0)),Constants!$B$12,Constants!$B$11)))</f>
        <v/>
      </c>
      <c r="AL282" s="87" t="str">
        <f aca="false">IF($AJ282=Constants!$B$7,IF(Z282="",Constants!$B$13,Z282),"")</f>
        <v/>
      </c>
      <c r="AM282" s="87" t="str">
        <f aca="false">IF($AJ282=Constants!$B$7,IF(AB282="",Constants!$B$13,AB282),"")</f>
        <v/>
      </c>
      <c r="AN282" s="87" t="str">
        <f aca="false">IF($AJ282=Constants!$B$7,IF(AD282="",Constants!$B$13,AD282),"")</f>
        <v/>
      </c>
      <c r="AO282" s="87" t="str">
        <f aca="false">IF($AJ282=Constants!$B$7,IF(AF282="",Constants!$B$13,AF282),"")</f>
        <v/>
      </c>
      <c r="AP282" s="87" t="str">
        <f aca="false">IF($AJ282=Constants!$B$7,IF(AH282="",Constants!$B$13,AH282),"")</f>
        <v/>
      </c>
      <c r="AQ282" s="87" t="str">
        <f aca="false">IF($AJ282=Constants!$B$7,IF(SUMPRODUCT(--($AL282:$AP282&gt;AL282))+SUMPRODUCT(--($AL282:AL282=AL282))=1,1,IF(SUMPRODUCT(--($AL282:$AP282&gt;AM282))+SUMPRODUCT(--($AL282:AM282=AM282))=1,2,IF(SUMPRODUCT(--($AL282:$AP282&gt;AN282))+SUMPRODUCT(--($AL282:AN282=AN282))=1,3,IF(SUMPRODUCT(--($AL282:$AP282&gt;AO282))+SUMPRODUCT(--($AL282:AO282=AO282))=1,4,5)))),"")</f>
        <v/>
      </c>
      <c r="AR282" s="87" t="str">
        <f aca="false">IF($AJ282=Constants!$B$7,IF(SUMPRODUCT(--($AL282:$AP282&gt;AL282))+SUMPRODUCT(--($AL282:AL282=AL282))=2,1,IF(SUMPRODUCT(--($AL282:$AP282&gt;AM282))+SUMPRODUCT(--($AL282:AM282=AM282))=2,2,IF(SUMPRODUCT(--($AL282:$AP282&gt;AN282))+SUMPRODUCT(--($AL282:AN282=AN282))=2,3,IF(SUMPRODUCT(--($AL282:$AP282&gt;AO282))+SUMPRODUCT(--($AL282:AO282=AO282))=2,4,5)))),"")</f>
        <v/>
      </c>
      <c r="AS282" s="87" t="str">
        <f aca="false">IF($AJ282=Constants!$B$7,IF(SUMPRODUCT(--($AL282:$AP282&gt;AL282))+SUMPRODUCT(--($AL282:AL282=AL282))=3,1,IF(SUMPRODUCT(--($AL282:$AP282&gt;AM282))+SUMPRODUCT(--($AL282:AM282=AM282))=3,2,IF(SUMPRODUCT(--($AL282:$AP282&gt;AN282))+SUMPRODUCT(--($AL282:AN282=AN282))=3,3,IF(SUMPRODUCT(--($AL282:$AP282&gt;AO282))+SUMPRODUCT(--($AL282:AO282=AO282))=3,4,5)))),"")</f>
        <v/>
      </c>
      <c r="AT282" s="87" t="str">
        <f aca="false">IF($AJ282=Constants!$B$7,LARGE(AL282:AP282,1)+LARGE(AL282:AP282,2)+LARGE(AL282:AP282,3),"")</f>
        <v/>
      </c>
      <c r="AU282" s="87" t="str">
        <f aca="false">IF(ISBLANK($C282),"",IF($AJ282&lt;&gt;Constants!$B$7,$AJ282,AT282*W282))</f>
        <v/>
      </c>
      <c r="AV282" s="87" t="str">
        <f aca="false">IF(ISBLANK($C282),"",IF($AJ282=Constants!$B$7,IF(ISNUMBER(AU282),RANK(AU282,$AU$8:$AU$507),Constants!$B$14),$AJ282))</f>
        <v/>
      </c>
      <c r="AW282" s="87" t="str">
        <f aca="false">IF(ISBLANK($C282),"",IF($AJ282=Constants!$B$7,IF(ISNUMBER(AV282),COUNTIFS($AK$8:$AK$507,"&lt;"&amp;$AK282)+COUNTIFS($AK$8:$AK$507,$AK282,$AV$8:$AV$507,"&lt;"&amp;$AV282)+1,Constants!$B$14),$AJ282))</f>
        <v/>
      </c>
      <c r="AX282" s="87" t="str">
        <f aca="false">IF(ISBLANK($C282),"",IF($AJ282=Constants!$B$7,LARGE(AL282:AP282,4)*W282,""))</f>
        <v/>
      </c>
      <c r="AY282" s="87" t="str">
        <f aca="false">IF(ISBLANK($C282),"",IF($AJ282=Constants!$B$7,RANK(AX282,$AX$8:$AX$507),$AJ282))</f>
        <v/>
      </c>
      <c r="AZ282" s="87" t="str">
        <f aca="false">IF(ISBLANK($C282),"",IF($AJ282=Constants!$B$7,IF(ISNUMBER(AV282),COUNTIFS($AK$8:$AK$507,"&lt;"&amp;$AK282)+COUNTIFS($AK$8:$AK$507,$AK282,$AV$8:$AV$507,"&lt;"&amp;$AV282)+COUNTIFS($AK$8:$AK$507,$AK282,$AV$8:$AV$507,$AV282,$AY$8:$AY$507,"&lt;"&amp;$AY282)+1,Constants!$B$14),$AJ282))</f>
        <v/>
      </c>
      <c r="BA282" s="87" t="str">
        <f aca="false">IF(ISBLANK($C282),"",IF($AJ282=Constants!$B$7,IF(ISNUMBER(AW282),AW282-AZ282,Constants!$B$14),$AJ282))</f>
        <v/>
      </c>
      <c r="BB282" s="88"/>
      <c r="BC282" s="89" t="str">
        <f aca="false">IF(ISBLANK($C282),"",IF($AJ282&lt;&gt;Constants!$B$7,$AJ282,SMALL(AQ282:AS282,1)&amp;", "&amp;SMALL(AQ282:AS282,2)&amp;", "&amp;SMALL(AQ282:AS282,3)))</f>
        <v/>
      </c>
      <c r="BD282" s="90" t="str">
        <f aca="false">IF(ISBLANK($C282),"",IF($AJ282&lt;&gt;Constants!$B$7,$AJ282,W282))</f>
        <v/>
      </c>
      <c r="BE282" s="91" t="str">
        <f aca="false">IF(ISBLANK($C282),"",IF($AJ282&lt;&gt;Constants!$B$7,$AJ282,AU282))</f>
        <v/>
      </c>
      <c r="BF282" s="92" t="str">
        <f aca="false">IF(ISBLANK($C282),"",IF($AJ282&lt;&gt;Constants!$B$7,$AJ282,AK282))</f>
        <v/>
      </c>
      <c r="BG282" s="90" t="str">
        <f aca="false">IF(ISBLANK($C282),"",BA282)</f>
        <v/>
      </c>
      <c r="BH282" s="90" t="str">
        <f aca="false">IF(ISBLANK($C282),"",AZ282)</f>
        <v/>
      </c>
      <c r="BI282" s="93" t="str">
        <f aca="false">IF(ISBLANK($C282),"",IF(BH282=Constants!$B$4,COUNTA($C$8:$C$507)+2,IF(BH282=Constants!$B$5,COUNTA($C$8:$C$507)+1,IF(BH282=Constants!$B$6,COUNTA($C$8:$C$507),BH282))))</f>
        <v/>
      </c>
      <c r="BJ282" s="5"/>
      <c r="BK282" s="94" t="n">
        <f aca="false">IF(OR(ISNUMBER(BH282),BH282=Constants!$B$4,BH282=Constants!$B$6,BH282=Constants!$B$5),1,0)</f>
        <v>0</v>
      </c>
      <c r="BL282" s="94" t="n">
        <v>275</v>
      </c>
      <c r="BM282" s="94" t="str">
        <f aca="false">IF(ISBLANK($C282),"",IF(ISNUMBER(BI282),BI282+ROW($B282)/1000,""))</f>
        <v/>
      </c>
      <c r="BN282" s="94" t="str">
        <f aca="false">IF(ISNUMBER(BM282),RANK(BM282,$BM$8:$BM$507,1),"")</f>
        <v/>
      </c>
      <c r="BO282" s="94" t="str">
        <f aca="false">IF(ISBLANK($C282),"",$B282)</f>
        <v/>
      </c>
      <c r="BP282" s="94" t="str">
        <f aca="false">IF(ISBLANK($C282),"",$C282)</f>
        <v/>
      </c>
      <c r="BQ282" s="94" t="str">
        <f aca="false">IF(ISBLANK($C282),"",$D282)</f>
        <v/>
      </c>
      <c r="BR282" s="95" t="str">
        <f aca="false">BF282</f>
        <v/>
      </c>
      <c r="BS282" s="96" t="str">
        <f aca="false">BE282</f>
        <v/>
      </c>
      <c r="BT282" s="94" t="str">
        <f aca="false">IF(ISBLANK($C282),"",BH282)</f>
        <v/>
      </c>
      <c r="BU282" s="97" t="str">
        <f aca="false">IF($BL282&gt;$BK$7,"",VLOOKUP($BL282,$BN$8:$BT$507,7,FALSE()))</f>
        <v/>
      </c>
      <c r="BV282" s="98" t="str">
        <f aca="false">IF($BL282&gt;$BK$7,"",VLOOKUP($BL282,$BN$8:$BT$507,2,FALSE()))</f>
        <v/>
      </c>
      <c r="BW282" s="98" t="str">
        <f aca="false">IF($BL282&gt;$BK$7,"",VLOOKUP($BL282,$BN$8:$BT$507,3,FALSE()))</f>
        <v/>
      </c>
      <c r="BX282" s="98" t="str">
        <f aca="false">IF($BL282&gt;$BK$7,"",VLOOKUP($BL282,$BN$8:$BT$507,4,FALSE()))</f>
        <v/>
      </c>
      <c r="BY282" s="98" t="str">
        <f aca="false">IF($BL282&gt;$BK$7,"",VLOOKUP($BL282,$BN$8:$BT$507,5,FALSE()))</f>
        <v/>
      </c>
      <c r="BZ282" s="99" t="str">
        <f aca="false">IF($BL282&gt;$BK$7,"",VLOOKUP($BL282,$BN$8:$BT$507,6,FALSE()))</f>
        <v/>
      </c>
      <c r="CA282" s="48"/>
    </row>
    <row r="283" customFormat="false" ht="15.75" hidden="false" customHeight="false" outlineLevel="0" collapsed="false">
      <c r="A283" s="5"/>
      <c r="B283" s="114"/>
      <c r="C283" s="115"/>
      <c r="D283" s="100"/>
      <c r="E283" s="120"/>
      <c r="F283" s="125"/>
      <c r="G283" s="82"/>
      <c r="H283" s="126"/>
      <c r="I283" s="127"/>
      <c r="J283" s="82"/>
      <c r="K283" s="126"/>
      <c r="L283" s="82"/>
      <c r="M283" s="126"/>
      <c r="N283" s="82"/>
      <c r="O283" s="126"/>
      <c r="P283" s="82"/>
      <c r="Q283" s="126"/>
      <c r="R283" s="82"/>
      <c r="S283" s="120"/>
      <c r="T283" s="86"/>
      <c r="U283" s="87" t="str">
        <f aca="false">IF(ISBLANK($C283),"",IF(E283=Constants!$B$2, TRUE(), IF(E283=Constants!$B$3, FALSE(), TRUE())))</f>
        <v/>
      </c>
      <c r="V283" s="87" t="str">
        <f aca="false">IF(ISBLANK($C283),"",IF(F283=Constants!$B$2, TRUE(), IF(F283=Constants!$B$3, FALSE(), TRUE())))</f>
        <v/>
      </c>
      <c r="W283" s="87" t="str">
        <f aca="false">IF(ISBLANK($C283),"",IF(G283=Constants!$B$15,Constants!$B$8,IF(G283=Constants!$B$16,Constants!$B$9,Constants!$B$10)))</f>
        <v/>
      </c>
      <c r="X283" s="87" t="str">
        <f aca="false">IF(ISBLANK($C283),"",IF(H283=Constants!$B$2, TRUE(), IF(H283=Constants!$B$3, FALSE(), TRUE())))</f>
        <v/>
      </c>
      <c r="Y283" s="87" t="str">
        <f aca="false">IF(ISBLANK($C283),"",IF(I283=Constants!$B$19,Constants!$B$19,Constants!$B$18))</f>
        <v/>
      </c>
      <c r="Z283" s="87" t="str">
        <f aca="false">IF(ISBLANK($C283),"",IF(ISNUMBER(J283),IF(J283&gt;=0,J283,""),""))</f>
        <v/>
      </c>
      <c r="AA283" s="87" t="str">
        <f aca="false">IF(ISBLANK($C283),"",IF(K283=Constants!$B$19,Constants!$B$19,Constants!$B$18))</f>
        <v/>
      </c>
      <c r="AB283" s="87" t="str">
        <f aca="false">IF(ISBLANK($C283),"",IF(ISNUMBER(L283),IF(L283&gt;=0,L283,""),""))</f>
        <v/>
      </c>
      <c r="AC283" s="87" t="str">
        <f aca="false">IF(ISBLANK($C283),"",IF(M283=Constants!$B$19,Constants!$B$19,Constants!$B$18))</f>
        <v/>
      </c>
      <c r="AD283" s="87" t="str">
        <f aca="false">IF(ISBLANK($C283),"",IF(ISNUMBER(N283),IF(N283&gt;=0,N283,""),""))</f>
        <v/>
      </c>
      <c r="AE283" s="87" t="str">
        <f aca="false">IF(ISBLANK($C283),"",IF(O283=Constants!$B$19,Constants!$B$19,Constants!$B$18))</f>
        <v/>
      </c>
      <c r="AF283" s="87" t="str">
        <f aca="false">IF(ISBLANK($C283),"",IF(ISNUMBER(P283),IF(P283&gt;=0,P283,""),""))</f>
        <v/>
      </c>
      <c r="AG283" s="87" t="str">
        <f aca="false">IF(ISBLANK($C283),"",IF(Q283=Constants!$B$19,Constants!$B$19,Constants!$B$18))</f>
        <v/>
      </c>
      <c r="AH283" s="87" t="str">
        <f aca="false">IF(ISBLANK($C283),"",IF(ISNUMBER(R283),IF(R283&gt;=0,R283,""),""))</f>
        <v/>
      </c>
      <c r="AI283" s="87" t="str">
        <f aca="false">IF(ISBLANK($C283),"",IF(S283=Constants!$B$2, TRUE(), IF(S283=Constants!$B$3, FALSE(), FALSE())))</f>
        <v/>
      </c>
      <c r="AJ283" s="87" t="str">
        <f aca="false">IF(ISBLANK($C283),"",IF(AI283,Constants!$B$4,IF(COUNTA(E283:R283)=0,Constants!$B$5,IF(COUNTA(J283,L283,N283,P283,R283)=0,Constants!$B$6,Constants!$B$7))))</f>
        <v/>
      </c>
      <c r="AK283" s="87" t="str">
        <f aca="false">IF(ISBLANK($C283),"",IF($AJ283&lt;&gt;Constants!$B$7,$AJ283,IF(OR(NOT(X283),AND(NOT(U283),COUNTIFS(Y283:AG283,Constants!$B$18,Z283:AH283,"&gt;=0")&gt;0),AND(NOT(V283),COUNTIFS(Y283:AG283,Constants!$B$19,Z283:AH283,"&gt;=0")&gt;0)),Constants!$B$12,Constants!$B$11)))</f>
        <v/>
      </c>
      <c r="AL283" s="87" t="str">
        <f aca="false">IF($AJ283=Constants!$B$7,IF(Z283="",Constants!$B$13,Z283),"")</f>
        <v/>
      </c>
      <c r="AM283" s="87" t="str">
        <f aca="false">IF($AJ283=Constants!$B$7,IF(AB283="",Constants!$B$13,AB283),"")</f>
        <v/>
      </c>
      <c r="AN283" s="87" t="str">
        <f aca="false">IF($AJ283=Constants!$B$7,IF(AD283="",Constants!$B$13,AD283),"")</f>
        <v/>
      </c>
      <c r="AO283" s="87" t="str">
        <f aca="false">IF($AJ283=Constants!$B$7,IF(AF283="",Constants!$B$13,AF283),"")</f>
        <v/>
      </c>
      <c r="AP283" s="87" t="str">
        <f aca="false">IF($AJ283=Constants!$B$7,IF(AH283="",Constants!$B$13,AH283),"")</f>
        <v/>
      </c>
      <c r="AQ283" s="87" t="str">
        <f aca="false">IF($AJ283=Constants!$B$7,IF(SUMPRODUCT(--($AL283:$AP283&gt;AL283))+SUMPRODUCT(--($AL283:AL283=AL283))=1,1,IF(SUMPRODUCT(--($AL283:$AP283&gt;AM283))+SUMPRODUCT(--($AL283:AM283=AM283))=1,2,IF(SUMPRODUCT(--($AL283:$AP283&gt;AN283))+SUMPRODUCT(--($AL283:AN283=AN283))=1,3,IF(SUMPRODUCT(--($AL283:$AP283&gt;AO283))+SUMPRODUCT(--($AL283:AO283=AO283))=1,4,5)))),"")</f>
        <v/>
      </c>
      <c r="AR283" s="87" t="str">
        <f aca="false">IF($AJ283=Constants!$B$7,IF(SUMPRODUCT(--($AL283:$AP283&gt;AL283))+SUMPRODUCT(--($AL283:AL283=AL283))=2,1,IF(SUMPRODUCT(--($AL283:$AP283&gt;AM283))+SUMPRODUCT(--($AL283:AM283=AM283))=2,2,IF(SUMPRODUCT(--($AL283:$AP283&gt;AN283))+SUMPRODUCT(--($AL283:AN283=AN283))=2,3,IF(SUMPRODUCT(--($AL283:$AP283&gt;AO283))+SUMPRODUCT(--($AL283:AO283=AO283))=2,4,5)))),"")</f>
        <v/>
      </c>
      <c r="AS283" s="87" t="str">
        <f aca="false">IF($AJ283=Constants!$B$7,IF(SUMPRODUCT(--($AL283:$AP283&gt;AL283))+SUMPRODUCT(--($AL283:AL283=AL283))=3,1,IF(SUMPRODUCT(--($AL283:$AP283&gt;AM283))+SUMPRODUCT(--($AL283:AM283=AM283))=3,2,IF(SUMPRODUCT(--($AL283:$AP283&gt;AN283))+SUMPRODUCT(--($AL283:AN283=AN283))=3,3,IF(SUMPRODUCT(--($AL283:$AP283&gt;AO283))+SUMPRODUCT(--($AL283:AO283=AO283))=3,4,5)))),"")</f>
        <v/>
      </c>
      <c r="AT283" s="87" t="str">
        <f aca="false">IF($AJ283=Constants!$B$7,LARGE(AL283:AP283,1)+LARGE(AL283:AP283,2)+LARGE(AL283:AP283,3),"")</f>
        <v/>
      </c>
      <c r="AU283" s="87" t="str">
        <f aca="false">IF(ISBLANK($C283),"",IF($AJ283&lt;&gt;Constants!$B$7,$AJ283,AT283*W283))</f>
        <v/>
      </c>
      <c r="AV283" s="87" t="str">
        <f aca="false">IF(ISBLANK($C283),"",IF($AJ283=Constants!$B$7,IF(ISNUMBER(AU283),RANK(AU283,$AU$8:$AU$507),Constants!$B$14),$AJ283))</f>
        <v/>
      </c>
      <c r="AW283" s="87" t="str">
        <f aca="false">IF(ISBLANK($C283),"",IF($AJ283=Constants!$B$7,IF(ISNUMBER(AV283),COUNTIFS($AK$8:$AK$507,"&lt;"&amp;$AK283)+COUNTIFS($AK$8:$AK$507,$AK283,$AV$8:$AV$507,"&lt;"&amp;$AV283)+1,Constants!$B$14),$AJ283))</f>
        <v/>
      </c>
      <c r="AX283" s="87" t="str">
        <f aca="false">IF(ISBLANK($C283),"",IF($AJ283=Constants!$B$7,LARGE(AL283:AP283,4)*W283,""))</f>
        <v/>
      </c>
      <c r="AY283" s="87" t="str">
        <f aca="false">IF(ISBLANK($C283),"",IF($AJ283=Constants!$B$7,RANK(AX283,$AX$8:$AX$507),$AJ283))</f>
        <v/>
      </c>
      <c r="AZ283" s="87" t="str">
        <f aca="false">IF(ISBLANK($C283),"",IF($AJ283=Constants!$B$7,IF(ISNUMBER(AV283),COUNTIFS($AK$8:$AK$507,"&lt;"&amp;$AK283)+COUNTIFS($AK$8:$AK$507,$AK283,$AV$8:$AV$507,"&lt;"&amp;$AV283)+COUNTIFS($AK$8:$AK$507,$AK283,$AV$8:$AV$507,$AV283,$AY$8:$AY$507,"&lt;"&amp;$AY283)+1,Constants!$B$14),$AJ283))</f>
        <v/>
      </c>
      <c r="BA283" s="87" t="str">
        <f aca="false">IF(ISBLANK($C283),"",IF($AJ283=Constants!$B$7,IF(ISNUMBER(AW283),AW283-AZ283,Constants!$B$14),$AJ283))</f>
        <v/>
      </c>
      <c r="BB283" s="88"/>
      <c r="BC283" s="89" t="str">
        <f aca="false">IF(ISBLANK($C283),"",IF($AJ283&lt;&gt;Constants!$B$7,$AJ283,SMALL(AQ283:AS283,1)&amp;", "&amp;SMALL(AQ283:AS283,2)&amp;", "&amp;SMALL(AQ283:AS283,3)))</f>
        <v/>
      </c>
      <c r="BD283" s="90" t="str">
        <f aca="false">IF(ISBLANK($C283),"",IF($AJ283&lt;&gt;Constants!$B$7,$AJ283,W283))</f>
        <v/>
      </c>
      <c r="BE283" s="91" t="str">
        <f aca="false">IF(ISBLANK($C283),"",IF($AJ283&lt;&gt;Constants!$B$7,$AJ283,AU283))</f>
        <v/>
      </c>
      <c r="BF283" s="92" t="str">
        <f aca="false">IF(ISBLANK($C283),"",IF($AJ283&lt;&gt;Constants!$B$7,$AJ283,AK283))</f>
        <v/>
      </c>
      <c r="BG283" s="90" t="str">
        <f aca="false">IF(ISBLANK($C283),"",BA283)</f>
        <v/>
      </c>
      <c r="BH283" s="90" t="str">
        <f aca="false">IF(ISBLANK($C283),"",AZ283)</f>
        <v/>
      </c>
      <c r="BI283" s="93" t="str">
        <f aca="false">IF(ISBLANK($C283),"",IF(BH283=Constants!$B$4,COUNTA($C$8:$C$507)+2,IF(BH283=Constants!$B$5,COUNTA($C$8:$C$507)+1,IF(BH283=Constants!$B$6,COUNTA($C$8:$C$507),BH283))))</f>
        <v/>
      </c>
      <c r="BJ283" s="5"/>
      <c r="BK283" s="94" t="n">
        <f aca="false">IF(OR(ISNUMBER(BH283),BH283=Constants!$B$4,BH283=Constants!$B$6,BH283=Constants!$B$5),1,0)</f>
        <v>0</v>
      </c>
      <c r="BL283" s="94" t="n">
        <v>276</v>
      </c>
      <c r="BM283" s="94" t="str">
        <f aca="false">IF(ISBLANK($C283),"",IF(ISNUMBER(BI283),BI283+ROW($B283)/1000,""))</f>
        <v/>
      </c>
      <c r="BN283" s="94" t="str">
        <f aca="false">IF(ISNUMBER(BM283),RANK(BM283,$BM$8:$BM$507,1),"")</f>
        <v/>
      </c>
      <c r="BO283" s="94" t="str">
        <f aca="false">IF(ISBLANK($C283),"",$B283)</f>
        <v/>
      </c>
      <c r="BP283" s="94" t="str">
        <f aca="false">IF(ISBLANK($C283),"",$C283)</f>
        <v/>
      </c>
      <c r="BQ283" s="94" t="str">
        <f aca="false">IF(ISBLANK($C283),"",$D283)</f>
        <v/>
      </c>
      <c r="BR283" s="95" t="str">
        <f aca="false">BF283</f>
        <v/>
      </c>
      <c r="BS283" s="96" t="str">
        <f aca="false">BE283</f>
        <v/>
      </c>
      <c r="BT283" s="94" t="str">
        <f aca="false">IF(ISBLANK($C283),"",BH283)</f>
        <v/>
      </c>
      <c r="BU283" s="97" t="str">
        <f aca="false">IF($BL283&gt;$BK$7,"",VLOOKUP($BL283,$BN$8:$BT$507,7,FALSE()))</f>
        <v/>
      </c>
      <c r="BV283" s="98" t="str">
        <f aca="false">IF($BL283&gt;$BK$7,"",VLOOKUP($BL283,$BN$8:$BT$507,2,FALSE()))</f>
        <v/>
      </c>
      <c r="BW283" s="98" t="str">
        <f aca="false">IF($BL283&gt;$BK$7,"",VLOOKUP($BL283,$BN$8:$BT$507,3,FALSE()))</f>
        <v/>
      </c>
      <c r="BX283" s="98" t="str">
        <f aca="false">IF($BL283&gt;$BK$7,"",VLOOKUP($BL283,$BN$8:$BT$507,4,FALSE()))</f>
        <v/>
      </c>
      <c r="BY283" s="98" t="str">
        <f aca="false">IF($BL283&gt;$BK$7,"",VLOOKUP($BL283,$BN$8:$BT$507,5,FALSE()))</f>
        <v/>
      </c>
      <c r="BZ283" s="99" t="str">
        <f aca="false">IF($BL283&gt;$BK$7,"",VLOOKUP($BL283,$BN$8:$BT$507,6,FALSE()))</f>
        <v/>
      </c>
      <c r="CA283" s="48"/>
    </row>
    <row r="284" customFormat="false" ht="15.75" hidden="false" customHeight="false" outlineLevel="0" collapsed="false">
      <c r="A284" s="5"/>
      <c r="B284" s="121"/>
      <c r="C284" s="50"/>
      <c r="D284" s="51"/>
      <c r="E284" s="74"/>
      <c r="F284" s="122"/>
      <c r="G284" s="54"/>
      <c r="H284" s="123"/>
      <c r="I284" s="124"/>
      <c r="J284" s="54"/>
      <c r="K284" s="123"/>
      <c r="L284" s="54"/>
      <c r="M284" s="123"/>
      <c r="N284" s="54"/>
      <c r="O284" s="123"/>
      <c r="P284" s="54"/>
      <c r="Q284" s="123"/>
      <c r="R284" s="54"/>
      <c r="S284" s="74"/>
      <c r="T284" s="58"/>
      <c r="U284" s="59" t="str">
        <f aca="false">IF(ISBLANK($C284),"",IF(E284=Constants!$B$2, TRUE(), IF(E284=Constants!$B$3, FALSE(), TRUE())))</f>
        <v/>
      </c>
      <c r="V284" s="59" t="str">
        <f aca="false">IF(ISBLANK($C284),"",IF(F284=Constants!$B$2, TRUE(), IF(F284=Constants!$B$3, FALSE(), TRUE())))</f>
        <v/>
      </c>
      <c r="W284" s="59" t="str">
        <f aca="false">IF(ISBLANK($C284),"",IF(G284=Constants!$B$15,Constants!$B$8,IF(G284=Constants!$B$16,Constants!$B$9,Constants!$B$10)))</f>
        <v/>
      </c>
      <c r="X284" s="59" t="str">
        <f aca="false">IF(ISBLANK($C284),"",IF(H284=Constants!$B$2, TRUE(), IF(H284=Constants!$B$3, FALSE(), TRUE())))</f>
        <v/>
      </c>
      <c r="Y284" s="59" t="str">
        <f aca="false">IF(ISBLANK($C284),"",IF(I284=Constants!$B$19,Constants!$B$19,Constants!$B$18))</f>
        <v/>
      </c>
      <c r="Z284" s="59" t="str">
        <f aca="false">IF(ISBLANK($C284),"",IF(ISNUMBER(J284),IF(J284&gt;=0,J284,""),""))</f>
        <v/>
      </c>
      <c r="AA284" s="59" t="str">
        <f aca="false">IF(ISBLANK($C284),"",IF(K284=Constants!$B$19,Constants!$B$19,Constants!$B$18))</f>
        <v/>
      </c>
      <c r="AB284" s="59" t="str">
        <f aca="false">IF(ISBLANK($C284),"",IF(ISNUMBER(L284),IF(L284&gt;=0,L284,""),""))</f>
        <v/>
      </c>
      <c r="AC284" s="59" t="str">
        <f aca="false">IF(ISBLANK($C284),"",IF(M284=Constants!$B$19,Constants!$B$19,Constants!$B$18))</f>
        <v/>
      </c>
      <c r="AD284" s="59" t="str">
        <f aca="false">IF(ISBLANK($C284),"",IF(ISNUMBER(N284),IF(N284&gt;=0,N284,""),""))</f>
        <v/>
      </c>
      <c r="AE284" s="59" t="str">
        <f aca="false">IF(ISBLANK($C284),"",IF(O284=Constants!$B$19,Constants!$B$19,Constants!$B$18))</f>
        <v/>
      </c>
      <c r="AF284" s="59" t="str">
        <f aca="false">IF(ISBLANK($C284),"",IF(ISNUMBER(P284),IF(P284&gt;=0,P284,""),""))</f>
        <v/>
      </c>
      <c r="AG284" s="59" t="str">
        <f aca="false">IF(ISBLANK($C284),"",IF(Q284=Constants!$B$19,Constants!$B$19,Constants!$B$18))</f>
        <v/>
      </c>
      <c r="AH284" s="59" t="str">
        <f aca="false">IF(ISBLANK($C284),"",IF(ISNUMBER(R284),IF(R284&gt;=0,R284,""),""))</f>
        <v/>
      </c>
      <c r="AI284" s="59" t="str">
        <f aca="false">IF(ISBLANK($C284),"",IF(S284=Constants!$B$2, TRUE(), IF(S284=Constants!$B$3, FALSE(), FALSE())))</f>
        <v/>
      </c>
      <c r="AJ284" s="59" t="str">
        <f aca="false">IF(ISBLANK($C284),"",IF(AI284,Constants!$B$4,IF(COUNTA(E284:R284)=0,Constants!$B$5,IF(COUNTA(J284,L284,N284,P284,R284)=0,Constants!$B$6,Constants!$B$7))))</f>
        <v/>
      </c>
      <c r="AK284" s="59" t="str">
        <f aca="false">IF(ISBLANK($C284),"",IF($AJ284&lt;&gt;Constants!$B$7,$AJ284,IF(OR(NOT(X284),AND(NOT(U284),COUNTIFS(Y284:AG284,Constants!$B$18,Z284:AH284,"&gt;=0")&gt;0),AND(NOT(V284),COUNTIFS(Y284:AG284,Constants!$B$19,Z284:AH284,"&gt;=0")&gt;0)),Constants!$B$12,Constants!$B$11)))</f>
        <v/>
      </c>
      <c r="AL284" s="59" t="str">
        <f aca="false">IF($AJ284=Constants!$B$7,IF(Z284="",Constants!$B$13,Z284),"")</f>
        <v/>
      </c>
      <c r="AM284" s="59" t="str">
        <f aca="false">IF($AJ284=Constants!$B$7,IF(AB284="",Constants!$B$13,AB284),"")</f>
        <v/>
      </c>
      <c r="AN284" s="59" t="str">
        <f aca="false">IF($AJ284=Constants!$B$7,IF(AD284="",Constants!$B$13,AD284),"")</f>
        <v/>
      </c>
      <c r="AO284" s="59" t="str">
        <f aca="false">IF($AJ284=Constants!$B$7,IF(AF284="",Constants!$B$13,AF284),"")</f>
        <v/>
      </c>
      <c r="AP284" s="59" t="str">
        <f aca="false">IF($AJ284=Constants!$B$7,IF(AH284="",Constants!$B$13,AH284),"")</f>
        <v/>
      </c>
      <c r="AQ284" s="59" t="str">
        <f aca="false">IF($AJ284=Constants!$B$7,IF(SUMPRODUCT(--($AL284:$AP284&gt;AL284))+SUMPRODUCT(--($AL284:AL284=AL284))=1,1,IF(SUMPRODUCT(--($AL284:$AP284&gt;AM284))+SUMPRODUCT(--($AL284:AM284=AM284))=1,2,IF(SUMPRODUCT(--($AL284:$AP284&gt;AN284))+SUMPRODUCT(--($AL284:AN284=AN284))=1,3,IF(SUMPRODUCT(--($AL284:$AP284&gt;AO284))+SUMPRODUCT(--($AL284:AO284=AO284))=1,4,5)))),"")</f>
        <v/>
      </c>
      <c r="AR284" s="59" t="str">
        <f aca="false">IF($AJ284=Constants!$B$7,IF(SUMPRODUCT(--($AL284:$AP284&gt;AL284))+SUMPRODUCT(--($AL284:AL284=AL284))=2,1,IF(SUMPRODUCT(--($AL284:$AP284&gt;AM284))+SUMPRODUCT(--($AL284:AM284=AM284))=2,2,IF(SUMPRODUCT(--($AL284:$AP284&gt;AN284))+SUMPRODUCT(--($AL284:AN284=AN284))=2,3,IF(SUMPRODUCT(--($AL284:$AP284&gt;AO284))+SUMPRODUCT(--($AL284:AO284=AO284))=2,4,5)))),"")</f>
        <v/>
      </c>
      <c r="AS284" s="59" t="str">
        <f aca="false">IF($AJ284=Constants!$B$7,IF(SUMPRODUCT(--($AL284:$AP284&gt;AL284))+SUMPRODUCT(--($AL284:AL284=AL284))=3,1,IF(SUMPRODUCT(--($AL284:$AP284&gt;AM284))+SUMPRODUCT(--($AL284:AM284=AM284))=3,2,IF(SUMPRODUCT(--($AL284:$AP284&gt;AN284))+SUMPRODUCT(--($AL284:AN284=AN284))=3,3,IF(SUMPRODUCT(--($AL284:$AP284&gt;AO284))+SUMPRODUCT(--($AL284:AO284=AO284))=3,4,5)))),"")</f>
        <v/>
      </c>
      <c r="AT284" s="59" t="str">
        <f aca="false">IF($AJ284=Constants!$B$7,LARGE(AL284:AP284,1)+LARGE(AL284:AP284,2)+LARGE(AL284:AP284,3),"")</f>
        <v/>
      </c>
      <c r="AU284" s="59" t="str">
        <f aca="false">IF(ISBLANK($C284),"",IF($AJ284&lt;&gt;Constants!$B$7,$AJ284,AT284*W284))</f>
        <v/>
      </c>
      <c r="AV284" s="59" t="str">
        <f aca="false">IF(ISBLANK($C284),"",IF($AJ284=Constants!$B$7,IF(ISNUMBER(AU284),RANK(AU284,$AU$8:$AU$507),Constants!$B$14),$AJ284))</f>
        <v/>
      </c>
      <c r="AW284" s="59" t="str">
        <f aca="false">IF(ISBLANK($C284),"",IF($AJ284=Constants!$B$7,IF(ISNUMBER(AV284),COUNTIFS($AK$8:$AK$507,"&lt;"&amp;$AK284)+COUNTIFS($AK$8:$AK$507,$AK284,$AV$8:$AV$507,"&lt;"&amp;$AV284)+1,Constants!$B$14),$AJ284))</f>
        <v/>
      </c>
      <c r="AX284" s="59" t="str">
        <f aca="false">IF(ISBLANK($C284),"",IF($AJ284=Constants!$B$7,LARGE(AL284:AP284,4)*W284,""))</f>
        <v/>
      </c>
      <c r="AY284" s="59" t="str">
        <f aca="false">IF(ISBLANK($C284),"",IF($AJ284=Constants!$B$7,RANK(AX284,$AX$8:$AX$507),$AJ284))</f>
        <v/>
      </c>
      <c r="AZ284" s="59" t="str">
        <f aca="false">IF(ISBLANK($C284),"",IF($AJ284=Constants!$B$7,IF(ISNUMBER(AV284),COUNTIFS($AK$8:$AK$507,"&lt;"&amp;$AK284)+COUNTIFS($AK$8:$AK$507,$AK284,$AV$8:$AV$507,"&lt;"&amp;$AV284)+COUNTIFS($AK$8:$AK$507,$AK284,$AV$8:$AV$507,$AV284,$AY$8:$AY$507,"&lt;"&amp;$AY284)+1,Constants!$B$14),$AJ284))</f>
        <v/>
      </c>
      <c r="BA284" s="59" t="str">
        <f aca="false">IF(ISBLANK($C284),"",IF($AJ284=Constants!$B$7,IF(ISNUMBER(AW284),AW284-AZ284,Constants!$B$14),$AJ284))</f>
        <v/>
      </c>
      <c r="BB284" s="61"/>
      <c r="BC284" s="62" t="str">
        <f aca="false">IF(ISBLANK($C284),"",IF($AJ284&lt;&gt;Constants!$B$7,$AJ284,SMALL(AQ284:AS284,1)&amp;", "&amp;SMALL(AQ284:AS284,2)&amp;", "&amp;SMALL(AQ284:AS284,3)))</f>
        <v/>
      </c>
      <c r="BD284" s="63" t="str">
        <f aca="false">IF(ISBLANK($C284),"",IF($AJ284&lt;&gt;Constants!$B$7,$AJ284,W284))</f>
        <v/>
      </c>
      <c r="BE284" s="64" t="str">
        <f aca="false">IF(ISBLANK($C284),"",IF($AJ284&lt;&gt;Constants!$B$7,$AJ284,AU284))</f>
        <v/>
      </c>
      <c r="BF284" s="65" t="str">
        <f aca="false">IF(ISBLANK($C284),"",IF($AJ284&lt;&gt;Constants!$B$7,$AJ284,AK284))</f>
        <v/>
      </c>
      <c r="BG284" s="63" t="str">
        <f aca="false">IF(ISBLANK($C284),"",BA284)</f>
        <v/>
      </c>
      <c r="BH284" s="63" t="str">
        <f aca="false">IF(ISBLANK($C284),"",AZ284)</f>
        <v/>
      </c>
      <c r="BI284" s="66" t="str">
        <f aca="false">IF(ISBLANK($C284),"",IF(BH284=Constants!$B$4,COUNTA($C$8:$C$507)+2,IF(BH284=Constants!$B$5,COUNTA($C$8:$C$507)+1,IF(BH284=Constants!$B$6,COUNTA($C$8:$C$507),BH284))))</f>
        <v/>
      </c>
      <c r="BJ284" s="5"/>
      <c r="BK284" s="67" t="n">
        <f aca="false">IF(OR(ISNUMBER(BH284),BH284=Constants!$B$4,BH284=Constants!$B$6,BH284=Constants!$B$5),1,0)</f>
        <v>0</v>
      </c>
      <c r="BL284" s="67" t="n">
        <v>277</v>
      </c>
      <c r="BM284" s="67" t="str">
        <f aca="false">IF(ISBLANK($C284),"",IF(ISNUMBER(BI284),BI284+ROW($B284)/1000,""))</f>
        <v/>
      </c>
      <c r="BN284" s="67" t="str">
        <f aca="false">IF(ISNUMBER(BM284),RANK(BM284,$BM$8:$BM$507,1),"")</f>
        <v/>
      </c>
      <c r="BO284" s="67" t="str">
        <f aca="false">IF(ISBLANK($C284),"",$B284)</f>
        <v/>
      </c>
      <c r="BP284" s="67" t="str">
        <f aca="false">IF(ISBLANK($C284),"",$C284)</f>
        <v/>
      </c>
      <c r="BQ284" s="67" t="str">
        <f aca="false">IF(ISBLANK($C284),"",$D284)</f>
        <v/>
      </c>
      <c r="BR284" s="68" t="str">
        <f aca="false">BF284</f>
        <v/>
      </c>
      <c r="BS284" s="69" t="str">
        <f aca="false">BE284</f>
        <v/>
      </c>
      <c r="BT284" s="67" t="str">
        <f aca="false">IF(ISBLANK($C284),"",BH284)</f>
        <v/>
      </c>
      <c r="BU284" s="70" t="str">
        <f aca="false">IF($BL284&gt;$BK$7,"",VLOOKUP($BL284,$BN$8:$BT$507,7,FALSE()))</f>
        <v/>
      </c>
      <c r="BV284" s="71" t="str">
        <f aca="false">IF($BL284&gt;$BK$7,"",VLOOKUP($BL284,$BN$8:$BT$507,2,FALSE()))</f>
        <v/>
      </c>
      <c r="BW284" s="71" t="str">
        <f aca="false">IF($BL284&gt;$BK$7,"",VLOOKUP($BL284,$BN$8:$BT$507,3,FALSE()))</f>
        <v/>
      </c>
      <c r="BX284" s="71" t="str">
        <f aca="false">IF($BL284&gt;$BK$7,"",VLOOKUP($BL284,$BN$8:$BT$507,4,FALSE()))</f>
        <v/>
      </c>
      <c r="BY284" s="71" t="str">
        <f aca="false">IF($BL284&gt;$BK$7,"",VLOOKUP($BL284,$BN$8:$BT$507,5,FALSE()))</f>
        <v/>
      </c>
      <c r="BZ284" s="72" t="str">
        <f aca="false">IF($BL284&gt;$BK$7,"",VLOOKUP($BL284,$BN$8:$BT$507,6,FALSE()))</f>
        <v/>
      </c>
      <c r="CA284" s="48"/>
    </row>
    <row r="285" customFormat="false" ht="15.75" hidden="false" customHeight="false" outlineLevel="0" collapsed="false">
      <c r="A285" s="5"/>
      <c r="B285" s="121"/>
      <c r="C285" s="50"/>
      <c r="D285" s="51"/>
      <c r="E285" s="74"/>
      <c r="F285" s="122"/>
      <c r="G285" s="54"/>
      <c r="H285" s="123"/>
      <c r="I285" s="124"/>
      <c r="J285" s="54"/>
      <c r="K285" s="123"/>
      <c r="L285" s="54"/>
      <c r="M285" s="123"/>
      <c r="N285" s="54"/>
      <c r="O285" s="123"/>
      <c r="P285" s="54"/>
      <c r="Q285" s="123"/>
      <c r="R285" s="54"/>
      <c r="S285" s="74"/>
      <c r="T285" s="58"/>
      <c r="U285" s="59" t="str">
        <f aca="false">IF(ISBLANK($C285),"",IF(E285=Constants!$B$2, TRUE(), IF(E285=Constants!$B$3, FALSE(), TRUE())))</f>
        <v/>
      </c>
      <c r="V285" s="59" t="str">
        <f aca="false">IF(ISBLANK($C285),"",IF(F285=Constants!$B$2, TRUE(), IF(F285=Constants!$B$3, FALSE(), TRUE())))</f>
        <v/>
      </c>
      <c r="W285" s="59" t="str">
        <f aca="false">IF(ISBLANK($C285),"",IF(G285=Constants!$B$15,Constants!$B$8,IF(G285=Constants!$B$16,Constants!$B$9,Constants!$B$10)))</f>
        <v/>
      </c>
      <c r="X285" s="59" t="str">
        <f aca="false">IF(ISBLANK($C285),"",IF(H285=Constants!$B$2, TRUE(), IF(H285=Constants!$B$3, FALSE(), TRUE())))</f>
        <v/>
      </c>
      <c r="Y285" s="59" t="str">
        <f aca="false">IF(ISBLANK($C285),"",IF(I285=Constants!$B$19,Constants!$B$19,Constants!$B$18))</f>
        <v/>
      </c>
      <c r="Z285" s="59" t="str">
        <f aca="false">IF(ISBLANK($C285),"",IF(ISNUMBER(J285),IF(J285&gt;=0,J285,""),""))</f>
        <v/>
      </c>
      <c r="AA285" s="59" t="str">
        <f aca="false">IF(ISBLANK($C285),"",IF(K285=Constants!$B$19,Constants!$B$19,Constants!$B$18))</f>
        <v/>
      </c>
      <c r="AB285" s="59" t="str">
        <f aca="false">IF(ISBLANK($C285),"",IF(ISNUMBER(L285),IF(L285&gt;=0,L285,""),""))</f>
        <v/>
      </c>
      <c r="AC285" s="59" t="str">
        <f aca="false">IF(ISBLANK($C285),"",IF(M285=Constants!$B$19,Constants!$B$19,Constants!$B$18))</f>
        <v/>
      </c>
      <c r="AD285" s="59" t="str">
        <f aca="false">IF(ISBLANK($C285),"",IF(ISNUMBER(N285),IF(N285&gt;=0,N285,""),""))</f>
        <v/>
      </c>
      <c r="AE285" s="59" t="str">
        <f aca="false">IF(ISBLANK($C285),"",IF(O285=Constants!$B$19,Constants!$B$19,Constants!$B$18))</f>
        <v/>
      </c>
      <c r="AF285" s="59" t="str">
        <f aca="false">IF(ISBLANK($C285),"",IF(ISNUMBER(P285),IF(P285&gt;=0,P285,""),""))</f>
        <v/>
      </c>
      <c r="AG285" s="59" t="str">
        <f aca="false">IF(ISBLANK($C285),"",IF(Q285=Constants!$B$19,Constants!$B$19,Constants!$B$18))</f>
        <v/>
      </c>
      <c r="AH285" s="59" t="str">
        <f aca="false">IF(ISBLANK($C285),"",IF(ISNUMBER(R285),IF(R285&gt;=0,R285,""),""))</f>
        <v/>
      </c>
      <c r="AI285" s="59" t="str">
        <f aca="false">IF(ISBLANK($C285),"",IF(S285=Constants!$B$2, TRUE(), IF(S285=Constants!$B$3, FALSE(), FALSE())))</f>
        <v/>
      </c>
      <c r="AJ285" s="59" t="str">
        <f aca="false">IF(ISBLANK($C285),"",IF(AI285,Constants!$B$4,IF(COUNTA(E285:R285)=0,Constants!$B$5,IF(COUNTA(J285,L285,N285,P285,R285)=0,Constants!$B$6,Constants!$B$7))))</f>
        <v/>
      </c>
      <c r="AK285" s="59" t="str">
        <f aca="false">IF(ISBLANK($C285),"",IF($AJ285&lt;&gt;Constants!$B$7,$AJ285,IF(OR(NOT(X285),AND(NOT(U285),COUNTIFS(Y285:AG285,Constants!$B$18,Z285:AH285,"&gt;=0")&gt;0),AND(NOT(V285),COUNTIFS(Y285:AG285,Constants!$B$19,Z285:AH285,"&gt;=0")&gt;0)),Constants!$B$12,Constants!$B$11)))</f>
        <v/>
      </c>
      <c r="AL285" s="59" t="str">
        <f aca="false">IF($AJ285=Constants!$B$7,IF(Z285="",Constants!$B$13,Z285),"")</f>
        <v/>
      </c>
      <c r="AM285" s="59" t="str">
        <f aca="false">IF($AJ285=Constants!$B$7,IF(AB285="",Constants!$B$13,AB285),"")</f>
        <v/>
      </c>
      <c r="AN285" s="59" t="str">
        <f aca="false">IF($AJ285=Constants!$B$7,IF(AD285="",Constants!$B$13,AD285),"")</f>
        <v/>
      </c>
      <c r="AO285" s="59" t="str">
        <f aca="false">IF($AJ285=Constants!$B$7,IF(AF285="",Constants!$B$13,AF285),"")</f>
        <v/>
      </c>
      <c r="AP285" s="59" t="str">
        <f aca="false">IF($AJ285=Constants!$B$7,IF(AH285="",Constants!$B$13,AH285),"")</f>
        <v/>
      </c>
      <c r="AQ285" s="59" t="str">
        <f aca="false">IF($AJ285=Constants!$B$7,IF(SUMPRODUCT(--($AL285:$AP285&gt;AL285))+SUMPRODUCT(--($AL285:AL285=AL285))=1,1,IF(SUMPRODUCT(--($AL285:$AP285&gt;AM285))+SUMPRODUCT(--($AL285:AM285=AM285))=1,2,IF(SUMPRODUCT(--($AL285:$AP285&gt;AN285))+SUMPRODUCT(--($AL285:AN285=AN285))=1,3,IF(SUMPRODUCT(--($AL285:$AP285&gt;AO285))+SUMPRODUCT(--($AL285:AO285=AO285))=1,4,5)))),"")</f>
        <v/>
      </c>
      <c r="AR285" s="59" t="str">
        <f aca="false">IF($AJ285=Constants!$B$7,IF(SUMPRODUCT(--($AL285:$AP285&gt;AL285))+SUMPRODUCT(--($AL285:AL285=AL285))=2,1,IF(SUMPRODUCT(--($AL285:$AP285&gt;AM285))+SUMPRODUCT(--($AL285:AM285=AM285))=2,2,IF(SUMPRODUCT(--($AL285:$AP285&gt;AN285))+SUMPRODUCT(--($AL285:AN285=AN285))=2,3,IF(SUMPRODUCT(--($AL285:$AP285&gt;AO285))+SUMPRODUCT(--($AL285:AO285=AO285))=2,4,5)))),"")</f>
        <v/>
      </c>
      <c r="AS285" s="59" t="str">
        <f aca="false">IF($AJ285=Constants!$B$7,IF(SUMPRODUCT(--($AL285:$AP285&gt;AL285))+SUMPRODUCT(--($AL285:AL285=AL285))=3,1,IF(SUMPRODUCT(--($AL285:$AP285&gt;AM285))+SUMPRODUCT(--($AL285:AM285=AM285))=3,2,IF(SUMPRODUCT(--($AL285:$AP285&gt;AN285))+SUMPRODUCT(--($AL285:AN285=AN285))=3,3,IF(SUMPRODUCT(--($AL285:$AP285&gt;AO285))+SUMPRODUCT(--($AL285:AO285=AO285))=3,4,5)))),"")</f>
        <v/>
      </c>
      <c r="AT285" s="59" t="str">
        <f aca="false">IF($AJ285=Constants!$B$7,LARGE(AL285:AP285,1)+LARGE(AL285:AP285,2)+LARGE(AL285:AP285,3),"")</f>
        <v/>
      </c>
      <c r="AU285" s="59" t="str">
        <f aca="false">IF(ISBLANK($C285),"",IF($AJ285&lt;&gt;Constants!$B$7,$AJ285,AT285*W285))</f>
        <v/>
      </c>
      <c r="AV285" s="59" t="str">
        <f aca="false">IF(ISBLANK($C285),"",IF($AJ285=Constants!$B$7,IF(ISNUMBER(AU285),RANK(AU285,$AU$8:$AU$507),Constants!$B$14),$AJ285))</f>
        <v/>
      </c>
      <c r="AW285" s="59" t="str">
        <f aca="false">IF(ISBLANK($C285),"",IF($AJ285=Constants!$B$7,IF(ISNUMBER(AV285),COUNTIFS($AK$8:$AK$507,"&lt;"&amp;$AK285)+COUNTIFS($AK$8:$AK$507,$AK285,$AV$8:$AV$507,"&lt;"&amp;$AV285)+1,Constants!$B$14),$AJ285))</f>
        <v/>
      </c>
      <c r="AX285" s="59" t="str">
        <f aca="false">IF(ISBLANK($C285),"",IF($AJ285=Constants!$B$7,LARGE(AL285:AP285,4)*W285,""))</f>
        <v/>
      </c>
      <c r="AY285" s="59" t="str">
        <f aca="false">IF(ISBLANK($C285),"",IF($AJ285=Constants!$B$7,RANK(AX285,$AX$8:$AX$507),$AJ285))</f>
        <v/>
      </c>
      <c r="AZ285" s="59" t="str">
        <f aca="false">IF(ISBLANK($C285),"",IF($AJ285=Constants!$B$7,IF(ISNUMBER(AV285),COUNTIFS($AK$8:$AK$507,"&lt;"&amp;$AK285)+COUNTIFS($AK$8:$AK$507,$AK285,$AV$8:$AV$507,"&lt;"&amp;$AV285)+COUNTIFS($AK$8:$AK$507,$AK285,$AV$8:$AV$507,$AV285,$AY$8:$AY$507,"&lt;"&amp;$AY285)+1,Constants!$B$14),$AJ285))</f>
        <v/>
      </c>
      <c r="BA285" s="59" t="str">
        <f aca="false">IF(ISBLANK($C285),"",IF($AJ285=Constants!$B$7,IF(ISNUMBER(AW285),AW285-AZ285,Constants!$B$14),$AJ285))</f>
        <v/>
      </c>
      <c r="BB285" s="61"/>
      <c r="BC285" s="62" t="str">
        <f aca="false">IF(ISBLANK($C285),"",IF($AJ285&lt;&gt;Constants!$B$7,$AJ285,SMALL(AQ285:AS285,1)&amp;", "&amp;SMALL(AQ285:AS285,2)&amp;", "&amp;SMALL(AQ285:AS285,3)))</f>
        <v/>
      </c>
      <c r="BD285" s="63" t="str">
        <f aca="false">IF(ISBLANK($C285),"",IF($AJ285&lt;&gt;Constants!$B$7,$AJ285,W285))</f>
        <v/>
      </c>
      <c r="BE285" s="64" t="str">
        <f aca="false">IF(ISBLANK($C285),"",IF($AJ285&lt;&gt;Constants!$B$7,$AJ285,AU285))</f>
        <v/>
      </c>
      <c r="BF285" s="65" t="str">
        <f aca="false">IF(ISBLANK($C285),"",IF($AJ285&lt;&gt;Constants!$B$7,$AJ285,AK285))</f>
        <v/>
      </c>
      <c r="BG285" s="63" t="str">
        <f aca="false">IF(ISBLANK($C285),"",BA285)</f>
        <v/>
      </c>
      <c r="BH285" s="63" t="str">
        <f aca="false">IF(ISBLANK($C285),"",AZ285)</f>
        <v/>
      </c>
      <c r="BI285" s="66" t="str">
        <f aca="false">IF(ISBLANK($C285),"",IF(BH285=Constants!$B$4,COUNTA($C$8:$C$507)+2,IF(BH285=Constants!$B$5,COUNTA($C$8:$C$507)+1,IF(BH285=Constants!$B$6,COUNTA($C$8:$C$507),BH285))))</f>
        <v/>
      </c>
      <c r="BJ285" s="5"/>
      <c r="BK285" s="67" t="n">
        <f aca="false">IF(OR(ISNUMBER(BH285),BH285=Constants!$B$4,BH285=Constants!$B$6,BH285=Constants!$B$5),1,0)</f>
        <v>0</v>
      </c>
      <c r="BL285" s="67" t="n">
        <v>278</v>
      </c>
      <c r="BM285" s="67" t="str">
        <f aca="false">IF(ISBLANK($C285),"",IF(ISNUMBER(BI285),BI285+ROW($B285)/1000,""))</f>
        <v/>
      </c>
      <c r="BN285" s="67" t="str">
        <f aca="false">IF(ISNUMBER(BM285),RANK(BM285,$BM$8:$BM$507,1),"")</f>
        <v/>
      </c>
      <c r="BO285" s="67" t="str">
        <f aca="false">IF(ISBLANK($C285),"",$B285)</f>
        <v/>
      </c>
      <c r="BP285" s="67" t="str">
        <f aca="false">IF(ISBLANK($C285),"",$C285)</f>
        <v/>
      </c>
      <c r="BQ285" s="67" t="str">
        <f aca="false">IF(ISBLANK($C285),"",$D285)</f>
        <v/>
      </c>
      <c r="BR285" s="68" t="str">
        <f aca="false">BF285</f>
        <v/>
      </c>
      <c r="BS285" s="69" t="str">
        <f aca="false">BE285</f>
        <v/>
      </c>
      <c r="BT285" s="67" t="str">
        <f aca="false">IF(ISBLANK($C285),"",BH285)</f>
        <v/>
      </c>
      <c r="BU285" s="70" t="str">
        <f aca="false">IF($BL285&gt;$BK$7,"",VLOOKUP($BL285,$BN$8:$BT$507,7,FALSE()))</f>
        <v/>
      </c>
      <c r="BV285" s="71" t="str">
        <f aca="false">IF($BL285&gt;$BK$7,"",VLOOKUP($BL285,$BN$8:$BT$507,2,FALSE()))</f>
        <v/>
      </c>
      <c r="BW285" s="71" t="str">
        <f aca="false">IF($BL285&gt;$BK$7,"",VLOOKUP($BL285,$BN$8:$BT$507,3,FALSE()))</f>
        <v/>
      </c>
      <c r="BX285" s="71" t="str">
        <f aca="false">IF($BL285&gt;$BK$7,"",VLOOKUP($BL285,$BN$8:$BT$507,4,FALSE()))</f>
        <v/>
      </c>
      <c r="BY285" s="71" t="str">
        <f aca="false">IF($BL285&gt;$BK$7,"",VLOOKUP($BL285,$BN$8:$BT$507,5,FALSE()))</f>
        <v/>
      </c>
      <c r="BZ285" s="72" t="str">
        <f aca="false">IF($BL285&gt;$BK$7,"",VLOOKUP($BL285,$BN$8:$BT$507,6,FALSE()))</f>
        <v/>
      </c>
      <c r="CA285" s="48"/>
    </row>
    <row r="286" customFormat="false" ht="15.75" hidden="false" customHeight="false" outlineLevel="0" collapsed="false">
      <c r="A286" s="5"/>
      <c r="B286" s="121"/>
      <c r="C286" s="50"/>
      <c r="D286" s="51"/>
      <c r="E286" s="74"/>
      <c r="F286" s="122"/>
      <c r="G286" s="54"/>
      <c r="H286" s="123"/>
      <c r="I286" s="124"/>
      <c r="J286" s="54"/>
      <c r="K286" s="123"/>
      <c r="L286" s="54"/>
      <c r="M286" s="123"/>
      <c r="N286" s="54"/>
      <c r="O286" s="123"/>
      <c r="P286" s="54"/>
      <c r="Q286" s="123"/>
      <c r="R286" s="54"/>
      <c r="S286" s="74"/>
      <c r="T286" s="58"/>
      <c r="U286" s="59" t="str">
        <f aca="false">IF(ISBLANK($C286),"",IF(E286=Constants!$B$2, TRUE(), IF(E286=Constants!$B$3, FALSE(), TRUE())))</f>
        <v/>
      </c>
      <c r="V286" s="59" t="str">
        <f aca="false">IF(ISBLANK($C286),"",IF(F286=Constants!$B$2, TRUE(), IF(F286=Constants!$B$3, FALSE(), TRUE())))</f>
        <v/>
      </c>
      <c r="W286" s="59" t="str">
        <f aca="false">IF(ISBLANK($C286),"",IF(G286=Constants!$B$15,Constants!$B$8,IF(G286=Constants!$B$16,Constants!$B$9,Constants!$B$10)))</f>
        <v/>
      </c>
      <c r="X286" s="59" t="str">
        <f aca="false">IF(ISBLANK($C286),"",IF(H286=Constants!$B$2, TRUE(), IF(H286=Constants!$B$3, FALSE(), TRUE())))</f>
        <v/>
      </c>
      <c r="Y286" s="59" t="str">
        <f aca="false">IF(ISBLANK($C286),"",IF(I286=Constants!$B$19,Constants!$B$19,Constants!$B$18))</f>
        <v/>
      </c>
      <c r="Z286" s="59" t="str">
        <f aca="false">IF(ISBLANK($C286),"",IF(ISNUMBER(J286),IF(J286&gt;=0,J286,""),""))</f>
        <v/>
      </c>
      <c r="AA286" s="59" t="str">
        <f aca="false">IF(ISBLANK($C286),"",IF(K286=Constants!$B$19,Constants!$B$19,Constants!$B$18))</f>
        <v/>
      </c>
      <c r="AB286" s="59" t="str">
        <f aca="false">IF(ISBLANK($C286),"",IF(ISNUMBER(L286),IF(L286&gt;=0,L286,""),""))</f>
        <v/>
      </c>
      <c r="AC286" s="59" t="str">
        <f aca="false">IF(ISBLANK($C286),"",IF(M286=Constants!$B$19,Constants!$B$19,Constants!$B$18))</f>
        <v/>
      </c>
      <c r="AD286" s="59" t="str">
        <f aca="false">IF(ISBLANK($C286),"",IF(ISNUMBER(N286),IF(N286&gt;=0,N286,""),""))</f>
        <v/>
      </c>
      <c r="AE286" s="59" t="str">
        <f aca="false">IF(ISBLANK($C286),"",IF(O286=Constants!$B$19,Constants!$B$19,Constants!$B$18))</f>
        <v/>
      </c>
      <c r="AF286" s="59" t="str">
        <f aca="false">IF(ISBLANK($C286),"",IF(ISNUMBER(P286),IF(P286&gt;=0,P286,""),""))</f>
        <v/>
      </c>
      <c r="AG286" s="59" t="str">
        <f aca="false">IF(ISBLANK($C286),"",IF(Q286=Constants!$B$19,Constants!$B$19,Constants!$B$18))</f>
        <v/>
      </c>
      <c r="AH286" s="59" t="str">
        <f aca="false">IF(ISBLANK($C286),"",IF(ISNUMBER(R286),IF(R286&gt;=0,R286,""),""))</f>
        <v/>
      </c>
      <c r="AI286" s="59" t="str">
        <f aca="false">IF(ISBLANK($C286),"",IF(S286=Constants!$B$2, TRUE(), IF(S286=Constants!$B$3, FALSE(), FALSE())))</f>
        <v/>
      </c>
      <c r="AJ286" s="59" t="str">
        <f aca="false">IF(ISBLANK($C286),"",IF(AI286,Constants!$B$4,IF(COUNTA(E286:R286)=0,Constants!$B$5,IF(COUNTA(J286,L286,N286,P286,R286)=0,Constants!$B$6,Constants!$B$7))))</f>
        <v/>
      </c>
      <c r="AK286" s="59" t="str">
        <f aca="false">IF(ISBLANK($C286),"",IF($AJ286&lt;&gt;Constants!$B$7,$AJ286,IF(OR(NOT(X286),AND(NOT(U286),COUNTIFS(Y286:AG286,Constants!$B$18,Z286:AH286,"&gt;=0")&gt;0),AND(NOT(V286),COUNTIFS(Y286:AG286,Constants!$B$19,Z286:AH286,"&gt;=0")&gt;0)),Constants!$B$12,Constants!$B$11)))</f>
        <v/>
      </c>
      <c r="AL286" s="59" t="str">
        <f aca="false">IF($AJ286=Constants!$B$7,IF(Z286="",Constants!$B$13,Z286),"")</f>
        <v/>
      </c>
      <c r="AM286" s="59" t="str">
        <f aca="false">IF($AJ286=Constants!$B$7,IF(AB286="",Constants!$B$13,AB286),"")</f>
        <v/>
      </c>
      <c r="AN286" s="59" t="str">
        <f aca="false">IF($AJ286=Constants!$B$7,IF(AD286="",Constants!$B$13,AD286),"")</f>
        <v/>
      </c>
      <c r="AO286" s="59" t="str">
        <f aca="false">IF($AJ286=Constants!$B$7,IF(AF286="",Constants!$B$13,AF286),"")</f>
        <v/>
      </c>
      <c r="AP286" s="59" t="str">
        <f aca="false">IF($AJ286=Constants!$B$7,IF(AH286="",Constants!$B$13,AH286),"")</f>
        <v/>
      </c>
      <c r="AQ286" s="59" t="str">
        <f aca="false">IF($AJ286=Constants!$B$7,IF(SUMPRODUCT(--($AL286:$AP286&gt;AL286))+SUMPRODUCT(--($AL286:AL286=AL286))=1,1,IF(SUMPRODUCT(--($AL286:$AP286&gt;AM286))+SUMPRODUCT(--($AL286:AM286=AM286))=1,2,IF(SUMPRODUCT(--($AL286:$AP286&gt;AN286))+SUMPRODUCT(--($AL286:AN286=AN286))=1,3,IF(SUMPRODUCT(--($AL286:$AP286&gt;AO286))+SUMPRODUCT(--($AL286:AO286=AO286))=1,4,5)))),"")</f>
        <v/>
      </c>
      <c r="AR286" s="59" t="str">
        <f aca="false">IF($AJ286=Constants!$B$7,IF(SUMPRODUCT(--($AL286:$AP286&gt;AL286))+SUMPRODUCT(--($AL286:AL286=AL286))=2,1,IF(SUMPRODUCT(--($AL286:$AP286&gt;AM286))+SUMPRODUCT(--($AL286:AM286=AM286))=2,2,IF(SUMPRODUCT(--($AL286:$AP286&gt;AN286))+SUMPRODUCT(--($AL286:AN286=AN286))=2,3,IF(SUMPRODUCT(--($AL286:$AP286&gt;AO286))+SUMPRODUCT(--($AL286:AO286=AO286))=2,4,5)))),"")</f>
        <v/>
      </c>
      <c r="AS286" s="59" t="str">
        <f aca="false">IF($AJ286=Constants!$B$7,IF(SUMPRODUCT(--($AL286:$AP286&gt;AL286))+SUMPRODUCT(--($AL286:AL286=AL286))=3,1,IF(SUMPRODUCT(--($AL286:$AP286&gt;AM286))+SUMPRODUCT(--($AL286:AM286=AM286))=3,2,IF(SUMPRODUCT(--($AL286:$AP286&gt;AN286))+SUMPRODUCT(--($AL286:AN286=AN286))=3,3,IF(SUMPRODUCT(--($AL286:$AP286&gt;AO286))+SUMPRODUCT(--($AL286:AO286=AO286))=3,4,5)))),"")</f>
        <v/>
      </c>
      <c r="AT286" s="59" t="str">
        <f aca="false">IF($AJ286=Constants!$B$7,LARGE(AL286:AP286,1)+LARGE(AL286:AP286,2)+LARGE(AL286:AP286,3),"")</f>
        <v/>
      </c>
      <c r="AU286" s="59" t="str">
        <f aca="false">IF(ISBLANK($C286),"",IF($AJ286&lt;&gt;Constants!$B$7,$AJ286,AT286*W286))</f>
        <v/>
      </c>
      <c r="AV286" s="59" t="str">
        <f aca="false">IF(ISBLANK($C286),"",IF($AJ286=Constants!$B$7,IF(ISNUMBER(AU286),RANK(AU286,$AU$8:$AU$507),Constants!$B$14),$AJ286))</f>
        <v/>
      </c>
      <c r="AW286" s="59" t="str">
        <f aca="false">IF(ISBLANK($C286),"",IF($AJ286=Constants!$B$7,IF(ISNUMBER(AV286),COUNTIFS($AK$8:$AK$507,"&lt;"&amp;$AK286)+COUNTIFS($AK$8:$AK$507,$AK286,$AV$8:$AV$507,"&lt;"&amp;$AV286)+1,Constants!$B$14),$AJ286))</f>
        <v/>
      </c>
      <c r="AX286" s="59" t="str">
        <f aca="false">IF(ISBLANK($C286),"",IF($AJ286=Constants!$B$7,LARGE(AL286:AP286,4)*W286,""))</f>
        <v/>
      </c>
      <c r="AY286" s="59" t="str">
        <f aca="false">IF(ISBLANK($C286),"",IF($AJ286=Constants!$B$7,RANK(AX286,$AX$8:$AX$507),$AJ286))</f>
        <v/>
      </c>
      <c r="AZ286" s="59" t="str">
        <f aca="false">IF(ISBLANK($C286),"",IF($AJ286=Constants!$B$7,IF(ISNUMBER(AV286),COUNTIFS($AK$8:$AK$507,"&lt;"&amp;$AK286)+COUNTIFS($AK$8:$AK$507,$AK286,$AV$8:$AV$507,"&lt;"&amp;$AV286)+COUNTIFS($AK$8:$AK$507,$AK286,$AV$8:$AV$507,$AV286,$AY$8:$AY$507,"&lt;"&amp;$AY286)+1,Constants!$B$14),$AJ286))</f>
        <v/>
      </c>
      <c r="BA286" s="59" t="str">
        <f aca="false">IF(ISBLANK($C286),"",IF($AJ286=Constants!$B$7,IF(ISNUMBER(AW286),AW286-AZ286,Constants!$B$14),$AJ286))</f>
        <v/>
      </c>
      <c r="BB286" s="61"/>
      <c r="BC286" s="62" t="str">
        <f aca="false">IF(ISBLANK($C286),"",IF($AJ286&lt;&gt;Constants!$B$7,$AJ286,SMALL(AQ286:AS286,1)&amp;", "&amp;SMALL(AQ286:AS286,2)&amp;", "&amp;SMALL(AQ286:AS286,3)))</f>
        <v/>
      </c>
      <c r="BD286" s="63" t="str">
        <f aca="false">IF(ISBLANK($C286),"",IF($AJ286&lt;&gt;Constants!$B$7,$AJ286,W286))</f>
        <v/>
      </c>
      <c r="BE286" s="64" t="str">
        <f aca="false">IF(ISBLANK($C286),"",IF($AJ286&lt;&gt;Constants!$B$7,$AJ286,AU286))</f>
        <v/>
      </c>
      <c r="BF286" s="65" t="str">
        <f aca="false">IF(ISBLANK($C286),"",IF($AJ286&lt;&gt;Constants!$B$7,$AJ286,AK286))</f>
        <v/>
      </c>
      <c r="BG286" s="63" t="str">
        <f aca="false">IF(ISBLANK($C286),"",BA286)</f>
        <v/>
      </c>
      <c r="BH286" s="63" t="str">
        <f aca="false">IF(ISBLANK($C286),"",AZ286)</f>
        <v/>
      </c>
      <c r="BI286" s="66" t="str">
        <f aca="false">IF(ISBLANK($C286),"",IF(BH286=Constants!$B$4,COUNTA($C$8:$C$507)+2,IF(BH286=Constants!$B$5,COUNTA($C$8:$C$507)+1,IF(BH286=Constants!$B$6,COUNTA($C$8:$C$507),BH286))))</f>
        <v/>
      </c>
      <c r="BJ286" s="5"/>
      <c r="BK286" s="67" t="n">
        <f aca="false">IF(OR(ISNUMBER(BH286),BH286=Constants!$B$4,BH286=Constants!$B$6,BH286=Constants!$B$5),1,0)</f>
        <v>0</v>
      </c>
      <c r="BL286" s="67" t="n">
        <v>279</v>
      </c>
      <c r="BM286" s="67" t="str">
        <f aca="false">IF(ISBLANK($C286),"",IF(ISNUMBER(BI286),BI286+ROW($B286)/1000,""))</f>
        <v/>
      </c>
      <c r="BN286" s="67" t="str">
        <f aca="false">IF(ISNUMBER(BM286),RANK(BM286,$BM$8:$BM$507,1),"")</f>
        <v/>
      </c>
      <c r="BO286" s="67" t="str">
        <f aca="false">IF(ISBLANK($C286),"",$B286)</f>
        <v/>
      </c>
      <c r="BP286" s="67" t="str">
        <f aca="false">IF(ISBLANK($C286),"",$C286)</f>
        <v/>
      </c>
      <c r="BQ286" s="67" t="str">
        <f aca="false">IF(ISBLANK($C286),"",$D286)</f>
        <v/>
      </c>
      <c r="BR286" s="68" t="str">
        <f aca="false">BF286</f>
        <v/>
      </c>
      <c r="BS286" s="69" t="str">
        <f aca="false">BE286</f>
        <v/>
      </c>
      <c r="BT286" s="67" t="str">
        <f aca="false">IF(ISBLANK($C286),"",BH286)</f>
        <v/>
      </c>
      <c r="BU286" s="70" t="str">
        <f aca="false">IF($BL286&gt;$BK$7,"",VLOOKUP($BL286,$BN$8:$BT$507,7,FALSE()))</f>
        <v/>
      </c>
      <c r="BV286" s="71" t="str">
        <f aca="false">IF($BL286&gt;$BK$7,"",VLOOKUP($BL286,$BN$8:$BT$507,2,FALSE()))</f>
        <v/>
      </c>
      <c r="BW286" s="71" t="str">
        <f aca="false">IF($BL286&gt;$BK$7,"",VLOOKUP($BL286,$BN$8:$BT$507,3,FALSE()))</f>
        <v/>
      </c>
      <c r="BX286" s="71" t="str">
        <f aca="false">IF($BL286&gt;$BK$7,"",VLOOKUP($BL286,$BN$8:$BT$507,4,FALSE()))</f>
        <v/>
      </c>
      <c r="BY286" s="71" t="str">
        <f aca="false">IF($BL286&gt;$BK$7,"",VLOOKUP($BL286,$BN$8:$BT$507,5,FALSE()))</f>
        <v/>
      </c>
      <c r="BZ286" s="72" t="str">
        <f aca="false">IF($BL286&gt;$BK$7,"",VLOOKUP($BL286,$BN$8:$BT$507,6,FALSE()))</f>
        <v/>
      </c>
      <c r="CA286" s="48"/>
    </row>
    <row r="287" customFormat="false" ht="15.75" hidden="false" customHeight="false" outlineLevel="0" collapsed="false">
      <c r="A287" s="5"/>
      <c r="B287" s="114"/>
      <c r="C287" s="115"/>
      <c r="D287" s="100"/>
      <c r="E287" s="120"/>
      <c r="F287" s="125"/>
      <c r="G287" s="82"/>
      <c r="H287" s="126"/>
      <c r="I287" s="127"/>
      <c r="J287" s="82"/>
      <c r="K287" s="126"/>
      <c r="L287" s="82"/>
      <c r="M287" s="126"/>
      <c r="N287" s="82"/>
      <c r="O287" s="126"/>
      <c r="P287" s="82"/>
      <c r="Q287" s="126"/>
      <c r="R287" s="82"/>
      <c r="S287" s="120"/>
      <c r="T287" s="86"/>
      <c r="U287" s="87" t="str">
        <f aca="false">IF(ISBLANK($C287),"",IF(E287=Constants!$B$2, TRUE(), IF(E287=Constants!$B$3, FALSE(), TRUE())))</f>
        <v/>
      </c>
      <c r="V287" s="87" t="str">
        <f aca="false">IF(ISBLANK($C287),"",IF(F287=Constants!$B$2, TRUE(), IF(F287=Constants!$B$3, FALSE(), TRUE())))</f>
        <v/>
      </c>
      <c r="W287" s="87" t="str">
        <f aca="false">IF(ISBLANK($C287),"",IF(G287=Constants!$B$15,Constants!$B$8,IF(G287=Constants!$B$16,Constants!$B$9,Constants!$B$10)))</f>
        <v/>
      </c>
      <c r="X287" s="87" t="str">
        <f aca="false">IF(ISBLANK($C287),"",IF(H287=Constants!$B$2, TRUE(), IF(H287=Constants!$B$3, FALSE(), TRUE())))</f>
        <v/>
      </c>
      <c r="Y287" s="87" t="str">
        <f aca="false">IF(ISBLANK($C287),"",IF(I287=Constants!$B$19,Constants!$B$19,Constants!$B$18))</f>
        <v/>
      </c>
      <c r="Z287" s="87" t="str">
        <f aca="false">IF(ISBLANK($C287),"",IF(ISNUMBER(J287),IF(J287&gt;=0,J287,""),""))</f>
        <v/>
      </c>
      <c r="AA287" s="87" t="str">
        <f aca="false">IF(ISBLANK($C287),"",IF(K287=Constants!$B$19,Constants!$B$19,Constants!$B$18))</f>
        <v/>
      </c>
      <c r="AB287" s="87" t="str">
        <f aca="false">IF(ISBLANK($C287),"",IF(ISNUMBER(L287),IF(L287&gt;=0,L287,""),""))</f>
        <v/>
      </c>
      <c r="AC287" s="87" t="str">
        <f aca="false">IF(ISBLANK($C287),"",IF(M287=Constants!$B$19,Constants!$B$19,Constants!$B$18))</f>
        <v/>
      </c>
      <c r="AD287" s="87" t="str">
        <f aca="false">IF(ISBLANK($C287),"",IF(ISNUMBER(N287),IF(N287&gt;=0,N287,""),""))</f>
        <v/>
      </c>
      <c r="AE287" s="87" t="str">
        <f aca="false">IF(ISBLANK($C287),"",IF(O287=Constants!$B$19,Constants!$B$19,Constants!$B$18))</f>
        <v/>
      </c>
      <c r="AF287" s="87" t="str">
        <f aca="false">IF(ISBLANK($C287),"",IF(ISNUMBER(P287),IF(P287&gt;=0,P287,""),""))</f>
        <v/>
      </c>
      <c r="AG287" s="87" t="str">
        <f aca="false">IF(ISBLANK($C287),"",IF(Q287=Constants!$B$19,Constants!$B$19,Constants!$B$18))</f>
        <v/>
      </c>
      <c r="AH287" s="87" t="str">
        <f aca="false">IF(ISBLANK($C287),"",IF(ISNUMBER(R287),IF(R287&gt;=0,R287,""),""))</f>
        <v/>
      </c>
      <c r="AI287" s="87" t="str">
        <f aca="false">IF(ISBLANK($C287),"",IF(S287=Constants!$B$2, TRUE(), IF(S287=Constants!$B$3, FALSE(), FALSE())))</f>
        <v/>
      </c>
      <c r="AJ287" s="87" t="str">
        <f aca="false">IF(ISBLANK($C287),"",IF(AI287,Constants!$B$4,IF(COUNTA(E287:R287)=0,Constants!$B$5,IF(COUNTA(J287,L287,N287,P287,R287)=0,Constants!$B$6,Constants!$B$7))))</f>
        <v/>
      </c>
      <c r="AK287" s="87" t="str">
        <f aca="false">IF(ISBLANK($C287),"",IF($AJ287&lt;&gt;Constants!$B$7,$AJ287,IF(OR(NOT(X287),AND(NOT(U287),COUNTIFS(Y287:AG287,Constants!$B$18,Z287:AH287,"&gt;=0")&gt;0),AND(NOT(V287),COUNTIFS(Y287:AG287,Constants!$B$19,Z287:AH287,"&gt;=0")&gt;0)),Constants!$B$12,Constants!$B$11)))</f>
        <v/>
      </c>
      <c r="AL287" s="87" t="str">
        <f aca="false">IF($AJ287=Constants!$B$7,IF(Z287="",Constants!$B$13,Z287),"")</f>
        <v/>
      </c>
      <c r="AM287" s="87" t="str">
        <f aca="false">IF($AJ287=Constants!$B$7,IF(AB287="",Constants!$B$13,AB287),"")</f>
        <v/>
      </c>
      <c r="AN287" s="87" t="str">
        <f aca="false">IF($AJ287=Constants!$B$7,IF(AD287="",Constants!$B$13,AD287),"")</f>
        <v/>
      </c>
      <c r="AO287" s="87" t="str">
        <f aca="false">IF($AJ287=Constants!$B$7,IF(AF287="",Constants!$B$13,AF287),"")</f>
        <v/>
      </c>
      <c r="AP287" s="87" t="str">
        <f aca="false">IF($AJ287=Constants!$B$7,IF(AH287="",Constants!$B$13,AH287),"")</f>
        <v/>
      </c>
      <c r="AQ287" s="87" t="str">
        <f aca="false">IF($AJ287=Constants!$B$7,IF(SUMPRODUCT(--($AL287:$AP287&gt;AL287))+SUMPRODUCT(--($AL287:AL287=AL287))=1,1,IF(SUMPRODUCT(--($AL287:$AP287&gt;AM287))+SUMPRODUCT(--($AL287:AM287=AM287))=1,2,IF(SUMPRODUCT(--($AL287:$AP287&gt;AN287))+SUMPRODUCT(--($AL287:AN287=AN287))=1,3,IF(SUMPRODUCT(--($AL287:$AP287&gt;AO287))+SUMPRODUCT(--($AL287:AO287=AO287))=1,4,5)))),"")</f>
        <v/>
      </c>
      <c r="AR287" s="87" t="str">
        <f aca="false">IF($AJ287=Constants!$B$7,IF(SUMPRODUCT(--($AL287:$AP287&gt;AL287))+SUMPRODUCT(--($AL287:AL287=AL287))=2,1,IF(SUMPRODUCT(--($AL287:$AP287&gt;AM287))+SUMPRODUCT(--($AL287:AM287=AM287))=2,2,IF(SUMPRODUCT(--($AL287:$AP287&gt;AN287))+SUMPRODUCT(--($AL287:AN287=AN287))=2,3,IF(SUMPRODUCT(--($AL287:$AP287&gt;AO287))+SUMPRODUCT(--($AL287:AO287=AO287))=2,4,5)))),"")</f>
        <v/>
      </c>
      <c r="AS287" s="87" t="str">
        <f aca="false">IF($AJ287=Constants!$B$7,IF(SUMPRODUCT(--($AL287:$AP287&gt;AL287))+SUMPRODUCT(--($AL287:AL287=AL287))=3,1,IF(SUMPRODUCT(--($AL287:$AP287&gt;AM287))+SUMPRODUCT(--($AL287:AM287=AM287))=3,2,IF(SUMPRODUCT(--($AL287:$AP287&gt;AN287))+SUMPRODUCT(--($AL287:AN287=AN287))=3,3,IF(SUMPRODUCT(--($AL287:$AP287&gt;AO287))+SUMPRODUCT(--($AL287:AO287=AO287))=3,4,5)))),"")</f>
        <v/>
      </c>
      <c r="AT287" s="87" t="str">
        <f aca="false">IF($AJ287=Constants!$B$7,LARGE(AL287:AP287,1)+LARGE(AL287:AP287,2)+LARGE(AL287:AP287,3),"")</f>
        <v/>
      </c>
      <c r="AU287" s="87" t="str">
        <f aca="false">IF(ISBLANK($C287),"",IF($AJ287&lt;&gt;Constants!$B$7,$AJ287,AT287*W287))</f>
        <v/>
      </c>
      <c r="AV287" s="87" t="str">
        <f aca="false">IF(ISBLANK($C287),"",IF($AJ287=Constants!$B$7,IF(ISNUMBER(AU287),RANK(AU287,$AU$8:$AU$507),Constants!$B$14),$AJ287))</f>
        <v/>
      </c>
      <c r="AW287" s="87" t="str">
        <f aca="false">IF(ISBLANK($C287),"",IF($AJ287=Constants!$B$7,IF(ISNUMBER(AV287),COUNTIFS($AK$8:$AK$507,"&lt;"&amp;$AK287)+COUNTIFS($AK$8:$AK$507,$AK287,$AV$8:$AV$507,"&lt;"&amp;$AV287)+1,Constants!$B$14),$AJ287))</f>
        <v/>
      </c>
      <c r="AX287" s="87" t="str">
        <f aca="false">IF(ISBLANK($C287),"",IF($AJ287=Constants!$B$7,LARGE(AL287:AP287,4)*W287,""))</f>
        <v/>
      </c>
      <c r="AY287" s="87" t="str">
        <f aca="false">IF(ISBLANK($C287),"",IF($AJ287=Constants!$B$7,RANK(AX287,$AX$8:$AX$507),$AJ287))</f>
        <v/>
      </c>
      <c r="AZ287" s="87" t="str">
        <f aca="false">IF(ISBLANK($C287),"",IF($AJ287=Constants!$B$7,IF(ISNUMBER(AV287),COUNTIFS($AK$8:$AK$507,"&lt;"&amp;$AK287)+COUNTIFS($AK$8:$AK$507,$AK287,$AV$8:$AV$507,"&lt;"&amp;$AV287)+COUNTIFS($AK$8:$AK$507,$AK287,$AV$8:$AV$507,$AV287,$AY$8:$AY$507,"&lt;"&amp;$AY287)+1,Constants!$B$14),$AJ287))</f>
        <v/>
      </c>
      <c r="BA287" s="87" t="str">
        <f aca="false">IF(ISBLANK($C287),"",IF($AJ287=Constants!$B$7,IF(ISNUMBER(AW287),AW287-AZ287,Constants!$B$14),$AJ287))</f>
        <v/>
      </c>
      <c r="BB287" s="88"/>
      <c r="BC287" s="89" t="str">
        <f aca="false">IF(ISBLANK($C287),"",IF($AJ287&lt;&gt;Constants!$B$7,$AJ287,SMALL(AQ287:AS287,1)&amp;", "&amp;SMALL(AQ287:AS287,2)&amp;", "&amp;SMALL(AQ287:AS287,3)))</f>
        <v/>
      </c>
      <c r="BD287" s="90" t="str">
        <f aca="false">IF(ISBLANK($C287),"",IF($AJ287&lt;&gt;Constants!$B$7,$AJ287,W287))</f>
        <v/>
      </c>
      <c r="BE287" s="91" t="str">
        <f aca="false">IF(ISBLANK($C287),"",IF($AJ287&lt;&gt;Constants!$B$7,$AJ287,AU287))</f>
        <v/>
      </c>
      <c r="BF287" s="92" t="str">
        <f aca="false">IF(ISBLANK($C287),"",IF($AJ287&lt;&gt;Constants!$B$7,$AJ287,AK287))</f>
        <v/>
      </c>
      <c r="BG287" s="90" t="str">
        <f aca="false">IF(ISBLANK($C287),"",BA287)</f>
        <v/>
      </c>
      <c r="BH287" s="90" t="str">
        <f aca="false">IF(ISBLANK($C287),"",AZ287)</f>
        <v/>
      </c>
      <c r="BI287" s="93" t="str">
        <f aca="false">IF(ISBLANK($C287),"",IF(BH287=Constants!$B$4,COUNTA($C$8:$C$507)+2,IF(BH287=Constants!$B$5,COUNTA($C$8:$C$507)+1,IF(BH287=Constants!$B$6,COUNTA($C$8:$C$507),BH287))))</f>
        <v/>
      </c>
      <c r="BJ287" s="5"/>
      <c r="BK287" s="94" t="n">
        <f aca="false">IF(OR(ISNUMBER(BH287),BH287=Constants!$B$4,BH287=Constants!$B$6,BH287=Constants!$B$5),1,0)</f>
        <v>0</v>
      </c>
      <c r="BL287" s="94" t="n">
        <v>280</v>
      </c>
      <c r="BM287" s="94" t="str">
        <f aca="false">IF(ISBLANK($C287),"",IF(ISNUMBER(BI287),BI287+ROW($B287)/1000,""))</f>
        <v/>
      </c>
      <c r="BN287" s="94" t="str">
        <f aca="false">IF(ISNUMBER(BM287),RANK(BM287,$BM$8:$BM$507,1),"")</f>
        <v/>
      </c>
      <c r="BO287" s="94" t="str">
        <f aca="false">IF(ISBLANK($C287),"",$B287)</f>
        <v/>
      </c>
      <c r="BP287" s="94" t="str">
        <f aca="false">IF(ISBLANK($C287),"",$C287)</f>
        <v/>
      </c>
      <c r="BQ287" s="94" t="str">
        <f aca="false">IF(ISBLANK($C287),"",$D287)</f>
        <v/>
      </c>
      <c r="BR287" s="95" t="str">
        <f aca="false">BF287</f>
        <v/>
      </c>
      <c r="BS287" s="96" t="str">
        <f aca="false">BE287</f>
        <v/>
      </c>
      <c r="BT287" s="94" t="str">
        <f aca="false">IF(ISBLANK($C287),"",BH287)</f>
        <v/>
      </c>
      <c r="BU287" s="97" t="str">
        <f aca="false">IF($BL287&gt;$BK$7,"",VLOOKUP($BL287,$BN$8:$BT$507,7,FALSE()))</f>
        <v/>
      </c>
      <c r="BV287" s="98" t="str">
        <f aca="false">IF($BL287&gt;$BK$7,"",VLOOKUP($BL287,$BN$8:$BT$507,2,FALSE()))</f>
        <v/>
      </c>
      <c r="BW287" s="98" t="str">
        <f aca="false">IF($BL287&gt;$BK$7,"",VLOOKUP($BL287,$BN$8:$BT$507,3,FALSE()))</f>
        <v/>
      </c>
      <c r="BX287" s="98" t="str">
        <f aca="false">IF($BL287&gt;$BK$7,"",VLOOKUP($BL287,$BN$8:$BT$507,4,FALSE()))</f>
        <v/>
      </c>
      <c r="BY287" s="98" t="str">
        <f aca="false">IF($BL287&gt;$BK$7,"",VLOOKUP($BL287,$BN$8:$BT$507,5,FALSE()))</f>
        <v/>
      </c>
      <c r="BZ287" s="99" t="str">
        <f aca="false">IF($BL287&gt;$BK$7,"",VLOOKUP($BL287,$BN$8:$BT$507,6,FALSE()))</f>
        <v/>
      </c>
      <c r="CA287" s="48"/>
    </row>
    <row r="288" customFormat="false" ht="15.75" hidden="false" customHeight="false" outlineLevel="0" collapsed="false">
      <c r="A288" s="5"/>
      <c r="B288" s="114"/>
      <c r="C288" s="115"/>
      <c r="D288" s="100"/>
      <c r="E288" s="120"/>
      <c r="F288" s="125"/>
      <c r="G288" s="82"/>
      <c r="H288" s="126"/>
      <c r="I288" s="127"/>
      <c r="J288" s="82"/>
      <c r="K288" s="126"/>
      <c r="L288" s="82"/>
      <c r="M288" s="126"/>
      <c r="N288" s="82"/>
      <c r="O288" s="126"/>
      <c r="P288" s="82"/>
      <c r="Q288" s="126"/>
      <c r="R288" s="82"/>
      <c r="S288" s="120"/>
      <c r="T288" s="86"/>
      <c r="U288" s="87" t="str">
        <f aca="false">IF(ISBLANK($C288),"",IF(E288=Constants!$B$2, TRUE(), IF(E288=Constants!$B$3, FALSE(), TRUE())))</f>
        <v/>
      </c>
      <c r="V288" s="87" t="str">
        <f aca="false">IF(ISBLANK($C288),"",IF(F288=Constants!$B$2, TRUE(), IF(F288=Constants!$B$3, FALSE(), TRUE())))</f>
        <v/>
      </c>
      <c r="W288" s="87" t="str">
        <f aca="false">IF(ISBLANK($C288),"",IF(G288=Constants!$B$15,Constants!$B$8,IF(G288=Constants!$B$16,Constants!$B$9,Constants!$B$10)))</f>
        <v/>
      </c>
      <c r="X288" s="87" t="str">
        <f aca="false">IF(ISBLANK($C288),"",IF(H288=Constants!$B$2, TRUE(), IF(H288=Constants!$B$3, FALSE(), TRUE())))</f>
        <v/>
      </c>
      <c r="Y288" s="87" t="str">
        <f aca="false">IF(ISBLANK($C288),"",IF(I288=Constants!$B$19,Constants!$B$19,Constants!$B$18))</f>
        <v/>
      </c>
      <c r="Z288" s="87" t="str">
        <f aca="false">IF(ISBLANK($C288),"",IF(ISNUMBER(J288),IF(J288&gt;=0,J288,""),""))</f>
        <v/>
      </c>
      <c r="AA288" s="87" t="str">
        <f aca="false">IF(ISBLANK($C288),"",IF(K288=Constants!$B$19,Constants!$B$19,Constants!$B$18))</f>
        <v/>
      </c>
      <c r="AB288" s="87" t="str">
        <f aca="false">IF(ISBLANK($C288),"",IF(ISNUMBER(L288),IF(L288&gt;=0,L288,""),""))</f>
        <v/>
      </c>
      <c r="AC288" s="87" t="str">
        <f aca="false">IF(ISBLANK($C288),"",IF(M288=Constants!$B$19,Constants!$B$19,Constants!$B$18))</f>
        <v/>
      </c>
      <c r="AD288" s="87" t="str">
        <f aca="false">IF(ISBLANK($C288),"",IF(ISNUMBER(N288),IF(N288&gt;=0,N288,""),""))</f>
        <v/>
      </c>
      <c r="AE288" s="87" t="str">
        <f aca="false">IF(ISBLANK($C288),"",IF(O288=Constants!$B$19,Constants!$B$19,Constants!$B$18))</f>
        <v/>
      </c>
      <c r="AF288" s="87" t="str">
        <f aca="false">IF(ISBLANK($C288),"",IF(ISNUMBER(P288),IF(P288&gt;=0,P288,""),""))</f>
        <v/>
      </c>
      <c r="AG288" s="87" t="str">
        <f aca="false">IF(ISBLANK($C288),"",IF(Q288=Constants!$B$19,Constants!$B$19,Constants!$B$18))</f>
        <v/>
      </c>
      <c r="AH288" s="87" t="str">
        <f aca="false">IF(ISBLANK($C288),"",IF(ISNUMBER(R288),IF(R288&gt;=0,R288,""),""))</f>
        <v/>
      </c>
      <c r="AI288" s="87" t="str">
        <f aca="false">IF(ISBLANK($C288),"",IF(S288=Constants!$B$2, TRUE(), IF(S288=Constants!$B$3, FALSE(), FALSE())))</f>
        <v/>
      </c>
      <c r="AJ288" s="87" t="str">
        <f aca="false">IF(ISBLANK($C288),"",IF(AI288,Constants!$B$4,IF(COUNTA(E288:R288)=0,Constants!$B$5,IF(COUNTA(J288,L288,N288,P288,R288)=0,Constants!$B$6,Constants!$B$7))))</f>
        <v/>
      </c>
      <c r="AK288" s="87" t="str">
        <f aca="false">IF(ISBLANK($C288),"",IF($AJ288&lt;&gt;Constants!$B$7,$AJ288,IF(OR(NOT(X288),AND(NOT(U288),COUNTIFS(Y288:AG288,Constants!$B$18,Z288:AH288,"&gt;=0")&gt;0),AND(NOT(V288),COUNTIFS(Y288:AG288,Constants!$B$19,Z288:AH288,"&gt;=0")&gt;0)),Constants!$B$12,Constants!$B$11)))</f>
        <v/>
      </c>
      <c r="AL288" s="87" t="str">
        <f aca="false">IF($AJ288=Constants!$B$7,IF(Z288="",Constants!$B$13,Z288),"")</f>
        <v/>
      </c>
      <c r="AM288" s="87" t="str">
        <f aca="false">IF($AJ288=Constants!$B$7,IF(AB288="",Constants!$B$13,AB288),"")</f>
        <v/>
      </c>
      <c r="AN288" s="87" t="str">
        <f aca="false">IF($AJ288=Constants!$B$7,IF(AD288="",Constants!$B$13,AD288),"")</f>
        <v/>
      </c>
      <c r="AO288" s="87" t="str">
        <f aca="false">IF($AJ288=Constants!$B$7,IF(AF288="",Constants!$B$13,AF288),"")</f>
        <v/>
      </c>
      <c r="AP288" s="87" t="str">
        <f aca="false">IF($AJ288=Constants!$B$7,IF(AH288="",Constants!$B$13,AH288),"")</f>
        <v/>
      </c>
      <c r="AQ288" s="87" t="str">
        <f aca="false">IF($AJ288=Constants!$B$7,IF(SUMPRODUCT(--($AL288:$AP288&gt;AL288))+SUMPRODUCT(--($AL288:AL288=AL288))=1,1,IF(SUMPRODUCT(--($AL288:$AP288&gt;AM288))+SUMPRODUCT(--($AL288:AM288=AM288))=1,2,IF(SUMPRODUCT(--($AL288:$AP288&gt;AN288))+SUMPRODUCT(--($AL288:AN288=AN288))=1,3,IF(SUMPRODUCT(--($AL288:$AP288&gt;AO288))+SUMPRODUCT(--($AL288:AO288=AO288))=1,4,5)))),"")</f>
        <v/>
      </c>
      <c r="AR288" s="87" t="str">
        <f aca="false">IF($AJ288=Constants!$B$7,IF(SUMPRODUCT(--($AL288:$AP288&gt;AL288))+SUMPRODUCT(--($AL288:AL288=AL288))=2,1,IF(SUMPRODUCT(--($AL288:$AP288&gt;AM288))+SUMPRODUCT(--($AL288:AM288=AM288))=2,2,IF(SUMPRODUCT(--($AL288:$AP288&gt;AN288))+SUMPRODUCT(--($AL288:AN288=AN288))=2,3,IF(SUMPRODUCT(--($AL288:$AP288&gt;AO288))+SUMPRODUCT(--($AL288:AO288=AO288))=2,4,5)))),"")</f>
        <v/>
      </c>
      <c r="AS288" s="87" t="str">
        <f aca="false">IF($AJ288=Constants!$B$7,IF(SUMPRODUCT(--($AL288:$AP288&gt;AL288))+SUMPRODUCT(--($AL288:AL288=AL288))=3,1,IF(SUMPRODUCT(--($AL288:$AP288&gt;AM288))+SUMPRODUCT(--($AL288:AM288=AM288))=3,2,IF(SUMPRODUCT(--($AL288:$AP288&gt;AN288))+SUMPRODUCT(--($AL288:AN288=AN288))=3,3,IF(SUMPRODUCT(--($AL288:$AP288&gt;AO288))+SUMPRODUCT(--($AL288:AO288=AO288))=3,4,5)))),"")</f>
        <v/>
      </c>
      <c r="AT288" s="87" t="str">
        <f aca="false">IF($AJ288=Constants!$B$7,LARGE(AL288:AP288,1)+LARGE(AL288:AP288,2)+LARGE(AL288:AP288,3),"")</f>
        <v/>
      </c>
      <c r="AU288" s="87" t="str">
        <f aca="false">IF(ISBLANK($C288),"",IF($AJ288&lt;&gt;Constants!$B$7,$AJ288,AT288*W288))</f>
        <v/>
      </c>
      <c r="AV288" s="87" t="str">
        <f aca="false">IF(ISBLANK($C288),"",IF($AJ288=Constants!$B$7,IF(ISNUMBER(AU288),RANK(AU288,$AU$8:$AU$507),Constants!$B$14),$AJ288))</f>
        <v/>
      </c>
      <c r="AW288" s="87" t="str">
        <f aca="false">IF(ISBLANK($C288),"",IF($AJ288=Constants!$B$7,IF(ISNUMBER(AV288),COUNTIFS($AK$8:$AK$507,"&lt;"&amp;$AK288)+COUNTIFS($AK$8:$AK$507,$AK288,$AV$8:$AV$507,"&lt;"&amp;$AV288)+1,Constants!$B$14),$AJ288))</f>
        <v/>
      </c>
      <c r="AX288" s="87" t="str">
        <f aca="false">IF(ISBLANK($C288),"",IF($AJ288=Constants!$B$7,LARGE(AL288:AP288,4)*W288,""))</f>
        <v/>
      </c>
      <c r="AY288" s="87" t="str">
        <f aca="false">IF(ISBLANK($C288),"",IF($AJ288=Constants!$B$7,RANK(AX288,$AX$8:$AX$507),$AJ288))</f>
        <v/>
      </c>
      <c r="AZ288" s="87" t="str">
        <f aca="false">IF(ISBLANK($C288),"",IF($AJ288=Constants!$B$7,IF(ISNUMBER(AV288),COUNTIFS($AK$8:$AK$507,"&lt;"&amp;$AK288)+COUNTIFS($AK$8:$AK$507,$AK288,$AV$8:$AV$507,"&lt;"&amp;$AV288)+COUNTIFS($AK$8:$AK$507,$AK288,$AV$8:$AV$507,$AV288,$AY$8:$AY$507,"&lt;"&amp;$AY288)+1,Constants!$B$14),$AJ288))</f>
        <v/>
      </c>
      <c r="BA288" s="87" t="str">
        <f aca="false">IF(ISBLANK($C288),"",IF($AJ288=Constants!$B$7,IF(ISNUMBER(AW288),AW288-AZ288,Constants!$B$14),$AJ288))</f>
        <v/>
      </c>
      <c r="BB288" s="88"/>
      <c r="BC288" s="89" t="str">
        <f aca="false">IF(ISBLANK($C288),"",IF($AJ288&lt;&gt;Constants!$B$7,$AJ288,SMALL(AQ288:AS288,1)&amp;", "&amp;SMALL(AQ288:AS288,2)&amp;", "&amp;SMALL(AQ288:AS288,3)))</f>
        <v/>
      </c>
      <c r="BD288" s="90" t="str">
        <f aca="false">IF(ISBLANK($C288),"",IF($AJ288&lt;&gt;Constants!$B$7,$AJ288,W288))</f>
        <v/>
      </c>
      <c r="BE288" s="91" t="str">
        <f aca="false">IF(ISBLANK($C288),"",IF($AJ288&lt;&gt;Constants!$B$7,$AJ288,AU288))</f>
        <v/>
      </c>
      <c r="BF288" s="92" t="str">
        <f aca="false">IF(ISBLANK($C288),"",IF($AJ288&lt;&gt;Constants!$B$7,$AJ288,AK288))</f>
        <v/>
      </c>
      <c r="BG288" s="90" t="str">
        <f aca="false">IF(ISBLANK($C288),"",BA288)</f>
        <v/>
      </c>
      <c r="BH288" s="90" t="str">
        <f aca="false">IF(ISBLANK($C288),"",AZ288)</f>
        <v/>
      </c>
      <c r="BI288" s="93" t="str">
        <f aca="false">IF(ISBLANK($C288),"",IF(BH288=Constants!$B$4,COUNTA($C$8:$C$507)+2,IF(BH288=Constants!$B$5,COUNTA($C$8:$C$507)+1,IF(BH288=Constants!$B$6,COUNTA($C$8:$C$507),BH288))))</f>
        <v/>
      </c>
      <c r="BJ288" s="5"/>
      <c r="BK288" s="94" t="n">
        <f aca="false">IF(OR(ISNUMBER(BH288),BH288=Constants!$B$4,BH288=Constants!$B$6,BH288=Constants!$B$5),1,0)</f>
        <v>0</v>
      </c>
      <c r="BL288" s="94" t="n">
        <v>281</v>
      </c>
      <c r="BM288" s="94" t="str">
        <f aca="false">IF(ISBLANK($C288),"",IF(ISNUMBER(BI288),BI288+ROW($B288)/1000,""))</f>
        <v/>
      </c>
      <c r="BN288" s="94" t="str">
        <f aca="false">IF(ISNUMBER(BM288),RANK(BM288,$BM$8:$BM$507,1),"")</f>
        <v/>
      </c>
      <c r="BO288" s="94" t="str">
        <f aca="false">IF(ISBLANK($C288),"",$B288)</f>
        <v/>
      </c>
      <c r="BP288" s="94" t="str">
        <f aca="false">IF(ISBLANK($C288),"",$C288)</f>
        <v/>
      </c>
      <c r="BQ288" s="94" t="str">
        <f aca="false">IF(ISBLANK($C288),"",$D288)</f>
        <v/>
      </c>
      <c r="BR288" s="95" t="str">
        <f aca="false">BF288</f>
        <v/>
      </c>
      <c r="BS288" s="96" t="str">
        <f aca="false">BE288</f>
        <v/>
      </c>
      <c r="BT288" s="94" t="str">
        <f aca="false">IF(ISBLANK($C288),"",BH288)</f>
        <v/>
      </c>
      <c r="BU288" s="97" t="str">
        <f aca="false">IF($BL288&gt;$BK$7,"",VLOOKUP($BL288,$BN$8:$BT$507,7,FALSE()))</f>
        <v/>
      </c>
      <c r="BV288" s="98" t="str">
        <f aca="false">IF($BL288&gt;$BK$7,"",VLOOKUP($BL288,$BN$8:$BT$507,2,FALSE()))</f>
        <v/>
      </c>
      <c r="BW288" s="98" t="str">
        <f aca="false">IF($BL288&gt;$BK$7,"",VLOOKUP($BL288,$BN$8:$BT$507,3,FALSE()))</f>
        <v/>
      </c>
      <c r="BX288" s="98" t="str">
        <f aca="false">IF($BL288&gt;$BK$7,"",VLOOKUP($BL288,$BN$8:$BT$507,4,FALSE()))</f>
        <v/>
      </c>
      <c r="BY288" s="98" t="str">
        <f aca="false">IF($BL288&gt;$BK$7,"",VLOOKUP($BL288,$BN$8:$BT$507,5,FALSE()))</f>
        <v/>
      </c>
      <c r="BZ288" s="99" t="str">
        <f aca="false">IF($BL288&gt;$BK$7,"",VLOOKUP($BL288,$BN$8:$BT$507,6,FALSE()))</f>
        <v/>
      </c>
      <c r="CA288" s="48"/>
    </row>
    <row r="289" customFormat="false" ht="15.75" hidden="false" customHeight="false" outlineLevel="0" collapsed="false">
      <c r="A289" s="5"/>
      <c r="B289" s="114"/>
      <c r="C289" s="115"/>
      <c r="D289" s="100"/>
      <c r="E289" s="120"/>
      <c r="F289" s="125"/>
      <c r="G289" s="82"/>
      <c r="H289" s="126"/>
      <c r="I289" s="127"/>
      <c r="J289" s="82"/>
      <c r="K289" s="126"/>
      <c r="L289" s="82"/>
      <c r="M289" s="126"/>
      <c r="N289" s="82"/>
      <c r="O289" s="126"/>
      <c r="P289" s="82"/>
      <c r="Q289" s="126"/>
      <c r="R289" s="82"/>
      <c r="S289" s="120"/>
      <c r="T289" s="86"/>
      <c r="U289" s="87" t="str">
        <f aca="false">IF(ISBLANK($C289),"",IF(E289=Constants!$B$2, TRUE(), IF(E289=Constants!$B$3, FALSE(), TRUE())))</f>
        <v/>
      </c>
      <c r="V289" s="87" t="str">
        <f aca="false">IF(ISBLANK($C289),"",IF(F289=Constants!$B$2, TRUE(), IF(F289=Constants!$B$3, FALSE(), TRUE())))</f>
        <v/>
      </c>
      <c r="W289" s="87" t="str">
        <f aca="false">IF(ISBLANK($C289),"",IF(G289=Constants!$B$15,Constants!$B$8,IF(G289=Constants!$B$16,Constants!$B$9,Constants!$B$10)))</f>
        <v/>
      </c>
      <c r="X289" s="87" t="str">
        <f aca="false">IF(ISBLANK($C289),"",IF(H289=Constants!$B$2, TRUE(), IF(H289=Constants!$B$3, FALSE(), TRUE())))</f>
        <v/>
      </c>
      <c r="Y289" s="87" t="str">
        <f aca="false">IF(ISBLANK($C289),"",IF(I289=Constants!$B$19,Constants!$B$19,Constants!$B$18))</f>
        <v/>
      </c>
      <c r="Z289" s="87" t="str">
        <f aca="false">IF(ISBLANK($C289),"",IF(ISNUMBER(J289),IF(J289&gt;=0,J289,""),""))</f>
        <v/>
      </c>
      <c r="AA289" s="87" t="str">
        <f aca="false">IF(ISBLANK($C289),"",IF(K289=Constants!$B$19,Constants!$B$19,Constants!$B$18))</f>
        <v/>
      </c>
      <c r="AB289" s="87" t="str">
        <f aca="false">IF(ISBLANK($C289),"",IF(ISNUMBER(L289),IF(L289&gt;=0,L289,""),""))</f>
        <v/>
      </c>
      <c r="AC289" s="87" t="str">
        <f aca="false">IF(ISBLANK($C289),"",IF(M289=Constants!$B$19,Constants!$B$19,Constants!$B$18))</f>
        <v/>
      </c>
      <c r="AD289" s="87" t="str">
        <f aca="false">IF(ISBLANK($C289),"",IF(ISNUMBER(N289),IF(N289&gt;=0,N289,""),""))</f>
        <v/>
      </c>
      <c r="AE289" s="87" t="str">
        <f aca="false">IF(ISBLANK($C289),"",IF(O289=Constants!$B$19,Constants!$B$19,Constants!$B$18))</f>
        <v/>
      </c>
      <c r="AF289" s="87" t="str">
        <f aca="false">IF(ISBLANK($C289),"",IF(ISNUMBER(P289),IF(P289&gt;=0,P289,""),""))</f>
        <v/>
      </c>
      <c r="AG289" s="87" t="str">
        <f aca="false">IF(ISBLANK($C289),"",IF(Q289=Constants!$B$19,Constants!$B$19,Constants!$B$18))</f>
        <v/>
      </c>
      <c r="AH289" s="87" t="str">
        <f aca="false">IF(ISBLANK($C289),"",IF(ISNUMBER(R289),IF(R289&gt;=0,R289,""),""))</f>
        <v/>
      </c>
      <c r="AI289" s="87" t="str">
        <f aca="false">IF(ISBLANK($C289),"",IF(S289=Constants!$B$2, TRUE(), IF(S289=Constants!$B$3, FALSE(), FALSE())))</f>
        <v/>
      </c>
      <c r="AJ289" s="87" t="str">
        <f aca="false">IF(ISBLANK($C289),"",IF(AI289,Constants!$B$4,IF(COUNTA(E289:R289)=0,Constants!$B$5,IF(COUNTA(J289,L289,N289,P289,R289)=0,Constants!$B$6,Constants!$B$7))))</f>
        <v/>
      </c>
      <c r="AK289" s="87" t="str">
        <f aca="false">IF(ISBLANK($C289),"",IF($AJ289&lt;&gt;Constants!$B$7,$AJ289,IF(OR(NOT(X289),AND(NOT(U289),COUNTIFS(Y289:AG289,Constants!$B$18,Z289:AH289,"&gt;=0")&gt;0),AND(NOT(V289),COUNTIFS(Y289:AG289,Constants!$B$19,Z289:AH289,"&gt;=0")&gt;0)),Constants!$B$12,Constants!$B$11)))</f>
        <v/>
      </c>
      <c r="AL289" s="87" t="str">
        <f aca="false">IF($AJ289=Constants!$B$7,IF(Z289="",Constants!$B$13,Z289),"")</f>
        <v/>
      </c>
      <c r="AM289" s="87" t="str">
        <f aca="false">IF($AJ289=Constants!$B$7,IF(AB289="",Constants!$B$13,AB289),"")</f>
        <v/>
      </c>
      <c r="AN289" s="87" t="str">
        <f aca="false">IF($AJ289=Constants!$B$7,IF(AD289="",Constants!$B$13,AD289),"")</f>
        <v/>
      </c>
      <c r="AO289" s="87" t="str">
        <f aca="false">IF($AJ289=Constants!$B$7,IF(AF289="",Constants!$B$13,AF289),"")</f>
        <v/>
      </c>
      <c r="AP289" s="87" t="str">
        <f aca="false">IF($AJ289=Constants!$B$7,IF(AH289="",Constants!$B$13,AH289),"")</f>
        <v/>
      </c>
      <c r="AQ289" s="87" t="str">
        <f aca="false">IF($AJ289=Constants!$B$7,IF(SUMPRODUCT(--($AL289:$AP289&gt;AL289))+SUMPRODUCT(--($AL289:AL289=AL289))=1,1,IF(SUMPRODUCT(--($AL289:$AP289&gt;AM289))+SUMPRODUCT(--($AL289:AM289=AM289))=1,2,IF(SUMPRODUCT(--($AL289:$AP289&gt;AN289))+SUMPRODUCT(--($AL289:AN289=AN289))=1,3,IF(SUMPRODUCT(--($AL289:$AP289&gt;AO289))+SUMPRODUCT(--($AL289:AO289=AO289))=1,4,5)))),"")</f>
        <v/>
      </c>
      <c r="AR289" s="87" t="str">
        <f aca="false">IF($AJ289=Constants!$B$7,IF(SUMPRODUCT(--($AL289:$AP289&gt;AL289))+SUMPRODUCT(--($AL289:AL289=AL289))=2,1,IF(SUMPRODUCT(--($AL289:$AP289&gt;AM289))+SUMPRODUCT(--($AL289:AM289=AM289))=2,2,IF(SUMPRODUCT(--($AL289:$AP289&gt;AN289))+SUMPRODUCT(--($AL289:AN289=AN289))=2,3,IF(SUMPRODUCT(--($AL289:$AP289&gt;AO289))+SUMPRODUCT(--($AL289:AO289=AO289))=2,4,5)))),"")</f>
        <v/>
      </c>
      <c r="AS289" s="87" t="str">
        <f aca="false">IF($AJ289=Constants!$B$7,IF(SUMPRODUCT(--($AL289:$AP289&gt;AL289))+SUMPRODUCT(--($AL289:AL289=AL289))=3,1,IF(SUMPRODUCT(--($AL289:$AP289&gt;AM289))+SUMPRODUCT(--($AL289:AM289=AM289))=3,2,IF(SUMPRODUCT(--($AL289:$AP289&gt;AN289))+SUMPRODUCT(--($AL289:AN289=AN289))=3,3,IF(SUMPRODUCT(--($AL289:$AP289&gt;AO289))+SUMPRODUCT(--($AL289:AO289=AO289))=3,4,5)))),"")</f>
        <v/>
      </c>
      <c r="AT289" s="87" t="str">
        <f aca="false">IF($AJ289=Constants!$B$7,LARGE(AL289:AP289,1)+LARGE(AL289:AP289,2)+LARGE(AL289:AP289,3),"")</f>
        <v/>
      </c>
      <c r="AU289" s="87" t="str">
        <f aca="false">IF(ISBLANK($C289),"",IF($AJ289&lt;&gt;Constants!$B$7,$AJ289,AT289*W289))</f>
        <v/>
      </c>
      <c r="AV289" s="87" t="str">
        <f aca="false">IF(ISBLANK($C289),"",IF($AJ289=Constants!$B$7,IF(ISNUMBER(AU289),RANK(AU289,$AU$8:$AU$507),Constants!$B$14),$AJ289))</f>
        <v/>
      </c>
      <c r="AW289" s="87" t="str">
        <f aca="false">IF(ISBLANK($C289),"",IF($AJ289=Constants!$B$7,IF(ISNUMBER(AV289),COUNTIFS($AK$8:$AK$507,"&lt;"&amp;$AK289)+COUNTIFS($AK$8:$AK$507,$AK289,$AV$8:$AV$507,"&lt;"&amp;$AV289)+1,Constants!$B$14),$AJ289))</f>
        <v/>
      </c>
      <c r="AX289" s="87" t="str">
        <f aca="false">IF(ISBLANK($C289),"",IF($AJ289=Constants!$B$7,LARGE(AL289:AP289,4)*W289,""))</f>
        <v/>
      </c>
      <c r="AY289" s="87" t="str">
        <f aca="false">IF(ISBLANK($C289),"",IF($AJ289=Constants!$B$7,RANK(AX289,$AX$8:$AX$507),$AJ289))</f>
        <v/>
      </c>
      <c r="AZ289" s="87" t="str">
        <f aca="false">IF(ISBLANK($C289),"",IF($AJ289=Constants!$B$7,IF(ISNUMBER(AV289),COUNTIFS($AK$8:$AK$507,"&lt;"&amp;$AK289)+COUNTIFS($AK$8:$AK$507,$AK289,$AV$8:$AV$507,"&lt;"&amp;$AV289)+COUNTIFS($AK$8:$AK$507,$AK289,$AV$8:$AV$507,$AV289,$AY$8:$AY$507,"&lt;"&amp;$AY289)+1,Constants!$B$14),$AJ289))</f>
        <v/>
      </c>
      <c r="BA289" s="87" t="str">
        <f aca="false">IF(ISBLANK($C289),"",IF($AJ289=Constants!$B$7,IF(ISNUMBER(AW289),AW289-AZ289,Constants!$B$14),$AJ289))</f>
        <v/>
      </c>
      <c r="BB289" s="88"/>
      <c r="BC289" s="89" t="str">
        <f aca="false">IF(ISBLANK($C289),"",IF($AJ289&lt;&gt;Constants!$B$7,$AJ289,SMALL(AQ289:AS289,1)&amp;", "&amp;SMALL(AQ289:AS289,2)&amp;", "&amp;SMALL(AQ289:AS289,3)))</f>
        <v/>
      </c>
      <c r="BD289" s="90" t="str">
        <f aca="false">IF(ISBLANK($C289),"",IF($AJ289&lt;&gt;Constants!$B$7,$AJ289,W289))</f>
        <v/>
      </c>
      <c r="BE289" s="91" t="str">
        <f aca="false">IF(ISBLANK($C289),"",IF($AJ289&lt;&gt;Constants!$B$7,$AJ289,AU289))</f>
        <v/>
      </c>
      <c r="BF289" s="92" t="str">
        <f aca="false">IF(ISBLANK($C289),"",IF($AJ289&lt;&gt;Constants!$B$7,$AJ289,AK289))</f>
        <v/>
      </c>
      <c r="BG289" s="90" t="str">
        <f aca="false">IF(ISBLANK($C289),"",BA289)</f>
        <v/>
      </c>
      <c r="BH289" s="90" t="str">
        <f aca="false">IF(ISBLANK($C289),"",AZ289)</f>
        <v/>
      </c>
      <c r="BI289" s="93" t="str">
        <f aca="false">IF(ISBLANK($C289),"",IF(BH289=Constants!$B$4,COUNTA($C$8:$C$507)+2,IF(BH289=Constants!$B$5,COUNTA($C$8:$C$507)+1,IF(BH289=Constants!$B$6,COUNTA($C$8:$C$507),BH289))))</f>
        <v/>
      </c>
      <c r="BJ289" s="5"/>
      <c r="BK289" s="94" t="n">
        <f aca="false">IF(OR(ISNUMBER(BH289),BH289=Constants!$B$4,BH289=Constants!$B$6,BH289=Constants!$B$5),1,0)</f>
        <v>0</v>
      </c>
      <c r="BL289" s="94" t="n">
        <v>282</v>
      </c>
      <c r="BM289" s="94" t="str">
        <f aca="false">IF(ISBLANK($C289),"",IF(ISNUMBER(BI289),BI289+ROW($B289)/1000,""))</f>
        <v/>
      </c>
      <c r="BN289" s="94" t="str">
        <f aca="false">IF(ISNUMBER(BM289),RANK(BM289,$BM$8:$BM$507,1),"")</f>
        <v/>
      </c>
      <c r="BO289" s="94" t="str">
        <f aca="false">IF(ISBLANK($C289),"",$B289)</f>
        <v/>
      </c>
      <c r="BP289" s="94" t="str">
        <f aca="false">IF(ISBLANK($C289),"",$C289)</f>
        <v/>
      </c>
      <c r="BQ289" s="94" t="str">
        <f aca="false">IF(ISBLANK($C289),"",$D289)</f>
        <v/>
      </c>
      <c r="BR289" s="95" t="str">
        <f aca="false">BF289</f>
        <v/>
      </c>
      <c r="BS289" s="96" t="str">
        <f aca="false">BE289</f>
        <v/>
      </c>
      <c r="BT289" s="94" t="str">
        <f aca="false">IF(ISBLANK($C289),"",BH289)</f>
        <v/>
      </c>
      <c r="BU289" s="97" t="str">
        <f aca="false">IF($BL289&gt;$BK$7,"",VLOOKUP($BL289,$BN$8:$BT$507,7,FALSE()))</f>
        <v/>
      </c>
      <c r="BV289" s="98" t="str">
        <f aca="false">IF($BL289&gt;$BK$7,"",VLOOKUP($BL289,$BN$8:$BT$507,2,FALSE()))</f>
        <v/>
      </c>
      <c r="BW289" s="98" t="str">
        <f aca="false">IF($BL289&gt;$BK$7,"",VLOOKUP($BL289,$BN$8:$BT$507,3,FALSE()))</f>
        <v/>
      </c>
      <c r="BX289" s="98" t="str">
        <f aca="false">IF($BL289&gt;$BK$7,"",VLOOKUP($BL289,$BN$8:$BT$507,4,FALSE()))</f>
        <v/>
      </c>
      <c r="BY289" s="98" t="str">
        <f aca="false">IF($BL289&gt;$BK$7,"",VLOOKUP($BL289,$BN$8:$BT$507,5,FALSE()))</f>
        <v/>
      </c>
      <c r="BZ289" s="99" t="str">
        <f aca="false">IF($BL289&gt;$BK$7,"",VLOOKUP($BL289,$BN$8:$BT$507,6,FALSE()))</f>
        <v/>
      </c>
      <c r="CA289" s="48"/>
    </row>
    <row r="290" customFormat="false" ht="15.75" hidden="false" customHeight="false" outlineLevel="0" collapsed="false">
      <c r="A290" s="5"/>
      <c r="B290" s="121"/>
      <c r="C290" s="50"/>
      <c r="D290" s="51"/>
      <c r="E290" s="74"/>
      <c r="F290" s="122"/>
      <c r="G290" s="54"/>
      <c r="H290" s="123"/>
      <c r="I290" s="124"/>
      <c r="J290" s="54"/>
      <c r="K290" s="123"/>
      <c r="L290" s="54"/>
      <c r="M290" s="123"/>
      <c r="N290" s="54"/>
      <c r="O290" s="123"/>
      <c r="P290" s="54"/>
      <c r="Q290" s="123"/>
      <c r="R290" s="54"/>
      <c r="S290" s="74"/>
      <c r="T290" s="58"/>
      <c r="U290" s="59" t="str">
        <f aca="false">IF(ISBLANK($C290),"",IF(E290=Constants!$B$2, TRUE(), IF(E290=Constants!$B$3, FALSE(), TRUE())))</f>
        <v/>
      </c>
      <c r="V290" s="59" t="str">
        <f aca="false">IF(ISBLANK($C290),"",IF(F290=Constants!$B$2, TRUE(), IF(F290=Constants!$B$3, FALSE(), TRUE())))</f>
        <v/>
      </c>
      <c r="W290" s="59" t="str">
        <f aca="false">IF(ISBLANK($C290),"",IF(G290=Constants!$B$15,Constants!$B$8,IF(G290=Constants!$B$16,Constants!$B$9,Constants!$B$10)))</f>
        <v/>
      </c>
      <c r="X290" s="59" t="str">
        <f aca="false">IF(ISBLANK($C290),"",IF(H290=Constants!$B$2, TRUE(), IF(H290=Constants!$B$3, FALSE(), TRUE())))</f>
        <v/>
      </c>
      <c r="Y290" s="59" t="str">
        <f aca="false">IF(ISBLANK($C290),"",IF(I290=Constants!$B$19,Constants!$B$19,Constants!$B$18))</f>
        <v/>
      </c>
      <c r="Z290" s="59" t="str">
        <f aca="false">IF(ISBLANK($C290),"",IF(ISNUMBER(J290),IF(J290&gt;=0,J290,""),""))</f>
        <v/>
      </c>
      <c r="AA290" s="59" t="str">
        <f aca="false">IF(ISBLANK($C290),"",IF(K290=Constants!$B$19,Constants!$B$19,Constants!$B$18))</f>
        <v/>
      </c>
      <c r="AB290" s="59" t="str">
        <f aca="false">IF(ISBLANK($C290),"",IF(ISNUMBER(L290),IF(L290&gt;=0,L290,""),""))</f>
        <v/>
      </c>
      <c r="AC290" s="59" t="str">
        <f aca="false">IF(ISBLANK($C290),"",IF(M290=Constants!$B$19,Constants!$B$19,Constants!$B$18))</f>
        <v/>
      </c>
      <c r="AD290" s="59" t="str">
        <f aca="false">IF(ISBLANK($C290),"",IF(ISNUMBER(N290),IF(N290&gt;=0,N290,""),""))</f>
        <v/>
      </c>
      <c r="AE290" s="59" t="str">
        <f aca="false">IF(ISBLANK($C290),"",IF(O290=Constants!$B$19,Constants!$B$19,Constants!$B$18))</f>
        <v/>
      </c>
      <c r="AF290" s="59" t="str">
        <f aca="false">IF(ISBLANK($C290),"",IF(ISNUMBER(P290),IF(P290&gt;=0,P290,""),""))</f>
        <v/>
      </c>
      <c r="AG290" s="59" t="str">
        <f aca="false">IF(ISBLANK($C290),"",IF(Q290=Constants!$B$19,Constants!$B$19,Constants!$B$18))</f>
        <v/>
      </c>
      <c r="AH290" s="59" t="str">
        <f aca="false">IF(ISBLANK($C290),"",IF(ISNUMBER(R290),IF(R290&gt;=0,R290,""),""))</f>
        <v/>
      </c>
      <c r="AI290" s="59" t="str">
        <f aca="false">IF(ISBLANK($C290),"",IF(S290=Constants!$B$2, TRUE(), IF(S290=Constants!$B$3, FALSE(), FALSE())))</f>
        <v/>
      </c>
      <c r="AJ290" s="59" t="str">
        <f aca="false">IF(ISBLANK($C290),"",IF(AI290,Constants!$B$4,IF(COUNTA(E290:R290)=0,Constants!$B$5,IF(COUNTA(J290,L290,N290,P290,R290)=0,Constants!$B$6,Constants!$B$7))))</f>
        <v/>
      </c>
      <c r="AK290" s="59" t="str">
        <f aca="false">IF(ISBLANK($C290),"",IF($AJ290&lt;&gt;Constants!$B$7,$AJ290,IF(OR(NOT(X290),AND(NOT(U290),COUNTIFS(Y290:AG290,Constants!$B$18,Z290:AH290,"&gt;=0")&gt;0),AND(NOT(V290),COUNTIFS(Y290:AG290,Constants!$B$19,Z290:AH290,"&gt;=0")&gt;0)),Constants!$B$12,Constants!$B$11)))</f>
        <v/>
      </c>
      <c r="AL290" s="59" t="str">
        <f aca="false">IF($AJ290=Constants!$B$7,IF(Z290="",Constants!$B$13,Z290),"")</f>
        <v/>
      </c>
      <c r="AM290" s="59" t="str">
        <f aca="false">IF($AJ290=Constants!$B$7,IF(AB290="",Constants!$B$13,AB290),"")</f>
        <v/>
      </c>
      <c r="AN290" s="59" t="str">
        <f aca="false">IF($AJ290=Constants!$B$7,IF(AD290="",Constants!$B$13,AD290),"")</f>
        <v/>
      </c>
      <c r="AO290" s="59" t="str">
        <f aca="false">IF($AJ290=Constants!$B$7,IF(AF290="",Constants!$B$13,AF290),"")</f>
        <v/>
      </c>
      <c r="AP290" s="59" t="str">
        <f aca="false">IF($AJ290=Constants!$B$7,IF(AH290="",Constants!$B$13,AH290),"")</f>
        <v/>
      </c>
      <c r="AQ290" s="59" t="str">
        <f aca="false">IF($AJ290=Constants!$B$7,IF(SUMPRODUCT(--($AL290:$AP290&gt;AL290))+SUMPRODUCT(--($AL290:AL290=AL290))=1,1,IF(SUMPRODUCT(--($AL290:$AP290&gt;AM290))+SUMPRODUCT(--($AL290:AM290=AM290))=1,2,IF(SUMPRODUCT(--($AL290:$AP290&gt;AN290))+SUMPRODUCT(--($AL290:AN290=AN290))=1,3,IF(SUMPRODUCT(--($AL290:$AP290&gt;AO290))+SUMPRODUCT(--($AL290:AO290=AO290))=1,4,5)))),"")</f>
        <v/>
      </c>
      <c r="AR290" s="59" t="str">
        <f aca="false">IF($AJ290=Constants!$B$7,IF(SUMPRODUCT(--($AL290:$AP290&gt;AL290))+SUMPRODUCT(--($AL290:AL290=AL290))=2,1,IF(SUMPRODUCT(--($AL290:$AP290&gt;AM290))+SUMPRODUCT(--($AL290:AM290=AM290))=2,2,IF(SUMPRODUCT(--($AL290:$AP290&gt;AN290))+SUMPRODUCT(--($AL290:AN290=AN290))=2,3,IF(SUMPRODUCT(--($AL290:$AP290&gt;AO290))+SUMPRODUCT(--($AL290:AO290=AO290))=2,4,5)))),"")</f>
        <v/>
      </c>
      <c r="AS290" s="59" t="str">
        <f aca="false">IF($AJ290=Constants!$B$7,IF(SUMPRODUCT(--($AL290:$AP290&gt;AL290))+SUMPRODUCT(--($AL290:AL290=AL290))=3,1,IF(SUMPRODUCT(--($AL290:$AP290&gt;AM290))+SUMPRODUCT(--($AL290:AM290=AM290))=3,2,IF(SUMPRODUCT(--($AL290:$AP290&gt;AN290))+SUMPRODUCT(--($AL290:AN290=AN290))=3,3,IF(SUMPRODUCT(--($AL290:$AP290&gt;AO290))+SUMPRODUCT(--($AL290:AO290=AO290))=3,4,5)))),"")</f>
        <v/>
      </c>
      <c r="AT290" s="59" t="str">
        <f aca="false">IF($AJ290=Constants!$B$7,LARGE(AL290:AP290,1)+LARGE(AL290:AP290,2)+LARGE(AL290:AP290,3),"")</f>
        <v/>
      </c>
      <c r="AU290" s="59" t="str">
        <f aca="false">IF(ISBLANK($C290),"",IF($AJ290&lt;&gt;Constants!$B$7,$AJ290,AT290*W290))</f>
        <v/>
      </c>
      <c r="AV290" s="59" t="str">
        <f aca="false">IF(ISBLANK($C290),"",IF($AJ290=Constants!$B$7,IF(ISNUMBER(AU290),RANK(AU290,$AU$8:$AU$507),Constants!$B$14),$AJ290))</f>
        <v/>
      </c>
      <c r="AW290" s="59" t="str">
        <f aca="false">IF(ISBLANK($C290),"",IF($AJ290=Constants!$B$7,IF(ISNUMBER(AV290),COUNTIFS($AK$8:$AK$507,"&lt;"&amp;$AK290)+COUNTIFS($AK$8:$AK$507,$AK290,$AV$8:$AV$507,"&lt;"&amp;$AV290)+1,Constants!$B$14),$AJ290))</f>
        <v/>
      </c>
      <c r="AX290" s="59" t="str">
        <f aca="false">IF(ISBLANK($C290),"",IF($AJ290=Constants!$B$7,LARGE(AL290:AP290,4)*W290,""))</f>
        <v/>
      </c>
      <c r="AY290" s="59" t="str">
        <f aca="false">IF(ISBLANK($C290),"",IF($AJ290=Constants!$B$7,RANK(AX290,$AX$8:$AX$507),$AJ290))</f>
        <v/>
      </c>
      <c r="AZ290" s="59" t="str">
        <f aca="false">IF(ISBLANK($C290),"",IF($AJ290=Constants!$B$7,IF(ISNUMBER(AV290),COUNTIFS($AK$8:$AK$507,"&lt;"&amp;$AK290)+COUNTIFS($AK$8:$AK$507,$AK290,$AV$8:$AV$507,"&lt;"&amp;$AV290)+COUNTIFS($AK$8:$AK$507,$AK290,$AV$8:$AV$507,$AV290,$AY$8:$AY$507,"&lt;"&amp;$AY290)+1,Constants!$B$14),$AJ290))</f>
        <v/>
      </c>
      <c r="BA290" s="59" t="str">
        <f aca="false">IF(ISBLANK($C290),"",IF($AJ290=Constants!$B$7,IF(ISNUMBER(AW290),AW290-AZ290,Constants!$B$14),$AJ290))</f>
        <v/>
      </c>
      <c r="BB290" s="61"/>
      <c r="BC290" s="62" t="str">
        <f aca="false">IF(ISBLANK($C290),"",IF($AJ290&lt;&gt;Constants!$B$7,$AJ290,SMALL(AQ290:AS290,1)&amp;", "&amp;SMALL(AQ290:AS290,2)&amp;", "&amp;SMALL(AQ290:AS290,3)))</f>
        <v/>
      </c>
      <c r="BD290" s="63" t="str">
        <f aca="false">IF(ISBLANK($C290),"",IF($AJ290&lt;&gt;Constants!$B$7,$AJ290,W290))</f>
        <v/>
      </c>
      <c r="BE290" s="64" t="str">
        <f aca="false">IF(ISBLANK($C290),"",IF($AJ290&lt;&gt;Constants!$B$7,$AJ290,AU290))</f>
        <v/>
      </c>
      <c r="BF290" s="65" t="str">
        <f aca="false">IF(ISBLANK($C290),"",IF($AJ290&lt;&gt;Constants!$B$7,$AJ290,AK290))</f>
        <v/>
      </c>
      <c r="BG290" s="63" t="str">
        <f aca="false">IF(ISBLANK($C290),"",BA290)</f>
        <v/>
      </c>
      <c r="BH290" s="63" t="str">
        <f aca="false">IF(ISBLANK($C290),"",AZ290)</f>
        <v/>
      </c>
      <c r="BI290" s="66" t="str">
        <f aca="false">IF(ISBLANK($C290),"",IF(BH290=Constants!$B$4,COUNTA($C$8:$C$507)+2,IF(BH290=Constants!$B$5,COUNTA($C$8:$C$507)+1,IF(BH290=Constants!$B$6,COUNTA($C$8:$C$507),BH290))))</f>
        <v/>
      </c>
      <c r="BJ290" s="5"/>
      <c r="BK290" s="67" t="n">
        <f aca="false">IF(OR(ISNUMBER(BH290),BH290=Constants!$B$4,BH290=Constants!$B$6,BH290=Constants!$B$5),1,0)</f>
        <v>0</v>
      </c>
      <c r="BL290" s="67" t="n">
        <v>283</v>
      </c>
      <c r="BM290" s="67" t="str">
        <f aca="false">IF(ISBLANK($C290),"",IF(ISNUMBER(BI290),BI290+ROW($B290)/1000,""))</f>
        <v/>
      </c>
      <c r="BN290" s="67" t="str">
        <f aca="false">IF(ISNUMBER(BM290),RANK(BM290,$BM$8:$BM$507,1),"")</f>
        <v/>
      </c>
      <c r="BO290" s="67" t="str">
        <f aca="false">IF(ISBLANK($C290),"",$B290)</f>
        <v/>
      </c>
      <c r="BP290" s="67" t="str">
        <f aca="false">IF(ISBLANK($C290),"",$C290)</f>
        <v/>
      </c>
      <c r="BQ290" s="67" t="str">
        <f aca="false">IF(ISBLANK($C290),"",$D290)</f>
        <v/>
      </c>
      <c r="BR290" s="68" t="str">
        <f aca="false">BF290</f>
        <v/>
      </c>
      <c r="BS290" s="69" t="str">
        <f aca="false">BE290</f>
        <v/>
      </c>
      <c r="BT290" s="67" t="str">
        <f aca="false">IF(ISBLANK($C290),"",BH290)</f>
        <v/>
      </c>
      <c r="BU290" s="70" t="str">
        <f aca="false">IF($BL290&gt;$BK$7,"",VLOOKUP($BL290,$BN$8:$BT$507,7,FALSE()))</f>
        <v/>
      </c>
      <c r="BV290" s="71" t="str">
        <f aca="false">IF($BL290&gt;$BK$7,"",VLOOKUP($BL290,$BN$8:$BT$507,2,FALSE()))</f>
        <v/>
      </c>
      <c r="BW290" s="71" t="str">
        <f aca="false">IF($BL290&gt;$BK$7,"",VLOOKUP($BL290,$BN$8:$BT$507,3,FALSE()))</f>
        <v/>
      </c>
      <c r="BX290" s="71" t="str">
        <f aca="false">IF($BL290&gt;$BK$7,"",VLOOKUP($BL290,$BN$8:$BT$507,4,FALSE()))</f>
        <v/>
      </c>
      <c r="BY290" s="71" t="str">
        <f aca="false">IF($BL290&gt;$BK$7,"",VLOOKUP($BL290,$BN$8:$BT$507,5,FALSE()))</f>
        <v/>
      </c>
      <c r="BZ290" s="72" t="str">
        <f aca="false">IF($BL290&gt;$BK$7,"",VLOOKUP($BL290,$BN$8:$BT$507,6,FALSE()))</f>
        <v/>
      </c>
      <c r="CA290" s="48"/>
    </row>
    <row r="291" customFormat="false" ht="15.75" hidden="false" customHeight="false" outlineLevel="0" collapsed="false">
      <c r="A291" s="5"/>
      <c r="B291" s="121"/>
      <c r="C291" s="50"/>
      <c r="D291" s="51"/>
      <c r="E291" s="74"/>
      <c r="F291" s="122"/>
      <c r="G291" s="54"/>
      <c r="H291" s="123"/>
      <c r="I291" s="124"/>
      <c r="J291" s="54"/>
      <c r="K291" s="123"/>
      <c r="L291" s="54"/>
      <c r="M291" s="123"/>
      <c r="N291" s="54"/>
      <c r="O291" s="123"/>
      <c r="P291" s="54"/>
      <c r="Q291" s="123"/>
      <c r="R291" s="54"/>
      <c r="S291" s="74"/>
      <c r="T291" s="58"/>
      <c r="U291" s="59" t="str">
        <f aca="false">IF(ISBLANK($C291),"",IF(E291=Constants!$B$2, TRUE(), IF(E291=Constants!$B$3, FALSE(), TRUE())))</f>
        <v/>
      </c>
      <c r="V291" s="59" t="str">
        <f aca="false">IF(ISBLANK($C291),"",IF(F291=Constants!$B$2, TRUE(), IF(F291=Constants!$B$3, FALSE(), TRUE())))</f>
        <v/>
      </c>
      <c r="W291" s="59" t="str">
        <f aca="false">IF(ISBLANK($C291),"",IF(G291=Constants!$B$15,Constants!$B$8,IF(G291=Constants!$B$16,Constants!$B$9,Constants!$B$10)))</f>
        <v/>
      </c>
      <c r="X291" s="59" t="str">
        <f aca="false">IF(ISBLANK($C291),"",IF(H291=Constants!$B$2, TRUE(), IF(H291=Constants!$B$3, FALSE(), TRUE())))</f>
        <v/>
      </c>
      <c r="Y291" s="59" t="str">
        <f aca="false">IF(ISBLANK($C291),"",IF(I291=Constants!$B$19,Constants!$B$19,Constants!$B$18))</f>
        <v/>
      </c>
      <c r="Z291" s="59" t="str">
        <f aca="false">IF(ISBLANK($C291),"",IF(ISNUMBER(J291),IF(J291&gt;=0,J291,""),""))</f>
        <v/>
      </c>
      <c r="AA291" s="59" t="str">
        <f aca="false">IF(ISBLANK($C291),"",IF(K291=Constants!$B$19,Constants!$B$19,Constants!$B$18))</f>
        <v/>
      </c>
      <c r="AB291" s="59" t="str">
        <f aca="false">IF(ISBLANK($C291),"",IF(ISNUMBER(L291),IF(L291&gt;=0,L291,""),""))</f>
        <v/>
      </c>
      <c r="AC291" s="59" t="str">
        <f aca="false">IF(ISBLANK($C291),"",IF(M291=Constants!$B$19,Constants!$B$19,Constants!$B$18))</f>
        <v/>
      </c>
      <c r="AD291" s="59" t="str">
        <f aca="false">IF(ISBLANK($C291),"",IF(ISNUMBER(N291),IF(N291&gt;=0,N291,""),""))</f>
        <v/>
      </c>
      <c r="AE291" s="59" t="str">
        <f aca="false">IF(ISBLANK($C291),"",IF(O291=Constants!$B$19,Constants!$B$19,Constants!$B$18))</f>
        <v/>
      </c>
      <c r="AF291" s="59" t="str">
        <f aca="false">IF(ISBLANK($C291),"",IF(ISNUMBER(P291),IF(P291&gt;=0,P291,""),""))</f>
        <v/>
      </c>
      <c r="AG291" s="59" t="str">
        <f aca="false">IF(ISBLANK($C291),"",IF(Q291=Constants!$B$19,Constants!$B$19,Constants!$B$18))</f>
        <v/>
      </c>
      <c r="AH291" s="59" t="str">
        <f aca="false">IF(ISBLANK($C291),"",IF(ISNUMBER(R291),IF(R291&gt;=0,R291,""),""))</f>
        <v/>
      </c>
      <c r="AI291" s="59" t="str">
        <f aca="false">IF(ISBLANK($C291),"",IF(S291=Constants!$B$2, TRUE(), IF(S291=Constants!$B$3, FALSE(), FALSE())))</f>
        <v/>
      </c>
      <c r="AJ291" s="59" t="str">
        <f aca="false">IF(ISBLANK($C291),"",IF(AI291,Constants!$B$4,IF(COUNTA(E291:R291)=0,Constants!$B$5,IF(COUNTA(J291,L291,N291,P291,R291)=0,Constants!$B$6,Constants!$B$7))))</f>
        <v/>
      </c>
      <c r="AK291" s="59" t="str">
        <f aca="false">IF(ISBLANK($C291),"",IF($AJ291&lt;&gt;Constants!$B$7,$AJ291,IF(OR(NOT(X291),AND(NOT(U291),COUNTIFS(Y291:AG291,Constants!$B$18,Z291:AH291,"&gt;=0")&gt;0),AND(NOT(V291),COUNTIFS(Y291:AG291,Constants!$B$19,Z291:AH291,"&gt;=0")&gt;0)),Constants!$B$12,Constants!$B$11)))</f>
        <v/>
      </c>
      <c r="AL291" s="59" t="str">
        <f aca="false">IF($AJ291=Constants!$B$7,IF(Z291="",Constants!$B$13,Z291),"")</f>
        <v/>
      </c>
      <c r="AM291" s="59" t="str">
        <f aca="false">IF($AJ291=Constants!$B$7,IF(AB291="",Constants!$B$13,AB291),"")</f>
        <v/>
      </c>
      <c r="AN291" s="59" t="str">
        <f aca="false">IF($AJ291=Constants!$B$7,IF(AD291="",Constants!$B$13,AD291),"")</f>
        <v/>
      </c>
      <c r="AO291" s="59" t="str">
        <f aca="false">IF($AJ291=Constants!$B$7,IF(AF291="",Constants!$B$13,AF291),"")</f>
        <v/>
      </c>
      <c r="AP291" s="59" t="str">
        <f aca="false">IF($AJ291=Constants!$B$7,IF(AH291="",Constants!$B$13,AH291),"")</f>
        <v/>
      </c>
      <c r="AQ291" s="59" t="str">
        <f aca="false">IF($AJ291=Constants!$B$7,IF(SUMPRODUCT(--($AL291:$AP291&gt;AL291))+SUMPRODUCT(--($AL291:AL291=AL291))=1,1,IF(SUMPRODUCT(--($AL291:$AP291&gt;AM291))+SUMPRODUCT(--($AL291:AM291=AM291))=1,2,IF(SUMPRODUCT(--($AL291:$AP291&gt;AN291))+SUMPRODUCT(--($AL291:AN291=AN291))=1,3,IF(SUMPRODUCT(--($AL291:$AP291&gt;AO291))+SUMPRODUCT(--($AL291:AO291=AO291))=1,4,5)))),"")</f>
        <v/>
      </c>
      <c r="AR291" s="59" t="str">
        <f aca="false">IF($AJ291=Constants!$B$7,IF(SUMPRODUCT(--($AL291:$AP291&gt;AL291))+SUMPRODUCT(--($AL291:AL291=AL291))=2,1,IF(SUMPRODUCT(--($AL291:$AP291&gt;AM291))+SUMPRODUCT(--($AL291:AM291=AM291))=2,2,IF(SUMPRODUCT(--($AL291:$AP291&gt;AN291))+SUMPRODUCT(--($AL291:AN291=AN291))=2,3,IF(SUMPRODUCT(--($AL291:$AP291&gt;AO291))+SUMPRODUCT(--($AL291:AO291=AO291))=2,4,5)))),"")</f>
        <v/>
      </c>
      <c r="AS291" s="59" t="str">
        <f aca="false">IF($AJ291=Constants!$B$7,IF(SUMPRODUCT(--($AL291:$AP291&gt;AL291))+SUMPRODUCT(--($AL291:AL291=AL291))=3,1,IF(SUMPRODUCT(--($AL291:$AP291&gt;AM291))+SUMPRODUCT(--($AL291:AM291=AM291))=3,2,IF(SUMPRODUCT(--($AL291:$AP291&gt;AN291))+SUMPRODUCT(--($AL291:AN291=AN291))=3,3,IF(SUMPRODUCT(--($AL291:$AP291&gt;AO291))+SUMPRODUCT(--($AL291:AO291=AO291))=3,4,5)))),"")</f>
        <v/>
      </c>
      <c r="AT291" s="59" t="str">
        <f aca="false">IF($AJ291=Constants!$B$7,LARGE(AL291:AP291,1)+LARGE(AL291:AP291,2)+LARGE(AL291:AP291,3),"")</f>
        <v/>
      </c>
      <c r="AU291" s="59" t="str">
        <f aca="false">IF(ISBLANK($C291),"",IF($AJ291&lt;&gt;Constants!$B$7,$AJ291,AT291*W291))</f>
        <v/>
      </c>
      <c r="AV291" s="59" t="str">
        <f aca="false">IF(ISBLANK($C291),"",IF($AJ291=Constants!$B$7,IF(ISNUMBER(AU291),RANK(AU291,$AU$8:$AU$507),Constants!$B$14),$AJ291))</f>
        <v/>
      </c>
      <c r="AW291" s="59" t="str">
        <f aca="false">IF(ISBLANK($C291),"",IF($AJ291=Constants!$B$7,IF(ISNUMBER(AV291),COUNTIFS($AK$8:$AK$507,"&lt;"&amp;$AK291)+COUNTIFS($AK$8:$AK$507,$AK291,$AV$8:$AV$507,"&lt;"&amp;$AV291)+1,Constants!$B$14),$AJ291))</f>
        <v/>
      </c>
      <c r="AX291" s="59" t="str">
        <f aca="false">IF(ISBLANK($C291),"",IF($AJ291=Constants!$B$7,LARGE(AL291:AP291,4)*W291,""))</f>
        <v/>
      </c>
      <c r="AY291" s="59" t="str">
        <f aca="false">IF(ISBLANK($C291),"",IF($AJ291=Constants!$B$7,RANK(AX291,$AX$8:$AX$507),$AJ291))</f>
        <v/>
      </c>
      <c r="AZ291" s="59" t="str">
        <f aca="false">IF(ISBLANK($C291),"",IF($AJ291=Constants!$B$7,IF(ISNUMBER(AV291),COUNTIFS($AK$8:$AK$507,"&lt;"&amp;$AK291)+COUNTIFS($AK$8:$AK$507,$AK291,$AV$8:$AV$507,"&lt;"&amp;$AV291)+COUNTIFS($AK$8:$AK$507,$AK291,$AV$8:$AV$507,$AV291,$AY$8:$AY$507,"&lt;"&amp;$AY291)+1,Constants!$B$14),$AJ291))</f>
        <v/>
      </c>
      <c r="BA291" s="59" t="str">
        <f aca="false">IF(ISBLANK($C291),"",IF($AJ291=Constants!$B$7,IF(ISNUMBER(AW291),AW291-AZ291,Constants!$B$14),$AJ291))</f>
        <v/>
      </c>
      <c r="BB291" s="61"/>
      <c r="BC291" s="62" t="str">
        <f aca="false">IF(ISBLANK($C291),"",IF($AJ291&lt;&gt;Constants!$B$7,$AJ291,SMALL(AQ291:AS291,1)&amp;", "&amp;SMALL(AQ291:AS291,2)&amp;", "&amp;SMALL(AQ291:AS291,3)))</f>
        <v/>
      </c>
      <c r="BD291" s="63" t="str">
        <f aca="false">IF(ISBLANK($C291),"",IF($AJ291&lt;&gt;Constants!$B$7,$AJ291,W291))</f>
        <v/>
      </c>
      <c r="BE291" s="64" t="str">
        <f aca="false">IF(ISBLANK($C291),"",IF($AJ291&lt;&gt;Constants!$B$7,$AJ291,AU291))</f>
        <v/>
      </c>
      <c r="BF291" s="65" t="str">
        <f aca="false">IF(ISBLANK($C291),"",IF($AJ291&lt;&gt;Constants!$B$7,$AJ291,AK291))</f>
        <v/>
      </c>
      <c r="BG291" s="63" t="str">
        <f aca="false">IF(ISBLANK($C291),"",BA291)</f>
        <v/>
      </c>
      <c r="BH291" s="63" t="str">
        <f aca="false">IF(ISBLANK($C291),"",AZ291)</f>
        <v/>
      </c>
      <c r="BI291" s="66" t="str">
        <f aca="false">IF(ISBLANK($C291),"",IF(BH291=Constants!$B$4,COUNTA($C$8:$C$507)+2,IF(BH291=Constants!$B$5,COUNTA($C$8:$C$507)+1,IF(BH291=Constants!$B$6,COUNTA($C$8:$C$507),BH291))))</f>
        <v/>
      </c>
      <c r="BJ291" s="5"/>
      <c r="BK291" s="67" t="n">
        <f aca="false">IF(OR(ISNUMBER(BH291),BH291=Constants!$B$4,BH291=Constants!$B$6,BH291=Constants!$B$5),1,0)</f>
        <v>0</v>
      </c>
      <c r="BL291" s="67" t="n">
        <v>284</v>
      </c>
      <c r="BM291" s="67" t="str">
        <f aca="false">IF(ISBLANK($C291),"",IF(ISNUMBER(BI291),BI291+ROW($B291)/1000,""))</f>
        <v/>
      </c>
      <c r="BN291" s="67" t="str">
        <f aca="false">IF(ISNUMBER(BM291),RANK(BM291,$BM$8:$BM$507,1),"")</f>
        <v/>
      </c>
      <c r="BO291" s="67" t="str">
        <f aca="false">IF(ISBLANK($C291),"",$B291)</f>
        <v/>
      </c>
      <c r="BP291" s="67" t="str">
        <f aca="false">IF(ISBLANK($C291),"",$C291)</f>
        <v/>
      </c>
      <c r="BQ291" s="67" t="str">
        <f aca="false">IF(ISBLANK($C291),"",$D291)</f>
        <v/>
      </c>
      <c r="BR291" s="68" t="str">
        <f aca="false">BF291</f>
        <v/>
      </c>
      <c r="BS291" s="69" t="str">
        <f aca="false">BE291</f>
        <v/>
      </c>
      <c r="BT291" s="67" t="str">
        <f aca="false">IF(ISBLANK($C291),"",BH291)</f>
        <v/>
      </c>
      <c r="BU291" s="70" t="str">
        <f aca="false">IF($BL291&gt;$BK$7,"",VLOOKUP($BL291,$BN$8:$BT$507,7,FALSE()))</f>
        <v/>
      </c>
      <c r="BV291" s="71" t="str">
        <f aca="false">IF($BL291&gt;$BK$7,"",VLOOKUP($BL291,$BN$8:$BT$507,2,FALSE()))</f>
        <v/>
      </c>
      <c r="BW291" s="71" t="str">
        <f aca="false">IF($BL291&gt;$BK$7,"",VLOOKUP($BL291,$BN$8:$BT$507,3,FALSE()))</f>
        <v/>
      </c>
      <c r="BX291" s="71" t="str">
        <f aca="false">IF($BL291&gt;$BK$7,"",VLOOKUP($BL291,$BN$8:$BT$507,4,FALSE()))</f>
        <v/>
      </c>
      <c r="BY291" s="71" t="str">
        <f aca="false">IF($BL291&gt;$BK$7,"",VLOOKUP($BL291,$BN$8:$BT$507,5,FALSE()))</f>
        <v/>
      </c>
      <c r="BZ291" s="72" t="str">
        <f aca="false">IF($BL291&gt;$BK$7,"",VLOOKUP($BL291,$BN$8:$BT$507,6,FALSE()))</f>
        <v/>
      </c>
      <c r="CA291" s="48"/>
    </row>
    <row r="292" customFormat="false" ht="15.75" hidden="false" customHeight="false" outlineLevel="0" collapsed="false">
      <c r="A292" s="5"/>
      <c r="B292" s="121"/>
      <c r="C292" s="50"/>
      <c r="D292" s="51"/>
      <c r="E292" s="74"/>
      <c r="F292" s="122"/>
      <c r="G292" s="54"/>
      <c r="H292" s="123"/>
      <c r="I292" s="124"/>
      <c r="J292" s="54"/>
      <c r="K292" s="123"/>
      <c r="L292" s="54"/>
      <c r="M292" s="123"/>
      <c r="N292" s="54"/>
      <c r="O292" s="123"/>
      <c r="P292" s="54"/>
      <c r="Q292" s="123"/>
      <c r="R292" s="54"/>
      <c r="S292" s="74"/>
      <c r="T292" s="58"/>
      <c r="U292" s="59" t="str">
        <f aca="false">IF(ISBLANK($C292),"",IF(E292=Constants!$B$2, TRUE(), IF(E292=Constants!$B$3, FALSE(), TRUE())))</f>
        <v/>
      </c>
      <c r="V292" s="59" t="str">
        <f aca="false">IF(ISBLANK($C292),"",IF(F292=Constants!$B$2, TRUE(), IF(F292=Constants!$B$3, FALSE(), TRUE())))</f>
        <v/>
      </c>
      <c r="W292" s="59" t="str">
        <f aca="false">IF(ISBLANK($C292),"",IF(G292=Constants!$B$15,Constants!$B$8,IF(G292=Constants!$B$16,Constants!$B$9,Constants!$B$10)))</f>
        <v/>
      </c>
      <c r="X292" s="59" t="str">
        <f aca="false">IF(ISBLANK($C292),"",IF(H292=Constants!$B$2, TRUE(), IF(H292=Constants!$B$3, FALSE(), TRUE())))</f>
        <v/>
      </c>
      <c r="Y292" s="59" t="str">
        <f aca="false">IF(ISBLANK($C292),"",IF(I292=Constants!$B$19,Constants!$B$19,Constants!$B$18))</f>
        <v/>
      </c>
      <c r="Z292" s="59" t="str">
        <f aca="false">IF(ISBLANK($C292),"",IF(ISNUMBER(J292),IF(J292&gt;=0,J292,""),""))</f>
        <v/>
      </c>
      <c r="AA292" s="59" t="str">
        <f aca="false">IF(ISBLANK($C292),"",IF(K292=Constants!$B$19,Constants!$B$19,Constants!$B$18))</f>
        <v/>
      </c>
      <c r="AB292" s="59" t="str">
        <f aca="false">IF(ISBLANK($C292),"",IF(ISNUMBER(L292),IF(L292&gt;=0,L292,""),""))</f>
        <v/>
      </c>
      <c r="AC292" s="59" t="str">
        <f aca="false">IF(ISBLANK($C292),"",IF(M292=Constants!$B$19,Constants!$B$19,Constants!$B$18))</f>
        <v/>
      </c>
      <c r="AD292" s="59" t="str">
        <f aca="false">IF(ISBLANK($C292),"",IF(ISNUMBER(N292),IF(N292&gt;=0,N292,""),""))</f>
        <v/>
      </c>
      <c r="AE292" s="59" t="str">
        <f aca="false">IF(ISBLANK($C292),"",IF(O292=Constants!$B$19,Constants!$B$19,Constants!$B$18))</f>
        <v/>
      </c>
      <c r="AF292" s="59" t="str">
        <f aca="false">IF(ISBLANK($C292),"",IF(ISNUMBER(P292),IF(P292&gt;=0,P292,""),""))</f>
        <v/>
      </c>
      <c r="AG292" s="59" t="str">
        <f aca="false">IF(ISBLANK($C292),"",IF(Q292=Constants!$B$19,Constants!$B$19,Constants!$B$18))</f>
        <v/>
      </c>
      <c r="AH292" s="59" t="str">
        <f aca="false">IF(ISBLANK($C292),"",IF(ISNUMBER(R292),IF(R292&gt;=0,R292,""),""))</f>
        <v/>
      </c>
      <c r="AI292" s="59" t="str">
        <f aca="false">IF(ISBLANK($C292),"",IF(S292=Constants!$B$2, TRUE(), IF(S292=Constants!$B$3, FALSE(), FALSE())))</f>
        <v/>
      </c>
      <c r="AJ292" s="59" t="str">
        <f aca="false">IF(ISBLANK($C292),"",IF(AI292,Constants!$B$4,IF(COUNTA(E292:R292)=0,Constants!$B$5,IF(COUNTA(J292,L292,N292,P292,R292)=0,Constants!$B$6,Constants!$B$7))))</f>
        <v/>
      </c>
      <c r="AK292" s="59" t="str">
        <f aca="false">IF(ISBLANK($C292),"",IF($AJ292&lt;&gt;Constants!$B$7,$AJ292,IF(OR(NOT(X292),AND(NOT(U292),COUNTIFS(Y292:AG292,Constants!$B$18,Z292:AH292,"&gt;=0")&gt;0),AND(NOT(V292),COUNTIFS(Y292:AG292,Constants!$B$19,Z292:AH292,"&gt;=0")&gt;0)),Constants!$B$12,Constants!$B$11)))</f>
        <v/>
      </c>
      <c r="AL292" s="59" t="str">
        <f aca="false">IF($AJ292=Constants!$B$7,IF(Z292="",Constants!$B$13,Z292),"")</f>
        <v/>
      </c>
      <c r="AM292" s="59" t="str">
        <f aca="false">IF($AJ292=Constants!$B$7,IF(AB292="",Constants!$B$13,AB292),"")</f>
        <v/>
      </c>
      <c r="AN292" s="59" t="str">
        <f aca="false">IF($AJ292=Constants!$B$7,IF(AD292="",Constants!$B$13,AD292),"")</f>
        <v/>
      </c>
      <c r="AO292" s="59" t="str">
        <f aca="false">IF($AJ292=Constants!$B$7,IF(AF292="",Constants!$B$13,AF292),"")</f>
        <v/>
      </c>
      <c r="AP292" s="59" t="str">
        <f aca="false">IF($AJ292=Constants!$B$7,IF(AH292="",Constants!$B$13,AH292),"")</f>
        <v/>
      </c>
      <c r="AQ292" s="59" t="str">
        <f aca="false">IF($AJ292=Constants!$B$7,IF(SUMPRODUCT(--($AL292:$AP292&gt;AL292))+SUMPRODUCT(--($AL292:AL292=AL292))=1,1,IF(SUMPRODUCT(--($AL292:$AP292&gt;AM292))+SUMPRODUCT(--($AL292:AM292=AM292))=1,2,IF(SUMPRODUCT(--($AL292:$AP292&gt;AN292))+SUMPRODUCT(--($AL292:AN292=AN292))=1,3,IF(SUMPRODUCT(--($AL292:$AP292&gt;AO292))+SUMPRODUCT(--($AL292:AO292=AO292))=1,4,5)))),"")</f>
        <v/>
      </c>
      <c r="AR292" s="59" t="str">
        <f aca="false">IF($AJ292=Constants!$B$7,IF(SUMPRODUCT(--($AL292:$AP292&gt;AL292))+SUMPRODUCT(--($AL292:AL292=AL292))=2,1,IF(SUMPRODUCT(--($AL292:$AP292&gt;AM292))+SUMPRODUCT(--($AL292:AM292=AM292))=2,2,IF(SUMPRODUCT(--($AL292:$AP292&gt;AN292))+SUMPRODUCT(--($AL292:AN292=AN292))=2,3,IF(SUMPRODUCT(--($AL292:$AP292&gt;AO292))+SUMPRODUCT(--($AL292:AO292=AO292))=2,4,5)))),"")</f>
        <v/>
      </c>
      <c r="AS292" s="59" t="str">
        <f aca="false">IF($AJ292=Constants!$B$7,IF(SUMPRODUCT(--($AL292:$AP292&gt;AL292))+SUMPRODUCT(--($AL292:AL292=AL292))=3,1,IF(SUMPRODUCT(--($AL292:$AP292&gt;AM292))+SUMPRODUCT(--($AL292:AM292=AM292))=3,2,IF(SUMPRODUCT(--($AL292:$AP292&gt;AN292))+SUMPRODUCT(--($AL292:AN292=AN292))=3,3,IF(SUMPRODUCT(--($AL292:$AP292&gt;AO292))+SUMPRODUCT(--($AL292:AO292=AO292))=3,4,5)))),"")</f>
        <v/>
      </c>
      <c r="AT292" s="59" t="str">
        <f aca="false">IF($AJ292=Constants!$B$7,LARGE(AL292:AP292,1)+LARGE(AL292:AP292,2)+LARGE(AL292:AP292,3),"")</f>
        <v/>
      </c>
      <c r="AU292" s="59" t="str">
        <f aca="false">IF(ISBLANK($C292),"",IF($AJ292&lt;&gt;Constants!$B$7,$AJ292,AT292*W292))</f>
        <v/>
      </c>
      <c r="AV292" s="59" t="str">
        <f aca="false">IF(ISBLANK($C292),"",IF($AJ292=Constants!$B$7,IF(ISNUMBER(AU292),RANK(AU292,$AU$8:$AU$507),Constants!$B$14),$AJ292))</f>
        <v/>
      </c>
      <c r="AW292" s="59" t="str">
        <f aca="false">IF(ISBLANK($C292),"",IF($AJ292=Constants!$B$7,IF(ISNUMBER(AV292),COUNTIFS($AK$8:$AK$507,"&lt;"&amp;$AK292)+COUNTIFS($AK$8:$AK$507,$AK292,$AV$8:$AV$507,"&lt;"&amp;$AV292)+1,Constants!$B$14),$AJ292))</f>
        <v/>
      </c>
      <c r="AX292" s="59" t="str">
        <f aca="false">IF(ISBLANK($C292),"",IF($AJ292=Constants!$B$7,LARGE(AL292:AP292,4)*W292,""))</f>
        <v/>
      </c>
      <c r="AY292" s="59" t="str">
        <f aca="false">IF(ISBLANK($C292),"",IF($AJ292=Constants!$B$7,RANK(AX292,$AX$8:$AX$507),$AJ292))</f>
        <v/>
      </c>
      <c r="AZ292" s="59" t="str">
        <f aca="false">IF(ISBLANK($C292),"",IF($AJ292=Constants!$B$7,IF(ISNUMBER(AV292),COUNTIFS($AK$8:$AK$507,"&lt;"&amp;$AK292)+COUNTIFS($AK$8:$AK$507,$AK292,$AV$8:$AV$507,"&lt;"&amp;$AV292)+COUNTIFS($AK$8:$AK$507,$AK292,$AV$8:$AV$507,$AV292,$AY$8:$AY$507,"&lt;"&amp;$AY292)+1,Constants!$B$14),$AJ292))</f>
        <v/>
      </c>
      <c r="BA292" s="59" t="str">
        <f aca="false">IF(ISBLANK($C292),"",IF($AJ292=Constants!$B$7,IF(ISNUMBER(AW292),AW292-AZ292,Constants!$B$14),$AJ292))</f>
        <v/>
      </c>
      <c r="BB292" s="61"/>
      <c r="BC292" s="62" t="str">
        <f aca="false">IF(ISBLANK($C292),"",IF($AJ292&lt;&gt;Constants!$B$7,$AJ292,SMALL(AQ292:AS292,1)&amp;", "&amp;SMALL(AQ292:AS292,2)&amp;", "&amp;SMALL(AQ292:AS292,3)))</f>
        <v/>
      </c>
      <c r="BD292" s="63" t="str">
        <f aca="false">IF(ISBLANK($C292),"",IF($AJ292&lt;&gt;Constants!$B$7,$AJ292,W292))</f>
        <v/>
      </c>
      <c r="BE292" s="64" t="str">
        <f aca="false">IF(ISBLANK($C292),"",IF($AJ292&lt;&gt;Constants!$B$7,$AJ292,AU292))</f>
        <v/>
      </c>
      <c r="BF292" s="65" t="str">
        <f aca="false">IF(ISBLANK($C292),"",IF($AJ292&lt;&gt;Constants!$B$7,$AJ292,AK292))</f>
        <v/>
      </c>
      <c r="BG292" s="63" t="str">
        <f aca="false">IF(ISBLANK($C292),"",BA292)</f>
        <v/>
      </c>
      <c r="BH292" s="63" t="str">
        <f aca="false">IF(ISBLANK($C292),"",AZ292)</f>
        <v/>
      </c>
      <c r="BI292" s="66" t="str">
        <f aca="false">IF(ISBLANK($C292),"",IF(BH292=Constants!$B$4,COUNTA($C$8:$C$507)+2,IF(BH292=Constants!$B$5,COUNTA($C$8:$C$507)+1,IF(BH292=Constants!$B$6,COUNTA($C$8:$C$507),BH292))))</f>
        <v/>
      </c>
      <c r="BJ292" s="5"/>
      <c r="BK292" s="67" t="n">
        <f aca="false">IF(OR(ISNUMBER(BH292),BH292=Constants!$B$4,BH292=Constants!$B$6,BH292=Constants!$B$5),1,0)</f>
        <v>0</v>
      </c>
      <c r="BL292" s="67" t="n">
        <v>285</v>
      </c>
      <c r="BM292" s="67" t="str">
        <f aca="false">IF(ISBLANK($C292),"",IF(ISNUMBER(BI292),BI292+ROW($B292)/1000,""))</f>
        <v/>
      </c>
      <c r="BN292" s="67" t="str">
        <f aca="false">IF(ISNUMBER(BM292),RANK(BM292,$BM$8:$BM$507,1),"")</f>
        <v/>
      </c>
      <c r="BO292" s="67" t="str">
        <f aca="false">IF(ISBLANK($C292),"",$B292)</f>
        <v/>
      </c>
      <c r="BP292" s="67" t="str">
        <f aca="false">IF(ISBLANK($C292),"",$C292)</f>
        <v/>
      </c>
      <c r="BQ292" s="67" t="str">
        <f aca="false">IF(ISBLANK($C292),"",$D292)</f>
        <v/>
      </c>
      <c r="BR292" s="68" t="str">
        <f aca="false">BF292</f>
        <v/>
      </c>
      <c r="BS292" s="69" t="str">
        <f aca="false">BE292</f>
        <v/>
      </c>
      <c r="BT292" s="67" t="str">
        <f aca="false">IF(ISBLANK($C292),"",BH292)</f>
        <v/>
      </c>
      <c r="BU292" s="70" t="str">
        <f aca="false">IF($BL292&gt;$BK$7,"",VLOOKUP($BL292,$BN$8:$BT$507,7,FALSE()))</f>
        <v/>
      </c>
      <c r="BV292" s="71" t="str">
        <f aca="false">IF($BL292&gt;$BK$7,"",VLOOKUP($BL292,$BN$8:$BT$507,2,FALSE()))</f>
        <v/>
      </c>
      <c r="BW292" s="71" t="str">
        <f aca="false">IF($BL292&gt;$BK$7,"",VLOOKUP($BL292,$BN$8:$BT$507,3,FALSE()))</f>
        <v/>
      </c>
      <c r="BX292" s="71" t="str">
        <f aca="false">IF($BL292&gt;$BK$7,"",VLOOKUP($BL292,$BN$8:$BT$507,4,FALSE()))</f>
        <v/>
      </c>
      <c r="BY292" s="71" t="str">
        <f aca="false">IF($BL292&gt;$BK$7,"",VLOOKUP($BL292,$BN$8:$BT$507,5,FALSE()))</f>
        <v/>
      </c>
      <c r="BZ292" s="72" t="str">
        <f aca="false">IF($BL292&gt;$BK$7,"",VLOOKUP($BL292,$BN$8:$BT$507,6,FALSE()))</f>
        <v/>
      </c>
      <c r="CA292" s="48"/>
    </row>
    <row r="293" customFormat="false" ht="15.75" hidden="false" customHeight="false" outlineLevel="0" collapsed="false">
      <c r="A293" s="5"/>
      <c r="B293" s="114"/>
      <c r="C293" s="115"/>
      <c r="D293" s="100"/>
      <c r="E293" s="120"/>
      <c r="F293" s="125"/>
      <c r="G293" s="82"/>
      <c r="H293" s="126"/>
      <c r="I293" s="127"/>
      <c r="J293" s="82"/>
      <c r="K293" s="126"/>
      <c r="L293" s="82"/>
      <c r="M293" s="126"/>
      <c r="N293" s="82"/>
      <c r="O293" s="126"/>
      <c r="P293" s="82"/>
      <c r="Q293" s="126"/>
      <c r="R293" s="82"/>
      <c r="S293" s="120"/>
      <c r="T293" s="86"/>
      <c r="U293" s="87" t="str">
        <f aca="false">IF(ISBLANK($C293),"",IF(E293=Constants!$B$2, TRUE(), IF(E293=Constants!$B$3, FALSE(), TRUE())))</f>
        <v/>
      </c>
      <c r="V293" s="87" t="str">
        <f aca="false">IF(ISBLANK($C293),"",IF(F293=Constants!$B$2, TRUE(), IF(F293=Constants!$B$3, FALSE(), TRUE())))</f>
        <v/>
      </c>
      <c r="W293" s="87" t="str">
        <f aca="false">IF(ISBLANK($C293),"",IF(G293=Constants!$B$15,Constants!$B$8,IF(G293=Constants!$B$16,Constants!$B$9,Constants!$B$10)))</f>
        <v/>
      </c>
      <c r="X293" s="87" t="str">
        <f aca="false">IF(ISBLANK($C293),"",IF(H293=Constants!$B$2, TRUE(), IF(H293=Constants!$B$3, FALSE(), TRUE())))</f>
        <v/>
      </c>
      <c r="Y293" s="87" t="str">
        <f aca="false">IF(ISBLANK($C293),"",IF(I293=Constants!$B$19,Constants!$B$19,Constants!$B$18))</f>
        <v/>
      </c>
      <c r="Z293" s="87" t="str">
        <f aca="false">IF(ISBLANK($C293),"",IF(ISNUMBER(J293),IF(J293&gt;=0,J293,""),""))</f>
        <v/>
      </c>
      <c r="AA293" s="87" t="str">
        <f aca="false">IF(ISBLANK($C293),"",IF(K293=Constants!$B$19,Constants!$B$19,Constants!$B$18))</f>
        <v/>
      </c>
      <c r="AB293" s="87" t="str">
        <f aca="false">IF(ISBLANK($C293),"",IF(ISNUMBER(L293),IF(L293&gt;=0,L293,""),""))</f>
        <v/>
      </c>
      <c r="AC293" s="87" t="str">
        <f aca="false">IF(ISBLANK($C293),"",IF(M293=Constants!$B$19,Constants!$B$19,Constants!$B$18))</f>
        <v/>
      </c>
      <c r="AD293" s="87" t="str">
        <f aca="false">IF(ISBLANK($C293),"",IF(ISNUMBER(N293),IF(N293&gt;=0,N293,""),""))</f>
        <v/>
      </c>
      <c r="AE293" s="87" t="str">
        <f aca="false">IF(ISBLANK($C293),"",IF(O293=Constants!$B$19,Constants!$B$19,Constants!$B$18))</f>
        <v/>
      </c>
      <c r="AF293" s="87" t="str">
        <f aca="false">IF(ISBLANK($C293),"",IF(ISNUMBER(P293),IF(P293&gt;=0,P293,""),""))</f>
        <v/>
      </c>
      <c r="AG293" s="87" t="str">
        <f aca="false">IF(ISBLANK($C293),"",IF(Q293=Constants!$B$19,Constants!$B$19,Constants!$B$18))</f>
        <v/>
      </c>
      <c r="AH293" s="87" t="str">
        <f aca="false">IF(ISBLANK($C293),"",IF(ISNUMBER(R293),IF(R293&gt;=0,R293,""),""))</f>
        <v/>
      </c>
      <c r="AI293" s="87" t="str">
        <f aca="false">IF(ISBLANK($C293),"",IF(S293=Constants!$B$2, TRUE(), IF(S293=Constants!$B$3, FALSE(), FALSE())))</f>
        <v/>
      </c>
      <c r="AJ293" s="87" t="str">
        <f aca="false">IF(ISBLANK($C293),"",IF(AI293,Constants!$B$4,IF(COUNTA(E293:R293)=0,Constants!$B$5,IF(COUNTA(J293,L293,N293,P293,R293)=0,Constants!$B$6,Constants!$B$7))))</f>
        <v/>
      </c>
      <c r="AK293" s="87" t="str">
        <f aca="false">IF(ISBLANK($C293),"",IF($AJ293&lt;&gt;Constants!$B$7,$AJ293,IF(OR(NOT(X293),AND(NOT(U293),COUNTIFS(Y293:AG293,Constants!$B$18,Z293:AH293,"&gt;=0")&gt;0),AND(NOT(V293),COUNTIFS(Y293:AG293,Constants!$B$19,Z293:AH293,"&gt;=0")&gt;0)),Constants!$B$12,Constants!$B$11)))</f>
        <v/>
      </c>
      <c r="AL293" s="87" t="str">
        <f aca="false">IF($AJ293=Constants!$B$7,IF(Z293="",Constants!$B$13,Z293),"")</f>
        <v/>
      </c>
      <c r="AM293" s="87" t="str">
        <f aca="false">IF($AJ293=Constants!$B$7,IF(AB293="",Constants!$B$13,AB293),"")</f>
        <v/>
      </c>
      <c r="AN293" s="87" t="str">
        <f aca="false">IF($AJ293=Constants!$B$7,IF(AD293="",Constants!$B$13,AD293),"")</f>
        <v/>
      </c>
      <c r="AO293" s="87" t="str">
        <f aca="false">IF($AJ293=Constants!$B$7,IF(AF293="",Constants!$B$13,AF293),"")</f>
        <v/>
      </c>
      <c r="AP293" s="87" t="str">
        <f aca="false">IF($AJ293=Constants!$B$7,IF(AH293="",Constants!$B$13,AH293),"")</f>
        <v/>
      </c>
      <c r="AQ293" s="87" t="str">
        <f aca="false">IF($AJ293=Constants!$B$7,IF(SUMPRODUCT(--($AL293:$AP293&gt;AL293))+SUMPRODUCT(--($AL293:AL293=AL293))=1,1,IF(SUMPRODUCT(--($AL293:$AP293&gt;AM293))+SUMPRODUCT(--($AL293:AM293=AM293))=1,2,IF(SUMPRODUCT(--($AL293:$AP293&gt;AN293))+SUMPRODUCT(--($AL293:AN293=AN293))=1,3,IF(SUMPRODUCT(--($AL293:$AP293&gt;AO293))+SUMPRODUCT(--($AL293:AO293=AO293))=1,4,5)))),"")</f>
        <v/>
      </c>
      <c r="AR293" s="87" t="str">
        <f aca="false">IF($AJ293=Constants!$B$7,IF(SUMPRODUCT(--($AL293:$AP293&gt;AL293))+SUMPRODUCT(--($AL293:AL293=AL293))=2,1,IF(SUMPRODUCT(--($AL293:$AP293&gt;AM293))+SUMPRODUCT(--($AL293:AM293=AM293))=2,2,IF(SUMPRODUCT(--($AL293:$AP293&gt;AN293))+SUMPRODUCT(--($AL293:AN293=AN293))=2,3,IF(SUMPRODUCT(--($AL293:$AP293&gt;AO293))+SUMPRODUCT(--($AL293:AO293=AO293))=2,4,5)))),"")</f>
        <v/>
      </c>
      <c r="AS293" s="87" t="str">
        <f aca="false">IF($AJ293=Constants!$B$7,IF(SUMPRODUCT(--($AL293:$AP293&gt;AL293))+SUMPRODUCT(--($AL293:AL293=AL293))=3,1,IF(SUMPRODUCT(--($AL293:$AP293&gt;AM293))+SUMPRODUCT(--($AL293:AM293=AM293))=3,2,IF(SUMPRODUCT(--($AL293:$AP293&gt;AN293))+SUMPRODUCT(--($AL293:AN293=AN293))=3,3,IF(SUMPRODUCT(--($AL293:$AP293&gt;AO293))+SUMPRODUCT(--($AL293:AO293=AO293))=3,4,5)))),"")</f>
        <v/>
      </c>
      <c r="AT293" s="87" t="str">
        <f aca="false">IF($AJ293=Constants!$B$7,LARGE(AL293:AP293,1)+LARGE(AL293:AP293,2)+LARGE(AL293:AP293,3),"")</f>
        <v/>
      </c>
      <c r="AU293" s="87" t="str">
        <f aca="false">IF(ISBLANK($C293),"",IF($AJ293&lt;&gt;Constants!$B$7,$AJ293,AT293*W293))</f>
        <v/>
      </c>
      <c r="AV293" s="87" t="str">
        <f aca="false">IF(ISBLANK($C293),"",IF($AJ293=Constants!$B$7,IF(ISNUMBER(AU293),RANK(AU293,$AU$8:$AU$507),Constants!$B$14),$AJ293))</f>
        <v/>
      </c>
      <c r="AW293" s="87" t="str">
        <f aca="false">IF(ISBLANK($C293),"",IF($AJ293=Constants!$B$7,IF(ISNUMBER(AV293),COUNTIFS($AK$8:$AK$507,"&lt;"&amp;$AK293)+COUNTIFS($AK$8:$AK$507,$AK293,$AV$8:$AV$507,"&lt;"&amp;$AV293)+1,Constants!$B$14),$AJ293))</f>
        <v/>
      </c>
      <c r="AX293" s="87" t="str">
        <f aca="false">IF(ISBLANK($C293),"",IF($AJ293=Constants!$B$7,LARGE(AL293:AP293,4)*W293,""))</f>
        <v/>
      </c>
      <c r="AY293" s="87" t="str">
        <f aca="false">IF(ISBLANK($C293),"",IF($AJ293=Constants!$B$7,RANK(AX293,$AX$8:$AX$507),$AJ293))</f>
        <v/>
      </c>
      <c r="AZ293" s="87" t="str">
        <f aca="false">IF(ISBLANK($C293),"",IF($AJ293=Constants!$B$7,IF(ISNUMBER(AV293),COUNTIFS($AK$8:$AK$507,"&lt;"&amp;$AK293)+COUNTIFS($AK$8:$AK$507,$AK293,$AV$8:$AV$507,"&lt;"&amp;$AV293)+COUNTIFS($AK$8:$AK$507,$AK293,$AV$8:$AV$507,$AV293,$AY$8:$AY$507,"&lt;"&amp;$AY293)+1,Constants!$B$14),$AJ293))</f>
        <v/>
      </c>
      <c r="BA293" s="87" t="str">
        <f aca="false">IF(ISBLANK($C293),"",IF($AJ293=Constants!$B$7,IF(ISNUMBER(AW293),AW293-AZ293,Constants!$B$14),$AJ293))</f>
        <v/>
      </c>
      <c r="BB293" s="88"/>
      <c r="BC293" s="89" t="str">
        <f aca="false">IF(ISBLANK($C293),"",IF($AJ293&lt;&gt;Constants!$B$7,$AJ293,SMALL(AQ293:AS293,1)&amp;", "&amp;SMALL(AQ293:AS293,2)&amp;", "&amp;SMALL(AQ293:AS293,3)))</f>
        <v/>
      </c>
      <c r="BD293" s="90" t="str">
        <f aca="false">IF(ISBLANK($C293),"",IF($AJ293&lt;&gt;Constants!$B$7,$AJ293,W293))</f>
        <v/>
      </c>
      <c r="BE293" s="91" t="str">
        <f aca="false">IF(ISBLANK($C293),"",IF($AJ293&lt;&gt;Constants!$B$7,$AJ293,AU293))</f>
        <v/>
      </c>
      <c r="BF293" s="92" t="str">
        <f aca="false">IF(ISBLANK($C293),"",IF($AJ293&lt;&gt;Constants!$B$7,$AJ293,AK293))</f>
        <v/>
      </c>
      <c r="BG293" s="90" t="str">
        <f aca="false">IF(ISBLANK($C293),"",BA293)</f>
        <v/>
      </c>
      <c r="BH293" s="90" t="str">
        <f aca="false">IF(ISBLANK($C293),"",AZ293)</f>
        <v/>
      </c>
      <c r="BI293" s="93" t="str">
        <f aca="false">IF(ISBLANK($C293),"",IF(BH293=Constants!$B$4,COUNTA($C$8:$C$507)+2,IF(BH293=Constants!$B$5,COUNTA($C$8:$C$507)+1,IF(BH293=Constants!$B$6,COUNTA($C$8:$C$507),BH293))))</f>
        <v/>
      </c>
      <c r="BJ293" s="5"/>
      <c r="BK293" s="94" t="n">
        <f aca="false">IF(OR(ISNUMBER(BH293),BH293=Constants!$B$4,BH293=Constants!$B$6,BH293=Constants!$B$5),1,0)</f>
        <v>0</v>
      </c>
      <c r="BL293" s="94" t="n">
        <v>286</v>
      </c>
      <c r="BM293" s="94" t="str">
        <f aca="false">IF(ISBLANK($C293),"",IF(ISNUMBER(BI293),BI293+ROW($B293)/1000,""))</f>
        <v/>
      </c>
      <c r="BN293" s="94" t="str">
        <f aca="false">IF(ISNUMBER(BM293),RANK(BM293,$BM$8:$BM$507,1),"")</f>
        <v/>
      </c>
      <c r="BO293" s="94" t="str">
        <f aca="false">IF(ISBLANK($C293),"",$B293)</f>
        <v/>
      </c>
      <c r="BP293" s="94" t="str">
        <f aca="false">IF(ISBLANK($C293),"",$C293)</f>
        <v/>
      </c>
      <c r="BQ293" s="94" t="str">
        <f aca="false">IF(ISBLANK($C293),"",$D293)</f>
        <v/>
      </c>
      <c r="BR293" s="95" t="str">
        <f aca="false">BF293</f>
        <v/>
      </c>
      <c r="BS293" s="96" t="str">
        <f aca="false">BE293</f>
        <v/>
      </c>
      <c r="BT293" s="94" t="str">
        <f aca="false">IF(ISBLANK($C293),"",BH293)</f>
        <v/>
      </c>
      <c r="BU293" s="97" t="str">
        <f aca="false">IF($BL293&gt;$BK$7,"",VLOOKUP($BL293,$BN$8:$BT$507,7,FALSE()))</f>
        <v/>
      </c>
      <c r="BV293" s="98" t="str">
        <f aca="false">IF($BL293&gt;$BK$7,"",VLOOKUP($BL293,$BN$8:$BT$507,2,FALSE()))</f>
        <v/>
      </c>
      <c r="BW293" s="98" t="str">
        <f aca="false">IF($BL293&gt;$BK$7,"",VLOOKUP($BL293,$BN$8:$BT$507,3,FALSE()))</f>
        <v/>
      </c>
      <c r="BX293" s="98" t="str">
        <f aca="false">IF($BL293&gt;$BK$7,"",VLOOKUP($BL293,$BN$8:$BT$507,4,FALSE()))</f>
        <v/>
      </c>
      <c r="BY293" s="98" t="str">
        <f aca="false">IF($BL293&gt;$BK$7,"",VLOOKUP($BL293,$BN$8:$BT$507,5,FALSE()))</f>
        <v/>
      </c>
      <c r="BZ293" s="99" t="str">
        <f aca="false">IF($BL293&gt;$BK$7,"",VLOOKUP($BL293,$BN$8:$BT$507,6,FALSE()))</f>
        <v/>
      </c>
      <c r="CA293" s="48"/>
    </row>
    <row r="294" customFormat="false" ht="15.75" hidden="false" customHeight="false" outlineLevel="0" collapsed="false">
      <c r="A294" s="5"/>
      <c r="B294" s="114"/>
      <c r="C294" s="115"/>
      <c r="D294" s="100"/>
      <c r="E294" s="120"/>
      <c r="F294" s="125"/>
      <c r="G294" s="82"/>
      <c r="H294" s="126"/>
      <c r="I294" s="127"/>
      <c r="J294" s="82"/>
      <c r="K294" s="126"/>
      <c r="L294" s="82"/>
      <c r="M294" s="126"/>
      <c r="N294" s="82"/>
      <c r="O294" s="126"/>
      <c r="P294" s="82"/>
      <c r="Q294" s="126"/>
      <c r="R294" s="82"/>
      <c r="S294" s="120"/>
      <c r="T294" s="86"/>
      <c r="U294" s="87" t="str">
        <f aca="false">IF(ISBLANK($C294),"",IF(E294=Constants!$B$2, TRUE(), IF(E294=Constants!$B$3, FALSE(), TRUE())))</f>
        <v/>
      </c>
      <c r="V294" s="87" t="str">
        <f aca="false">IF(ISBLANK($C294),"",IF(F294=Constants!$B$2, TRUE(), IF(F294=Constants!$B$3, FALSE(), TRUE())))</f>
        <v/>
      </c>
      <c r="W294" s="87" t="str">
        <f aca="false">IF(ISBLANK($C294),"",IF(G294=Constants!$B$15,Constants!$B$8,IF(G294=Constants!$B$16,Constants!$B$9,Constants!$B$10)))</f>
        <v/>
      </c>
      <c r="X294" s="87" t="str">
        <f aca="false">IF(ISBLANK($C294),"",IF(H294=Constants!$B$2, TRUE(), IF(H294=Constants!$B$3, FALSE(), TRUE())))</f>
        <v/>
      </c>
      <c r="Y294" s="87" t="str">
        <f aca="false">IF(ISBLANK($C294),"",IF(I294=Constants!$B$19,Constants!$B$19,Constants!$B$18))</f>
        <v/>
      </c>
      <c r="Z294" s="87" t="str">
        <f aca="false">IF(ISBLANK($C294),"",IF(ISNUMBER(J294),IF(J294&gt;=0,J294,""),""))</f>
        <v/>
      </c>
      <c r="AA294" s="87" t="str">
        <f aca="false">IF(ISBLANK($C294),"",IF(K294=Constants!$B$19,Constants!$B$19,Constants!$B$18))</f>
        <v/>
      </c>
      <c r="AB294" s="87" t="str">
        <f aca="false">IF(ISBLANK($C294),"",IF(ISNUMBER(L294),IF(L294&gt;=0,L294,""),""))</f>
        <v/>
      </c>
      <c r="AC294" s="87" t="str">
        <f aca="false">IF(ISBLANK($C294),"",IF(M294=Constants!$B$19,Constants!$B$19,Constants!$B$18))</f>
        <v/>
      </c>
      <c r="AD294" s="87" t="str">
        <f aca="false">IF(ISBLANK($C294),"",IF(ISNUMBER(N294),IF(N294&gt;=0,N294,""),""))</f>
        <v/>
      </c>
      <c r="AE294" s="87" t="str">
        <f aca="false">IF(ISBLANK($C294),"",IF(O294=Constants!$B$19,Constants!$B$19,Constants!$B$18))</f>
        <v/>
      </c>
      <c r="AF294" s="87" t="str">
        <f aca="false">IF(ISBLANK($C294),"",IF(ISNUMBER(P294),IF(P294&gt;=0,P294,""),""))</f>
        <v/>
      </c>
      <c r="AG294" s="87" t="str">
        <f aca="false">IF(ISBLANK($C294),"",IF(Q294=Constants!$B$19,Constants!$B$19,Constants!$B$18))</f>
        <v/>
      </c>
      <c r="AH294" s="87" t="str">
        <f aca="false">IF(ISBLANK($C294),"",IF(ISNUMBER(R294),IF(R294&gt;=0,R294,""),""))</f>
        <v/>
      </c>
      <c r="AI294" s="87" t="str">
        <f aca="false">IF(ISBLANK($C294),"",IF(S294=Constants!$B$2, TRUE(), IF(S294=Constants!$B$3, FALSE(), FALSE())))</f>
        <v/>
      </c>
      <c r="AJ294" s="87" t="str">
        <f aca="false">IF(ISBLANK($C294),"",IF(AI294,Constants!$B$4,IF(COUNTA(E294:R294)=0,Constants!$B$5,IF(COUNTA(J294,L294,N294,P294,R294)=0,Constants!$B$6,Constants!$B$7))))</f>
        <v/>
      </c>
      <c r="AK294" s="87" t="str">
        <f aca="false">IF(ISBLANK($C294),"",IF($AJ294&lt;&gt;Constants!$B$7,$AJ294,IF(OR(NOT(X294),AND(NOT(U294),COUNTIFS(Y294:AG294,Constants!$B$18,Z294:AH294,"&gt;=0")&gt;0),AND(NOT(V294),COUNTIFS(Y294:AG294,Constants!$B$19,Z294:AH294,"&gt;=0")&gt;0)),Constants!$B$12,Constants!$B$11)))</f>
        <v/>
      </c>
      <c r="AL294" s="87" t="str">
        <f aca="false">IF($AJ294=Constants!$B$7,IF(Z294="",Constants!$B$13,Z294),"")</f>
        <v/>
      </c>
      <c r="AM294" s="87" t="str">
        <f aca="false">IF($AJ294=Constants!$B$7,IF(AB294="",Constants!$B$13,AB294),"")</f>
        <v/>
      </c>
      <c r="AN294" s="87" t="str">
        <f aca="false">IF($AJ294=Constants!$B$7,IF(AD294="",Constants!$B$13,AD294),"")</f>
        <v/>
      </c>
      <c r="AO294" s="87" t="str">
        <f aca="false">IF($AJ294=Constants!$B$7,IF(AF294="",Constants!$B$13,AF294),"")</f>
        <v/>
      </c>
      <c r="AP294" s="87" t="str">
        <f aca="false">IF($AJ294=Constants!$B$7,IF(AH294="",Constants!$B$13,AH294),"")</f>
        <v/>
      </c>
      <c r="AQ294" s="87" t="str">
        <f aca="false">IF($AJ294=Constants!$B$7,IF(SUMPRODUCT(--($AL294:$AP294&gt;AL294))+SUMPRODUCT(--($AL294:AL294=AL294))=1,1,IF(SUMPRODUCT(--($AL294:$AP294&gt;AM294))+SUMPRODUCT(--($AL294:AM294=AM294))=1,2,IF(SUMPRODUCT(--($AL294:$AP294&gt;AN294))+SUMPRODUCT(--($AL294:AN294=AN294))=1,3,IF(SUMPRODUCT(--($AL294:$AP294&gt;AO294))+SUMPRODUCT(--($AL294:AO294=AO294))=1,4,5)))),"")</f>
        <v/>
      </c>
      <c r="AR294" s="87" t="str">
        <f aca="false">IF($AJ294=Constants!$B$7,IF(SUMPRODUCT(--($AL294:$AP294&gt;AL294))+SUMPRODUCT(--($AL294:AL294=AL294))=2,1,IF(SUMPRODUCT(--($AL294:$AP294&gt;AM294))+SUMPRODUCT(--($AL294:AM294=AM294))=2,2,IF(SUMPRODUCT(--($AL294:$AP294&gt;AN294))+SUMPRODUCT(--($AL294:AN294=AN294))=2,3,IF(SUMPRODUCT(--($AL294:$AP294&gt;AO294))+SUMPRODUCT(--($AL294:AO294=AO294))=2,4,5)))),"")</f>
        <v/>
      </c>
      <c r="AS294" s="87" t="str">
        <f aca="false">IF($AJ294=Constants!$B$7,IF(SUMPRODUCT(--($AL294:$AP294&gt;AL294))+SUMPRODUCT(--($AL294:AL294=AL294))=3,1,IF(SUMPRODUCT(--($AL294:$AP294&gt;AM294))+SUMPRODUCT(--($AL294:AM294=AM294))=3,2,IF(SUMPRODUCT(--($AL294:$AP294&gt;AN294))+SUMPRODUCT(--($AL294:AN294=AN294))=3,3,IF(SUMPRODUCT(--($AL294:$AP294&gt;AO294))+SUMPRODUCT(--($AL294:AO294=AO294))=3,4,5)))),"")</f>
        <v/>
      </c>
      <c r="AT294" s="87" t="str">
        <f aca="false">IF($AJ294=Constants!$B$7,LARGE(AL294:AP294,1)+LARGE(AL294:AP294,2)+LARGE(AL294:AP294,3),"")</f>
        <v/>
      </c>
      <c r="AU294" s="87" t="str">
        <f aca="false">IF(ISBLANK($C294),"",IF($AJ294&lt;&gt;Constants!$B$7,$AJ294,AT294*W294))</f>
        <v/>
      </c>
      <c r="AV294" s="87" t="str">
        <f aca="false">IF(ISBLANK($C294),"",IF($AJ294=Constants!$B$7,IF(ISNUMBER(AU294),RANK(AU294,$AU$8:$AU$507),Constants!$B$14),$AJ294))</f>
        <v/>
      </c>
      <c r="AW294" s="87" t="str">
        <f aca="false">IF(ISBLANK($C294),"",IF($AJ294=Constants!$B$7,IF(ISNUMBER(AV294),COUNTIFS($AK$8:$AK$507,"&lt;"&amp;$AK294)+COUNTIFS($AK$8:$AK$507,$AK294,$AV$8:$AV$507,"&lt;"&amp;$AV294)+1,Constants!$B$14),$AJ294))</f>
        <v/>
      </c>
      <c r="AX294" s="87" t="str">
        <f aca="false">IF(ISBLANK($C294),"",IF($AJ294=Constants!$B$7,LARGE(AL294:AP294,4)*W294,""))</f>
        <v/>
      </c>
      <c r="AY294" s="87" t="str">
        <f aca="false">IF(ISBLANK($C294),"",IF($AJ294=Constants!$B$7,RANK(AX294,$AX$8:$AX$507),$AJ294))</f>
        <v/>
      </c>
      <c r="AZ294" s="87" t="str">
        <f aca="false">IF(ISBLANK($C294),"",IF($AJ294=Constants!$B$7,IF(ISNUMBER(AV294),COUNTIFS($AK$8:$AK$507,"&lt;"&amp;$AK294)+COUNTIFS($AK$8:$AK$507,$AK294,$AV$8:$AV$507,"&lt;"&amp;$AV294)+COUNTIFS($AK$8:$AK$507,$AK294,$AV$8:$AV$507,$AV294,$AY$8:$AY$507,"&lt;"&amp;$AY294)+1,Constants!$B$14),$AJ294))</f>
        <v/>
      </c>
      <c r="BA294" s="87" t="str">
        <f aca="false">IF(ISBLANK($C294),"",IF($AJ294=Constants!$B$7,IF(ISNUMBER(AW294),AW294-AZ294,Constants!$B$14),$AJ294))</f>
        <v/>
      </c>
      <c r="BB294" s="88"/>
      <c r="BC294" s="89" t="str">
        <f aca="false">IF(ISBLANK($C294),"",IF($AJ294&lt;&gt;Constants!$B$7,$AJ294,SMALL(AQ294:AS294,1)&amp;", "&amp;SMALL(AQ294:AS294,2)&amp;", "&amp;SMALL(AQ294:AS294,3)))</f>
        <v/>
      </c>
      <c r="BD294" s="90" t="str">
        <f aca="false">IF(ISBLANK($C294),"",IF($AJ294&lt;&gt;Constants!$B$7,$AJ294,W294))</f>
        <v/>
      </c>
      <c r="BE294" s="91" t="str">
        <f aca="false">IF(ISBLANK($C294),"",IF($AJ294&lt;&gt;Constants!$B$7,$AJ294,AU294))</f>
        <v/>
      </c>
      <c r="BF294" s="92" t="str">
        <f aca="false">IF(ISBLANK($C294),"",IF($AJ294&lt;&gt;Constants!$B$7,$AJ294,AK294))</f>
        <v/>
      </c>
      <c r="BG294" s="90" t="str">
        <f aca="false">IF(ISBLANK($C294),"",BA294)</f>
        <v/>
      </c>
      <c r="BH294" s="90" t="str">
        <f aca="false">IF(ISBLANK($C294),"",AZ294)</f>
        <v/>
      </c>
      <c r="BI294" s="93" t="str">
        <f aca="false">IF(ISBLANK($C294),"",IF(BH294=Constants!$B$4,COUNTA($C$8:$C$507)+2,IF(BH294=Constants!$B$5,COUNTA($C$8:$C$507)+1,IF(BH294=Constants!$B$6,COUNTA($C$8:$C$507),BH294))))</f>
        <v/>
      </c>
      <c r="BJ294" s="5"/>
      <c r="BK294" s="94" t="n">
        <f aca="false">IF(OR(ISNUMBER(BH294),BH294=Constants!$B$4,BH294=Constants!$B$6,BH294=Constants!$B$5),1,0)</f>
        <v>0</v>
      </c>
      <c r="BL294" s="94" t="n">
        <v>287</v>
      </c>
      <c r="BM294" s="94" t="str">
        <f aca="false">IF(ISBLANK($C294),"",IF(ISNUMBER(BI294),BI294+ROW($B294)/1000,""))</f>
        <v/>
      </c>
      <c r="BN294" s="94" t="str">
        <f aca="false">IF(ISNUMBER(BM294),RANK(BM294,$BM$8:$BM$507,1),"")</f>
        <v/>
      </c>
      <c r="BO294" s="94" t="str">
        <f aca="false">IF(ISBLANK($C294),"",$B294)</f>
        <v/>
      </c>
      <c r="BP294" s="94" t="str">
        <f aca="false">IF(ISBLANK($C294),"",$C294)</f>
        <v/>
      </c>
      <c r="BQ294" s="94" t="str">
        <f aca="false">IF(ISBLANK($C294),"",$D294)</f>
        <v/>
      </c>
      <c r="BR294" s="95" t="str">
        <f aca="false">BF294</f>
        <v/>
      </c>
      <c r="BS294" s="96" t="str">
        <f aca="false">BE294</f>
        <v/>
      </c>
      <c r="BT294" s="94" t="str">
        <f aca="false">IF(ISBLANK($C294),"",BH294)</f>
        <v/>
      </c>
      <c r="BU294" s="97" t="str">
        <f aca="false">IF($BL294&gt;$BK$7,"",VLOOKUP($BL294,$BN$8:$BT$507,7,FALSE()))</f>
        <v/>
      </c>
      <c r="BV294" s="98" t="str">
        <f aca="false">IF($BL294&gt;$BK$7,"",VLOOKUP($BL294,$BN$8:$BT$507,2,FALSE()))</f>
        <v/>
      </c>
      <c r="BW294" s="98" t="str">
        <f aca="false">IF($BL294&gt;$BK$7,"",VLOOKUP($BL294,$BN$8:$BT$507,3,FALSE()))</f>
        <v/>
      </c>
      <c r="BX294" s="98" t="str">
        <f aca="false">IF($BL294&gt;$BK$7,"",VLOOKUP($BL294,$BN$8:$BT$507,4,FALSE()))</f>
        <v/>
      </c>
      <c r="BY294" s="98" t="str">
        <f aca="false">IF($BL294&gt;$BK$7,"",VLOOKUP($BL294,$BN$8:$BT$507,5,FALSE()))</f>
        <v/>
      </c>
      <c r="BZ294" s="99" t="str">
        <f aca="false">IF($BL294&gt;$BK$7,"",VLOOKUP($BL294,$BN$8:$BT$507,6,FALSE()))</f>
        <v/>
      </c>
      <c r="CA294" s="48"/>
    </row>
    <row r="295" customFormat="false" ht="15.75" hidden="false" customHeight="false" outlineLevel="0" collapsed="false">
      <c r="A295" s="5"/>
      <c r="B295" s="114"/>
      <c r="C295" s="115"/>
      <c r="D295" s="100"/>
      <c r="E295" s="120"/>
      <c r="F295" s="125"/>
      <c r="G295" s="82"/>
      <c r="H295" s="126"/>
      <c r="I295" s="127"/>
      <c r="J295" s="82"/>
      <c r="K295" s="126"/>
      <c r="L295" s="82"/>
      <c r="M295" s="126"/>
      <c r="N295" s="82"/>
      <c r="O295" s="126"/>
      <c r="P295" s="82"/>
      <c r="Q295" s="126"/>
      <c r="R295" s="82"/>
      <c r="S295" s="120"/>
      <c r="T295" s="86"/>
      <c r="U295" s="87" t="str">
        <f aca="false">IF(ISBLANK($C295),"",IF(E295=Constants!$B$2, TRUE(), IF(E295=Constants!$B$3, FALSE(), TRUE())))</f>
        <v/>
      </c>
      <c r="V295" s="87" t="str">
        <f aca="false">IF(ISBLANK($C295),"",IF(F295=Constants!$B$2, TRUE(), IF(F295=Constants!$B$3, FALSE(), TRUE())))</f>
        <v/>
      </c>
      <c r="W295" s="87" t="str">
        <f aca="false">IF(ISBLANK($C295),"",IF(G295=Constants!$B$15,Constants!$B$8,IF(G295=Constants!$B$16,Constants!$B$9,Constants!$B$10)))</f>
        <v/>
      </c>
      <c r="X295" s="87" t="str">
        <f aca="false">IF(ISBLANK($C295),"",IF(H295=Constants!$B$2, TRUE(), IF(H295=Constants!$B$3, FALSE(), TRUE())))</f>
        <v/>
      </c>
      <c r="Y295" s="87" t="str">
        <f aca="false">IF(ISBLANK($C295),"",IF(I295=Constants!$B$19,Constants!$B$19,Constants!$B$18))</f>
        <v/>
      </c>
      <c r="Z295" s="87" t="str">
        <f aca="false">IF(ISBLANK($C295),"",IF(ISNUMBER(J295),IF(J295&gt;=0,J295,""),""))</f>
        <v/>
      </c>
      <c r="AA295" s="87" t="str">
        <f aca="false">IF(ISBLANK($C295),"",IF(K295=Constants!$B$19,Constants!$B$19,Constants!$B$18))</f>
        <v/>
      </c>
      <c r="AB295" s="87" t="str">
        <f aca="false">IF(ISBLANK($C295),"",IF(ISNUMBER(L295),IF(L295&gt;=0,L295,""),""))</f>
        <v/>
      </c>
      <c r="AC295" s="87" t="str">
        <f aca="false">IF(ISBLANK($C295),"",IF(M295=Constants!$B$19,Constants!$B$19,Constants!$B$18))</f>
        <v/>
      </c>
      <c r="AD295" s="87" t="str">
        <f aca="false">IF(ISBLANK($C295),"",IF(ISNUMBER(N295),IF(N295&gt;=0,N295,""),""))</f>
        <v/>
      </c>
      <c r="AE295" s="87" t="str">
        <f aca="false">IF(ISBLANK($C295),"",IF(O295=Constants!$B$19,Constants!$B$19,Constants!$B$18))</f>
        <v/>
      </c>
      <c r="AF295" s="87" t="str">
        <f aca="false">IF(ISBLANK($C295),"",IF(ISNUMBER(P295),IF(P295&gt;=0,P295,""),""))</f>
        <v/>
      </c>
      <c r="AG295" s="87" t="str">
        <f aca="false">IF(ISBLANK($C295),"",IF(Q295=Constants!$B$19,Constants!$B$19,Constants!$B$18))</f>
        <v/>
      </c>
      <c r="AH295" s="87" t="str">
        <f aca="false">IF(ISBLANK($C295),"",IF(ISNUMBER(R295),IF(R295&gt;=0,R295,""),""))</f>
        <v/>
      </c>
      <c r="AI295" s="87" t="str">
        <f aca="false">IF(ISBLANK($C295),"",IF(S295=Constants!$B$2, TRUE(), IF(S295=Constants!$B$3, FALSE(), FALSE())))</f>
        <v/>
      </c>
      <c r="AJ295" s="87" t="str">
        <f aca="false">IF(ISBLANK($C295),"",IF(AI295,Constants!$B$4,IF(COUNTA(E295:R295)=0,Constants!$B$5,IF(COUNTA(J295,L295,N295,P295,R295)=0,Constants!$B$6,Constants!$B$7))))</f>
        <v/>
      </c>
      <c r="AK295" s="87" t="str">
        <f aca="false">IF(ISBLANK($C295),"",IF($AJ295&lt;&gt;Constants!$B$7,$AJ295,IF(OR(NOT(X295),AND(NOT(U295),COUNTIFS(Y295:AG295,Constants!$B$18,Z295:AH295,"&gt;=0")&gt;0),AND(NOT(V295),COUNTIFS(Y295:AG295,Constants!$B$19,Z295:AH295,"&gt;=0")&gt;0)),Constants!$B$12,Constants!$B$11)))</f>
        <v/>
      </c>
      <c r="AL295" s="87" t="str">
        <f aca="false">IF($AJ295=Constants!$B$7,IF(Z295="",Constants!$B$13,Z295),"")</f>
        <v/>
      </c>
      <c r="AM295" s="87" t="str">
        <f aca="false">IF($AJ295=Constants!$B$7,IF(AB295="",Constants!$B$13,AB295),"")</f>
        <v/>
      </c>
      <c r="AN295" s="87" t="str">
        <f aca="false">IF($AJ295=Constants!$B$7,IF(AD295="",Constants!$B$13,AD295),"")</f>
        <v/>
      </c>
      <c r="AO295" s="87" t="str">
        <f aca="false">IF($AJ295=Constants!$B$7,IF(AF295="",Constants!$B$13,AF295),"")</f>
        <v/>
      </c>
      <c r="AP295" s="87" t="str">
        <f aca="false">IF($AJ295=Constants!$B$7,IF(AH295="",Constants!$B$13,AH295),"")</f>
        <v/>
      </c>
      <c r="AQ295" s="87" t="str">
        <f aca="false">IF($AJ295=Constants!$B$7,IF(SUMPRODUCT(--($AL295:$AP295&gt;AL295))+SUMPRODUCT(--($AL295:AL295=AL295))=1,1,IF(SUMPRODUCT(--($AL295:$AP295&gt;AM295))+SUMPRODUCT(--($AL295:AM295=AM295))=1,2,IF(SUMPRODUCT(--($AL295:$AP295&gt;AN295))+SUMPRODUCT(--($AL295:AN295=AN295))=1,3,IF(SUMPRODUCT(--($AL295:$AP295&gt;AO295))+SUMPRODUCT(--($AL295:AO295=AO295))=1,4,5)))),"")</f>
        <v/>
      </c>
      <c r="AR295" s="87" t="str">
        <f aca="false">IF($AJ295=Constants!$B$7,IF(SUMPRODUCT(--($AL295:$AP295&gt;AL295))+SUMPRODUCT(--($AL295:AL295=AL295))=2,1,IF(SUMPRODUCT(--($AL295:$AP295&gt;AM295))+SUMPRODUCT(--($AL295:AM295=AM295))=2,2,IF(SUMPRODUCT(--($AL295:$AP295&gt;AN295))+SUMPRODUCT(--($AL295:AN295=AN295))=2,3,IF(SUMPRODUCT(--($AL295:$AP295&gt;AO295))+SUMPRODUCT(--($AL295:AO295=AO295))=2,4,5)))),"")</f>
        <v/>
      </c>
      <c r="AS295" s="87" t="str">
        <f aca="false">IF($AJ295=Constants!$B$7,IF(SUMPRODUCT(--($AL295:$AP295&gt;AL295))+SUMPRODUCT(--($AL295:AL295=AL295))=3,1,IF(SUMPRODUCT(--($AL295:$AP295&gt;AM295))+SUMPRODUCT(--($AL295:AM295=AM295))=3,2,IF(SUMPRODUCT(--($AL295:$AP295&gt;AN295))+SUMPRODUCT(--($AL295:AN295=AN295))=3,3,IF(SUMPRODUCT(--($AL295:$AP295&gt;AO295))+SUMPRODUCT(--($AL295:AO295=AO295))=3,4,5)))),"")</f>
        <v/>
      </c>
      <c r="AT295" s="87" t="str">
        <f aca="false">IF($AJ295=Constants!$B$7,LARGE(AL295:AP295,1)+LARGE(AL295:AP295,2)+LARGE(AL295:AP295,3),"")</f>
        <v/>
      </c>
      <c r="AU295" s="87" t="str">
        <f aca="false">IF(ISBLANK($C295),"",IF($AJ295&lt;&gt;Constants!$B$7,$AJ295,AT295*W295))</f>
        <v/>
      </c>
      <c r="AV295" s="87" t="str">
        <f aca="false">IF(ISBLANK($C295),"",IF($AJ295=Constants!$B$7,IF(ISNUMBER(AU295),RANK(AU295,$AU$8:$AU$507),Constants!$B$14),$AJ295))</f>
        <v/>
      </c>
      <c r="AW295" s="87" t="str">
        <f aca="false">IF(ISBLANK($C295),"",IF($AJ295=Constants!$B$7,IF(ISNUMBER(AV295),COUNTIFS($AK$8:$AK$507,"&lt;"&amp;$AK295)+COUNTIFS($AK$8:$AK$507,$AK295,$AV$8:$AV$507,"&lt;"&amp;$AV295)+1,Constants!$B$14),$AJ295))</f>
        <v/>
      </c>
      <c r="AX295" s="87" t="str">
        <f aca="false">IF(ISBLANK($C295),"",IF($AJ295=Constants!$B$7,LARGE(AL295:AP295,4)*W295,""))</f>
        <v/>
      </c>
      <c r="AY295" s="87" t="str">
        <f aca="false">IF(ISBLANK($C295),"",IF($AJ295=Constants!$B$7,RANK(AX295,$AX$8:$AX$507),$AJ295))</f>
        <v/>
      </c>
      <c r="AZ295" s="87" t="str">
        <f aca="false">IF(ISBLANK($C295),"",IF($AJ295=Constants!$B$7,IF(ISNUMBER(AV295),COUNTIFS($AK$8:$AK$507,"&lt;"&amp;$AK295)+COUNTIFS($AK$8:$AK$507,$AK295,$AV$8:$AV$507,"&lt;"&amp;$AV295)+COUNTIFS($AK$8:$AK$507,$AK295,$AV$8:$AV$507,$AV295,$AY$8:$AY$507,"&lt;"&amp;$AY295)+1,Constants!$B$14),$AJ295))</f>
        <v/>
      </c>
      <c r="BA295" s="87" t="str">
        <f aca="false">IF(ISBLANK($C295),"",IF($AJ295=Constants!$B$7,IF(ISNUMBER(AW295),AW295-AZ295,Constants!$B$14),$AJ295))</f>
        <v/>
      </c>
      <c r="BB295" s="88"/>
      <c r="BC295" s="89" t="str">
        <f aca="false">IF(ISBLANK($C295),"",IF($AJ295&lt;&gt;Constants!$B$7,$AJ295,SMALL(AQ295:AS295,1)&amp;", "&amp;SMALL(AQ295:AS295,2)&amp;", "&amp;SMALL(AQ295:AS295,3)))</f>
        <v/>
      </c>
      <c r="BD295" s="90" t="str">
        <f aca="false">IF(ISBLANK($C295),"",IF($AJ295&lt;&gt;Constants!$B$7,$AJ295,W295))</f>
        <v/>
      </c>
      <c r="BE295" s="91" t="str">
        <f aca="false">IF(ISBLANK($C295),"",IF($AJ295&lt;&gt;Constants!$B$7,$AJ295,AU295))</f>
        <v/>
      </c>
      <c r="BF295" s="92" t="str">
        <f aca="false">IF(ISBLANK($C295),"",IF($AJ295&lt;&gt;Constants!$B$7,$AJ295,AK295))</f>
        <v/>
      </c>
      <c r="BG295" s="90" t="str">
        <f aca="false">IF(ISBLANK($C295),"",BA295)</f>
        <v/>
      </c>
      <c r="BH295" s="90" t="str">
        <f aca="false">IF(ISBLANK($C295),"",AZ295)</f>
        <v/>
      </c>
      <c r="BI295" s="93" t="str">
        <f aca="false">IF(ISBLANK($C295),"",IF(BH295=Constants!$B$4,COUNTA($C$8:$C$507)+2,IF(BH295=Constants!$B$5,COUNTA($C$8:$C$507)+1,IF(BH295=Constants!$B$6,COUNTA($C$8:$C$507),BH295))))</f>
        <v/>
      </c>
      <c r="BJ295" s="5"/>
      <c r="BK295" s="94" t="n">
        <f aca="false">IF(OR(ISNUMBER(BH295),BH295=Constants!$B$4,BH295=Constants!$B$6,BH295=Constants!$B$5),1,0)</f>
        <v>0</v>
      </c>
      <c r="BL295" s="94" t="n">
        <v>288</v>
      </c>
      <c r="BM295" s="94" t="str">
        <f aca="false">IF(ISBLANK($C295),"",IF(ISNUMBER(BI295),BI295+ROW($B295)/1000,""))</f>
        <v/>
      </c>
      <c r="BN295" s="94" t="str">
        <f aca="false">IF(ISNUMBER(BM295),RANK(BM295,$BM$8:$BM$507,1),"")</f>
        <v/>
      </c>
      <c r="BO295" s="94" t="str">
        <f aca="false">IF(ISBLANK($C295),"",$B295)</f>
        <v/>
      </c>
      <c r="BP295" s="94" t="str">
        <f aca="false">IF(ISBLANK($C295),"",$C295)</f>
        <v/>
      </c>
      <c r="BQ295" s="94" t="str">
        <f aca="false">IF(ISBLANK($C295),"",$D295)</f>
        <v/>
      </c>
      <c r="BR295" s="95" t="str">
        <f aca="false">BF295</f>
        <v/>
      </c>
      <c r="BS295" s="96" t="str">
        <f aca="false">BE295</f>
        <v/>
      </c>
      <c r="BT295" s="94" t="str">
        <f aca="false">IF(ISBLANK($C295),"",BH295)</f>
        <v/>
      </c>
      <c r="BU295" s="97" t="str">
        <f aca="false">IF($BL295&gt;$BK$7,"",VLOOKUP($BL295,$BN$8:$BT$507,7,FALSE()))</f>
        <v/>
      </c>
      <c r="BV295" s="98" t="str">
        <f aca="false">IF($BL295&gt;$BK$7,"",VLOOKUP($BL295,$BN$8:$BT$507,2,FALSE()))</f>
        <v/>
      </c>
      <c r="BW295" s="98" t="str">
        <f aca="false">IF($BL295&gt;$BK$7,"",VLOOKUP($BL295,$BN$8:$BT$507,3,FALSE()))</f>
        <v/>
      </c>
      <c r="BX295" s="98" t="str">
        <f aca="false">IF($BL295&gt;$BK$7,"",VLOOKUP($BL295,$BN$8:$BT$507,4,FALSE()))</f>
        <v/>
      </c>
      <c r="BY295" s="98" t="str">
        <f aca="false">IF($BL295&gt;$BK$7,"",VLOOKUP($BL295,$BN$8:$BT$507,5,FALSE()))</f>
        <v/>
      </c>
      <c r="BZ295" s="99" t="str">
        <f aca="false">IF($BL295&gt;$BK$7,"",VLOOKUP($BL295,$BN$8:$BT$507,6,FALSE()))</f>
        <v/>
      </c>
      <c r="CA295" s="48"/>
    </row>
    <row r="296" customFormat="false" ht="15.75" hidden="false" customHeight="false" outlineLevel="0" collapsed="false">
      <c r="A296" s="5"/>
      <c r="B296" s="121"/>
      <c r="C296" s="50"/>
      <c r="D296" s="51"/>
      <c r="E296" s="74"/>
      <c r="F296" s="122"/>
      <c r="G296" s="54"/>
      <c r="H296" s="123"/>
      <c r="I296" s="124"/>
      <c r="J296" s="54"/>
      <c r="K296" s="123"/>
      <c r="L296" s="54"/>
      <c r="M296" s="123"/>
      <c r="N296" s="54"/>
      <c r="O296" s="123"/>
      <c r="P296" s="54"/>
      <c r="Q296" s="123"/>
      <c r="R296" s="54"/>
      <c r="S296" s="74"/>
      <c r="T296" s="58"/>
      <c r="U296" s="59" t="str">
        <f aca="false">IF(ISBLANK($C296),"",IF(E296=Constants!$B$2, TRUE(), IF(E296=Constants!$B$3, FALSE(), TRUE())))</f>
        <v/>
      </c>
      <c r="V296" s="59" t="str">
        <f aca="false">IF(ISBLANK($C296),"",IF(F296=Constants!$B$2, TRUE(), IF(F296=Constants!$B$3, FALSE(), TRUE())))</f>
        <v/>
      </c>
      <c r="W296" s="59" t="str">
        <f aca="false">IF(ISBLANK($C296),"",IF(G296=Constants!$B$15,Constants!$B$8,IF(G296=Constants!$B$16,Constants!$B$9,Constants!$B$10)))</f>
        <v/>
      </c>
      <c r="X296" s="59" t="str">
        <f aca="false">IF(ISBLANK($C296),"",IF(H296=Constants!$B$2, TRUE(), IF(H296=Constants!$B$3, FALSE(), TRUE())))</f>
        <v/>
      </c>
      <c r="Y296" s="59" t="str">
        <f aca="false">IF(ISBLANK($C296),"",IF(I296=Constants!$B$19,Constants!$B$19,Constants!$B$18))</f>
        <v/>
      </c>
      <c r="Z296" s="59" t="str">
        <f aca="false">IF(ISBLANK($C296),"",IF(ISNUMBER(J296),IF(J296&gt;=0,J296,""),""))</f>
        <v/>
      </c>
      <c r="AA296" s="59" t="str">
        <f aca="false">IF(ISBLANK($C296),"",IF(K296=Constants!$B$19,Constants!$B$19,Constants!$B$18))</f>
        <v/>
      </c>
      <c r="AB296" s="59" t="str">
        <f aca="false">IF(ISBLANK($C296),"",IF(ISNUMBER(L296),IF(L296&gt;=0,L296,""),""))</f>
        <v/>
      </c>
      <c r="AC296" s="59" t="str">
        <f aca="false">IF(ISBLANK($C296),"",IF(M296=Constants!$B$19,Constants!$B$19,Constants!$B$18))</f>
        <v/>
      </c>
      <c r="AD296" s="59" t="str">
        <f aca="false">IF(ISBLANK($C296),"",IF(ISNUMBER(N296),IF(N296&gt;=0,N296,""),""))</f>
        <v/>
      </c>
      <c r="AE296" s="59" t="str">
        <f aca="false">IF(ISBLANK($C296),"",IF(O296=Constants!$B$19,Constants!$B$19,Constants!$B$18))</f>
        <v/>
      </c>
      <c r="AF296" s="59" t="str">
        <f aca="false">IF(ISBLANK($C296),"",IF(ISNUMBER(P296),IF(P296&gt;=0,P296,""),""))</f>
        <v/>
      </c>
      <c r="AG296" s="59" t="str">
        <f aca="false">IF(ISBLANK($C296),"",IF(Q296=Constants!$B$19,Constants!$B$19,Constants!$B$18))</f>
        <v/>
      </c>
      <c r="AH296" s="59" t="str">
        <f aca="false">IF(ISBLANK($C296),"",IF(ISNUMBER(R296),IF(R296&gt;=0,R296,""),""))</f>
        <v/>
      </c>
      <c r="AI296" s="59" t="str">
        <f aca="false">IF(ISBLANK($C296),"",IF(S296=Constants!$B$2, TRUE(), IF(S296=Constants!$B$3, FALSE(), FALSE())))</f>
        <v/>
      </c>
      <c r="AJ296" s="59" t="str">
        <f aca="false">IF(ISBLANK($C296),"",IF(AI296,Constants!$B$4,IF(COUNTA(E296:R296)=0,Constants!$B$5,IF(COUNTA(J296,L296,N296,P296,R296)=0,Constants!$B$6,Constants!$B$7))))</f>
        <v/>
      </c>
      <c r="AK296" s="59" t="str">
        <f aca="false">IF(ISBLANK($C296),"",IF($AJ296&lt;&gt;Constants!$B$7,$AJ296,IF(OR(NOT(X296),AND(NOT(U296),COUNTIFS(Y296:AG296,Constants!$B$18,Z296:AH296,"&gt;=0")&gt;0),AND(NOT(V296),COUNTIFS(Y296:AG296,Constants!$B$19,Z296:AH296,"&gt;=0")&gt;0)),Constants!$B$12,Constants!$B$11)))</f>
        <v/>
      </c>
      <c r="AL296" s="59" t="str">
        <f aca="false">IF($AJ296=Constants!$B$7,IF(Z296="",Constants!$B$13,Z296),"")</f>
        <v/>
      </c>
      <c r="AM296" s="59" t="str">
        <f aca="false">IF($AJ296=Constants!$B$7,IF(AB296="",Constants!$B$13,AB296),"")</f>
        <v/>
      </c>
      <c r="AN296" s="59" t="str">
        <f aca="false">IF($AJ296=Constants!$B$7,IF(AD296="",Constants!$B$13,AD296),"")</f>
        <v/>
      </c>
      <c r="AO296" s="59" t="str">
        <f aca="false">IF($AJ296=Constants!$B$7,IF(AF296="",Constants!$B$13,AF296),"")</f>
        <v/>
      </c>
      <c r="AP296" s="59" t="str">
        <f aca="false">IF($AJ296=Constants!$B$7,IF(AH296="",Constants!$B$13,AH296),"")</f>
        <v/>
      </c>
      <c r="AQ296" s="59" t="str">
        <f aca="false">IF($AJ296=Constants!$B$7,IF(SUMPRODUCT(--($AL296:$AP296&gt;AL296))+SUMPRODUCT(--($AL296:AL296=AL296))=1,1,IF(SUMPRODUCT(--($AL296:$AP296&gt;AM296))+SUMPRODUCT(--($AL296:AM296=AM296))=1,2,IF(SUMPRODUCT(--($AL296:$AP296&gt;AN296))+SUMPRODUCT(--($AL296:AN296=AN296))=1,3,IF(SUMPRODUCT(--($AL296:$AP296&gt;AO296))+SUMPRODUCT(--($AL296:AO296=AO296))=1,4,5)))),"")</f>
        <v/>
      </c>
      <c r="AR296" s="59" t="str">
        <f aca="false">IF($AJ296=Constants!$B$7,IF(SUMPRODUCT(--($AL296:$AP296&gt;AL296))+SUMPRODUCT(--($AL296:AL296=AL296))=2,1,IF(SUMPRODUCT(--($AL296:$AP296&gt;AM296))+SUMPRODUCT(--($AL296:AM296=AM296))=2,2,IF(SUMPRODUCT(--($AL296:$AP296&gt;AN296))+SUMPRODUCT(--($AL296:AN296=AN296))=2,3,IF(SUMPRODUCT(--($AL296:$AP296&gt;AO296))+SUMPRODUCT(--($AL296:AO296=AO296))=2,4,5)))),"")</f>
        <v/>
      </c>
      <c r="AS296" s="59" t="str">
        <f aca="false">IF($AJ296=Constants!$B$7,IF(SUMPRODUCT(--($AL296:$AP296&gt;AL296))+SUMPRODUCT(--($AL296:AL296=AL296))=3,1,IF(SUMPRODUCT(--($AL296:$AP296&gt;AM296))+SUMPRODUCT(--($AL296:AM296=AM296))=3,2,IF(SUMPRODUCT(--($AL296:$AP296&gt;AN296))+SUMPRODUCT(--($AL296:AN296=AN296))=3,3,IF(SUMPRODUCT(--($AL296:$AP296&gt;AO296))+SUMPRODUCT(--($AL296:AO296=AO296))=3,4,5)))),"")</f>
        <v/>
      </c>
      <c r="AT296" s="59" t="str">
        <f aca="false">IF($AJ296=Constants!$B$7,LARGE(AL296:AP296,1)+LARGE(AL296:AP296,2)+LARGE(AL296:AP296,3),"")</f>
        <v/>
      </c>
      <c r="AU296" s="59" t="str">
        <f aca="false">IF(ISBLANK($C296),"",IF($AJ296&lt;&gt;Constants!$B$7,$AJ296,AT296*W296))</f>
        <v/>
      </c>
      <c r="AV296" s="59" t="str">
        <f aca="false">IF(ISBLANK($C296),"",IF($AJ296=Constants!$B$7,IF(ISNUMBER(AU296),RANK(AU296,$AU$8:$AU$507),Constants!$B$14),$AJ296))</f>
        <v/>
      </c>
      <c r="AW296" s="59" t="str">
        <f aca="false">IF(ISBLANK($C296),"",IF($AJ296=Constants!$B$7,IF(ISNUMBER(AV296),COUNTIFS($AK$8:$AK$507,"&lt;"&amp;$AK296)+COUNTIFS($AK$8:$AK$507,$AK296,$AV$8:$AV$507,"&lt;"&amp;$AV296)+1,Constants!$B$14),$AJ296))</f>
        <v/>
      </c>
      <c r="AX296" s="59" t="str">
        <f aca="false">IF(ISBLANK($C296),"",IF($AJ296=Constants!$B$7,LARGE(AL296:AP296,4)*W296,""))</f>
        <v/>
      </c>
      <c r="AY296" s="59" t="str">
        <f aca="false">IF(ISBLANK($C296),"",IF($AJ296=Constants!$B$7,RANK(AX296,$AX$8:$AX$507),$AJ296))</f>
        <v/>
      </c>
      <c r="AZ296" s="59" t="str">
        <f aca="false">IF(ISBLANK($C296),"",IF($AJ296=Constants!$B$7,IF(ISNUMBER(AV296),COUNTIFS($AK$8:$AK$507,"&lt;"&amp;$AK296)+COUNTIFS($AK$8:$AK$507,$AK296,$AV$8:$AV$507,"&lt;"&amp;$AV296)+COUNTIFS($AK$8:$AK$507,$AK296,$AV$8:$AV$507,$AV296,$AY$8:$AY$507,"&lt;"&amp;$AY296)+1,Constants!$B$14),$AJ296))</f>
        <v/>
      </c>
      <c r="BA296" s="59" t="str">
        <f aca="false">IF(ISBLANK($C296),"",IF($AJ296=Constants!$B$7,IF(ISNUMBER(AW296),AW296-AZ296,Constants!$B$14),$AJ296))</f>
        <v/>
      </c>
      <c r="BB296" s="61"/>
      <c r="BC296" s="62" t="str">
        <f aca="false">IF(ISBLANK($C296),"",IF($AJ296&lt;&gt;Constants!$B$7,$AJ296,SMALL(AQ296:AS296,1)&amp;", "&amp;SMALL(AQ296:AS296,2)&amp;", "&amp;SMALL(AQ296:AS296,3)))</f>
        <v/>
      </c>
      <c r="BD296" s="63" t="str">
        <f aca="false">IF(ISBLANK($C296),"",IF($AJ296&lt;&gt;Constants!$B$7,$AJ296,W296))</f>
        <v/>
      </c>
      <c r="BE296" s="64" t="str">
        <f aca="false">IF(ISBLANK($C296),"",IF($AJ296&lt;&gt;Constants!$B$7,$AJ296,AU296))</f>
        <v/>
      </c>
      <c r="BF296" s="65" t="str">
        <f aca="false">IF(ISBLANK($C296),"",IF($AJ296&lt;&gt;Constants!$B$7,$AJ296,AK296))</f>
        <v/>
      </c>
      <c r="BG296" s="63" t="str">
        <f aca="false">IF(ISBLANK($C296),"",BA296)</f>
        <v/>
      </c>
      <c r="BH296" s="63" t="str">
        <f aca="false">IF(ISBLANK($C296),"",AZ296)</f>
        <v/>
      </c>
      <c r="BI296" s="66" t="str">
        <f aca="false">IF(ISBLANK($C296),"",IF(BH296=Constants!$B$4,COUNTA($C$8:$C$507)+2,IF(BH296=Constants!$B$5,COUNTA($C$8:$C$507)+1,IF(BH296=Constants!$B$6,COUNTA($C$8:$C$507),BH296))))</f>
        <v/>
      </c>
      <c r="BJ296" s="5"/>
      <c r="BK296" s="67" t="n">
        <f aca="false">IF(OR(ISNUMBER(BH296),BH296=Constants!$B$4,BH296=Constants!$B$6,BH296=Constants!$B$5),1,0)</f>
        <v>0</v>
      </c>
      <c r="BL296" s="67" t="n">
        <v>289</v>
      </c>
      <c r="BM296" s="67" t="str">
        <f aca="false">IF(ISBLANK($C296),"",IF(ISNUMBER(BI296),BI296+ROW($B296)/1000,""))</f>
        <v/>
      </c>
      <c r="BN296" s="67" t="str">
        <f aca="false">IF(ISNUMBER(BM296),RANK(BM296,$BM$8:$BM$507,1),"")</f>
        <v/>
      </c>
      <c r="BO296" s="67" t="str">
        <f aca="false">IF(ISBLANK($C296),"",$B296)</f>
        <v/>
      </c>
      <c r="BP296" s="67" t="str">
        <f aca="false">IF(ISBLANK($C296),"",$C296)</f>
        <v/>
      </c>
      <c r="BQ296" s="67" t="str">
        <f aca="false">IF(ISBLANK($C296),"",$D296)</f>
        <v/>
      </c>
      <c r="BR296" s="68" t="str">
        <f aca="false">BF296</f>
        <v/>
      </c>
      <c r="BS296" s="69" t="str">
        <f aca="false">BE296</f>
        <v/>
      </c>
      <c r="BT296" s="67" t="str">
        <f aca="false">IF(ISBLANK($C296),"",BH296)</f>
        <v/>
      </c>
      <c r="BU296" s="70" t="str">
        <f aca="false">IF($BL296&gt;$BK$7,"",VLOOKUP($BL296,$BN$8:$BT$507,7,FALSE()))</f>
        <v/>
      </c>
      <c r="BV296" s="71" t="str">
        <f aca="false">IF($BL296&gt;$BK$7,"",VLOOKUP($BL296,$BN$8:$BT$507,2,FALSE()))</f>
        <v/>
      </c>
      <c r="BW296" s="71" t="str">
        <f aca="false">IF($BL296&gt;$BK$7,"",VLOOKUP($BL296,$BN$8:$BT$507,3,FALSE()))</f>
        <v/>
      </c>
      <c r="BX296" s="71" t="str">
        <f aca="false">IF($BL296&gt;$BK$7,"",VLOOKUP($BL296,$BN$8:$BT$507,4,FALSE()))</f>
        <v/>
      </c>
      <c r="BY296" s="71" t="str">
        <f aca="false">IF($BL296&gt;$BK$7,"",VLOOKUP($BL296,$BN$8:$BT$507,5,FALSE()))</f>
        <v/>
      </c>
      <c r="BZ296" s="72" t="str">
        <f aca="false">IF($BL296&gt;$BK$7,"",VLOOKUP($BL296,$BN$8:$BT$507,6,FALSE()))</f>
        <v/>
      </c>
      <c r="CA296" s="48"/>
    </row>
    <row r="297" customFormat="false" ht="15.75" hidden="false" customHeight="false" outlineLevel="0" collapsed="false">
      <c r="A297" s="5"/>
      <c r="B297" s="121"/>
      <c r="C297" s="50"/>
      <c r="D297" s="51"/>
      <c r="E297" s="74"/>
      <c r="F297" s="122"/>
      <c r="G297" s="54"/>
      <c r="H297" s="123"/>
      <c r="I297" s="124"/>
      <c r="J297" s="54"/>
      <c r="K297" s="123"/>
      <c r="L297" s="54"/>
      <c r="M297" s="123"/>
      <c r="N297" s="54"/>
      <c r="O297" s="123"/>
      <c r="P297" s="54"/>
      <c r="Q297" s="123"/>
      <c r="R297" s="54"/>
      <c r="S297" s="74"/>
      <c r="T297" s="58"/>
      <c r="U297" s="59" t="str">
        <f aca="false">IF(ISBLANK($C297),"",IF(E297=Constants!$B$2, TRUE(), IF(E297=Constants!$B$3, FALSE(), TRUE())))</f>
        <v/>
      </c>
      <c r="V297" s="59" t="str">
        <f aca="false">IF(ISBLANK($C297),"",IF(F297=Constants!$B$2, TRUE(), IF(F297=Constants!$B$3, FALSE(), TRUE())))</f>
        <v/>
      </c>
      <c r="W297" s="59" t="str">
        <f aca="false">IF(ISBLANK($C297),"",IF(G297=Constants!$B$15,Constants!$B$8,IF(G297=Constants!$B$16,Constants!$B$9,Constants!$B$10)))</f>
        <v/>
      </c>
      <c r="X297" s="59" t="str">
        <f aca="false">IF(ISBLANK($C297),"",IF(H297=Constants!$B$2, TRUE(), IF(H297=Constants!$B$3, FALSE(), TRUE())))</f>
        <v/>
      </c>
      <c r="Y297" s="59" t="str">
        <f aca="false">IF(ISBLANK($C297),"",IF(I297=Constants!$B$19,Constants!$B$19,Constants!$B$18))</f>
        <v/>
      </c>
      <c r="Z297" s="59" t="str">
        <f aca="false">IF(ISBLANK($C297),"",IF(ISNUMBER(J297),IF(J297&gt;=0,J297,""),""))</f>
        <v/>
      </c>
      <c r="AA297" s="59" t="str">
        <f aca="false">IF(ISBLANK($C297),"",IF(K297=Constants!$B$19,Constants!$B$19,Constants!$B$18))</f>
        <v/>
      </c>
      <c r="AB297" s="59" t="str">
        <f aca="false">IF(ISBLANK($C297),"",IF(ISNUMBER(L297),IF(L297&gt;=0,L297,""),""))</f>
        <v/>
      </c>
      <c r="AC297" s="59" t="str">
        <f aca="false">IF(ISBLANK($C297),"",IF(M297=Constants!$B$19,Constants!$B$19,Constants!$B$18))</f>
        <v/>
      </c>
      <c r="AD297" s="59" t="str">
        <f aca="false">IF(ISBLANK($C297),"",IF(ISNUMBER(N297),IF(N297&gt;=0,N297,""),""))</f>
        <v/>
      </c>
      <c r="AE297" s="59" t="str">
        <f aca="false">IF(ISBLANK($C297),"",IF(O297=Constants!$B$19,Constants!$B$19,Constants!$B$18))</f>
        <v/>
      </c>
      <c r="AF297" s="59" t="str">
        <f aca="false">IF(ISBLANK($C297),"",IF(ISNUMBER(P297),IF(P297&gt;=0,P297,""),""))</f>
        <v/>
      </c>
      <c r="AG297" s="59" t="str">
        <f aca="false">IF(ISBLANK($C297),"",IF(Q297=Constants!$B$19,Constants!$B$19,Constants!$B$18))</f>
        <v/>
      </c>
      <c r="AH297" s="59" t="str">
        <f aca="false">IF(ISBLANK($C297),"",IF(ISNUMBER(R297),IF(R297&gt;=0,R297,""),""))</f>
        <v/>
      </c>
      <c r="AI297" s="59" t="str">
        <f aca="false">IF(ISBLANK($C297),"",IF(S297=Constants!$B$2, TRUE(), IF(S297=Constants!$B$3, FALSE(), FALSE())))</f>
        <v/>
      </c>
      <c r="AJ297" s="59" t="str">
        <f aca="false">IF(ISBLANK($C297),"",IF(AI297,Constants!$B$4,IF(COUNTA(E297:R297)=0,Constants!$B$5,IF(COUNTA(J297,L297,N297,P297,R297)=0,Constants!$B$6,Constants!$B$7))))</f>
        <v/>
      </c>
      <c r="AK297" s="59" t="str">
        <f aca="false">IF(ISBLANK($C297),"",IF($AJ297&lt;&gt;Constants!$B$7,$AJ297,IF(OR(NOT(X297),AND(NOT(U297),COUNTIFS(Y297:AG297,Constants!$B$18,Z297:AH297,"&gt;=0")&gt;0),AND(NOT(V297),COUNTIFS(Y297:AG297,Constants!$B$19,Z297:AH297,"&gt;=0")&gt;0)),Constants!$B$12,Constants!$B$11)))</f>
        <v/>
      </c>
      <c r="AL297" s="59" t="str">
        <f aca="false">IF($AJ297=Constants!$B$7,IF(Z297="",Constants!$B$13,Z297),"")</f>
        <v/>
      </c>
      <c r="AM297" s="59" t="str">
        <f aca="false">IF($AJ297=Constants!$B$7,IF(AB297="",Constants!$B$13,AB297),"")</f>
        <v/>
      </c>
      <c r="AN297" s="59" t="str">
        <f aca="false">IF($AJ297=Constants!$B$7,IF(AD297="",Constants!$B$13,AD297),"")</f>
        <v/>
      </c>
      <c r="AO297" s="59" t="str">
        <f aca="false">IF($AJ297=Constants!$B$7,IF(AF297="",Constants!$B$13,AF297),"")</f>
        <v/>
      </c>
      <c r="AP297" s="59" t="str">
        <f aca="false">IF($AJ297=Constants!$B$7,IF(AH297="",Constants!$B$13,AH297),"")</f>
        <v/>
      </c>
      <c r="AQ297" s="59" t="str">
        <f aca="false">IF($AJ297=Constants!$B$7,IF(SUMPRODUCT(--($AL297:$AP297&gt;AL297))+SUMPRODUCT(--($AL297:AL297=AL297))=1,1,IF(SUMPRODUCT(--($AL297:$AP297&gt;AM297))+SUMPRODUCT(--($AL297:AM297=AM297))=1,2,IF(SUMPRODUCT(--($AL297:$AP297&gt;AN297))+SUMPRODUCT(--($AL297:AN297=AN297))=1,3,IF(SUMPRODUCT(--($AL297:$AP297&gt;AO297))+SUMPRODUCT(--($AL297:AO297=AO297))=1,4,5)))),"")</f>
        <v/>
      </c>
      <c r="AR297" s="59" t="str">
        <f aca="false">IF($AJ297=Constants!$B$7,IF(SUMPRODUCT(--($AL297:$AP297&gt;AL297))+SUMPRODUCT(--($AL297:AL297=AL297))=2,1,IF(SUMPRODUCT(--($AL297:$AP297&gt;AM297))+SUMPRODUCT(--($AL297:AM297=AM297))=2,2,IF(SUMPRODUCT(--($AL297:$AP297&gt;AN297))+SUMPRODUCT(--($AL297:AN297=AN297))=2,3,IF(SUMPRODUCT(--($AL297:$AP297&gt;AO297))+SUMPRODUCT(--($AL297:AO297=AO297))=2,4,5)))),"")</f>
        <v/>
      </c>
      <c r="AS297" s="59" t="str">
        <f aca="false">IF($AJ297=Constants!$B$7,IF(SUMPRODUCT(--($AL297:$AP297&gt;AL297))+SUMPRODUCT(--($AL297:AL297=AL297))=3,1,IF(SUMPRODUCT(--($AL297:$AP297&gt;AM297))+SUMPRODUCT(--($AL297:AM297=AM297))=3,2,IF(SUMPRODUCT(--($AL297:$AP297&gt;AN297))+SUMPRODUCT(--($AL297:AN297=AN297))=3,3,IF(SUMPRODUCT(--($AL297:$AP297&gt;AO297))+SUMPRODUCT(--($AL297:AO297=AO297))=3,4,5)))),"")</f>
        <v/>
      </c>
      <c r="AT297" s="59" t="str">
        <f aca="false">IF($AJ297=Constants!$B$7,LARGE(AL297:AP297,1)+LARGE(AL297:AP297,2)+LARGE(AL297:AP297,3),"")</f>
        <v/>
      </c>
      <c r="AU297" s="59" t="str">
        <f aca="false">IF(ISBLANK($C297),"",IF($AJ297&lt;&gt;Constants!$B$7,$AJ297,AT297*W297))</f>
        <v/>
      </c>
      <c r="AV297" s="59" t="str">
        <f aca="false">IF(ISBLANK($C297),"",IF($AJ297=Constants!$B$7,IF(ISNUMBER(AU297),RANK(AU297,$AU$8:$AU$507),Constants!$B$14),$AJ297))</f>
        <v/>
      </c>
      <c r="AW297" s="59" t="str">
        <f aca="false">IF(ISBLANK($C297),"",IF($AJ297=Constants!$B$7,IF(ISNUMBER(AV297),COUNTIFS($AK$8:$AK$507,"&lt;"&amp;$AK297)+COUNTIFS($AK$8:$AK$507,$AK297,$AV$8:$AV$507,"&lt;"&amp;$AV297)+1,Constants!$B$14),$AJ297))</f>
        <v/>
      </c>
      <c r="AX297" s="59" t="str">
        <f aca="false">IF(ISBLANK($C297),"",IF($AJ297=Constants!$B$7,LARGE(AL297:AP297,4)*W297,""))</f>
        <v/>
      </c>
      <c r="AY297" s="59" t="str">
        <f aca="false">IF(ISBLANK($C297),"",IF($AJ297=Constants!$B$7,RANK(AX297,$AX$8:$AX$507),$AJ297))</f>
        <v/>
      </c>
      <c r="AZ297" s="59" t="str">
        <f aca="false">IF(ISBLANK($C297),"",IF($AJ297=Constants!$B$7,IF(ISNUMBER(AV297),COUNTIFS($AK$8:$AK$507,"&lt;"&amp;$AK297)+COUNTIFS($AK$8:$AK$507,$AK297,$AV$8:$AV$507,"&lt;"&amp;$AV297)+COUNTIFS($AK$8:$AK$507,$AK297,$AV$8:$AV$507,$AV297,$AY$8:$AY$507,"&lt;"&amp;$AY297)+1,Constants!$B$14),$AJ297))</f>
        <v/>
      </c>
      <c r="BA297" s="59" t="str">
        <f aca="false">IF(ISBLANK($C297),"",IF($AJ297=Constants!$B$7,IF(ISNUMBER(AW297),AW297-AZ297,Constants!$B$14),$AJ297))</f>
        <v/>
      </c>
      <c r="BB297" s="61"/>
      <c r="BC297" s="62" t="str">
        <f aca="false">IF(ISBLANK($C297),"",IF($AJ297&lt;&gt;Constants!$B$7,$AJ297,SMALL(AQ297:AS297,1)&amp;", "&amp;SMALL(AQ297:AS297,2)&amp;", "&amp;SMALL(AQ297:AS297,3)))</f>
        <v/>
      </c>
      <c r="BD297" s="63" t="str">
        <f aca="false">IF(ISBLANK($C297),"",IF($AJ297&lt;&gt;Constants!$B$7,$AJ297,W297))</f>
        <v/>
      </c>
      <c r="BE297" s="64" t="str">
        <f aca="false">IF(ISBLANK($C297),"",IF($AJ297&lt;&gt;Constants!$B$7,$AJ297,AU297))</f>
        <v/>
      </c>
      <c r="BF297" s="65" t="str">
        <f aca="false">IF(ISBLANK($C297),"",IF($AJ297&lt;&gt;Constants!$B$7,$AJ297,AK297))</f>
        <v/>
      </c>
      <c r="BG297" s="63" t="str">
        <f aca="false">IF(ISBLANK($C297),"",BA297)</f>
        <v/>
      </c>
      <c r="BH297" s="63" t="str">
        <f aca="false">IF(ISBLANK($C297),"",AZ297)</f>
        <v/>
      </c>
      <c r="BI297" s="66" t="str">
        <f aca="false">IF(ISBLANK($C297),"",IF(BH297=Constants!$B$4,COUNTA($C$8:$C$507)+2,IF(BH297=Constants!$B$5,COUNTA($C$8:$C$507)+1,IF(BH297=Constants!$B$6,COUNTA($C$8:$C$507),BH297))))</f>
        <v/>
      </c>
      <c r="BJ297" s="5"/>
      <c r="BK297" s="67" t="n">
        <f aca="false">IF(OR(ISNUMBER(BH297),BH297=Constants!$B$4,BH297=Constants!$B$6,BH297=Constants!$B$5),1,0)</f>
        <v>0</v>
      </c>
      <c r="BL297" s="67" t="n">
        <v>290</v>
      </c>
      <c r="BM297" s="67" t="str">
        <f aca="false">IF(ISBLANK($C297),"",IF(ISNUMBER(BI297),BI297+ROW($B297)/1000,""))</f>
        <v/>
      </c>
      <c r="BN297" s="67" t="str">
        <f aca="false">IF(ISNUMBER(BM297),RANK(BM297,$BM$8:$BM$507,1),"")</f>
        <v/>
      </c>
      <c r="BO297" s="67" t="str">
        <f aca="false">IF(ISBLANK($C297),"",$B297)</f>
        <v/>
      </c>
      <c r="BP297" s="67" t="str">
        <f aca="false">IF(ISBLANK($C297),"",$C297)</f>
        <v/>
      </c>
      <c r="BQ297" s="67" t="str">
        <f aca="false">IF(ISBLANK($C297),"",$D297)</f>
        <v/>
      </c>
      <c r="BR297" s="68" t="str">
        <f aca="false">BF297</f>
        <v/>
      </c>
      <c r="BS297" s="69" t="str">
        <f aca="false">BE297</f>
        <v/>
      </c>
      <c r="BT297" s="67" t="str">
        <f aca="false">IF(ISBLANK($C297),"",BH297)</f>
        <v/>
      </c>
      <c r="BU297" s="70" t="str">
        <f aca="false">IF($BL297&gt;$BK$7,"",VLOOKUP($BL297,$BN$8:$BT$507,7,FALSE()))</f>
        <v/>
      </c>
      <c r="BV297" s="71" t="str">
        <f aca="false">IF($BL297&gt;$BK$7,"",VLOOKUP($BL297,$BN$8:$BT$507,2,FALSE()))</f>
        <v/>
      </c>
      <c r="BW297" s="71" t="str">
        <f aca="false">IF($BL297&gt;$BK$7,"",VLOOKUP($BL297,$BN$8:$BT$507,3,FALSE()))</f>
        <v/>
      </c>
      <c r="BX297" s="71" t="str">
        <f aca="false">IF($BL297&gt;$BK$7,"",VLOOKUP($BL297,$BN$8:$BT$507,4,FALSE()))</f>
        <v/>
      </c>
      <c r="BY297" s="71" t="str">
        <f aca="false">IF($BL297&gt;$BK$7,"",VLOOKUP($BL297,$BN$8:$BT$507,5,FALSE()))</f>
        <v/>
      </c>
      <c r="BZ297" s="72" t="str">
        <f aca="false">IF($BL297&gt;$BK$7,"",VLOOKUP($BL297,$BN$8:$BT$507,6,FALSE()))</f>
        <v/>
      </c>
      <c r="CA297" s="48"/>
    </row>
    <row r="298" customFormat="false" ht="15.75" hidden="false" customHeight="false" outlineLevel="0" collapsed="false">
      <c r="A298" s="5"/>
      <c r="B298" s="121"/>
      <c r="C298" s="50"/>
      <c r="D298" s="51"/>
      <c r="E298" s="74"/>
      <c r="F298" s="122"/>
      <c r="G298" s="54"/>
      <c r="H298" s="123"/>
      <c r="I298" s="124"/>
      <c r="J298" s="54"/>
      <c r="K298" s="123"/>
      <c r="L298" s="54"/>
      <c r="M298" s="123"/>
      <c r="N298" s="54"/>
      <c r="O298" s="123"/>
      <c r="P298" s="54"/>
      <c r="Q298" s="123"/>
      <c r="R298" s="54"/>
      <c r="S298" s="74"/>
      <c r="T298" s="58"/>
      <c r="U298" s="59" t="str">
        <f aca="false">IF(ISBLANK($C298),"",IF(E298=Constants!$B$2, TRUE(), IF(E298=Constants!$B$3, FALSE(), TRUE())))</f>
        <v/>
      </c>
      <c r="V298" s="59" t="str">
        <f aca="false">IF(ISBLANK($C298),"",IF(F298=Constants!$B$2, TRUE(), IF(F298=Constants!$B$3, FALSE(), TRUE())))</f>
        <v/>
      </c>
      <c r="W298" s="59" t="str">
        <f aca="false">IF(ISBLANK($C298),"",IF(G298=Constants!$B$15,Constants!$B$8,IF(G298=Constants!$B$16,Constants!$B$9,Constants!$B$10)))</f>
        <v/>
      </c>
      <c r="X298" s="59" t="str">
        <f aca="false">IF(ISBLANK($C298),"",IF(H298=Constants!$B$2, TRUE(), IF(H298=Constants!$B$3, FALSE(), TRUE())))</f>
        <v/>
      </c>
      <c r="Y298" s="59" t="str">
        <f aca="false">IF(ISBLANK($C298),"",IF(I298=Constants!$B$19,Constants!$B$19,Constants!$B$18))</f>
        <v/>
      </c>
      <c r="Z298" s="59" t="str">
        <f aca="false">IF(ISBLANK($C298),"",IF(ISNUMBER(J298),IF(J298&gt;=0,J298,""),""))</f>
        <v/>
      </c>
      <c r="AA298" s="59" t="str">
        <f aca="false">IF(ISBLANK($C298),"",IF(K298=Constants!$B$19,Constants!$B$19,Constants!$B$18))</f>
        <v/>
      </c>
      <c r="AB298" s="59" t="str">
        <f aca="false">IF(ISBLANK($C298),"",IF(ISNUMBER(L298),IF(L298&gt;=0,L298,""),""))</f>
        <v/>
      </c>
      <c r="AC298" s="59" t="str">
        <f aca="false">IF(ISBLANK($C298),"",IF(M298=Constants!$B$19,Constants!$B$19,Constants!$B$18))</f>
        <v/>
      </c>
      <c r="AD298" s="59" t="str">
        <f aca="false">IF(ISBLANK($C298),"",IF(ISNUMBER(N298),IF(N298&gt;=0,N298,""),""))</f>
        <v/>
      </c>
      <c r="AE298" s="59" t="str">
        <f aca="false">IF(ISBLANK($C298),"",IF(O298=Constants!$B$19,Constants!$B$19,Constants!$B$18))</f>
        <v/>
      </c>
      <c r="AF298" s="59" t="str">
        <f aca="false">IF(ISBLANK($C298),"",IF(ISNUMBER(P298),IF(P298&gt;=0,P298,""),""))</f>
        <v/>
      </c>
      <c r="AG298" s="59" t="str">
        <f aca="false">IF(ISBLANK($C298),"",IF(Q298=Constants!$B$19,Constants!$B$19,Constants!$B$18))</f>
        <v/>
      </c>
      <c r="AH298" s="59" t="str">
        <f aca="false">IF(ISBLANK($C298),"",IF(ISNUMBER(R298),IF(R298&gt;=0,R298,""),""))</f>
        <v/>
      </c>
      <c r="AI298" s="59" t="str">
        <f aca="false">IF(ISBLANK($C298),"",IF(S298=Constants!$B$2, TRUE(), IF(S298=Constants!$B$3, FALSE(), FALSE())))</f>
        <v/>
      </c>
      <c r="AJ298" s="59" t="str">
        <f aca="false">IF(ISBLANK($C298),"",IF(AI298,Constants!$B$4,IF(COUNTA(E298:R298)=0,Constants!$B$5,IF(COUNTA(J298,L298,N298,P298,R298)=0,Constants!$B$6,Constants!$B$7))))</f>
        <v/>
      </c>
      <c r="AK298" s="59" t="str">
        <f aca="false">IF(ISBLANK($C298),"",IF($AJ298&lt;&gt;Constants!$B$7,$AJ298,IF(OR(NOT(X298),AND(NOT(U298),COUNTIFS(Y298:AG298,Constants!$B$18,Z298:AH298,"&gt;=0")&gt;0),AND(NOT(V298),COUNTIFS(Y298:AG298,Constants!$B$19,Z298:AH298,"&gt;=0")&gt;0)),Constants!$B$12,Constants!$B$11)))</f>
        <v/>
      </c>
      <c r="AL298" s="59" t="str">
        <f aca="false">IF($AJ298=Constants!$B$7,IF(Z298="",Constants!$B$13,Z298),"")</f>
        <v/>
      </c>
      <c r="AM298" s="59" t="str">
        <f aca="false">IF($AJ298=Constants!$B$7,IF(AB298="",Constants!$B$13,AB298),"")</f>
        <v/>
      </c>
      <c r="AN298" s="59" t="str">
        <f aca="false">IF($AJ298=Constants!$B$7,IF(AD298="",Constants!$B$13,AD298),"")</f>
        <v/>
      </c>
      <c r="AO298" s="59" t="str">
        <f aca="false">IF($AJ298=Constants!$B$7,IF(AF298="",Constants!$B$13,AF298),"")</f>
        <v/>
      </c>
      <c r="AP298" s="59" t="str">
        <f aca="false">IF($AJ298=Constants!$B$7,IF(AH298="",Constants!$B$13,AH298),"")</f>
        <v/>
      </c>
      <c r="AQ298" s="59" t="str">
        <f aca="false">IF($AJ298=Constants!$B$7,IF(SUMPRODUCT(--($AL298:$AP298&gt;AL298))+SUMPRODUCT(--($AL298:AL298=AL298))=1,1,IF(SUMPRODUCT(--($AL298:$AP298&gt;AM298))+SUMPRODUCT(--($AL298:AM298=AM298))=1,2,IF(SUMPRODUCT(--($AL298:$AP298&gt;AN298))+SUMPRODUCT(--($AL298:AN298=AN298))=1,3,IF(SUMPRODUCT(--($AL298:$AP298&gt;AO298))+SUMPRODUCT(--($AL298:AO298=AO298))=1,4,5)))),"")</f>
        <v/>
      </c>
      <c r="AR298" s="59" t="str">
        <f aca="false">IF($AJ298=Constants!$B$7,IF(SUMPRODUCT(--($AL298:$AP298&gt;AL298))+SUMPRODUCT(--($AL298:AL298=AL298))=2,1,IF(SUMPRODUCT(--($AL298:$AP298&gt;AM298))+SUMPRODUCT(--($AL298:AM298=AM298))=2,2,IF(SUMPRODUCT(--($AL298:$AP298&gt;AN298))+SUMPRODUCT(--($AL298:AN298=AN298))=2,3,IF(SUMPRODUCT(--($AL298:$AP298&gt;AO298))+SUMPRODUCT(--($AL298:AO298=AO298))=2,4,5)))),"")</f>
        <v/>
      </c>
      <c r="AS298" s="59" t="str">
        <f aca="false">IF($AJ298=Constants!$B$7,IF(SUMPRODUCT(--($AL298:$AP298&gt;AL298))+SUMPRODUCT(--($AL298:AL298=AL298))=3,1,IF(SUMPRODUCT(--($AL298:$AP298&gt;AM298))+SUMPRODUCT(--($AL298:AM298=AM298))=3,2,IF(SUMPRODUCT(--($AL298:$AP298&gt;AN298))+SUMPRODUCT(--($AL298:AN298=AN298))=3,3,IF(SUMPRODUCT(--($AL298:$AP298&gt;AO298))+SUMPRODUCT(--($AL298:AO298=AO298))=3,4,5)))),"")</f>
        <v/>
      </c>
      <c r="AT298" s="59" t="str">
        <f aca="false">IF($AJ298=Constants!$B$7,LARGE(AL298:AP298,1)+LARGE(AL298:AP298,2)+LARGE(AL298:AP298,3),"")</f>
        <v/>
      </c>
      <c r="AU298" s="59" t="str">
        <f aca="false">IF(ISBLANK($C298),"",IF($AJ298&lt;&gt;Constants!$B$7,$AJ298,AT298*W298))</f>
        <v/>
      </c>
      <c r="AV298" s="59" t="str">
        <f aca="false">IF(ISBLANK($C298),"",IF($AJ298=Constants!$B$7,IF(ISNUMBER(AU298),RANK(AU298,$AU$8:$AU$507),Constants!$B$14),$AJ298))</f>
        <v/>
      </c>
      <c r="AW298" s="59" t="str">
        <f aca="false">IF(ISBLANK($C298),"",IF($AJ298=Constants!$B$7,IF(ISNUMBER(AV298),COUNTIFS($AK$8:$AK$507,"&lt;"&amp;$AK298)+COUNTIFS($AK$8:$AK$507,$AK298,$AV$8:$AV$507,"&lt;"&amp;$AV298)+1,Constants!$B$14),$AJ298))</f>
        <v/>
      </c>
      <c r="AX298" s="59" t="str">
        <f aca="false">IF(ISBLANK($C298),"",IF($AJ298=Constants!$B$7,LARGE(AL298:AP298,4)*W298,""))</f>
        <v/>
      </c>
      <c r="AY298" s="59" t="str">
        <f aca="false">IF(ISBLANK($C298),"",IF($AJ298=Constants!$B$7,RANK(AX298,$AX$8:$AX$507),$AJ298))</f>
        <v/>
      </c>
      <c r="AZ298" s="59" t="str">
        <f aca="false">IF(ISBLANK($C298),"",IF($AJ298=Constants!$B$7,IF(ISNUMBER(AV298),COUNTIFS($AK$8:$AK$507,"&lt;"&amp;$AK298)+COUNTIFS($AK$8:$AK$507,$AK298,$AV$8:$AV$507,"&lt;"&amp;$AV298)+COUNTIFS($AK$8:$AK$507,$AK298,$AV$8:$AV$507,$AV298,$AY$8:$AY$507,"&lt;"&amp;$AY298)+1,Constants!$B$14),$AJ298))</f>
        <v/>
      </c>
      <c r="BA298" s="59" t="str">
        <f aca="false">IF(ISBLANK($C298),"",IF($AJ298=Constants!$B$7,IF(ISNUMBER(AW298),AW298-AZ298,Constants!$B$14),$AJ298))</f>
        <v/>
      </c>
      <c r="BB298" s="61"/>
      <c r="BC298" s="62" t="str">
        <f aca="false">IF(ISBLANK($C298),"",IF($AJ298&lt;&gt;Constants!$B$7,$AJ298,SMALL(AQ298:AS298,1)&amp;", "&amp;SMALL(AQ298:AS298,2)&amp;", "&amp;SMALL(AQ298:AS298,3)))</f>
        <v/>
      </c>
      <c r="BD298" s="63" t="str">
        <f aca="false">IF(ISBLANK($C298),"",IF($AJ298&lt;&gt;Constants!$B$7,$AJ298,W298))</f>
        <v/>
      </c>
      <c r="BE298" s="64" t="str">
        <f aca="false">IF(ISBLANK($C298),"",IF($AJ298&lt;&gt;Constants!$B$7,$AJ298,AU298))</f>
        <v/>
      </c>
      <c r="BF298" s="65" t="str">
        <f aca="false">IF(ISBLANK($C298),"",IF($AJ298&lt;&gt;Constants!$B$7,$AJ298,AK298))</f>
        <v/>
      </c>
      <c r="BG298" s="63" t="str">
        <f aca="false">IF(ISBLANK($C298),"",BA298)</f>
        <v/>
      </c>
      <c r="BH298" s="63" t="str">
        <f aca="false">IF(ISBLANK($C298),"",AZ298)</f>
        <v/>
      </c>
      <c r="BI298" s="66" t="str">
        <f aca="false">IF(ISBLANK($C298),"",IF(BH298=Constants!$B$4,COUNTA($C$8:$C$507)+2,IF(BH298=Constants!$B$5,COUNTA($C$8:$C$507)+1,IF(BH298=Constants!$B$6,COUNTA($C$8:$C$507),BH298))))</f>
        <v/>
      </c>
      <c r="BJ298" s="5"/>
      <c r="BK298" s="67" t="n">
        <f aca="false">IF(OR(ISNUMBER(BH298),BH298=Constants!$B$4,BH298=Constants!$B$6,BH298=Constants!$B$5),1,0)</f>
        <v>0</v>
      </c>
      <c r="BL298" s="67" t="n">
        <v>291</v>
      </c>
      <c r="BM298" s="67" t="str">
        <f aca="false">IF(ISBLANK($C298),"",IF(ISNUMBER(BI298),BI298+ROW($B298)/1000,""))</f>
        <v/>
      </c>
      <c r="BN298" s="67" t="str">
        <f aca="false">IF(ISNUMBER(BM298),RANK(BM298,$BM$8:$BM$507,1),"")</f>
        <v/>
      </c>
      <c r="BO298" s="67" t="str">
        <f aca="false">IF(ISBLANK($C298),"",$B298)</f>
        <v/>
      </c>
      <c r="BP298" s="67" t="str">
        <f aca="false">IF(ISBLANK($C298),"",$C298)</f>
        <v/>
      </c>
      <c r="BQ298" s="67" t="str">
        <f aca="false">IF(ISBLANK($C298),"",$D298)</f>
        <v/>
      </c>
      <c r="BR298" s="68" t="str">
        <f aca="false">BF298</f>
        <v/>
      </c>
      <c r="BS298" s="69" t="str">
        <f aca="false">BE298</f>
        <v/>
      </c>
      <c r="BT298" s="67" t="str">
        <f aca="false">IF(ISBLANK($C298),"",BH298)</f>
        <v/>
      </c>
      <c r="BU298" s="70" t="str">
        <f aca="false">IF($BL298&gt;$BK$7,"",VLOOKUP($BL298,$BN$8:$BT$507,7,FALSE()))</f>
        <v/>
      </c>
      <c r="BV298" s="71" t="str">
        <f aca="false">IF($BL298&gt;$BK$7,"",VLOOKUP($BL298,$BN$8:$BT$507,2,FALSE()))</f>
        <v/>
      </c>
      <c r="BW298" s="71" t="str">
        <f aca="false">IF($BL298&gt;$BK$7,"",VLOOKUP($BL298,$BN$8:$BT$507,3,FALSE()))</f>
        <v/>
      </c>
      <c r="BX298" s="71" t="str">
        <f aca="false">IF($BL298&gt;$BK$7,"",VLOOKUP($BL298,$BN$8:$BT$507,4,FALSE()))</f>
        <v/>
      </c>
      <c r="BY298" s="71" t="str">
        <f aca="false">IF($BL298&gt;$BK$7,"",VLOOKUP($BL298,$BN$8:$BT$507,5,FALSE()))</f>
        <v/>
      </c>
      <c r="BZ298" s="72" t="str">
        <f aca="false">IF($BL298&gt;$BK$7,"",VLOOKUP($BL298,$BN$8:$BT$507,6,FALSE()))</f>
        <v/>
      </c>
      <c r="CA298" s="48"/>
    </row>
    <row r="299" customFormat="false" ht="15.75" hidden="false" customHeight="false" outlineLevel="0" collapsed="false">
      <c r="A299" s="5"/>
      <c r="B299" s="114"/>
      <c r="C299" s="115"/>
      <c r="D299" s="100"/>
      <c r="E299" s="120"/>
      <c r="F299" s="125"/>
      <c r="G299" s="82"/>
      <c r="H299" s="126"/>
      <c r="I299" s="127"/>
      <c r="J299" s="82"/>
      <c r="K299" s="126"/>
      <c r="L299" s="82"/>
      <c r="M299" s="126"/>
      <c r="N299" s="82"/>
      <c r="O299" s="126"/>
      <c r="P299" s="82"/>
      <c r="Q299" s="126"/>
      <c r="R299" s="82"/>
      <c r="S299" s="120"/>
      <c r="T299" s="86"/>
      <c r="U299" s="87" t="str">
        <f aca="false">IF(ISBLANK($C299),"",IF(E299=Constants!$B$2, TRUE(), IF(E299=Constants!$B$3, FALSE(), TRUE())))</f>
        <v/>
      </c>
      <c r="V299" s="87" t="str">
        <f aca="false">IF(ISBLANK($C299),"",IF(F299=Constants!$B$2, TRUE(), IF(F299=Constants!$B$3, FALSE(), TRUE())))</f>
        <v/>
      </c>
      <c r="W299" s="87" t="str">
        <f aca="false">IF(ISBLANK($C299),"",IF(G299=Constants!$B$15,Constants!$B$8,IF(G299=Constants!$B$16,Constants!$B$9,Constants!$B$10)))</f>
        <v/>
      </c>
      <c r="X299" s="87" t="str">
        <f aca="false">IF(ISBLANK($C299),"",IF(H299=Constants!$B$2, TRUE(), IF(H299=Constants!$B$3, FALSE(), TRUE())))</f>
        <v/>
      </c>
      <c r="Y299" s="87" t="str">
        <f aca="false">IF(ISBLANK($C299),"",IF(I299=Constants!$B$19,Constants!$B$19,Constants!$B$18))</f>
        <v/>
      </c>
      <c r="Z299" s="87" t="str">
        <f aca="false">IF(ISBLANK($C299),"",IF(ISNUMBER(J299),IF(J299&gt;=0,J299,""),""))</f>
        <v/>
      </c>
      <c r="AA299" s="87" t="str">
        <f aca="false">IF(ISBLANK($C299),"",IF(K299=Constants!$B$19,Constants!$B$19,Constants!$B$18))</f>
        <v/>
      </c>
      <c r="AB299" s="87" t="str">
        <f aca="false">IF(ISBLANK($C299),"",IF(ISNUMBER(L299),IF(L299&gt;=0,L299,""),""))</f>
        <v/>
      </c>
      <c r="AC299" s="87" t="str">
        <f aca="false">IF(ISBLANK($C299),"",IF(M299=Constants!$B$19,Constants!$B$19,Constants!$B$18))</f>
        <v/>
      </c>
      <c r="AD299" s="87" t="str">
        <f aca="false">IF(ISBLANK($C299),"",IF(ISNUMBER(N299),IF(N299&gt;=0,N299,""),""))</f>
        <v/>
      </c>
      <c r="AE299" s="87" t="str">
        <f aca="false">IF(ISBLANK($C299),"",IF(O299=Constants!$B$19,Constants!$B$19,Constants!$B$18))</f>
        <v/>
      </c>
      <c r="AF299" s="87" t="str">
        <f aca="false">IF(ISBLANK($C299),"",IF(ISNUMBER(P299),IF(P299&gt;=0,P299,""),""))</f>
        <v/>
      </c>
      <c r="AG299" s="87" t="str">
        <f aca="false">IF(ISBLANK($C299),"",IF(Q299=Constants!$B$19,Constants!$B$19,Constants!$B$18))</f>
        <v/>
      </c>
      <c r="AH299" s="87" t="str">
        <f aca="false">IF(ISBLANK($C299),"",IF(ISNUMBER(R299),IF(R299&gt;=0,R299,""),""))</f>
        <v/>
      </c>
      <c r="AI299" s="87" t="str">
        <f aca="false">IF(ISBLANK($C299),"",IF(S299=Constants!$B$2, TRUE(), IF(S299=Constants!$B$3, FALSE(), FALSE())))</f>
        <v/>
      </c>
      <c r="AJ299" s="87" t="str">
        <f aca="false">IF(ISBLANK($C299),"",IF(AI299,Constants!$B$4,IF(COUNTA(E299:R299)=0,Constants!$B$5,IF(COUNTA(J299,L299,N299,P299,R299)=0,Constants!$B$6,Constants!$B$7))))</f>
        <v/>
      </c>
      <c r="AK299" s="87" t="str">
        <f aca="false">IF(ISBLANK($C299),"",IF($AJ299&lt;&gt;Constants!$B$7,$AJ299,IF(OR(NOT(X299),AND(NOT(U299),COUNTIFS(Y299:AG299,Constants!$B$18,Z299:AH299,"&gt;=0")&gt;0),AND(NOT(V299),COUNTIFS(Y299:AG299,Constants!$B$19,Z299:AH299,"&gt;=0")&gt;0)),Constants!$B$12,Constants!$B$11)))</f>
        <v/>
      </c>
      <c r="AL299" s="87" t="str">
        <f aca="false">IF($AJ299=Constants!$B$7,IF(Z299="",Constants!$B$13,Z299),"")</f>
        <v/>
      </c>
      <c r="AM299" s="87" t="str">
        <f aca="false">IF($AJ299=Constants!$B$7,IF(AB299="",Constants!$B$13,AB299),"")</f>
        <v/>
      </c>
      <c r="AN299" s="87" t="str">
        <f aca="false">IF($AJ299=Constants!$B$7,IF(AD299="",Constants!$B$13,AD299),"")</f>
        <v/>
      </c>
      <c r="AO299" s="87" t="str">
        <f aca="false">IF($AJ299=Constants!$B$7,IF(AF299="",Constants!$B$13,AF299),"")</f>
        <v/>
      </c>
      <c r="AP299" s="87" t="str">
        <f aca="false">IF($AJ299=Constants!$B$7,IF(AH299="",Constants!$B$13,AH299),"")</f>
        <v/>
      </c>
      <c r="AQ299" s="87" t="str">
        <f aca="false">IF($AJ299=Constants!$B$7,IF(SUMPRODUCT(--($AL299:$AP299&gt;AL299))+SUMPRODUCT(--($AL299:AL299=AL299))=1,1,IF(SUMPRODUCT(--($AL299:$AP299&gt;AM299))+SUMPRODUCT(--($AL299:AM299=AM299))=1,2,IF(SUMPRODUCT(--($AL299:$AP299&gt;AN299))+SUMPRODUCT(--($AL299:AN299=AN299))=1,3,IF(SUMPRODUCT(--($AL299:$AP299&gt;AO299))+SUMPRODUCT(--($AL299:AO299=AO299))=1,4,5)))),"")</f>
        <v/>
      </c>
      <c r="AR299" s="87" t="str">
        <f aca="false">IF($AJ299=Constants!$B$7,IF(SUMPRODUCT(--($AL299:$AP299&gt;AL299))+SUMPRODUCT(--($AL299:AL299=AL299))=2,1,IF(SUMPRODUCT(--($AL299:$AP299&gt;AM299))+SUMPRODUCT(--($AL299:AM299=AM299))=2,2,IF(SUMPRODUCT(--($AL299:$AP299&gt;AN299))+SUMPRODUCT(--($AL299:AN299=AN299))=2,3,IF(SUMPRODUCT(--($AL299:$AP299&gt;AO299))+SUMPRODUCT(--($AL299:AO299=AO299))=2,4,5)))),"")</f>
        <v/>
      </c>
      <c r="AS299" s="87" t="str">
        <f aca="false">IF($AJ299=Constants!$B$7,IF(SUMPRODUCT(--($AL299:$AP299&gt;AL299))+SUMPRODUCT(--($AL299:AL299=AL299))=3,1,IF(SUMPRODUCT(--($AL299:$AP299&gt;AM299))+SUMPRODUCT(--($AL299:AM299=AM299))=3,2,IF(SUMPRODUCT(--($AL299:$AP299&gt;AN299))+SUMPRODUCT(--($AL299:AN299=AN299))=3,3,IF(SUMPRODUCT(--($AL299:$AP299&gt;AO299))+SUMPRODUCT(--($AL299:AO299=AO299))=3,4,5)))),"")</f>
        <v/>
      </c>
      <c r="AT299" s="87" t="str">
        <f aca="false">IF($AJ299=Constants!$B$7,LARGE(AL299:AP299,1)+LARGE(AL299:AP299,2)+LARGE(AL299:AP299,3),"")</f>
        <v/>
      </c>
      <c r="AU299" s="87" t="str">
        <f aca="false">IF(ISBLANK($C299),"",IF($AJ299&lt;&gt;Constants!$B$7,$AJ299,AT299*W299))</f>
        <v/>
      </c>
      <c r="AV299" s="87" t="str">
        <f aca="false">IF(ISBLANK($C299),"",IF($AJ299=Constants!$B$7,IF(ISNUMBER(AU299),RANK(AU299,$AU$8:$AU$507),Constants!$B$14),$AJ299))</f>
        <v/>
      </c>
      <c r="AW299" s="87" t="str">
        <f aca="false">IF(ISBLANK($C299),"",IF($AJ299=Constants!$B$7,IF(ISNUMBER(AV299),COUNTIFS($AK$8:$AK$507,"&lt;"&amp;$AK299)+COUNTIFS($AK$8:$AK$507,$AK299,$AV$8:$AV$507,"&lt;"&amp;$AV299)+1,Constants!$B$14),$AJ299))</f>
        <v/>
      </c>
      <c r="AX299" s="87" t="str">
        <f aca="false">IF(ISBLANK($C299),"",IF($AJ299=Constants!$B$7,LARGE(AL299:AP299,4)*W299,""))</f>
        <v/>
      </c>
      <c r="AY299" s="87" t="str">
        <f aca="false">IF(ISBLANK($C299),"",IF($AJ299=Constants!$B$7,RANK(AX299,$AX$8:$AX$507),$AJ299))</f>
        <v/>
      </c>
      <c r="AZ299" s="87" t="str">
        <f aca="false">IF(ISBLANK($C299),"",IF($AJ299=Constants!$B$7,IF(ISNUMBER(AV299),COUNTIFS($AK$8:$AK$507,"&lt;"&amp;$AK299)+COUNTIFS($AK$8:$AK$507,$AK299,$AV$8:$AV$507,"&lt;"&amp;$AV299)+COUNTIFS($AK$8:$AK$507,$AK299,$AV$8:$AV$507,$AV299,$AY$8:$AY$507,"&lt;"&amp;$AY299)+1,Constants!$B$14),$AJ299))</f>
        <v/>
      </c>
      <c r="BA299" s="87" t="str">
        <f aca="false">IF(ISBLANK($C299),"",IF($AJ299=Constants!$B$7,IF(ISNUMBER(AW299),AW299-AZ299,Constants!$B$14),$AJ299))</f>
        <v/>
      </c>
      <c r="BB299" s="88"/>
      <c r="BC299" s="89" t="str">
        <f aca="false">IF(ISBLANK($C299),"",IF($AJ299&lt;&gt;Constants!$B$7,$AJ299,SMALL(AQ299:AS299,1)&amp;", "&amp;SMALL(AQ299:AS299,2)&amp;", "&amp;SMALL(AQ299:AS299,3)))</f>
        <v/>
      </c>
      <c r="BD299" s="90" t="str">
        <f aca="false">IF(ISBLANK($C299),"",IF($AJ299&lt;&gt;Constants!$B$7,$AJ299,W299))</f>
        <v/>
      </c>
      <c r="BE299" s="91" t="str">
        <f aca="false">IF(ISBLANK($C299),"",IF($AJ299&lt;&gt;Constants!$B$7,$AJ299,AU299))</f>
        <v/>
      </c>
      <c r="BF299" s="92" t="str">
        <f aca="false">IF(ISBLANK($C299),"",IF($AJ299&lt;&gt;Constants!$B$7,$AJ299,AK299))</f>
        <v/>
      </c>
      <c r="BG299" s="90" t="str">
        <f aca="false">IF(ISBLANK($C299),"",BA299)</f>
        <v/>
      </c>
      <c r="BH299" s="90" t="str">
        <f aca="false">IF(ISBLANK($C299),"",AZ299)</f>
        <v/>
      </c>
      <c r="BI299" s="93" t="str">
        <f aca="false">IF(ISBLANK($C299),"",IF(BH299=Constants!$B$4,COUNTA($C$8:$C$507)+2,IF(BH299=Constants!$B$5,COUNTA($C$8:$C$507)+1,IF(BH299=Constants!$B$6,COUNTA($C$8:$C$507),BH299))))</f>
        <v/>
      </c>
      <c r="BJ299" s="5"/>
      <c r="BK299" s="94" t="n">
        <f aca="false">IF(OR(ISNUMBER(BH299),BH299=Constants!$B$4,BH299=Constants!$B$6,BH299=Constants!$B$5),1,0)</f>
        <v>0</v>
      </c>
      <c r="BL299" s="94" t="n">
        <v>292</v>
      </c>
      <c r="BM299" s="94" t="str">
        <f aca="false">IF(ISBLANK($C299),"",IF(ISNUMBER(BI299),BI299+ROW($B299)/1000,""))</f>
        <v/>
      </c>
      <c r="BN299" s="94" t="str">
        <f aca="false">IF(ISNUMBER(BM299),RANK(BM299,$BM$8:$BM$507,1),"")</f>
        <v/>
      </c>
      <c r="BO299" s="94" t="str">
        <f aca="false">IF(ISBLANK($C299),"",$B299)</f>
        <v/>
      </c>
      <c r="BP299" s="94" t="str">
        <f aca="false">IF(ISBLANK($C299),"",$C299)</f>
        <v/>
      </c>
      <c r="BQ299" s="94" t="str">
        <f aca="false">IF(ISBLANK($C299),"",$D299)</f>
        <v/>
      </c>
      <c r="BR299" s="95" t="str">
        <f aca="false">BF299</f>
        <v/>
      </c>
      <c r="BS299" s="96" t="str">
        <f aca="false">BE299</f>
        <v/>
      </c>
      <c r="BT299" s="94" t="str">
        <f aca="false">IF(ISBLANK($C299),"",BH299)</f>
        <v/>
      </c>
      <c r="BU299" s="97" t="str">
        <f aca="false">IF($BL299&gt;$BK$7,"",VLOOKUP($BL299,$BN$8:$BT$507,7,FALSE()))</f>
        <v/>
      </c>
      <c r="BV299" s="98" t="str">
        <f aca="false">IF($BL299&gt;$BK$7,"",VLOOKUP($BL299,$BN$8:$BT$507,2,FALSE()))</f>
        <v/>
      </c>
      <c r="BW299" s="98" t="str">
        <f aca="false">IF($BL299&gt;$BK$7,"",VLOOKUP($BL299,$BN$8:$BT$507,3,FALSE()))</f>
        <v/>
      </c>
      <c r="BX299" s="98" t="str">
        <f aca="false">IF($BL299&gt;$BK$7,"",VLOOKUP($BL299,$BN$8:$BT$507,4,FALSE()))</f>
        <v/>
      </c>
      <c r="BY299" s="98" t="str">
        <f aca="false">IF($BL299&gt;$BK$7,"",VLOOKUP($BL299,$BN$8:$BT$507,5,FALSE()))</f>
        <v/>
      </c>
      <c r="BZ299" s="99" t="str">
        <f aca="false">IF($BL299&gt;$BK$7,"",VLOOKUP($BL299,$BN$8:$BT$507,6,FALSE()))</f>
        <v/>
      </c>
      <c r="CA299" s="48"/>
    </row>
    <row r="300" customFormat="false" ht="15.75" hidden="false" customHeight="false" outlineLevel="0" collapsed="false">
      <c r="A300" s="5"/>
      <c r="B300" s="114"/>
      <c r="C300" s="115"/>
      <c r="D300" s="100"/>
      <c r="E300" s="120"/>
      <c r="F300" s="125"/>
      <c r="G300" s="82"/>
      <c r="H300" s="126"/>
      <c r="I300" s="127"/>
      <c r="J300" s="82"/>
      <c r="K300" s="126"/>
      <c r="L300" s="82"/>
      <c r="M300" s="126"/>
      <c r="N300" s="82"/>
      <c r="O300" s="126"/>
      <c r="P300" s="82"/>
      <c r="Q300" s="126"/>
      <c r="R300" s="82"/>
      <c r="S300" s="120"/>
      <c r="T300" s="86"/>
      <c r="U300" s="87" t="str">
        <f aca="false">IF(ISBLANK($C300),"",IF(E300=Constants!$B$2, TRUE(), IF(E300=Constants!$B$3, FALSE(), TRUE())))</f>
        <v/>
      </c>
      <c r="V300" s="87" t="str">
        <f aca="false">IF(ISBLANK($C300),"",IF(F300=Constants!$B$2, TRUE(), IF(F300=Constants!$B$3, FALSE(), TRUE())))</f>
        <v/>
      </c>
      <c r="W300" s="87" t="str">
        <f aca="false">IF(ISBLANK($C300),"",IF(G300=Constants!$B$15,Constants!$B$8,IF(G300=Constants!$B$16,Constants!$B$9,Constants!$B$10)))</f>
        <v/>
      </c>
      <c r="X300" s="87" t="str">
        <f aca="false">IF(ISBLANK($C300),"",IF(H300=Constants!$B$2, TRUE(), IF(H300=Constants!$B$3, FALSE(), TRUE())))</f>
        <v/>
      </c>
      <c r="Y300" s="87" t="str">
        <f aca="false">IF(ISBLANK($C300),"",IF(I300=Constants!$B$19,Constants!$B$19,Constants!$B$18))</f>
        <v/>
      </c>
      <c r="Z300" s="87" t="str">
        <f aca="false">IF(ISBLANK($C300),"",IF(ISNUMBER(J300),IF(J300&gt;=0,J300,""),""))</f>
        <v/>
      </c>
      <c r="AA300" s="87" t="str">
        <f aca="false">IF(ISBLANK($C300),"",IF(K300=Constants!$B$19,Constants!$B$19,Constants!$B$18))</f>
        <v/>
      </c>
      <c r="AB300" s="87" t="str">
        <f aca="false">IF(ISBLANK($C300),"",IF(ISNUMBER(L300),IF(L300&gt;=0,L300,""),""))</f>
        <v/>
      </c>
      <c r="AC300" s="87" t="str">
        <f aca="false">IF(ISBLANK($C300),"",IF(M300=Constants!$B$19,Constants!$B$19,Constants!$B$18))</f>
        <v/>
      </c>
      <c r="AD300" s="87" t="str">
        <f aca="false">IF(ISBLANK($C300),"",IF(ISNUMBER(N300),IF(N300&gt;=0,N300,""),""))</f>
        <v/>
      </c>
      <c r="AE300" s="87" t="str">
        <f aca="false">IF(ISBLANK($C300),"",IF(O300=Constants!$B$19,Constants!$B$19,Constants!$B$18))</f>
        <v/>
      </c>
      <c r="AF300" s="87" t="str">
        <f aca="false">IF(ISBLANK($C300),"",IF(ISNUMBER(P300),IF(P300&gt;=0,P300,""),""))</f>
        <v/>
      </c>
      <c r="AG300" s="87" t="str">
        <f aca="false">IF(ISBLANK($C300),"",IF(Q300=Constants!$B$19,Constants!$B$19,Constants!$B$18))</f>
        <v/>
      </c>
      <c r="AH300" s="87" t="str">
        <f aca="false">IF(ISBLANK($C300),"",IF(ISNUMBER(R300),IF(R300&gt;=0,R300,""),""))</f>
        <v/>
      </c>
      <c r="AI300" s="87" t="str">
        <f aca="false">IF(ISBLANK($C300),"",IF(S300=Constants!$B$2, TRUE(), IF(S300=Constants!$B$3, FALSE(), FALSE())))</f>
        <v/>
      </c>
      <c r="AJ300" s="87" t="str">
        <f aca="false">IF(ISBLANK($C300),"",IF(AI300,Constants!$B$4,IF(COUNTA(E300:R300)=0,Constants!$B$5,IF(COUNTA(J300,L300,N300,P300,R300)=0,Constants!$B$6,Constants!$B$7))))</f>
        <v/>
      </c>
      <c r="AK300" s="87" t="str">
        <f aca="false">IF(ISBLANK($C300),"",IF($AJ300&lt;&gt;Constants!$B$7,$AJ300,IF(OR(NOT(X300),AND(NOT(U300),COUNTIFS(Y300:AG300,Constants!$B$18,Z300:AH300,"&gt;=0")&gt;0),AND(NOT(V300),COUNTIFS(Y300:AG300,Constants!$B$19,Z300:AH300,"&gt;=0")&gt;0)),Constants!$B$12,Constants!$B$11)))</f>
        <v/>
      </c>
      <c r="AL300" s="87" t="str">
        <f aca="false">IF($AJ300=Constants!$B$7,IF(Z300="",Constants!$B$13,Z300),"")</f>
        <v/>
      </c>
      <c r="AM300" s="87" t="str">
        <f aca="false">IF($AJ300=Constants!$B$7,IF(AB300="",Constants!$B$13,AB300),"")</f>
        <v/>
      </c>
      <c r="AN300" s="87" t="str">
        <f aca="false">IF($AJ300=Constants!$B$7,IF(AD300="",Constants!$B$13,AD300),"")</f>
        <v/>
      </c>
      <c r="AO300" s="87" t="str">
        <f aca="false">IF($AJ300=Constants!$B$7,IF(AF300="",Constants!$B$13,AF300),"")</f>
        <v/>
      </c>
      <c r="AP300" s="87" t="str">
        <f aca="false">IF($AJ300=Constants!$B$7,IF(AH300="",Constants!$B$13,AH300),"")</f>
        <v/>
      </c>
      <c r="AQ300" s="87" t="str">
        <f aca="false">IF($AJ300=Constants!$B$7,IF(SUMPRODUCT(--($AL300:$AP300&gt;AL300))+SUMPRODUCT(--($AL300:AL300=AL300))=1,1,IF(SUMPRODUCT(--($AL300:$AP300&gt;AM300))+SUMPRODUCT(--($AL300:AM300=AM300))=1,2,IF(SUMPRODUCT(--($AL300:$AP300&gt;AN300))+SUMPRODUCT(--($AL300:AN300=AN300))=1,3,IF(SUMPRODUCT(--($AL300:$AP300&gt;AO300))+SUMPRODUCT(--($AL300:AO300=AO300))=1,4,5)))),"")</f>
        <v/>
      </c>
      <c r="AR300" s="87" t="str">
        <f aca="false">IF($AJ300=Constants!$B$7,IF(SUMPRODUCT(--($AL300:$AP300&gt;AL300))+SUMPRODUCT(--($AL300:AL300=AL300))=2,1,IF(SUMPRODUCT(--($AL300:$AP300&gt;AM300))+SUMPRODUCT(--($AL300:AM300=AM300))=2,2,IF(SUMPRODUCT(--($AL300:$AP300&gt;AN300))+SUMPRODUCT(--($AL300:AN300=AN300))=2,3,IF(SUMPRODUCT(--($AL300:$AP300&gt;AO300))+SUMPRODUCT(--($AL300:AO300=AO300))=2,4,5)))),"")</f>
        <v/>
      </c>
      <c r="AS300" s="87" t="str">
        <f aca="false">IF($AJ300=Constants!$B$7,IF(SUMPRODUCT(--($AL300:$AP300&gt;AL300))+SUMPRODUCT(--($AL300:AL300=AL300))=3,1,IF(SUMPRODUCT(--($AL300:$AP300&gt;AM300))+SUMPRODUCT(--($AL300:AM300=AM300))=3,2,IF(SUMPRODUCT(--($AL300:$AP300&gt;AN300))+SUMPRODUCT(--($AL300:AN300=AN300))=3,3,IF(SUMPRODUCT(--($AL300:$AP300&gt;AO300))+SUMPRODUCT(--($AL300:AO300=AO300))=3,4,5)))),"")</f>
        <v/>
      </c>
      <c r="AT300" s="87" t="str">
        <f aca="false">IF($AJ300=Constants!$B$7,LARGE(AL300:AP300,1)+LARGE(AL300:AP300,2)+LARGE(AL300:AP300,3),"")</f>
        <v/>
      </c>
      <c r="AU300" s="87" t="str">
        <f aca="false">IF(ISBLANK($C300),"",IF($AJ300&lt;&gt;Constants!$B$7,$AJ300,AT300*W300))</f>
        <v/>
      </c>
      <c r="AV300" s="87" t="str">
        <f aca="false">IF(ISBLANK($C300),"",IF($AJ300=Constants!$B$7,IF(ISNUMBER(AU300),RANK(AU300,$AU$8:$AU$507),Constants!$B$14),$AJ300))</f>
        <v/>
      </c>
      <c r="AW300" s="87" t="str">
        <f aca="false">IF(ISBLANK($C300),"",IF($AJ300=Constants!$B$7,IF(ISNUMBER(AV300),COUNTIFS($AK$8:$AK$507,"&lt;"&amp;$AK300)+COUNTIFS($AK$8:$AK$507,$AK300,$AV$8:$AV$507,"&lt;"&amp;$AV300)+1,Constants!$B$14),$AJ300))</f>
        <v/>
      </c>
      <c r="AX300" s="87" t="str">
        <f aca="false">IF(ISBLANK($C300),"",IF($AJ300=Constants!$B$7,LARGE(AL300:AP300,4)*W300,""))</f>
        <v/>
      </c>
      <c r="AY300" s="87" t="str">
        <f aca="false">IF(ISBLANK($C300),"",IF($AJ300=Constants!$B$7,RANK(AX300,$AX$8:$AX$507),$AJ300))</f>
        <v/>
      </c>
      <c r="AZ300" s="87" t="str">
        <f aca="false">IF(ISBLANK($C300),"",IF($AJ300=Constants!$B$7,IF(ISNUMBER(AV300),COUNTIFS($AK$8:$AK$507,"&lt;"&amp;$AK300)+COUNTIFS($AK$8:$AK$507,$AK300,$AV$8:$AV$507,"&lt;"&amp;$AV300)+COUNTIFS($AK$8:$AK$507,$AK300,$AV$8:$AV$507,$AV300,$AY$8:$AY$507,"&lt;"&amp;$AY300)+1,Constants!$B$14),$AJ300))</f>
        <v/>
      </c>
      <c r="BA300" s="87" t="str">
        <f aca="false">IF(ISBLANK($C300),"",IF($AJ300=Constants!$B$7,IF(ISNUMBER(AW300),AW300-AZ300,Constants!$B$14),$AJ300))</f>
        <v/>
      </c>
      <c r="BB300" s="88"/>
      <c r="BC300" s="89" t="str">
        <f aca="false">IF(ISBLANK($C300),"",IF($AJ300&lt;&gt;Constants!$B$7,$AJ300,SMALL(AQ300:AS300,1)&amp;", "&amp;SMALL(AQ300:AS300,2)&amp;", "&amp;SMALL(AQ300:AS300,3)))</f>
        <v/>
      </c>
      <c r="BD300" s="90" t="str">
        <f aca="false">IF(ISBLANK($C300),"",IF($AJ300&lt;&gt;Constants!$B$7,$AJ300,W300))</f>
        <v/>
      </c>
      <c r="BE300" s="91" t="str">
        <f aca="false">IF(ISBLANK($C300),"",IF($AJ300&lt;&gt;Constants!$B$7,$AJ300,AU300))</f>
        <v/>
      </c>
      <c r="BF300" s="92" t="str">
        <f aca="false">IF(ISBLANK($C300),"",IF($AJ300&lt;&gt;Constants!$B$7,$AJ300,AK300))</f>
        <v/>
      </c>
      <c r="BG300" s="90" t="str">
        <f aca="false">IF(ISBLANK($C300),"",BA300)</f>
        <v/>
      </c>
      <c r="BH300" s="90" t="str">
        <f aca="false">IF(ISBLANK($C300),"",AZ300)</f>
        <v/>
      </c>
      <c r="BI300" s="93" t="str">
        <f aca="false">IF(ISBLANK($C300),"",IF(BH300=Constants!$B$4,COUNTA($C$8:$C$507)+2,IF(BH300=Constants!$B$5,COUNTA($C$8:$C$507)+1,IF(BH300=Constants!$B$6,COUNTA($C$8:$C$507),BH300))))</f>
        <v/>
      </c>
      <c r="BJ300" s="5"/>
      <c r="BK300" s="94" t="n">
        <f aca="false">IF(OR(ISNUMBER(BH300),BH300=Constants!$B$4,BH300=Constants!$B$6,BH300=Constants!$B$5),1,0)</f>
        <v>0</v>
      </c>
      <c r="BL300" s="94" t="n">
        <v>293</v>
      </c>
      <c r="BM300" s="94" t="str">
        <f aca="false">IF(ISBLANK($C300),"",IF(ISNUMBER(BI300),BI300+ROW($B300)/1000,""))</f>
        <v/>
      </c>
      <c r="BN300" s="94" t="str">
        <f aca="false">IF(ISNUMBER(BM300),RANK(BM300,$BM$8:$BM$507,1),"")</f>
        <v/>
      </c>
      <c r="BO300" s="94" t="str">
        <f aca="false">IF(ISBLANK($C300),"",$B300)</f>
        <v/>
      </c>
      <c r="BP300" s="94" t="str">
        <f aca="false">IF(ISBLANK($C300),"",$C300)</f>
        <v/>
      </c>
      <c r="BQ300" s="94" t="str">
        <f aca="false">IF(ISBLANK($C300),"",$D300)</f>
        <v/>
      </c>
      <c r="BR300" s="95" t="str">
        <f aca="false">BF300</f>
        <v/>
      </c>
      <c r="BS300" s="96" t="str">
        <f aca="false">BE300</f>
        <v/>
      </c>
      <c r="BT300" s="94" t="str">
        <f aca="false">IF(ISBLANK($C300),"",BH300)</f>
        <v/>
      </c>
      <c r="BU300" s="97" t="str">
        <f aca="false">IF($BL300&gt;$BK$7,"",VLOOKUP($BL300,$BN$8:$BT$507,7,FALSE()))</f>
        <v/>
      </c>
      <c r="BV300" s="98" t="str">
        <f aca="false">IF($BL300&gt;$BK$7,"",VLOOKUP($BL300,$BN$8:$BT$507,2,FALSE()))</f>
        <v/>
      </c>
      <c r="BW300" s="98" t="str">
        <f aca="false">IF($BL300&gt;$BK$7,"",VLOOKUP($BL300,$BN$8:$BT$507,3,FALSE()))</f>
        <v/>
      </c>
      <c r="BX300" s="98" t="str">
        <f aca="false">IF($BL300&gt;$BK$7,"",VLOOKUP($BL300,$BN$8:$BT$507,4,FALSE()))</f>
        <v/>
      </c>
      <c r="BY300" s="98" t="str">
        <f aca="false">IF($BL300&gt;$BK$7,"",VLOOKUP($BL300,$BN$8:$BT$507,5,FALSE()))</f>
        <v/>
      </c>
      <c r="BZ300" s="99" t="str">
        <f aca="false">IF($BL300&gt;$BK$7,"",VLOOKUP($BL300,$BN$8:$BT$507,6,FALSE()))</f>
        <v/>
      </c>
      <c r="CA300" s="48"/>
    </row>
    <row r="301" customFormat="false" ht="15.75" hidden="false" customHeight="false" outlineLevel="0" collapsed="false">
      <c r="A301" s="5"/>
      <c r="B301" s="114"/>
      <c r="C301" s="115"/>
      <c r="D301" s="100"/>
      <c r="E301" s="120"/>
      <c r="F301" s="125"/>
      <c r="G301" s="82"/>
      <c r="H301" s="126"/>
      <c r="I301" s="127"/>
      <c r="J301" s="82"/>
      <c r="K301" s="126"/>
      <c r="L301" s="82"/>
      <c r="M301" s="126"/>
      <c r="N301" s="82"/>
      <c r="O301" s="126"/>
      <c r="P301" s="82"/>
      <c r="Q301" s="126"/>
      <c r="R301" s="82"/>
      <c r="S301" s="120"/>
      <c r="T301" s="86"/>
      <c r="U301" s="87" t="str">
        <f aca="false">IF(ISBLANK($C301),"",IF(E301=Constants!$B$2, TRUE(), IF(E301=Constants!$B$3, FALSE(), TRUE())))</f>
        <v/>
      </c>
      <c r="V301" s="87" t="str">
        <f aca="false">IF(ISBLANK($C301),"",IF(F301=Constants!$B$2, TRUE(), IF(F301=Constants!$B$3, FALSE(), TRUE())))</f>
        <v/>
      </c>
      <c r="W301" s="87" t="str">
        <f aca="false">IF(ISBLANK($C301),"",IF(G301=Constants!$B$15,Constants!$B$8,IF(G301=Constants!$B$16,Constants!$B$9,Constants!$B$10)))</f>
        <v/>
      </c>
      <c r="X301" s="87" t="str">
        <f aca="false">IF(ISBLANK($C301),"",IF(H301=Constants!$B$2, TRUE(), IF(H301=Constants!$B$3, FALSE(), TRUE())))</f>
        <v/>
      </c>
      <c r="Y301" s="87" t="str">
        <f aca="false">IF(ISBLANK($C301),"",IF(I301=Constants!$B$19,Constants!$B$19,Constants!$B$18))</f>
        <v/>
      </c>
      <c r="Z301" s="87" t="str">
        <f aca="false">IF(ISBLANK($C301),"",IF(ISNUMBER(J301),IF(J301&gt;=0,J301,""),""))</f>
        <v/>
      </c>
      <c r="AA301" s="87" t="str">
        <f aca="false">IF(ISBLANK($C301),"",IF(K301=Constants!$B$19,Constants!$B$19,Constants!$B$18))</f>
        <v/>
      </c>
      <c r="AB301" s="87" t="str">
        <f aca="false">IF(ISBLANK($C301),"",IF(ISNUMBER(L301),IF(L301&gt;=0,L301,""),""))</f>
        <v/>
      </c>
      <c r="AC301" s="87" t="str">
        <f aca="false">IF(ISBLANK($C301),"",IF(M301=Constants!$B$19,Constants!$B$19,Constants!$B$18))</f>
        <v/>
      </c>
      <c r="AD301" s="87" t="str">
        <f aca="false">IF(ISBLANK($C301),"",IF(ISNUMBER(N301),IF(N301&gt;=0,N301,""),""))</f>
        <v/>
      </c>
      <c r="AE301" s="87" t="str">
        <f aca="false">IF(ISBLANK($C301),"",IF(O301=Constants!$B$19,Constants!$B$19,Constants!$B$18))</f>
        <v/>
      </c>
      <c r="AF301" s="87" t="str">
        <f aca="false">IF(ISBLANK($C301),"",IF(ISNUMBER(P301),IF(P301&gt;=0,P301,""),""))</f>
        <v/>
      </c>
      <c r="AG301" s="87" t="str">
        <f aca="false">IF(ISBLANK($C301),"",IF(Q301=Constants!$B$19,Constants!$B$19,Constants!$B$18))</f>
        <v/>
      </c>
      <c r="AH301" s="87" t="str">
        <f aca="false">IF(ISBLANK($C301),"",IF(ISNUMBER(R301),IF(R301&gt;=0,R301,""),""))</f>
        <v/>
      </c>
      <c r="AI301" s="87" t="str">
        <f aca="false">IF(ISBLANK($C301),"",IF(S301=Constants!$B$2, TRUE(), IF(S301=Constants!$B$3, FALSE(), FALSE())))</f>
        <v/>
      </c>
      <c r="AJ301" s="87" t="str">
        <f aca="false">IF(ISBLANK($C301),"",IF(AI301,Constants!$B$4,IF(COUNTA(E301:R301)=0,Constants!$B$5,IF(COUNTA(J301,L301,N301,P301,R301)=0,Constants!$B$6,Constants!$B$7))))</f>
        <v/>
      </c>
      <c r="AK301" s="87" t="str">
        <f aca="false">IF(ISBLANK($C301),"",IF($AJ301&lt;&gt;Constants!$B$7,$AJ301,IF(OR(NOT(X301),AND(NOT(U301),COUNTIFS(Y301:AG301,Constants!$B$18,Z301:AH301,"&gt;=0")&gt;0),AND(NOT(V301),COUNTIFS(Y301:AG301,Constants!$B$19,Z301:AH301,"&gt;=0")&gt;0)),Constants!$B$12,Constants!$B$11)))</f>
        <v/>
      </c>
      <c r="AL301" s="87" t="str">
        <f aca="false">IF($AJ301=Constants!$B$7,IF(Z301="",Constants!$B$13,Z301),"")</f>
        <v/>
      </c>
      <c r="AM301" s="87" t="str">
        <f aca="false">IF($AJ301=Constants!$B$7,IF(AB301="",Constants!$B$13,AB301),"")</f>
        <v/>
      </c>
      <c r="AN301" s="87" t="str">
        <f aca="false">IF($AJ301=Constants!$B$7,IF(AD301="",Constants!$B$13,AD301),"")</f>
        <v/>
      </c>
      <c r="AO301" s="87" t="str">
        <f aca="false">IF($AJ301=Constants!$B$7,IF(AF301="",Constants!$B$13,AF301),"")</f>
        <v/>
      </c>
      <c r="AP301" s="87" t="str">
        <f aca="false">IF($AJ301=Constants!$B$7,IF(AH301="",Constants!$B$13,AH301),"")</f>
        <v/>
      </c>
      <c r="AQ301" s="87" t="str">
        <f aca="false">IF($AJ301=Constants!$B$7,IF(SUMPRODUCT(--($AL301:$AP301&gt;AL301))+SUMPRODUCT(--($AL301:AL301=AL301))=1,1,IF(SUMPRODUCT(--($AL301:$AP301&gt;AM301))+SUMPRODUCT(--($AL301:AM301=AM301))=1,2,IF(SUMPRODUCT(--($AL301:$AP301&gt;AN301))+SUMPRODUCT(--($AL301:AN301=AN301))=1,3,IF(SUMPRODUCT(--($AL301:$AP301&gt;AO301))+SUMPRODUCT(--($AL301:AO301=AO301))=1,4,5)))),"")</f>
        <v/>
      </c>
      <c r="AR301" s="87" t="str">
        <f aca="false">IF($AJ301=Constants!$B$7,IF(SUMPRODUCT(--($AL301:$AP301&gt;AL301))+SUMPRODUCT(--($AL301:AL301=AL301))=2,1,IF(SUMPRODUCT(--($AL301:$AP301&gt;AM301))+SUMPRODUCT(--($AL301:AM301=AM301))=2,2,IF(SUMPRODUCT(--($AL301:$AP301&gt;AN301))+SUMPRODUCT(--($AL301:AN301=AN301))=2,3,IF(SUMPRODUCT(--($AL301:$AP301&gt;AO301))+SUMPRODUCT(--($AL301:AO301=AO301))=2,4,5)))),"")</f>
        <v/>
      </c>
      <c r="AS301" s="87" t="str">
        <f aca="false">IF($AJ301=Constants!$B$7,IF(SUMPRODUCT(--($AL301:$AP301&gt;AL301))+SUMPRODUCT(--($AL301:AL301=AL301))=3,1,IF(SUMPRODUCT(--($AL301:$AP301&gt;AM301))+SUMPRODUCT(--($AL301:AM301=AM301))=3,2,IF(SUMPRODUCT(--($AL301:$AP301&gt;AN301))+SUMPRODUCT(--($AL301:AN301=AN301))=3,3,IF(SUMPRODUCT(--($AL301:$AP301&gt;AO301))+SUMPRODUCT(--($AL301:AO301=AO301))=3,4,5)))),"")</f>
        <v/>
      </c>
      <c r="AT301" s="87" t="str">
        <f aca="false">IF($AJ301=Constants!$B$7,LARGE(AL301:AP301,1)+LARGE(AL301:AP301,2)+LARGE(AL301:AP301,3),"")</f>
        <v/>
      </c>
      <c r="AU301" s="87" t="str">
        <f aca="false">IF(ISBLANK($C301),"",IF($AJ301&lt;&gt;Constants!$B$7,$AJ301,AT301*W301))</f>
        <v/>
      </c>
      <c r="AV301" s="87" t="str">
        <f aca="false">IF(ISBLANK($C301),"",IF($AJ301=Constants!$B$7,IF(ISNUMBER(AU301),RANK(AU301,$AU$8:$AU$507),Constants!$B$14),$AJ301))</f>
        <v/>
      </c>
      <c r="AW301" s="87" t="str">
        <f aca="false">IF(ISBLANK($C301),"",IF($AJ301=Constants!$B$7,IF(ISNUMBER(AV301),COUNTIFS($AK$8:$AK$507,"&lt;"&amp;$AK301)+COUNTIFS($AK$8:$AK$507,$AK301,$AV$8:$AV$507,"&lt;"&amp;$AV301)+1,Constants!$B$14),$AJ301))</f>
        <v/>
      </c>
      <c r="AX301" s="87" t="str">
        <f aca="false">IF(ISBLANK($C301),"",IF($AJ301=Constants!$B$7,LARGE(AL301:AP301,4)*W301,""))</f>
        <v/>
      </c>
      <c r="AY301" s="87" t="str">
        <f aca="false">IF(ISBLANK($C301),"",IF($AJ301=Constants!$B$7,RANK(AX301,$AX$8:$AX$507),$AJ301))</f>
        <v/>
      </c>
      <c r="AZ301" s="87" t="str">
        <f aca="false">IF(ISBLANK($C301),"",IF($AJ301=Constants!$B$7,IF(ISNUMBER(AV301),COUNTIFS($AK$8:$AK$507,"&lt;"&amp;$AK301)+COUNTIFS($AK$8:$AK$507,$AK301,$AV$8:$AV$507,"&lt;"&amp;$AV301)+COUNTIFS($AK$8:$AK$507,$AK301,$AV$8:$AV$507,$AV301,$AY$8:$AY$507,"&lt;"&amp;$AY301)+1,Constants!$B$14),$AJ301))</f>
        <v/>
      </c>
      <c r="BA301" s="87" t="str">
        <f aca="false">IF(ISBLANK($C301),"",IF($AJ301=Constants!$B$7,IF(ISNUMBER(AW301),AW301-AZ301,Constants!$B$14),$AJ301))</f>
        <v/>
      </c>
      <c r="BB301" s="88"/>
      <c r="BC301" s="89" t="str">
        <f aca="false">IF(ISBLANK($C301),"",IF($AJ301&lt;&gt;Constants!$B$7,$AJ301,SMALL(AQ301:AS301,1)&amp;", "&amp;SMALL(AQ301:AS301,2)&amp;", "&amp;SMALL(AQ301:AS301,3)))</f>
        <v/>
      </c>
      <c r="BD301" s="90" t="str">
        <f aca="false">IF(ISBLANK($C301),"",IF($AJ301&lt;&gt;Constants!$B$7,$AJ301,W301))</f>
        <v/>
      </c>
      <c r="BE301" s="91" t="str">
        <f aca="false">IF(ISBLANK($C301),"",IF($AJ301&lt;&gt;Constants!$B$7,$AJ301,AU301))</f>
        <v/>
      </c>
      <c r="BF301" s="92" t="str">
        <f aca="false">IF(ISBLANK($C301),"",IF($AJ301&lt;&gt;Constants!$B$7,$AJ301,AK301))</f>
        <v/>
      </c>
      <c r="BG301" s="90" t="str">
        <f aca="false">IF(ISBLANK($C301),"",BA301)</f>
        <v/>
      </c>
      <c r="BH301" s="90" t="str">
        <f aca="false">IF(ISBLANK($C301),"",AZ301)</f>
        <v/>
      </c>
      <c r="BI301" s="93" t="str">
        <f aca="false">IF(ISBLANK($C301),"",IF(BH301=Constants!$B$4,COUNTA($C$8:$C$507)+2,IF(BH301=Constants!$B$5,COUNTA($C$8:$C$507)+1,IF(BH301=Constants!$B$6,COUNTA($C$8:$C$507),BH301))))</f>
        <v/>
      </c>
      <c r="BJ301" s="5"/>
      <c r="BK301" s="94" t="n">
        <f aca="false">IF(OR(ISNUMBER(BH301),BH301=Constants!$B$4,BH301=Constants!$B$6,BH301=Constants!$B$5),1,0)</f>
        <v>0</v>
      </c>
      <c r="BL301" s="94" t="n">
        <v>294</v>
      </c>
      <c r="BM301" s="94" t="str">
        <f aca="false">IF(ISBLANK($C301),"",IF(ISNUMBER(BI301),BI301+ROW($B301)/1000,""))</f>
        <v/>
      </c>
      <c r="BN301" s="94" t="str">
        <f aca="false">IF(ISNUMBER(BM301),RANK(BM301,$BM$8:$BM$507,1),"")</f>
        <v/>
      </c>
      <c r="BO301" s="94" t="str">
        <f aca="false">IF(ISBLANK($C301),"",$B301)</f>
        <v/>
      </c>
      <c r="BP301" s="94" t="str">
        <f aca="false">IF(ISBLANK($C301),"",$C301)</f>
        <v/>
      </c>
      <c r="BQ301" s="94" t="str">
        <f aca="false">IF(ISBLANK($C301),"",$D301)</f>
        <v/>
      </c>
      <c r="BR301" s="95" t="str">
        <f aca="false">BF301</f>
        <v/>
      </c>
      <c r="BS301" s="96" t="str">
        <f aca="false">BE301</f>
        <v/>
      </c>
      <c r="BT301" s="94" t="str">
        <f aca="false">IF(ISBLANK($C301),"",BH301)</f>
        <v/>
      </c>
      <c r="BU301" s="97" t="str">
        <f aca="false">IF($BL301&gt;$BK$7,"",VLOOKUP($BL301,$BN$8:$BT$507,7,FALSE()))</f>
        <v/>
      </c>
      <c r="BV301" s="98" t="str">
        <f aca="false">IF($BL301&gt;$BK$7,"",VLOOKUP($BL301,$BN$8:$BT$507,2,FALSE()))</f>
        <v/>
      </c>
      <c r="BW301" s="98" t="str">
        <f aca="false">IF($BL301&gt;$BK$7,"",VLOOKUP($BL301,$BN$8:$BT$507,3,FALSE()))</f>
        <v/>
      </c>
      <c r="BX301" s="98" t="str">
        <f aca="false">IF($BL301&gt;$BK$7,"",VLOOKUP($BL301,$BN$8:$BT$507,4,FALSE()))</f>
        <v/>
      </c>
      <c r="BY301" s="98" t="str">
        <f aca="false">IF($BL301&gt;$BK$7,"",VLOOKUP($BL301,$BN$8:$BT$507,5,FALSE()))</f>
        <v/>
      </c>
      <c r="BZ301" s="99" t="str">
        <f aca="false">IF($BL301&gt;$BK$7,"",VLOOKUP($BL301,$BN$8:$BT$507,6,FALSE()))</f>
        <v/>
      </c>
      <c r="CA301" s="48"/>
    </row>
    <row r="302" customFormat="false" ht="15.75" hidden="false" customHeight="false" outlineLevel="0" collapsed="false">
      <c r="A302" s="5"/>
      <c r="B302" s="121"/>
      <c r="C302" s="50"/>
      <c r="D302" s="51"/>
      <c r="E302" s="74"/>
      <c r="F302" s="122"/>
      <c r="G302" s="54"/>
      <c r="H302" s="123"/>
      <c r="I302" s="124"/>
      <c r="J302" s="54"/>
      <c r="K302" s="123"/>
      <c r="L302" s="54"/>
      <c r="M302" s="123"/>
      <c r="N302" s="54"/>
      <c r="O302" s="123"/>
      <c r="P302" s="54"/>
      <c r="Q302" s="123"/>
      <c r="R302" s="54"/>
      <c r="S302" s="74"/>
      <c r="T302" s="58"/>
      <c r="U302" s="59" t="str">
        <f aca="false">IF(ISBLANK($C302),"",IF(E302=Constants!$B$2, TRUE(), IF(E302=Constants!$B$3, FALSE(), TRUE())))</f>
        <v/>
      </c>
      <c r="V302" s="59" t="str">
        <f aca="false">IF(ISBLANK($C302),"",IF(F302=Constants!$B$2, TRUE(), IF(F302=Constants!$B$3, FALSE(), TRUE())))</f>
        <v/>
      </c>
      <c r="W302" s="59" t="str">
        <f aca="false">IF(ISBLANK($C302),"",IF(G302=Constants!$B$15,Constants!$B$8,IF(G302=Constants!$B$16,Constants!$B$9,Constants!$B$10)))</f>
        <v/>
      </c>
      <c r="X302" s="59" t="str">
        <f aca="false">IF(ISBLANK($C302),"",IF(H302=Constants!$B$2, TRUE(), IF(H302=Constants!$B$3, FALSE(), TRUE())))</f>
        <v/>
      </c>
      <c r="Y302" s="59" t="str">
        <f aca="false">IF(ISBLANK($C302),"",IF(I302=Constants!$B$19,Constants!$B$19,Constants!$B$18))</f>
        <v/>
      </c>
      <c r="Z302" s="59" t="str">
        <f aca="false">IF(ISBLANK($C302),"",IF(ISNUMBER(J302),IF(J302&gt;=0,J302,""),""))</f>
        <v/>
      </c>
      <c r="AA302" s="59" t="str">
        <f aca="false">IF(ISBLANK($C302),"",IF(K302=Constants!$B$19,Constants!$B$19,Constants!$B$18))</f>
        <v/>
      </c>
      <c r="AB302" s="59" t="str">
        <f aca="false">IF(ISBLANK($C302),"",IF(ISNUMBER(L302),IF(L302&gt;=0,L302,""),""))</f>
        <v/>
      </c>
      <c r="AC302" s="59" t="str">
        <f aca="false">IF(ISBLANK($C302),"",IF(M302=Constants!$B$19,Constants!$B$19,Constants!$B$18))</f>
        <v/>
      </c>
      <c r="AD302" s="59" t="str">
        <f aca="false">IF(ISBLANK($C302),"",IF(ISNUMBER(N302),IF(N302&gt;=0,N302,""),""))</f>
        <v/>
      </c>
      <c r="AE302" s="59" t="str">
        <f aca="false">IF(ISBLANK($C302),"",IF(O302=Constants!$B$19,Constants!$B$19,Constants!$B$18))</f>
        <v/>
      </c>
      <c r="AF302" s="59" t="str">
        <f aca="false">IF(ISBLANK($C302),"",IF(ISNUMBER(P302),IF(P302&gt;=0,P302,""),""))</f>
        <v/>
      </c>
      <c r="AG302" s="59" t="str">
        <f aca="false">IF(ISBLANK($C302),"",IF(Q302=Constants!$B$19,Constants!$B$19,Constants!$B$18))</f>
        <v/>
      </c>
      <c r="AH302" s="59" t="str">
        <f aca="false">IF(ISBLANK($C302),"",IF(ISNUMBER(R302),IF(R302&gt;=0,R302,""),""))</f>
        <v/>
      </c>
      <c r="AI302" s="59" t="str">
        <f aca="false">IF(ISBLANK($C302),"",IF(S302=Constants!$B$2, TRUE(), IF(S302=Constants!$B$3, FALSE(), FALSE())))</f>
        <v/>
      </c>
      <c r="AJ302" s="59" t="str">
        <f aca="false">IF(ISBLANK($C302),"",IF(AI302,Constants!$B$4,IF(COUNTA(E302:R302)=0,Constants!$B$5,IF(COUNTA(J302,L302,N302,P302,R302)=0,Constants!$B$6,Constants!$B$7))))</f>
        <v/>
      </c>
      <c r="AK302" s="59" t="str">
        <f aca="false">IF(ISBLANK($C302),"",IF($AJ302&lt;&gt;Constants!$B$7,$AJ302,IF(OR(NOT(X302),AND(NOT(U302),COUNTIFS(Y302:AG302,Constants!$B$18,Z302:AH302,"&gt;=0")&gt;0),AND(NOT(V302),COUNTIFS(Y302:AG302,Constants!$B$19,Z302:AH302,"&gt;=0")&gt;0)),Constants!$B$12,Constants!$B$11)))</f>
        <v/>
      </c>
      <c r="AL302" s="59" t="str">
        <f aca="false">IF($AJ302=Constants!$B$7,IF(Z302="",Constants!$B$13,Z302),"")</f>
        <v/>
      </c>
      <c r="AM302" s="59" t="str">
        <f aca="false">IF($AJ302=Constants!$B$7,IF(AB302="",Constants!$B$13,AB302),"")</f>
        <v/>
      </c>
      <c r="AN302" s="59" t="str">
        <f aca="false">IF($AJ302=Constants!$B$7,IF(AD302="",Constants!$B$13,AD302),"")</f>
        <v/>
      </c>
      <c r="AO302" s="59" t="str">
        <f aca="false">IF($AJ302=Constants!$B$7,IF(AF302="",Constants!$B$13,AF302),"")</f>
        <v/>
      </c>
      <c r="AP302" s="59" t="str">
        <f aca="false">IF($AJ302=Constants!$B$7,IF(AH302="",Constants!$B$13,AH302),"")</f>
        <v/>
      </c>
      <c r="AQ302" s="59" t="str">
        <f aca="false">IF($AJ302=Constants!$B$7,IF(SUMPRODUCT(--($AL302:$AP302&gt;AL302))+SUMPRODUCT(--($AL302:AL302=AL302))=1,1,IF(SUMPRODUCT(--($AL302:$AP302&gt;AM302))+SUMPRODUCT(--($AL302:AM302=AM302))=1,2,IF(SUMPRODUCT(--($AL302:$AP302&gt;AN302))+SUMPRODUCT(--($AL302:AN302=AN302))=1,3,IF(SUMPRODUCT(--($AL302:$AP302&gt;AO302))+SUMPRODUCT(--($AL302:AO302=AO302))=1,4,5)))),"")</f>
        <v/>
      </c>
      <c r="AR302" s="59" t="str">
        <f aca="false">IF($AJ302=Constants!$B$7,IF(SUMPRODUCT(--($AL302:$AP302&gt;AL302))+SUMPRODUCT(--($AL302:AL302=AL302))=2,1,IF(SUMPRODUCT(--($AL302:$AP302&gt;AM302))+SUMPRODUCT(--($AL302:AM302=AM302))=2,2,IF(SUMPRODUCT(--($AL302:$AP302&gt;AN302))+SUMPRODUCT(--($AL302:AN302=AN302))=2,3,IF(SUMPRODUCT(--($AL302:$AP302&gt;AO302))+SUMPRODUCT(--($AL302:AO302=AO302))=2,4,5)))),"")</f>
        <v/>
      </c>
      <c r="AS302" s="59" t="str">
        <f aca="false">IF($AJ302=Constants!$B$7,IF(SUMPRODUCT(--($AL302:$AP302&gt;AL302))+SUMPRODUCT(--($AL302:AL302=AL302))=3,1,IF(SUMPRODUCT(--($AL302:$AP302&gt;AM302))+SUMPRODUCT(--($AL302:AM302=AM302))=3,2,IF(SUMPRODUCT(--($AL302:$AP302&gt;AN302))+SUMPRODUCT(--($AL302:AN302=AN302))=3,3,IF(SUMPRODUCT(--($AL302:$AP302&gt;AO302))+SUMPRODUCT(--($AL302:AO302=AO302))=3,4,5)))),"")</f>
        <v/>
      </c>
      <c r="AT302" s="59" t="str">
        <f aca="false">IF($AJ302=Constants!$B$7,LARGE(AL302:AP302,1)+LARGE(AL302:AP302,2)+LARGE(AL302:AP302,3),"")</f>
        <v/>
      </c>
      <c r="AU302" s="59" t="str">
        <f aca="false">IF(ISBLANK($C302),"",IF($AJ302&lt;&gt;Constants!$B$7,$AJ302,AT302*W302))</f>
        <v/>
      </c>
      <c r="AV302" s="59" t="str">
        <f aca="false">IF(ISBLANK($C302),"",IF($AJ302=Constants!$B$7,IF(ISNUMBER(AU302),RANK(AU302,$AU$8:$AU$507),Constants!$B$14),$AJ302))</f>
        <v/>
      </c>
      <c r="AW302" s="59" t="str">
        <f aca="false">IF(ISBLANK($C302),"",IF($AJ302=Constants!$B$7,IF(ISNUMBER(AV302),COUNTIFS($AK$8:$AK$507,"&lt;"&amp;$AK302)+COUNTIFS($AK$8:$AK$507,$AK302,$AV$8:$AV$507,"&lt;"&amp;$AV302)+1,Constants!$B$14),$AJ302))</f>
        <v/>
      </c>
      <c r="AX302" s="59" t="str">
        <f aca="false">IF(ISBLANK($C302),"",IF($AJ302=Constants!$B$7,LARGE(AL302:AP302,4)*W302,""))</f>
        <v/>
      </c>
      <c r="AY302" s="59" t="str">
        <f aca="false">IF(ISBLANK($C302),"",IF($AJ302=Constants!$B$7,RANK(AX302,$AX$8:$AX$507),$AJ302))</f>
        <v/>
      </c>
      <c r="AZ302" s="59" t="str">
        <f aca="false">IF(ISBLANK($C302),"",IF($AJ302=Constants!$B$7,IF(ISNUMBER(AV302),COUNTIFS($AK$8:$AK$507,"&lt;"&amp;$AK302)+COUNTIFS($AK$8:$AK$507,$AK302,$AV$8:$AV$507,"&lt;"&amp;$AV302)+COUNTIFS($AK$8:$AK$507,$AK302,$AV$8:$AV$507,$AV302,$AY$8:$AY$507,"&lt;"&amp;$AY302)+1,Constants!$B$14),$AJ302))</f>
        <v/>
      </c>
      <c r="BA302" s="59" t="str">
        <f aca="false">IF(ISBLANK($C302),"",IF($AJ302=Constants!$B$7,IF(ISNUMBER(AW302),AW302-AZ302,Constants!$B$14),$AJ302))</f>
        <v/>
      </c>
      <c r="BB302" s="61"/>
      <c r="BC302" s="62" t="str">
        <f aca="false">IF(ISBLANK($C302),"",IF($AJ302&lt;&gt;Constants!$B$7,$AJ302,SMALL(AQ302:AS302,1)&amp;", "&amp;SMALL(AQ302:AS302,2)&amp;", "&amp;SMALL(AQ302:AS302,3)))</f>
        <v/>
      </c>
      <c r="BD302" s="63" t="str">
        <f aca="false">IF(ISBLANK($C302),"",IF($AJ302&lt;&gt;Constants!$B$7,$AJ302,W302))</f>
        <v/>
      </c>
      <c r="BE302" s="64" t="str">
        <f aca="false">IF(ISBLANK($C302),"",IF($AJ302&lt;&gt;Constants!$B$7,$AJ302,AU302))</f>
        <v/>
      </c>
      <c r="BF302" s="65" t="str">
        <f aca="false">IF(ISBLANK($C302),"",IF($AJ302&lt;&gt;Constants!$B$7,$AJ302,AK302))</f>
        <v/>
      </c>
      <c r="BG302" s="63" t="str">
        <f aca="false">IF(ISBLANK($C302),"",BA302)</f>
        <v/>
      </c>
      <c r="BH302" s="63" t="str">
        <f aca="false">IF(ISBLANK($C302),"",AZ302)</f>
        <v/>
      </c>
      <c r="BI302" s="66" t="str">
        <f aca="false">IF(ISBLANK($C302),"",IF(BH302=Constants!$B$4,COUNTA($C$8:$C$507)+2,IF(BH302=Constants!$B$5,COUNTA($C$8:$C$507)+1,IF(BH302=Constants!$B$6,COUNTA($C$8:$C$507),BH302))))</f>
        <v/>
      </c>
      <c r="BJ302" s="5"/>
      <c r="BK302" s="67" t="n">
        <f aca="false">IF(OR(ISNUMBER(BH302),BH302=Constants!$B$4,BH302=Constants!$B$6,BH302=Constants!$B$5),1,0)</f>
        <v>0</v>
      </c>
      <c r="BL302" s="67" t="n">
        <v>295</v>
      </c>
      <c r="BM302" s="67" t="str">
        <f aca="false">IF(ISBLANK($C302),"",IF(ISNUMBER(BI302),BI302+ROW($B302)/1000,""))</f>
        <v/>
      </c>
      <c r="BN302" s="67" t="str">
        <f aca="false">IF(ISNUMBER(BM302),RANK(BM302,$BM$8:$BM$507,1),"")</f>
        <v/>
      </c>
      <c r="BO302" s="67" t="str">
        <f aca="false">IF(ISBLANK($C302),"",$B302)</f>
        <v/>
      </c>
      <c r="BP302" s="67" t="str">
        <f aca="false">IF(ISBLANK($C302),"",$C302)</f>
        <v/>
      </c>
      <c r="BQ302" s="67" t="str">
        <f aca="false">IF(ISBLANK($C302),"",$D302)</f>
        <v/>
      </c>
      <c r="BR302" s="68" t="str">
        <f aca="false">BF302</f>
        <v/>
      </c>
      <c r="BS302" s="69" t="str">
        <f aca="false">BE302</f>
        <v/>
      </c>
      <c r="BT302" s="67" t="str">
        <f aca="false">IF(ISBLANK($C302),"",BH302)</f>
        <v/>
      </c>
      <c r="BU302" s="70" t="str">
        <f aca="false">IF($BL302&gt;$BK$7,"",VLOOKUP($BL302,$BN$8:$BT$507,7,FALSE()))</f>
        <v/>
      </c>
      <c r="BV302" s="71" t="str">
        <f aca="false">IF($BL302&gt;$BK$7,"",VLOOKUP($BL302,$BN$8:$BT$507,2,FALSE()))</f>
        <v/>
      </c>
      <c r="BW302" s="71" t="str">
        <f aca="false">IF($BL302&gt;$BK$7,"",VLOOKUP($BL302,$BN$8:$BT$507,3,FALSE()))</f>
        <v/>
      </c>
      <c r="BX302" s="71" t="str">
        <f aca="false">IF($BL302&gt;$BK$7,"",VLOOKUP($BL302,$BN$8:$BT$507,4,FALSE()))</f>
        <v/>
      </c>
      <c r="BY302" s="71" t="str">
        <f aca="false">IF($BL302&gt;$BK$7,"",VLOOKUP($BL302,$BN$8:$BT$507,5,FALSE()))</f>
        <v/>
      </c>
      <c r="BZ302" s="72" t="str">
        <f aca="false">IF($BL302&gt;$BK$7,"",VLOOKUP($BL302,$BN$8:$BT$507,6,FALSE()))</f>
        <v/>
      </c>
      <c r="CA302" s="48"/>
    </row>
    <row r="303" customFormat="false" ht="15.75" hidden="false" customHeight="false" outlineLevel="0" collapsed="false">
      <c r="A303" s="5"/>
      <c r="B303" s="121"/>
      <c r="C303" s="50"/>
      <c r="D303" s="51"/>
      <c r="E303" s="74"/>
      <c r="F303" s="122"/>
      <c r="G303" s="54"/>
      <c r="H303" s="123"/>
      <c r="I303" s="124"/>
      <c r="J303" s="54"/>
      <c r="K303" s="123"/>
      <c r="L303" s="54"/>
      <c r="M303" s="123"/>
      <c r="N303" s="54"/>
      <c r="O303" s="123"/>
      <c r="P303" s="54"/>
      <c r="Q303" s="123"/>
      <c r="R303" s="54"/>
      <c r="S303" s="74"/>
      <c r="T303" s="58"/>
      <c r="U303" s="59" t="str">
        <f aca="false">IF(ISBLANK($C303),"",IF(E303=Constants!$B$2, TRUE(), IF(E303=Constants!$B$3, FALSE(), TRUE())))</f>
        <v/>
      </c>
      <c r="V303" s="59" t="str">
        <f aca="false">IF(ISBLANK($C303),"",IF(F303=Constants!$B$2, TRUE(), IF(F303=Constants!$B$3, FALSE(), TRUE())))</f>
        <v/>
      </c>
      <c r="W303" s="59" t="str">
        <f aca="false">IF(ISBLANK($C303),"",IF(G303=Constants!$B$15,Constants!$B$8,IF(G303=Constants!$B$16,Constants!$B$9,Constants!$B$10)))</f>
        <v/>
      </c>
      <c r="X303" s="59" t="str">
        <f aca="false">IF(ISBLANK($C303),"",IF(H303=Constants!$B$2, TRUE(), IF(H303=Constants!$B$3, FALSE(), TRUE())))</f>
        <v/>
      </c>
      <c r="Y303" s="59" t="str">
        <f aca="false">IF(ISBLANK($C303),"",IF(I303=Constants!$B$19,Constants!$B$19,Constants!$B$18))</f>
        <v/>
      </c>
      <c r="Z303" s="59" t="str">
        <f aca="false">IF(ISBLANK($C303),"",IF(ISNUMBER(J303),IF(J303&gt;=0,J303,""),""))</f>
        <v/>
      </c>
      <c r="AA303" s="59" t="str">
        <f aca="false">IF(ISBLANK($C303),"",IF(K303=Constants!$B$19,Constants!$B$19,Constants!$B$18))</f>
        <v/>
      </c>
      <c r="AB303" s="59" t="str">
        <f aca="false">IF(ISBLANK($C303),"",IF(ISNUMBER(L303),IF(L303&gt;=0,L303,""),""))</f>
        <v/>
      </c>
      <c r="AC303" s="59" t="str">
        <f aca="false">IF(ISBLANK($C303),"",IF(M303=Constants!$B$19,Constants!$B$19,Constants!$B$18))</f>
        <v/>
      </c>
      <c r="AD303" s="59" t="str">
        <f aca="false">IF(ISBLANK($C303),"",IF(ISNUMBER(N303),IF(N303&gt;=0,N303,""),""))</f>
        <v/>
      </c>
      <c r="AE303" s="59" t="str">
        <f aca="false">IF(ISBLANK($C303),"",IF(O303=Constants!$B$19,Constants!$B$19,Constants!$B$18))</f>
        <v/>
      </c>
      <c r="AF303" s="59" t="str">
        <f aca="false">IF(ISBLANK($C303),"",IF(ISNUMBER(P303),IF(P303&gt;=0,P303,""),""))</f>
        <v/>
      </c>
      <c r="AG303" s="59" t="str">
        <f aca="false">IF(ISBLANK($C303),"",IF(Q303=Constants!$B$19,Constants!$B$19,Constants!$B$18))</f>
        <v/>
      </c>
      <c r="AH303" s="59" t="str">
        <f aca="false">IF(ISBLANK($C303),"",IF(ISNUMBER(R303),IF(R303&gt;=0,R303,""),""))</f>
        <v/>
      </c>
      <c r="AI303" s="59" t="str">
        <f aca="false">IF(ISBLANK($C303),"",IF(S303=Constants!$B$2, TRUE(), IF(S303=Constants!$B$3, FALSE(), FALSE())))</f>
        <v/>
      </c>
      <c r="AJ303" s="59" t="str">
        <f aca="false">IF(ISBLANK($C303),"",IF(AI303,Constants!$B$4,IF(COUNTA(E303:R303)=0,Constants!$B$5,IF(COUNTA(J303,L303,N303,P303,R303)=0,Constants!$B$6,Constants!$B$7))))</f>
        <v/>
      </c>
      <c r="AK303" s="59" t="str">
        <f aca="false">IF(ISBLANK($C303),"",IF($AJ303&lt;&gt;Constants!$B$7,$AJ303,IF(OR(NOT(X303),AND(NOT(U303),COUNTIFS(Y303:AG303,Constants!$B$18,Z303:AH303,"&gt;=0")&gt;0),AND(NOT(V303),COUNTIFS(Y303:AG303,Constants!$B$19,Z303:AH303,"&gt;=0")&gt;0)),Constants!$B$12,Constants!$B$11)))</f>
        <v/>
      </c>
      <c r="AL303" s="59" t="str">
        <f aca="false">IF($AJ303=Constants!$B$7,IF(Z303="",Constants!$B$13,Z303),"")</f>
        <v/>
      </c>
      <c r="AM303" s="59" t="str">
        <f aca="false">IF($AJ303=Constants!$B$7,IF(AB303="",Constants!$B$13,AB303),"")</f>
        <v/>
      </c>
      <c r="AN303" s="59" t="str">
        <f aca="false">IF($AJ303=Constants!$B$7,IF(AD303="",Constants!$B$13,AD303),"")</f>
        <v/>
      </c>
      <c r="AO303" s="59" t="str">
        <f aca="false">IF($AJ303=Constants!$B$7,IF(AF303="",Constants!$B$13,AF303),"")</f>
        <v/>
      </c>
      <c r="AP303" s="59" t="str">
        <f aca="false">IF($AJ303=Constants!$B$7,IF(AH303="",Constants!$B$13,AH303),"")</f>
        <v/>
      </c>
      <c r="AQ303" s="59" t="str">
        <f aca="false">IF($AJ303=Constants!$B$7,IF(SUMPRODUCT(--($AL303:$AP303&gt;AL303))+SUMPRODUCT(--($AL303:AL303=AL303))=1,1,IF(SUMPRODUCT(--($AL303:$AP303&gt;AM303))+SUMPRODUCT(--($AL303:AM303=AM303))=1,2,IF(SUMPRODUCT(--($AL303:$AP303&gt;AN303))+SUMPRODUCT(--($AL303:AN303=AN303))=1,3,IF(SUMPRODUCT(--($AL303:$AP303&gt;AO303))+SUMPRODUCT(--($AL303:AO303=AO303))=1,4,5)))),"")</f>
        <v/>
      </c>
      <c r="AR303" s="59" t="str">
        <f aca="false">IF($AJ303=Constants!$B$7,IF(SUMPRODUCT(--($AL303:$AP303&gt;AL303))+SUMPRODUCT(--($AL303:AL303=AL303))=2,1,IF(SUMPRODUCT(--($AL303:$AP303&gt;AM303))+SUMPRODUCT(--($AL303:AM303=AM303))=2,2,IF(SUMPRODUCT(--($AL303:$AP303&gt;AN303))+SUMPRODUCT(--($AL303:AN303=AN303))=2,3,IF(SUMPRODUCT(--($AL303:$AP303&gt;AO303))+SUMPRODUCT(--($AL303:AO303=AO303))=2,4,5)))),"")</f>
        <v/>
      </c>
      <c r="AS303" s="59" t="str">
        <f aca="false">IF($AJ303=Constants!$B$7,IF(SUMPRODUCT(--($AL303:$AP303&gt;AL303))+SUMPRODUCT(--($AL303:AL303=AL303))=3,1,IF(SUMPRODUCT(--($AL303:$AP303&gt;AM303))+SUMPRODUCT(--($AL303:AM303=AM303))=3,2,IF(SUMPRODUCT(--($AL303:$AP303&gt;AN303))+SUMPRODUCT(--($AL303:AN303=AN303))=3,3,IF(SUMPRODUCT(--($AL303:$AP303&gt;AO303))+SUMPRODUCT(--($AL303:AO303=AO303))=3,4,5)))),"")</f>
        <v/>
      </c>
      <c r="AT303" s="59" t="str">
        <f aca="false">IF($AJ303=Constants!$B$7,LARGE(AL303:AP303,1)+LARGE(AL303:AP303,2)+LARGE(AL303:AP303,3),"")</f>
        <v/>
      </c>
      <c r="AU303" s="59" t="str">
        <f aca="false">IF(ISBLANK($C303),"",IF($AJ303&lt;&gt;Constants!$B$7,$AJ303,AT303*W303))</f>
        <v/>
      </c>
      <c r="AV303" s="59" t="str">
        <f aca="false">IF(ISBLANK($C303),"",IF($AJ303=Constants!$B$7,IF(ISNUMBER(AU303),RANK(AU303,$AU$8:$AU$507),Constants!$B$14),$AJ303))</f>
        <v/>
      </c>
      <c r="AW303" s="59" t="str">
        <f aca="false">IF(ISBLANK($C303),"",IF($AJ303=Constants!$B$7,IF(ISNUMBER(AV303),COUNTIFS($AK$8:$AK$507,"&lt;"&amp;$AK303)+COUNTIFS($AK$8:$AK$507,$AK303,$AV$8:$AV$507,"&lt;"&amp;$AV303)+1,Constants!$B$14),$AJ303))</f>
        <v/>
      </c>
      <c r="AX303" s="59" t="str">
        <f aca="false">IF(ISBLANK($C303),"",IF($AJ303=Constants!$B$7,LARGE(AL303:AP303,4)*W303,""))</f>
        <v/>
      </c>
      <c r="AY303" s="59" t="str">
        <f aca="false">IF(ISBLANK($C303),"",IF($AJ303=Constants!$B$7,RANK(AX303,$AX$8:$AX$507),$AJ303))</f>
        <v/>
      </c>
      <c r="AZ303" s="59" t="str">
        <f aca="false">IF(ISBLANK($C303),"",IF($AJ303=Constants!$B$7,IF(ISNUMBER(AV303),COUNTIFS($AK$8:$AK$507,"&lt;"&amp;$AK303)+COUNTIFS($AK$8:$AK$507,$AK303,$AV$8:$AV$507,"&lt;"&amp;$AV303)+COUNTIFS($AK$8:$AK$507,$AK303,$AV$8:$AV$507,$AV303,$AY$8:$AY$507,"&lt;"&amp;$AY303)+1,Constants!$B$14),$AJ303))</f>
        <v/>
      </c>
      <c r="BA303" s="59" t="str">
        <f aca="false">IF(ISBLANK($C303),"",IF($AJ303=Constants!$B$7,IF(ISNUMBER(AW303),AW303-AZ303,Constants!$B$14),$AJ303))</f>
        <v/>
      </c>
      <c r="BB303" s="61"/>
      <c r="BC303" s="62" t="str">
        <f aca="false">IF(ISBLANK($C303),"",IF($AJ303&lt;&gt;Constants!$B$7,$AJ303,SMALL(AQ303:AS303,1)&amp;", "&amp;SMALL(AQ303:AS303,2)&amp;", "&amp;SMALL(AQ303:AS303,3)))</f>
        <v/>
      </c>
      <c r="BD303" s="63" t="str">
        <f aca="false">IF(ISBLANK($C303),"",IF($AJ303&lt;&gt;Constants!$B$7,$AJ303,W303))</f>
        <v/>
      </c>
      <c r="BE303" s="64" t="str">
        <f aca="false">IF(ISBLANK($C303),"",IF($AJ303&lt;&gt;Constants!$B$7,$AJ303,AU303))</f>
        <v/>
      </c>
      <c r="BF303" s="65" t="str">
        <f aca="false">IF(ISBLANK($C303),"",IF($AJ303&lt;&gt;Constants!$B$7,$AJ303,AK303))</f>
        <v/>
      </c>
      <c r="BG303" s="63" t="str">
        <f aca="false">IF(ISBLANK($C303),"",BA303)</f>
        <v/>
      </c>
      <c r="BH303" s="63" t="str">
        <f aca="false">IF(ISBLANK($C303),"",AZ303)</f>
        <v/>
      </c>
      <c r="BI303" s="66" t="str">
        <f aca="false">IF(ISBLANK($C303),"",IF(BH303=Constants!$B$4,COUNTA($C$8:$C$507)+2,IF(BH303=Constants!$B$5,COUNTA($C$8:$C$507)+1,IF(BH303=Constants!$B$6,COUNTA($C$8:$C$507),BH303))))</f>
        <v/>
      </c>
      <c r="BJ303" s="5"/>
      <c r="BK303" s="67" t="n">
        <f aca="false">IF(OR(ISNUMBER(BH303),BH303=Constants!$B$4,BH303=Constants!$B$6,BH303=Constants!$B$5),1,0)</f>
        <v>0</v>
      </c>
      <c r="BL303" s="67" t="n">
        <v>296</v>
      </c>
      <c r="BM303" s="67" t="str">
        <f aca="false">IF(ISBLANK($C303),"",IF(ISNUMBER(BI303),BI303+ROW($B303)/1000,""))</f>
        <v/>
      </c>
      <c r="BN303" s="67" t="str">
        <f aca="false">IF(ISNUMBER(BM303),RANK(BM303,$BM$8:$BM$507,1),"")</f>
        <v/>
      </c>
      <c r="BO303" s="67" t="str">
        <f aca="false">IF(ISBLANK($C303),"",$B303)</f>
        <v/>
      </c>
      <c r="BP303" s="67" t="str">
        <f aca="false">IF(ISBLANK($C303),"",$C303)</f>
        <v/>
      </c>
      <c r="BQ303" s="67" t="str">
        <f aca="false">IF(ISBLANK($C303),"",$D303)</f>
        <v/>
      </c>
      <c r="BR303" s="68" t="str">
        <f aca="false">BF303</f>
        <v/>
      </c>
      <c r="BS303" s="69" t="str">
        <f aca="false">BE303</f>
        <v/>
      </c>
      <c r="BT303" s="67" t="str">
        <f aca="false">IF(ISBLANK($C303),"",BH303)</f>
        <v/>
      </c>
      <c r="BU303" s="70" t="str">
        <f aca="false">IF($BL303&gt;$BK$7,"",VLOOKUP($BL303,$BN$8:$BT$507,7,FALSE()))</f>
        <v/>
      </c>
      <c r="BV303" s="71" t="str">
        <f aca="false">IF($BL303&gt;$BK$7,"",VLOOKUP($BL303,$BN$8:$BT$507,2,FALSE()))</f>
        <v/>
      </c>
      <c r="BW303" s="71" t="str">
        <f aca="false">IF($BL303&gt;$BK$7,"",VLOOKUP($BL303,$BN$8:$BT$507,3,FALSE()))</f>
        <v/>
      </c>
      <c r="BX303" s="71" t="str">
        <f aca="false">IF($BL303&gt;$BK$7,"",VLOOKUP($BL303,$BN$8:$BT$507,4,FALSE()))</f>
        <v/>
      </c>
      <c r="BY303" s="71" t="str">
        <f aca="false">IF($BL303&gt;$BK$7,"",VLOOKUP($BL303,$BN$8:$BT$507,5,FALSE()))</f>
        <v/>
      </c>
      <c r="BZ303" s="72" t="str">
        <f aca="false">IF($BL303&gt;$BK$7,"",VLOOKUP($BL303,$BN$8:$BT$507,6,FALSE()))</f>
        <v/>
      </c>
      <c r="CA303" s="48"/>
    </row>
    <row r="304" customFormat="false" ht="15.75" hidden="false" customHeight="false" outlineLevel="0" collapsed="false">
      <c r="A304" s="5"/>
      <c r="B304" s="121"/>
      <c r="C304" s="50"/>
      <c r="D304" s="51"/>
      <c r="E304" s="74"/>
      <c r="F304" s="122"/>
      <c r="G304" s="54"/>
      <c r="H304" s="123"/>
      <c r="I304" s="124"/>
      <c r="J304" s="54"/>
      <c r="K304" s="123"/>
      <c r="L304" s="54"/>
      <c r="M304" s="123"/>
      <c r="N304" s="54"/>
      <c r="O304" s="123"/>
      <c r="P304" s="54"/>
      <c r="Q304" s="123"/>
      <c r="R304" s="54"/>
      <c r="S304" s="74"/>
      <c r="T304" s="58"/>
      <c r="U304" s="59" t="str">
        <f aca="false">IF(ISBLANK($C304),"",IF(E304=Constants!$B$2, TRUE(), IF(E304=Constants!$B$3, FALSE(), TRUE())))</f>
        <v/>
      </c>
      <c r="V304" s="59" t="str">
        <f aca="false">IF(ISBLANK($C304),"",IF(F304=Constants!$B$2, TRUE(), IF(F304=Constants!$B$3, FALSE(), TRUE())))</f>
        <v/>
      </c>
      <c r="W304" s="59" t="str">
        <f aca="false">IF(ISBLANK($C304),"",IF(G304=Constants!$B$15,Constants!$B$8,IF(G304=Constants!$B$16,Constants!$B$9,Constants!$B$10)))</f>
        <v/>
      </c>
      <c r="X304" s="59" t="str">
        <f aca="false">IF(ISBLANK($C304),"",IF(H304=Constants!$B$2, TRUE(), IF(H304=Constants!$B$3, FALSE(), TRUE())))</f>
        <v/>
      </c>
      <c r="Y304" s="59" t="str">
        <f aca="false">IF(ISBLANK($C304),"",IF(I304=Constants!$B$19,Constants!$B$19,Constants!$B$18))</f>
        <v/>
      </c>
      <c r="Z304" s="59" t="str">
        <f aca="false">IF(ISBLANK($C304),"",IF(ISNUMBER(J304),IF(J304&gt;=0,J304,""),""))</f>
        <v/>
      </c>
      <c r="AA304" s="59" t="str">
        <f aca="false">IF(ISBLANK($C304),"",IF(K304=Constants!$B$19,Constants!$B$19,Constants!$B$18))</f>
        <v/>
      </c>
      <c r="AB304" s="59" t="str">
        <f aca="false">IF(ISBLANK($C304),"",IF(ISNUMBER(L304),IF(L304&gt;=0,L304,""),""))</f>
        <v/>
      </c>
      <c r="AC304" s="59" t="str">
        <f aca="false">IF(ISBLANK($C304),"",IF(M304=Constants!$B$19,Constants!$B$19,Constants!$B$18))</f>
        <v/>
      </c>
      <c r="AD304" s="59" t="str">
        <f aca="false">IF(ISBLANK($C304),"",IF(ISNUMBER(N304),IF(N304&gt;=0,N304,""),""))</f>
        <v/>
      </c>
      <c r="AE304" s="59" t="str">
        <f aca="false">IF(ISBLANK($C304),"",IF(O304=Constants!$B$19,Constants!$B$19,Constants!$B$18))</f>
        <v/>
      </c>
      <c r="AF304" s="59" t="str">
        <f aca="false">IF(ISBLANK($C304),"",IF(ISNUMBER(P304),IF(P304&gt;=0,P304,""),""))</f>
        <v/>
      </c>
      <c r="AG304" s="59" t="str">
        <f aca="false">IF(ISBLANK($C304),"",IF(Q304=Constants!$B$19,Constants!$B$19,Constants!$B$18))</f>
        <v/>
      </c>
      <c r="AH304" s="59" t="str">
        <f aca="false">IF(ISBLANK($C304),"",IF(ISNUMBER(R304),IF(R304&gt;=0,R304,""),""))</f>
        <v/>
      </c>
      <c r="AI304" s="59" t="str">
        <f aca="false">IF(ISBLANK($C304),"",IF(S304=Constants!$B$2, TRUE(), IF(S304=Constants!$B$3, FALSE(), FALSE())))</f>
        <v/>
      </c>
      <c r="AJ304" s="59" t="str">
        <f aca="false">IF(ISBLANK($C304),"",IF(AI304,Constants!$B$4,IF(COUNTA(E304:R304)=0,Constants!$B$5,IF(COUNTA(J304,L304,N304,P304,R304)=0,Constants!$B$6,Constants!$B$7))))</f>
        <v/>
      </c>
      <c r="AK304" s="59" t="str">
        <f aca="false">IF(ISBLANK($C304),"",IF($AJ304&lt;&gt;Constants!$B$7,$AJ304,IF(OR(NOT(X304),AND(NOT(U304),COUNTIFS(Y304:AG304,Constants!$B$18,Z304:AH304,"&gt;=0")&gt;0),AND(NOT(V304),COUNTIFS(Y304:AG304,Constants!$B$19,Z304:AH304,"&gt;=0")&gt;0)),Constants!$B$12,Constants!$B$11)))</f>
        <v/>
      </c>
      <c r="AL304" s="59" t="str">
        <f aca="false">IF($AJ304=Constants!$B$7,IF(Z304="",Constants!$B$13,Z304),"")</f>
        <v/>
      </c>
      <c r="AM304" s="59" t="str">
        <f aca="false">IF($AJ304=Constants!$B$7,IF(AB304="",Constants!$B$13,AB304),"")</f>
        <v/>
      </c>
      <c r="AN304" s="59" t="str">
        <f aca="false">IF($AJ304=Constants!$B$7,IF(AD304="",Constants!$B$13,AD304),"")</f>
        <v/>
      </c>
      <c r="AO304" s="59" t="str">
        <f aca="false">IF($AJ304=Constants!$B$7,IF(AF304="",Constants!$B$13,AF304),"")</f>
        <v/>
      </c>
      <c r="AP304" s="59" t="str">
        <f aca="false">IF($AJ304=Constants!$B$7,IF(AH304="",Constants!$B$13,AH304),"")</f>
        <v/>
      </c>
      <c r="AQ304" s="59" t="str">
        <f aca="false">IF($AJ304=Constants!$B$7,IF(SUMPRODUCT(--($AL304:$AP304&gt;AL304))+SUMPRODUCT(--($AL304:AL304=AL304))=1,1,IF(SUMPRODUCT(--($AL304:$AP304&gt;AM304))+SUMPRODUCT(--($AL304:AM304=AM304))=1,2,IF(SUMPRODUCT(--($AL304:$AP304&gt;AN304))+SUMPRODUCT(--($AL304:AN304=AN304))=1,3,IF(SUMPRODUCT(--($AL304:$AP304&gt;AO304))+SUMPRODUCT(--($AL304:AO304=AO304))=1,4,5)))),"")</f>
        <v/>
      </c>
      <c r="AR304" s="59" t="str">
        <f aca="false">IF($AJ304=Constants!$B$7,IF(SUMPRODUCT(--($AL304:$AP304&gt;AL304))+SUMPRODUCT(--($AL304:AL304=AL304))=2,1,IF(SUMPRODUCT(--($AL304:$AP304&gt;AM304))+SUMPRODUCT(--($AL304:AM304=AM304))=2,2,IF(SUMPRODUCT(--($AL304:$AP304&gt;AN304))+SUMPRODUCT(--($AL304:AN304=AN304))=2,3,IF(SUMPRODUCT(--($AL304:$AP304&gt;AO304))+SUMPRODUCT(--($AL304:AO304=AO304))=2,4,5)))),"")</f>
        <v/>
      </c>
      <c r="AS304" s="59" t="str">
        <f aca="false">IF($AJ304=Constants!$B$7,IF(SUMPRODUCT(--($AL304:$AP304&gt;AL304))+SUMPRODUCT(--($AL304:AL304=AL304))=3,1,IF(SUMPRODUCT(--($AL304:$AP304&gt;AM304))+SUMPRODUCT(--($AL304:AM304=AM304))=3,2,IF(SUMPRODUCT(--($AL304:$AP304&gt;AN304))+SUMPRODUCT(--($AL304:AN304=AN304))=3,3,IF(SUMPRODUCT(--($AL304:$AP304&gt;AO304))+SUMPRODUCT(--($AL304:AO304=AO304))=3,4,5)))),"")</f>
        <v/>
      </c>
      <c r="AT304" s="59" t="str">
        <f aca="false">IF($AJ304=Constants!$B$7,LARGE(AL304:AP304,1)+LARGE(AL304:AP304,2)+LARGE(AL304:AP304,3),"")</f>
        <v/>
      </c>
      <c r="AU304" s="59" t="str">
        <f aca="false">IF(ISBLANK($C304),"",IF($AJ304&lt;&gt;Constants!$B$7,$AJ304,AT304*W304))</f>
        <v/>
      </c>
      <c r="AV304" s="59" t="str">
        <f aca="false">IF(ISBLANK($C304),"",IF($AJ304=Constants!$B$7,IF(ISNUMBER(AU304),RANK(AU304,$AU$8:$AU$507),Constants!$B$14),$AJ304))</f>
        <v/>
      </c>
      <c r="AW304" s="59" t="str">
        <f aca="false">IF(ISBLANK($C304),"",IF($AJ304=Constants!$B$7,IF(ISNUMBER(AV304),COUNTIFS($AK$8:$AK$507,"&lt;"&amp;$AK304)+COUNTIFS($AK$8:$AK$507,$AK304,$AV$8:$AV$507,"&lt;"&amp;$AV304)+1,Constants!$B$14),$AJ304))</f>
        <v/>
      </c>
      <c r="AX304" s="59" t="str">
        <f aca="false">IF(ISBLANK($C304),"",IF($AJ304=Constants!$B$7,LARGE(AL304:AP304,4)*W304,""))</f>
        <v/>
      </c>
      <c r="AY304" s="59" t="str">
        <f aca="false">IF(ISBLANK($C304),"",IF($AJ304=Constants!$B$7,RANK(AX304,$AX$8:$AX$507),$AJ304))</f>
        <v/>
      </c>
      <c r="AZ304" s="59" t="str">
        <f aca="false">IF(ISBLANK($C304),"",IF($AJ304=Constants!$B$7,IF(ISNUMBER(AV304),COUNTIFS($AK$8:$AK$507,"&lt;"&amp;$AK304)+COUNTIFS($AK$8:$AK$507,$AK304,$AV$8:$AV$507,"&lt;"&amp;$AV304)+COUNTIFS($AK$8:$AK$507,$AK304,$AV$8:$AV$507,$AV304,$AY$8:$AY$507,"&lt;"&amp;$AY304)+1,Constants!$B$14),$AJ304))</f>
        <v/>
      </c>
      <c r="BA304" s="59" t="str">
        <f aca="false">IF(ISBLANK($C304),"",IF($AJ304=Constants!$B$7,IF(ISNUMBER(AW304),AW304-AZ304,Constants!$B$14),$AJ304))</f>
        <v/>
      </c>
      <c r="BB304" s="61"/>
      <c r="BC304" s="62" t="str">
        <f aca="false">IF(ISBLANK($C304),"",IF($AJ304&lt;&gt;Constants!$B$7,$AJ304,SMALL(AQ304:AS304,1)&amp;", "&amp;SMALL(AQ304:AS304,2)&amp;", "&amp;SMALL(AQ304:AS304,3)))</f>
        <v/>
      </c>
      <c r="BD304" s="63" t="str">
        <f aca="false">IF(ISBLANK($C304),"",IF($AJ304&lt;&gt;Constants!$B$7,$AJ304,W304))</f>
        <v/>
      </c>
      <c r="BE304" s="64" t="str">
        <f aca="false">IF(ISBLANK($C304),"",IF($AJ304&lt;&gt;Constants!$B$7,$AJ304,AU304))</f>
        <v/>
      </c>
      <c r="BF304" s="65" t="str">
        <f aca="false">IF(ISBLANK($C304),"",IF($AJ304&lt;&gt;Constants!$B$7,$AJ304,AK304))</f>
        <v/>
      </c>
      <c r="BG304" s="63" t="str">
        <f aca="false">IF(ISBLANK($C304),"",BA304)</f>
        <v/>
      </c>
      <c r="BH304" s="63" t="str">
        <f aca="false">IF(ISBLANK($C304),"",AZ304)</f>
        <v/>
      </c>
      <c r="BI304" s="66" t="str">
        <f aca="false">IF(ISBLANK($C304),"",IF(BH304=Constants!$B$4,COUNTA($C$8:$C$507)+2,IF(BH304=Constants!$B$5,COUNTA($C$8:$C$507)+1,IF(BH304=Constants!$B$6,COUNTA($C$8:$C$507),BH304))))</f>
        <v/>
      </c>
      <c r="BJ304" s="5"/>
      <c r="BK304" s="67" t="n">
        <f aca="false">IF(OR(ISNUMBER(BH304),BH304=Constants!$B$4,BH304=Constants!$B$6,BH304=Constants!$B$5),1,0)</f>
        <v>0</v>
      </c>
      <c r="BL304" s="67" t="n">
        <v>297</v>
      </c>
      <c r="BM304" s="67" t="str">
        <f aca="false">IF(ISBLANK($C304),"",IF(ISNUMBER(BI304),BI304+ROW($B304)/1000,""))</f>
        <v/>
      </c>
      <c r="BN304" s="67" t="str">
        <f aca="false">IF(ISNUMBER(BM304),RANK(BM304,$BM$8:$BM$507,1),"")</f>
        <v/>
      </c>
      <c r="BO304" s="67" t="str">
        <f aca="false">IF(ISBLANK($C304),"",$B304)</f>
        <v/>
      </c>
      <c r="BP304" s="67" t="str">
        <f aca="false">IF(ISBLANK($C304),"",$C304)</f>
        <v/>
      </c>
      <c r="BQ304" s="67" t="str">
        <f aca="false">IF(ISBLANK($C304),"",$D304)</f>
        <v/>
      </c>
      <c r="BR304" s="68" t="str">
        <f aca="false">BF304</f>
        <v/>
      </c>
      <c r="BS304" s="69" t="str">
        <f aca="false">BE304</f>
        <v/>
      </c>
      <c r="BT304" s="67" t="str">
        <f aca="false">IF(ISBLANK($C304),"",BH304)</f>
        <v/>
      </c>
      <c r="BU304" s="70" t="str">
        <f aca="false">IF($BL304&gt;$BK$7,"",VLOOKUP($BL304,$BN$8:$BT$507,7,FALSE()))</f>
        <v/>
      </c>
      <c r="BV304" s="71" t="str">
        <f aca="false">IF($BL304&gt;$BK$7,"",VLOOKUP($BL304,$BN$8:$BT$507,2,FALSE()))</f>
        <v/>
      </c>
      <c r="BW304" s="71" t="str">
        <f aca="false">IF($BL304&gt;$BK$7,"",VLOOKUP($BL304,$BN$8:$BT$507,3,FALSE()))</f>
        <v/>
      </c>
      <c r="BX304" s="71" t="str">
        <f aca="false">IF($BL304&gt;$BK$7,"",VLOOKUP($BL304,$BN$8:$BT$507,4,FALSE()))</f>
        <v/>
      </c>
      <c r="BY304" s="71" t="str">
        <f aca="false">IF($BL304&gt;$BK$7,"",VLOOKUP($BL304,$BN$8:$BT$507,5,FALSE()))</f>
        <v/>
      </c>
      <c r="BZ304" s="72" t="str">
        <f aca="false">IF($BL304&gt;$BK$7,"",VLOOKUP($BL304,$BN$8:$BT$507,6,FALSE()))</f>
        <v/>
      </c>
      <c r="CA304" s="48"/>
    </row>
    <row r="305" customFormat="false" ht="15.75" hidden="false" customHeight="false" outlineLevel="0" collapsed="false">
      <c r="A305" s="5"/>
      <c r="B305" s="114"/>
      <c r="C305" s="115"/>
      <c r="D305" s="100"/>
      <c r="E305" s="120"/>
      <c r="F305" s="125"/>
      <c r="G305" s="82"/>
      <c r="H305" s="126"/>
      <c r="I305" s="127"/>
      <c r="J305" s="82"/>
      <c r="K305" s="126"/>
      <c r="L305" s="82"/>
      <c r="M305" s="126"/>
      <c r="N305" s="82"/>
      <c r="O305" s="126"/>
      <c r="P305" s="82"/>
      <c r="Q305" s="126"/>
      <c r="R305" s="82"/>
      <c r="S305" s="120"/>
      <c r="T305" s="86"/>
      <c r="U305" s="87" t="str">
        <f aca="false">IF(ISBLANK($C305),"",IF(E305=Constants!$B$2, TRUE(), IF(E305=Constants!$B$3, FALSE(), TRUE())))</f>
        <v/>
      </c>
      <c r="V305" s="87" t="str">
        <f aca="false">IF(ISBLANK($C305),"",IF(F305=Constants!$B$2, TRUE(), IF(F305=Constants!$B$3, FALSE(), TRUE())))</f>
        <v/>
      </c>
      <c r="W305" s="87" t="str">
        <f aca="false">IF(ISBLANK($C305),"",IF(G305=Constants!$B$15,Constants!$B$8,IF(G305=Constants!$B$16,Constants!$B$9,Constants!$B$10)))</f>
        <v/>
      </c>
      <c r="X305" s="87" t="str">
        <f aca="false">IF(ISBLANK($C305),"",IF(H305=Constants!$B$2, TRUE(), IF(H305=Constants!$B$3, FALSE(), TRUE())))</f>
        <v/>
      </c>
      <c r="Y305" s="87" t="str">
        <f aca="false">IF(ISBLANK($C305),"",IF(I305=Constants!$B$19,Constants!$B$19,Constants!$B$18))</f>
        <v/>
      </c>
      <c r="Z305" s="87" t="str">
        <f aca="false">IF(ISBLANK($C305),"",IF(ISNUMBER(J305),IF(J305&gt;=0,J305,""),""))</f>
        <v/>
      </c>
      <c r="AA305" s="87" t="str">
        <f aca="false">IF(ISBLANK($C305),"",IF(K305=Constants!$B$19,Constants!$B$19,Constants!$B$18))</f>
        <v/>
      </c>
      <c r="AB305" s="87" t="str">
        <f aca="false">IF(ISBLANK($C305),"",IF(ISNUMBER(L305),IF(L305&gt;=0,L305,""),""))</f>
        <v/>
      </c>
      <c r="AC305" s="87" t="str">
        <f aca="false">IF(ISBLANK($C305),"",IF(M305=Constants!$B$19,Constants!$B$19,Constants!$B$18))</f>
        <v/>
      </c>
      <c r="AD305" s="87" t="str">
        <f aca="false">IF(ISBLANK($C305),"",IF(ISNUMBER(N305),IF(N305&gt;=0,N305,""),""))</f>
        <v/>
      </c>
      <c r="AE305" s="87" t="str">
        <f aca="false">IF(ISBLANK($C305),"",IF(O305=Constants!$B$19,Constants!$B$19,Constants!$B$18))</f>
        <v/>
      </c>
      <c r="AF305" s="87" t="str">
        <f aca="false">IF(ISBLANK($C305),"",IF(ISNUMBER(P305),IF(P305&gt;=0,P305,""),""))</f>
        <v/>
      </c>
      <c r="AG305" s="87" t="str">
        <f aca="false">IF(ISBLANK($C305),"",IF(Q305=Constants!$B$19,Constants!$B$19,Constants!$B$18))</f>
        <v/>
      </c>
      <c r="AH305" s="87" t="str">
        <f aca="false">IF(ISBLANK($C305),"",IF(ISNUMBER(R305),IF(R305&gt;=0,R305,""),""))</f>
        <v/>
      </c>
      <c r="AI305" s="87" t="str">
        <f aca="false">IF(ISBLANK($C305),"",IF(S305=Constants!$B$2, TRUE(), IF(S305=Constants!$B$3, FALSE(), FALSE())))</f>
        <v/>
      </c>
      <c r="AJ305" s="87" t="str">
        <f aca="false">IF(ISBLANK($C305),"",IF(AI305,Constants!$B$4,IF(COUNTA(E305:R305)=0,Constants!$B$5,IF(COUNTA(J305,L305,N305,P305,R305)=0,Constants!$B$6,Constants!$B$7))))</f>
        <v/>
      </c>
      <c r="AK305" s="87" t="str">
        <f aca="false">IF(ISBLANK($C305),"",IF($AJ305&lt;&gt;Constants!$B$7,$AJ305,IF(OR(NOT(X305),AND(NOT(U305),COUNTIFS(Y305:AG305,Constants!$B$18,Z305:AH305,"&gt;=0")&gt;0),AND(NOT(V305),COUNTIFS(Y305:AG305,Constants!$B$19,Z305:AH305,"&gt;=0")&gt;0)),Constants!$B$12,Constants!$B$11)))</f>
        <v/>
      </c>
      <c r="AL305" s="87" t="str">
        <f aca="false">IF($AJ305=Constants!$B$7,IF(Z305="",Constants!$B$13,Z305),"")</f>
        <v/>
      </c>
      <c r="AM305" s="87" t="str">
        <f aca="false">IF($AJ305=Constants!$B$7,IF(AB305="",Constants!$B$13,AB305),"")</f>
        <v/>
      </c>
      <c r="AN305" s="87" t="str">
        <f aca="false">IF($AJ305=Constants!$B$7,IF(AD305="",Constants!$B$13,AD305),"")</f>
        <v/>
      </c>
      <c r="AO305" s="87" t="str">
        <f aca="false">IF($AJ305=Constants!$B$7,IF(AF305="",Constants!$B$13,AF305),"")</f>
        <v/>
      </c>
      <c r="AP305" s="87" t="str">
        <f aca="false">IF($AJ305=Constants!$B$7,IF(AH305="",Constants!$B$13,AH305),"")</f>
        <v/>
      </c>
      <c r="AQ305" s="87" t="str">
        <f aca="false">IF($AJ305=Constants!$B$7,IF(SUMPRODUCT(--($AL305:$AP305&gt;AL305))+SUMPRODUCT(--($AL305:AL305=AL305))=1,1,IF(SUMPRODUCT(--($AL305:$AP305&gt;AM305))+SUMPRODUCT(--($AL305:AM305=AM305))=1,2,IF(SUMPRODUCT(--($AL305:$AP305&gt;AN305))+SUMPRODUCT(--($AL305:AN305=AN305))=1,3,IF(SUMPRODUCT(--($AL305:$AP305&gt;AO305))+SUMPRODUCT(--($AL305:AO305=AO305))=1,4,5)))),"")</f>
        <v/>
      </c>
      <c r="AR305" s="87" t="str">
        <f aca="false">IF($AJ305=Constants!$B$7,IF(SUMPRODUCT(--($AL305:$AP305&gt;AL305))+SUMPRODUCT(--($AL305:AL305=AL305))=2,1,IF(SUMPRODUCT(--($AL305:$AP305&gt;AM305))+SUMPRODUCT(--($AL305:AM305=AM305))=2,2,IF(SUMPRODUCT(--($AL305:$AP305&gt;AN305))+SUMPRODUCT(--($AL305:AN305=AN305))=2,3,IF(SUMPRODUCT(--($AL305:$AP305&gt;AO305))+SUMPRODUCT(--($AL305:AO305=AO305))=2,4,5)))),"")</f>
        <v/>
      </c>
      <c r="AS305" s="87" t="str">
        <f aca="false">IF($AJ305=Constants!$B$7,IF(SUMPRODUCT(--($AL305:$AP305&gt;AL305))+SUMPRODUCT(--($AL305:AL305=AL305))=3,1,IF(SUMPRODUCT(--($AL305:$AP305&gt;AM305))+SUMPRODUCT(--($AL305:AM305=AM305))=3,2,IF(SUMPRODUCT(--($AL305:$AP305&gt;AN305))+SUMPRODUCT(--($AL305:AN305=AN305))=3,3,IF(SUMPRODUCT(--($AL305:$AP305&gt;AO305))+SUMPRODUCT(--($AL305:AO305=AO305))=3,4,5)))),"")</f>
        <v/>
      </c>
      <c r="AT305" s="87" t="str">
        <f aca="false">IF($AJ305=Constants!$B$7,LARGE(AL305:AP305,1)+LARGE(AL305:AP305,2)+LARGE(AL305:AP305,3),"")</f>
        <v/>
      </c>
      <c r="AU305" s="87" t="str">
        <f aca="false">IF(ISBLANK($C305),"",IF($AJ305&lt;&gt;Constants!$B$7,$AJ305,AT305*W305))</f>
        <v/>
      </c>
      <c r="AV305" s="87" t="str">
        <f aca="false">IF(ISBLANK($C305),"",IF($AJ305=Constants!$B$7,IF(ISNUMBER(AU305),RANK(AU305,$AU$8:$AU$507),Constants!$B$14),$AJ305))</f>
        <v/>
      </c>
      <c r="AW305" s="87" t="str">
        <f aca="false">IF(ISBLANK($C305),"",IF($AJ305=Constants!$B$7,IF(ISNUMBER(AV305),COUNTIFS($AK$8:$AK$507,"&lt;"&amp;$AK305)+COUNTIFS($AK$8:$AK$507,$AK305,$AV$8:$AV$507,"&lt;"&amp;$AV305)+1,Constants!$B$14),$AJ305))</f>
        <v/>
      </c>
      <c r="AX305" s="87" t="str">
        <f aca="false">IF(ISBLANK($C305),"",IF($AJ305=Constants!$B$7,LARGE(AL305:AP305,4)*W305,""))</f>
        <v/>
      </c>
      <c r="AY305" s="87" t="str">
        <f aca="false">IF(ISBLANK($C305),"",IF($AJ305=Constants!$B$7,RANK(AX305,$AX$8:$AX$507),$AJ305))</f>
        <v/>
      </c>
      <c r="AZ305" s="87" t="str">
        <f aca="false">IF(ISBLANK($C305),"",IF($AJ305=Constants!$B$7,IF(ISNUMBER(AV305),COUNTIFS($AK$8:$AK$507,"&lt;"&amp;$AK305)+COUNTIFS($AK$8:$AK$507,$AK305,$AV$8:$AV$507,"&lt;"&amp;$AV305)+COUNTIFS($AK$8:$AK$507,$AK305,$AV$8:$AV$507,$AV305,$AY$8:$AY$507,"&lt;"&amp;$AY305)+1,Constants!$B$14),$AJ305))</f>
        <v/>
      </c>
      <c r="BA305" s="87" t="str">
        <f aca="false">IF(ISBLANK($C305),"",IF($AJ305=Constants!$B$7,IF(ISNUMBER(AW305),AW305-AZ305,Constants!$B$14),$AJ305))</f>
        <v/>
      </c>
      <c r="BB305" s="88"/>
      <c r="BC305" s="89" t="str">
        <f aca="false">IF(ISBLANK($C305),"",IF($AJ305&lt;&gt;Constants!$B$7,$AJ305,SMALL(AQ305:AS305,1)&amp;", "&amp;SMALL(AQ305:AS305,2)&amp;", "&amp;SMALL(AQ305:AS305,3)))</f>
        <v/>
      </c>
      <c r="BD305" s="90" t="str">
        <f aca="false">IF(ISBLANK($C305),"",IF($AJ305&lt;&gt;Constants!$B$7,$AJ305,W305))</f>
        <v/>
      </c>
      <c r="BE305" s="91" t="str">
        <f aca="false">IF(ISBLANK($C305),"",IF($AJ305&lt;&gt;Constants!$B$7,$AJ305,AU305))</f>
        <v/>
      </c>
      <c r="BF305" s="92" t="str">
        <f aca="false">IF(ISBLANK($C305),"",IF($AJ305&lt;&gt;Constants!$B$7,$AJ305,AK305))</f>
        <v/>
      </c>
      <c r="BG305" s="90" t="str">
        <f aca="false">IF(ISBLANK($C305),"",BA305)</f>
        <v/>
      </c>
      <c r="BH305" s="90" t="str">
        <f aca="false">IF(ISBLANK($C305),"",AZ305)</f>
        <v/>
      </c>
      <c r="BI305" s="93" t="str">
        <f aca="false">IF(ISBLANK($C305),"",IF(BH305=Constants!$B$4,COUNTA($C$8:$C$507)+2,IF(BH305=Constants!$B$5,COUNTA($C$8:$C$507)+1,IF(BH305=Constants!$B$6,COUNTA($C$8:$C$507),BH305))))</f>
        <v/>
      </c>
      <c r="BJ305" s="5"/>
      <c r="BK305" s="94" t="n">
        <f aca="false">IF(OR(ISNUMBER(BH305),BH305=Constants!$B$4,BH305=Constants!$B$6,BH305=Constants!$B$5),1,0)</f>
        <v>0</v>
      </c>
      <c r="BL305" s="94" t="n">
        <v>298</v>
      </c>
      <c r="BM305" s="94" t="str">
        <f aca="false">IF(ISBLANK($C305),"",IF(ISNUMBER(BI305),BI305+ROW($B305)/1000,""))</f>
        <v/>
      </c>
      <c r="BN305" s="94" t="str">
        <f aca="false">IF(ISNUMBER(BM305),RANK(BM305,$BM$8:$BM$507,1),"")</f>
        <v/>
      </c>
      <c r="BO305" s="94" t="str">
        <f aca="false">IF(ISBLANK($C305),"",$B305)</f>
        <v/>
      </c>
      <c r="BP305" s="94" t="str">
        <f aca="false">IF(ISBLANK($C305),"",$C305)</f>
        <v/>
      </c>
      <c r="BQ305" s="94" t="str">
        <f aca="false">IF(ISBLANK($C305),"",$D305)</f>
        <v/>
      </c>
      <c r="BR305" s="95" t="str">
        <f aca="false">BF305</f>
        <v/>
      </c>
      <c r="BS305" s="96" t="str">
        <f aca="false">BE305</f>
        <v/>
      </c>
      <c r="BT305" s="94" t="str">
        <f aca="false">IF(ISBLANK($C305),"",BH305)</f>
        <v/>
      </c>
      <c r="BU305" s="97" t="str">
        <f aca="false">IF($BL305&gt;$BK$7,"",VLOOKUP($BL305,$BN$8:$BT$507,7,FALSE()))</f>
        <v/>
      </c>
      <c r="BV305" s="98" t="str">
        <f aca="false">IF($BL305&gt;$BK$7,"",VLOOKUP($BL305,$BN$8:$BT$507,2,FALSE()))</f>
        <v/>
      </c>
      <c r="BW305" s="98" t="str">
        <f aca="false">IF($BL305&gt;$BK$7,"",VLOOKUP($BL305,$BN$8:$BT$507,3,FALSE()))</f>
        <v/>
      </c>
      <c r="BX305" s="98" t="str">
        <f aca="false">IF($BL305&gt;$BK$7,"",VLOOKUP($BL305,$BN$8:$BT$507,4,FALSE()))</f>
        <v/>
      </c>
      <c r="BY305" s="98" t="str">
        <f aca="false">IF($BL305&gt;$BK$7,"",VLOOKUP($BL305,$BN$8:$BT$507,5,FALSE()))</f>
        <v/>
      </c>
      <c r="BZ305" s="99" t="str">
        <f aca="false">IF($BL305&gt;$BK$7,"",VLOOKUP($BL305,$BN$8:$BT$507,6,FALSE()))</f>
        <v/>
      </c>
      <c r="CA305" s="48"/>
    </row>
    <row r="306" customFormat="false" ht="15.75" hidden="false" customHeight="false" outlineLevel="0" collapsed="false">
      <c r="A306" s="5"/>
      <c r="B306" s="114"/>
      <c r="C306" s="115"/>
      <c r="D306" s="100"/>
      <c r="E306" s="120"/>
      <c r="F306" s="125"/>
      <c r="G306" s="82"/>
      <c r="H306" s="126"/>
      <c r="I306" s="127"/>
      <c r="J306" s="82"/>
      <c r="K306" s="126"/>
      <c r="L306" s="82"/>
      <c r="M306" s="126"/>
      <c r="N306" s="82"/>
      <c r="O306" s="126"/>
      <c r="P306" s="82"/>
      <c r="Q306" s="126"/>
      <c r="R306" s="82"/>
      <c r="S306" s="120"/>
      <c r="T306" s="86"/>
      <c r="U306" s="87" t="str">
        <f aca="false">IF(ISBLANK($C306),"",IF(E306=Constants!$B$2, TRUE(), IF(E306=Constants!$B$3, FALSE(), TRUE())))</f>
        <v/>
      </c>
      <c r="V306" s="87" t="str">
        <f aca="false">IF(ISBLANK($C306),"",IF(F306=Constants!$B$2, TRUE(), IF(F306=Constants!$B$3, FALSE(), TRUE())))</f>
        <v/>
      </c>
      <c r="W306" s="87" t="str">
        <f aca="false">IF(ISBLANK($C306),"",IF(G306=Constants!$B$15,Constants!$B$8,IF(G306=Constants!$B$16,Constants!$B$9,Constants!$B$10)))</f>
        <v/>
      </c>
      <c r="X306" s="87" t="str">
        <f aca="false">IF(ISBLANK($C306),"",IF(H306=Constants!$B$2, TRUE(), IF(H306=Constants!$B$3, FALSE(), TRUE())))</f>
        <v/>
      </c>
      <c r="Y306" s="87" t="str">
        <f aca="false">IF(ISBLANK($C306),"",IF(I306=Constants!$B$19,Constants!$B$19,Constants!$B$18))</f>
        <v/>
      </c>
      <c r="Z306" s="87" t="str">
        <f aca="false">IF(ISBLANK($C306),"",IF(ISNUMBER(J306),IF(J306&gt;=0,J306,""),""))</f>
        <v/>
      </c>
      <c r="AA306" s="87" t="str">
        <f aca="false">IF(ISBLANK($C306),"",IF(K306=Constants!$B$19,Constants!$B$19,Constants!$B$18))</f>
        <v/>
      </c>
      <c r="AB306" s="87" t="str">
        <f aca="false">IF(ISBLANK($C306),"",IF(ISNUMBER(L306),IF(L306&gt;=0,L306,""),""))</f>
        <v/>
      </c>
      <c r="AC306" s="87" t="str">
        <f aca="false">IF(ISBLANK($C306),"",IF(M306=Constants!$B$19,Constants!$B$19,Constants!$B$18))</f>
        <v/>
      </c>
      <c r="AD306" s="87" t="str">
        <f aca="false">IF(ISBLANK($C306),"",IF(ISNUMBER(N306),IF(N306&gt;=0,N306,""),""))</f>
        <v/>
      </c>
      <c r="AE306" s="87" t="str">
        <f aca="false">IF(ISBLANK($C306),"",IF(O306=Constants!$B$19,Constants!$B$19,Constants!$B$18))</f>
        <v/>
      </c>
      <c r="AF306" s="87" t="str">
        <f aca="false">IF(ISBLANK($C306),"",IF(ISNUMBER(P306),IF(P306&gt;=0,P306,""),""))</f>
        <v/>
      </c>
      <c r="AG306" s="87" t="str">
        <f aca="false">IF(ISBLANK($C306),"",IF(Q306=Constants!$B$19,Constants!$B$19,Constants!$B$18))</f>
        <v/>
      </c>
      <c r="AH306" s="87" t="str">
        <f aca="false">IF(ISBLANK($C306),"",IF(ISNUMBER(R306),IF(R306&gt;=0,R306,""),""))</f>
        <v/>
      </c>
      <c r="AI306" s="87" t="str">
        <f aca="false">IF(ISBLANK($C306),"",IF(S306=Constants!$B$2, TRUE(), IF(S306=Constants!$B$3, FALSE(), FALSE())))</f>
        <v/>
      </c>
      <c r="AJ306" s="87" t="str">
        <f aca="false">IF(ISBLANK($C306),"",IF(AI306,Constants!$B$4,IF(COUNTA(E306:R306)=0,Constants!$B$5,IF(COUNTA(J306,L306,N306,P306,R306)=0,Constants!$B$6,Constants!$B$7))))</f>
        <v/>
      </c>
      <c r="AK306" s="87" t="str">
        <f aca="false">IF(ISBLANK($C306),"",IF($AJ306&lt;&gt;Constants!$B$7,$AJ306,IF(OR(NOT(X306),AND(NOT(U306),COUNTIFS(Y306:AG306,Constants!$B$18,Z306:AH306,"&gt;=0")&gt;0),AND(NOT(V306),COUNTIFS(Y306:AG306,Constants!$B$19,Z306:AH306,"&gt;=0")&gt;0)),Constants!$B$12,Constants!$B$11)))</f>
        <v/>
      </c>
      <c r="AL306" s="87" t="str">
        <f aca="false">IF($AJ306=Constants!$B$7,IF(Z306="",Constants!$B$13,Z306),"")</f>
        <v/>
      </c>
      <c r="AM306" s="87" t="str">
        <f aca="false">IF($AJ306=Constants!$B$7,IF(AB306="",Constants!$B$13,AB306),"")</f>
        <v/>
      </c>
      <c r="AN306" s="87" t="str">
        <f aca="false">IF($AJ306=Constants!$B$7,IF(AD306="",Constants!$B$13,AD306),"")</f>
        <v/>
      </c>
      <c r="AO306" s="87" t="str">
        <f aca="false">IF($AJ306=Constants!$B$7,IF(AF306="",Constants!$B$13,AF306),"")</f>
        <v/>
      </c>
      <c r="AP306" s="87" t="str">
        <f aca="false">IF($AJ306=Constants!$B$7,IF(AH306="",Constants!$B$13,AH306),"")</f>
        <v/>
      </c>
      <c r="AQ306" s="87" t="str">
        <f aca="false">IF($AJ306=Constants!$B$7,IF(SUMPRODUCT(--($AL306:$AP306&gt;AL306))+SUMPRODUCT(--($AL306:AL306=AL306))=1,1,IF(SUMPRODUCT(--($AL306:$AP306&gt;AM306))+SUMPRODUCT(--($AL306:AM306=AM306))=1,2,IF(SUMPRODUCT(--($AL306:$AP306&gt;AN306))+SUMPRODUCT(--($AL306:AN306=AN306))=1,3,IF(SUMPRODUCT(--($AL306:$AP306&gt;AO306))+SUMPRODUCT(--($AL306:AO306=AO306))=1,4,5)))),"")</f>
        <v/>
      </c>
      <c r="AR306" s="87" t="str">
        <f aca="false">IF($AJ306=Constants!$B$7,IF(SUMPRODUCT(--($AL306:$AP306&gt;AL306))+SUMPRODUCT(--($AL306:AL306=AL306))=2,1,IF(SUMPRODUCT(--($AL306:$AP306&gt;AM306))+SUMPRODUCT(--($AL306:AM306=AM306))=2,2,IF(SUMPRODUCT(--($AL306:$AP306&gt;AN306))+SUMPRODUCT(--($AL306:AN306=AN306))=2,3,IF(SUMPRODUCT(--($AL306:$AP306&gt;AO306))+SUMPRODUCT(--($AL306:AO306=AO306))=2,4,5)))),"")</f>
        <v/>
      </c>
      <c r="AS306" s="87" t="str">
        <f aca="false">IF($AJ306=Constants!$B$7,IF(SUMPRODUCT(--($AL306:$AP306&gt;AL306))+SUMPRODUCT(--($AL306:AL306=AL306))=3,1,IF(SUMPRODUCT(--($AL306:$AP306&gt;AM306))+SUMPRODUCT(--($AL306:AM306=AM306))=3,2,IF(SUMPRODUCT(--($AL306:$AP306&gt;AN306))+SUMPRODUCT(--($AL306:AN306=AN306))=3,3,IF(SUMPRODUCT(--($AL306:$AP306&gt;AO306))+SUMPRODUCT(--($AL306:AO306=AO306))=3,4,5)))),"")</f>
        <v/>
      </c>
      <c r="AT306" s="87" t="str">
        <f aca="false">IF($AJ306=Constants!$B$7,LARGE(AL306:AP306,1)+LARGE(AL306:AP306,2)+LARGE(AL306:AP306,3),"")</f>
        <v/>
      </c>
      <c r="AU306" s="87" t="str">
        <f aca="false">IF(ISBLANK($C306),"",IF($AJ306&lt;&gt;Constants!$B$7,$AJ306,AT306*W306))</f>
        <v/>
      </c>
      <c r="AV306" s="87" t="str">
        <f aca="false">IF(ISBLANK($C306),"",IF($AJ306=Constants!$B$7,IF(ISNUMBER(AU306),RANK(AU306,$AU$8:$AU$507),Constants!$B$14),$AJ306))</f>
        <v/>
      </c>
      <c r="AW306" s="87" t="str">
        <f aca="false">IF(ISBLANK($C306),"",IF($AJ306=Constants!$B$7,IF(ISNUMBER(AV306),COUNTIFS($AK$8:$AK$507,"&lt;"&amp;$AK306)+COUNTIFS($AK$8:$AK$507,$AK306,$AV$8:$AV$507,"&lt;"&amp;$AV306)+1,Constants!$B$14),$AJ306))</f>
        <v/>
      </c>
      <c r="AX306" s="87" t="str">
        <f aca="false">IF(ISBLANK($C306),"",IF($AJ306=Constants!$B$7,LARGE(AL306:AP306,4)*W306,""))</f>
        <v/>
      </c>
      <c r="AY306" s="87" t="str">
        <f aca="false">IF(ISBLANK($C306),"",IF($AJ306=Constants!$B$7,RANK(AX306,$AX$8:$AX$507),$AJ306))</f>
        <v/>
      </c>
      <c r="AZ306" s="87" t="str">
        <f aca="false">IF(ISBLANK($C306),"",IF($AJ306=Constants!$B$7,IF(ISNUMBER(AV306),COUNTIFS($AK$8:$AK$507,"&lt;"&amp;$AK306)+COUNTIFS($AK$8:$AK$507,$AK306,$AV$8:$AV$507,"&lt;"&amp;$AV306)+COUNTIFS($AK$8:$AK$507,$AK306,$AV$8:$AV$507,$AV306,$AY$8:$AY$507,"&lt;"&amp;$AY306)+1,Constants!$B$14),$AJ306))</f>
        <v/>
      </c>
      <c r="BA306" s="87" t="str">
        <f aca="false">IF(ISBLANK($C306),"",IF($AJ306=Constants!$B$7,IF(ISNUMBER(AW306),AW306-AZ306,Constants!$B$14),$AJ306))</f>
        <v/>
      </c>
      <c r="BB306" s="88"/>
      <c r="BC306" s="89" t="str">
        <f aca="false">IF(ISBLANK($C306),"",IF($AJ306&lt;&gt;Constants!$B$7,$AJ306,SMALL(AQ306:AS306,1)&amp;", "&amp;SMALL(AQ306:AS306,2)&amp;", "&amp;SMALL(AQ306:AS306,3)))</f>
        <v/>
      </c>
      <c r="BD306" s="90" t="str">
        <f aca="false">IF(ISBLANK($C306),"",IF($AJ306&lt;&gt;Constants!$B$7,$AJ306,W306))</f>
        <v/>
      </c>
      <c r="BE306" s="91" t="str">
        <f aca="false">IF(ISBLANK($C306),"",IF($AJ306&lt;&gt;Constants!$B$7,$AJ306,AU306))</f>
        <v/>
      </c>
      <c r="BF306" s="92" t="str">
        <f aca="false">IF(ISBLANK($C306),"",IF($AJ306&lt;&gt;Constants!$B$7,$AJ306,AK306))</f>
        <v/>
      </c>
      <c r="BG306" s="90" t="str">
        <f aca="false">IF(ISBLANK($C306),"",BA306)</f>
        <v/>
      </c>
      <c r="BH306" s="90" t="str">
        <f aca="false">IF(ISBLANK($C306),"",AZ306)</f>
        <v/>
      </c>
      <c r="BI306" s="93" t="str">
        <f aca="false">IF(ISBLANK($C306),"",IF(BH306=Constants!$B$4,COUNTA($C$8:$C$507)+2,IF(BH306=Constants!$B$5,COUNTA($C$8:$C$507)+1,IF(BH306=Constants!$B$6,COUNTA($C$8:$C$507),BH306))))</f>
        <v/>
      </c>
      <c r="BJ306" s="5"/>
      <c r="BK306" s="94" t="n">
        <f aca="false">IF(OR(ISNUMBER(BH306),BH306=Constants!$B$4,BH306=Constants!$B$6,BH306=Constants!$B$5),1,0)</f>
        <v>0</v>
      </c>
      <c r="BL306" s="94" t="n">
        <v>299</v>
      </c>
      <c r="BM306" s="94" t="str">
        <f aca="false">IF(ISBLANK($C306),"",IF(ISNUMBER(BI306),BI306+ROW($B306)/1000,""))</f>
        <v/>
      </c>
      <c r="BN306" s="94" t="str">
        <f aca="false">IF(ISNUMBER(BM306),RANK(BM306,$BM$8:$BM$507,1),"")</f>
        <v/>
      </c>
      <c r="BO306" s="94" t="str">
        <f aca="false">IF(ISBLANK($C306),"",$B306)</f>
        <v/>
      </c>
      <c r="BP306" s="94" t="str">
        <f aca="false">IF(ISBLANK($C306),"",$C306)</f>
        <v/>
      </c>
      <c r="BQ306" s="94" t="str">
        <f aca="false">IF(ISBLANK($C306),"",$D306)</f>
        <v/>
      </c>
      <c r="BR306" s="95" t="str">
        <f aca="false">BF306</f>
        <v/>
      </c>
      <c r="BS306" s="96" t="str">
        <f aca="false">BE306</f>
        <v/>
      </c>
      <c r="BT306" s="94" t="str">
        <f aca="false">IF(ISBLANK($C306),"",BH306)</f>
        <v/>
      </c>
      <c r="BU306" s="97" t="str">
        <f aca="false">IF($BL306&gt;$BK$7,"",VLOOKUP($BL306,$BN$8:$BT$507,7,FALSE()))</f>
        <v/>
      </c>
      <c r="BV306" s="98" t="str">
        <f aca="false">IF($BL306&gt;$BK$7,"",VLOOKUP($BL306,$BN$8:$BT$507,2,FALSE()))</f>
        <v/>
      </c>
      <c r="BW306" s="98" t="str">
        <f aca="false">IF($BL306&gt;$BK$7,"",VLOOKUP($BL306,$BN$8:$BT$507,3,FALSE()))</f>
        <v/>
      </c>
      <c r="BX306" s="98" t="str">
        <f aca="false">IF($BL306&gt;$BK$7,"",VLOOKUP($BL306,$BN$8:$BT$507,4,FALSE()))</f>
        <v/>
      </c>
      <c r="BY306" s="98" t="str">
        <f aca="false">IF($BL306&gt;$BK$7,"",VLOOKUP($BL306,$BN$8:$BT$507,5,FALSE()))</f>
        <v/>
      </c>
      <c r="BZ306" s="99" t="str">
        <f aca="false">IF($BL306&gt;$BK$7,"",VLOOKUP($BL306,$BN$8:$BT$507,6,FALSE()))</f>
        <v/>
      </c>
      <c r="CA306" s="48"/>
    </row>
    <row r="307" customFormat="false" ht="15.75" hidden="false" customHeight="false" outlineLevel="0" collapsed="false">
      <c r="A307" s="5"/>
      <c r="B307" s="114"/>
      <c r="C307" s="115"/>
      <c r="D307" s="100"/>
      <c r="E307" s="120"/>
      <c r="F307" s="125"/>
      <c r="G307" s="82"/>
      <c r="H307" s="126"/>
      <c r="I307" s="127"/>
      <c r="J307" s="82"/>
      <c r="K307" s="126"/>
      <c r="L307" s="82"/>
      <c r="M307" s="126"/>
      <c r="N307" s="82"/>
      <c r="O307" s="126"/>
      <c r="P307" s="82"/>
      <c r="Q307" s="126"/>
      <c r="R307" s="82"/>
      <c r="S307" s="120"/>
      <c r="T307" s="86"/>
      <c r="U307" s="87" t="str">
        <f aca="false">IF(ISBLANK($C307),"",IF(E307=Constants!$B$2, TRUE(), IF(E307=Constants!$B$3, FALSE(), TRUE())))</f>
        <v/>
      </c>
      <c r="V307" s="87" t="str">
        <f aca="false">IF(ISBLANK($C307),"",IF(F307=Constants!$B$2, TRUE(), IF(F307=Constants!$B$3, FALSE(), TRUE())))</f>
        <v/>
      </c>
      <c r="W307" s="87" t="str">
        <f aca="false">IF(ISBLANK($C307),"",IF(G307=Constants!$B$15,Constants!$B$8,IF(G307=Constants!$B$16,Constants!$B$9,Constants!$B$10)))</f>
        <v/>
      </c>
      <c r="X307" s="87" t="str">
        <f aca="false">IF(ISBLANK($C307),"",IF(H307=Constants!$B$2, TRUE(), IF(H307=Constants!$B$3, FALSE(), TRUE())))</f>
        <v/>
      </c>
      <c r="Y307" s="87" t="str">
        <f aca="false">IF(ISBLANK($C307),"",IF(I307=Constants!$B$19,Constants!$B$19,Constants!$B$18))</f>
        <v/>
      </c>
      <c r="Z307" s="87" t="str">
        <f aca="false">IF(ISBLANK($C307),"",IF(ISNUMBER(J307),IF(J307&gt;=0,J307,""),""))</f>
        <v/>
      </c>
      <c r="AA307" s="87" t="str">
        <f aca="false">IF(ISBLANK($C307),"",IF(K307=Constants!$B$19,Constants!$B$19,Constants!$B$18))</f>
        <v/>
      </c>
      <c r="AB307" s="87" t="str">
        <f aca="false">IF(ISBLANK($C307),"",IF(ISNUMBER(L307),IF(L307&gt;=0,L307,""),""))</f>
        <v/>
      </c>
      <c r="AC307" s="87" t="str">
        <f aca="false">IF(ISBLANK($C307),"",IF(M307=Constants!$B$19,Constants!$B$19,Constants!$B$18))</f>
        <v/>
      </c>
      <c r="AD307" s="87" t="str">
        <f aca="false">IF(ISBLANK($C307),"",IF(ISNUMBER(N307),IF(N307&gt;=0,N307,""),""))</f>
        <v/>
      </c>
      <c r="AE307" s="87" t="str">
        <f aca="false">IF(ISBLANK($C307),"",IF(O307=Constants!$B$19,Constants!$B$19,Constants!$B$18))</f>
        <v/>
      </c>
      <c r="AF307" s="87" t="str">
        <f aca="false">IF(ISBLANK($C307),"",IF(ISNUMBER(P307),IF(P307&gt;=0,P307,""),""))</f>
        <v/>
      </c>
      <c r="AG307" s="87" t="str">
        <f aca="false">IF(ISBLANK($C307),"",IF(Q307=Constants!$B$19,Constants!$B$19,Constants!$B$18))</f>
        <v/>
      </c>
      <c r="AH307" s="87" t="str">
        <f aca="false">IF(ISBLANK($C307),"",IF(ISNUMBER(R307),IF(R307&gt;=0,R307,""),""))</f>
        <v/>
      </c>
      <c r="AI307" s="87" t="str">
        <f aca="false">IF(ISBLANK($C307),"",IF(S307=Constants!$B$2, TRUE(), IF(S307=Constants!$B$3, FALSE(), FALSE())))</f>
        <v/>
      </c>
      <c r="AJ307" s="87" t="str">
        <f aca="false">IF(ISBLANK($C307),"",IF(AI307,Constants!$B$4,IF(COUNTA(E307:R307)=0,Constants!$B$5,IF(COUNTA(J307,L307,N307,P307,R307)=0,Constants!$B$6,Constants!$B$7))))</f>
        <v/>
      </c>
      <c r="AK307" s="87" t="str">
        <f aca="false">IF(ISBLANK($C307),"",IF($AJ307&lt;&gt;Constants!$B$7,$AJ307,IF(OR(NOT(X307),AND(NOT(U307),COUNTIFS(Y307:AG307,Constants!$B$18,Z307:AH307,"&gt;=0")&gt;0),AND(NOT(V307),COUNTIFS(Y307:AG307,Constants!$B$19,Z307:AH307,"&gt;=0")&gt;0)),Constants!$B$12,Constants!$B$11)))</f>
        <v/>
      </c>
      <c r="AL307" s="87" t="str">
        <f aca="false">IF($AJ307=Constants!$B$7,IF(Z307="",Constants!$B$13,Z307),"")</f>
        <v/>
      </c>
      <c r="AM307" s="87" t="str">
        <f aca="false">IF($AJ307=Constants!$B$7,IF(AB307="",Constants!$B$13,AB307),"")</f>
        <v/>
      </c>
      <c r="AN307" s="87" t="str">
        <f aca="false">IF($AJ307=Constants!$B$7,IF(AD307="",Constants!$B$13,AD307),"")</f>
        <v/>
      </c>
      <c r="AO307" s="87" t="str">
        <f aca="false">IF($AJ307=Constants!$B$7,IF(AF307="",Constants!$B$13,AF307),"")</f>
        <v/>
      </c>
      <c r="AP307" s="87" t="str">
        <f aca="false">IF($AJ307=Constants!$B$7,IF(AH307="",Constants!$B$13,AH307),"")</f>
        <v/>
      </c>
      <c r="AQ307" s="87" t="str">
        <f aca="false">IF($AJ307=Constants!$B$7,IF(SUMPRODUCT(--($AL307:$AP307&gt;AL307))+SUMPRODUCT(--($AL307:AL307=AL307))=1,1,IF(SUMPRODUCT(--($AL307:$AP307&gt;AM307))+SUMPRODUCT(--($AL307:AM307=AM307))=1,2,IF(SUMPRODUCT(--($AL307:$AP307&gt;AN307))+SUMPRODUCT(--($AL307:AN307=AN307))=1,3,IF(SUMPRODUCT(--($AL307:$AP307&gt;AO307))+SUMPRODUCT(--($AL307:AO307=AO307))=1,4,5)))),"")</f>
        <v/>
      </c>
      <c r="AR307" s="87" t="str">
        <f aca="false">IF($AJ307=Constants!$B$7,IF(SUMPRODUCT(--($AL307:$AP307&gt;AL307))+SUMPRODUCT(--($AL307:AL307=AL307))=2,1,IF(SUMPRODUCT(--($AL307:$AP307&gt;AM307))+SUMPRODUCT(--($AL307:AM307=AM307))=2,2,IF(SUMPRODUCT(--($AL307:$AP307&gt;AN307))+SUMPRODUCT(--($AL307:AN307=AN307))=2,3,IF(SUMPRODUCT(--($AL307:$AP307&gt;AO307))+SUMPRODUCT(--($AL307:AO307=AO307))=2,4,5)))),"")</f>
        <v/>
      </c>
      <c r="AS307" s="87" t="str">
        <f aca="false">IF($AJ307=Constants!$B$7,IF(SUMPRODUCT(--($AL307:$AP307&gt;AL307))+SUMPRODUCT(--($AL307:AL307=AL307))=3,1,IF(SUMPRODUCT(--($AL307:$AP307&gt;AM307))+SUMPRODUCT(--($AL307:AM307=AM307))=3,2,IF(SUMPRODUCT(--($AL307:$AP307&gt;AN307))+SUMPRODUCT(--($AL307:AN307=AN307))=3,3,IF(SUMPRODUCT(--($AL307:$AP307&gt;AO307))+SUMPRODUCT(--($AL307:AO307=AO307))=3,4,5)))),"")</f>
        <v/>
      </c>
      <c r="AT307" s="87" t="str">
        <f aca="false">IF($AJ307=Constants!$B$7,LARGE(AL307:AP307,1)+LARGE(AL307:AP307,2)+LARGE(AL307:AP307,3),"")</f>
        <v/>
      </c>
      <c r="AU307" s="87" t="str">
        <f aca="false">IF(ISBLANK($C307),"",IF($AJ307&lt;&gt;Constants!$B$7,$AJ307,AT307*W307))</f>
        <v/>
      </c>
      <c r="AV307" s="87" t="str">
        <f aca="false">IF(ISBLANK($C307),"",IF($AJ307=Constants!$B$7,IF(ISNUMBER(AU307),RANK(AU307,$AU$8:$AU$507),Constants!$B$14),$AJ307))</f>
        <v/>
      </c>
      <c r="AW307" s="87" t="str">
        <f aca="false">IF(ISBLANK($C307),"",IF($AJ307=Constants!$B$7,IF(ISNUMBER(AV307),COUNTIFS($AK$8:$AK$507,"&lt;"&amp;$AK307)+COUNTIFS($AK$8:$AK$507,$AK307,$AV$8:$AV$507,"&lt;"&amp;$AV307)+1,Constants!$B$14),$AJ307))</f>
        <v/>
      </c>
      <c r="AX307" s="87" t="str">
        <f aca="false">IF(ISBLANK($C307),"",IF($AJ307=Constants!$B$7,LARGE(AL307:AP307,4)*W307,""))</f>
        <v/>
      </c>
      <c r="AY307" s="87" t="str">
        <f aca="false">IF(ISBLANK($C307),"",IF($AJ307=Constants!$B$7,RANK(AX307,$AX$8:$AX$507),$AJ307))</f>
        <v/>
      </c>
      <c r="AZ307" s="87" t="str">
        <f aca="false">IF(ISBLANK($C307),"",IF($AJ307=Constants!$B$7,IF(ISNUMBER(AV307),COUNTIFS($AK$8:$AK$507,"&lt;"&amp;$AK307)+COUNTIFS($AK$8:$AK$507,$AK307,$AV$8:$AV$507,"&lt;"&amp;$AV307)+COUNTIFS($AK$8:$AK$507,$AK307,$AV$8:$AV$507,$AV307,$AY$8:$AY$507,"&lt;"&amp;$AY307)+1,Constants!$B$14),$AJ307))</f>
        <v/>
      </c>
      <c r="BA307" s="87" t="str">
        <f aca="false">IF(ISBLANK($C307),"",IF($AJ307=Constants!$B$7,IF(ISNUMBER(AW307),AW307-AZ307,Constants!$B$14),$AJ307))</f>
        <v/>
      </c>
      <c r="BB307" s="88"/>
      <c r="BC307" s="89" t="str">
        <f aca="false">IF(ISBLANK($C307),"",IF($AJ307&lt;&gt;Constants!$B$7,$AJ307,SMALL(AQ307:AS307,1)&amp;", "&amp;SMALL(AQ307:AS307,2)&amp;", "&amp;SMALL(AQ307:AS307,3)))</f>
        <v/>
      </c>
      <c r="BD307" s="90" t="str">
        <f aca="false">IF(ISBLANK($C307),"",IF($AJ307&lt;&gt;Constants!$B$7,$AJ307,W307))</f>
        <v/>
      </c>
      <c r="BE307" s="91" t="str">
        <f aca="false">IF(ISBLANK($C307),"",IF($AJ307&lt;&gt;Constants!$B$7,$AJ307,AU307))</f>
        <v/>
      </c>
      <c r="BF307" s="92" t="str">
        <f aca="false">IF(ISBLANK($C307),"",IF($AJ307&lt;&gt;Constants!$B$7,$AJ307,AK307))</f>
        <v/>
      </c>
      <c r="BG307" s="90" t="str">
        <f aca="false">IF(ISBLANK($C307),"",BA307)</f>
        <v/>
      </c>
      <c r="BH307" s="90" t="str">
        <f aca="false">IF(ISBLANK($C307),"",AZ307)</f>
        <v/>
      </c>
      <c r="BI307" s="93" t="str">
        <f aca="false">IF(ISBLANK($C307),"",IF(BH307=Constants!$B$4,COUNTA($C$8:$C$507)+2,IF(BH307=Constants!$B$5,COUNTA($C$8:$C$507)+1,IF(BH307=Constants!$B$6,COUNTA($C$8:$C$507),BH307))))</f>
        <v/>
      </c>
      <c r="BJ307" s="5"/>
      <c r="BK307" s="94" t="n">
        <f aca="false">IF(OR(ISNUMBER(BH307),BH307=Constants!$B$4,BH307=Constants!$B$6,BH307=Constants!$B$5),1,0)</f>
        <v>0</v>
      </c>
      <c r="BL307" s="94" t="n">
        <v>300</v>
      </c>
      <c r="BM307" s="94" t="str">
        <f aca="false">IF(ISBLANK($C307),"",IF(ISNUMBER(BI307),BI307+ROW($B307)/1000,""))</f>
        <v/>
      </c>
      <c r="BN307" s="94" t="str">
        <f aca="false">IF(ISNUMBER(BM307),RANK(BM307,$BM$8:$BM$507,1),"")</f>
        <v/>
      </c>
      <c r="BO307" s="94" t="str">
        <f aca="false">IF(ISBLANK($C307),"",$B307)</f>
        <v/>
      </c>
      <c r="BP307" s="94" t="str">
        <f aca="false">IF(ISBLANK($C307),"",$C307)</f>
        <v/>
      </c>
      <c r="BQ307" s="94" t="str">
        <f aca="false">IF(ISBLANK($C307),"",$D307)</f>
        <v/>
      </c>
      <c r="BR307" s="95" t="str">
        <f aca="false">BF307</f>
        <v/>
      </c>
      <c r="BS307" s="96" t="str">
        <f aca="false">BE307</f>
        <v/>
      </c>
      <c r="BT307" s="94" t="str">
        <f aca="false">IF(ISBLANK($C307),"",BH307)</f>
        <v/>
      </c>
      <c r="BU307" s="97" t="str">
        <f aca="false">IF($BL307&gt;$BK$7,"",VLOOKUP($BL307,$BN$8:$BT$507,7,FALSE()))</f>
        <v/>
      </c>
      <c r="BV307" s="98" t="str">
        <f aca="false">IF($BL307&gt;$BK$7,"",VLOOKUP($BL307,$BN$8:$BT$507,2,FALSE()))</f>
        <v/>
      </c>
      <c r="BW307" s="98" t="str">
        <f aca="false">IF($BL307&gt;$BK$7,"",VLOOKUP($BL307,$BN$8:$BT$507,3,FALSE()))</f>
        <v/>
      </c>
      <c r="BX307" s="98" t="str">
        <f aca="false">IF($BL307&gt;$BK$7,"",VLOOKUP($BL307,$BN$8:$BT$507,4,FALSE()))</f>
        <v/>
      </c>
      <c r="BY307" s="98" t="str">
        <f aca="false">IF($BL307&gt;$BK$7,"",VLOOKUP($BL307,$BN$8:$BT$507,5,FALSE()))</f>
        <v/>
      </c>
      <c r="BZ307" s="99" t="str">
        <f aca="false">IF($BL307&gt;$BK$7,"",VLOOKUP($BL307,$BN$8:$BT$507,6,FALSE()))</f>
        <v/>
      </c>
      <c r="CA307" s="48"/>
    </row>
    <row r="308" customFormat="false" ht="15.75" hidden="false" customHeight="false" outlineLevel="0" collapsed="false">
      <c r="A308" s="5"/>
      <c r="B308" s="121"/>
      <c r="C308" s="50"/>
      <c r="D308" s="51"/>
      <c r="E308" s="74"/>
      <c r="F308" s="122"/>
      <c r="G308" s="54"/>
      <c r="H308" s="123"/>
      <c r="I308" s="124"/>
      <c r="J308" s="54"/>
      <c r="K308" s="123"/>
      <c r="L308" s="54"/>
      <c r="M308" s="123"/>
      <c r="N308" s="54"/>
      <c r="O308" s="123"/>
      <c r="P308" s="54"/>
      <c r="Q308" s="123"/>
      <c r="R308" s="54"/>
      <c r="S308" s="74"/>
      <c r="T308" s="58"/>
      <c r="U308" s="59" t="str">
        <f aca="false">IF(ISBLANK($C308),"",IF(E308=Constants!$B$2, TRUE(), IF(E308=Constants!$B$3, FALSE(), TRUE())))</f>
        <v/>
      </c>
      <c r="V308" s="59" t="str">
        <f aca="false">IF(ISBLANK($C308),"",IF(F308=Constants!$B$2, TRUE(), IF(F308=Constants!$B$3, FALSE(), TRUE())))</f>
        <v/>
      </c>
      <c r="W308" s="59" t="str">
        <f aca="false">IF(ISBLANK($C308),"",IF(G308=Constants!$B$15,Constants!$B$8,IF(G308=Constants!$B$16,Constants!$B$9,Constants!$B$10)))</f>
        <v/>
      </c>
      <c r="X308" s="59" t="str">
        <f aca="false">IF(ISBLANK($C308),"",IF(H308=Constants!$B$2, TRUE(), IF(H308=Constants!$B$3, FALSE(), TRUE())))</f>
        <v/>
      </c>
      <c r="Y308" s="59" t="str">
        <f aca="false">IF(ISBLANK($C308),"",IF(I308=Constants!$B$19,Constants!$B$19,Constants!$B$18))</f>
        <v/>
      </c>
      <c r="Z308" s="59" t="str">
        <f aca="false">IF(ISBLANK($C308),"",IF(ISNUMBER(J308),IF(J308&gt;=0,J308,""),""))</f>
        <v/>
      </c>
      <c r="AA308" s="59" t="str">
        <f aca="false">IF(ISBLANK($C308),"",IF(K308=Constants!$B$19,Constants!$B$19,Constants!$B$18))</f>
        <v/>
      </c>
      <c r="AB308" s="59" t="str">
        <f aca="false">IF(ISBLANK($C308),"",IF(ISNUMBER(L308),IF(L308&gt;=0,L308,""),""))</f>
        <v/>
      </c>
      <c r="AC308" s="59" t="str">
        <f aca="false">IF(ISBLANK($C308),"",IF(M308=Constants!$B$19,Constants!$B$19,Constants!$B$18))</f>
        <v/>
      </c>
      <c r="AD308" s="59" t="str">
        <f aca="false">IF(ISBLANK($C308),"",IF(ISNUMBER(N308),IF(N308&gt;=0,N308,""),""))</f>
        <v/>
      </c>
      <c r="AE308" s="59" t="str">
        <f aca="false">IF(ISBLANK($C308),"",IF(O308=Constants!$B$19,Constants!$B$19,Constants!$B$18))</f>
        <v/>
      </c>
      <c r="AF308" s="59" t="str">
        <f aca="false">IF(ISBLANK($C308),"",IF(ISNUMBER(P308),IF(P308&gt;=0,P308,""),""))</f>
        <v/>
      </c>
      <c r="AG308" s="59" t="str">
        <f aca="false">IF(ISBLANK($C308),"",IF(Q308=Constants!$B$19,Constants!$B$19,Constants!$B$18))</f>
        <v/>
      </c>
      <c r="AH308" s="59" t="str">
        <f aca="false">IF(ISBLANK($C308),"",IF(ISNUMBER(R308),IF(R308&gt;=0,R308,""),""))</f>
        <v/>
      </c>
      <c r="AI308" s="59" t="str">
        <f aca="false">IF(ISBLANK($C308),"",IF(S308=Constants!$B$2, TRUE(), IF(S308=Constants!$B$3, FALSE(), FALSE())))</f>
        <v/>
      </c>
      <c r="AJ308" s="59" t="str">
        <f aca="false">IF(ISBLANK($C308),"",IF(AI308,Constants!$B$4,IF(COUNTA(E308:R308)=0,Constants!$B$5,IF(COUNTA(J308,L308,N308,P308,R308)=0,Constants!$B$6,Constants!$B$7))))</f>
        <v/>
      </c>
      <c r="AK308" s="59" t="str">
        <f aca="false">IF(ISBLANK($C308),"",IF($AJ308&lt;&gt;Constants!$B$7,$AJ308,IF(OR(NOT(X308),AND(NOT(U308),COUNTIFS(Y308:AG308,Constants!$B$18,Z308:AH308,"&gt;=0")&gt;0),AND(NOT(V308),COUNTIFS(Y308:AG308,Constants!$B$19,Z308:AH308,"&gt;=0")&gt;0)),Constants!$B$12,Constants!$B$11)))</f>
        <v/>
      </c>
      <c r="AL308" s="59" t="str">
        <f aca="false">IF($AJ308=Constants!$B$7,IF(Z308="",Constants!$B$13,Z308),"")</f>
        <v/>
      </c>
      <c r="AM308" s="59" t="str">
        <f aca="false">IF($AJ308=Constants!$B$7,IF(AB308="",Constants!$B$13,AB308),"")</f>
        <v/>
      </c>
      <c r="AN308" s="59" t="str">
        <f aca="false">IF($AJ308=Constants!$B$7,IF(AD308="",Constants!$B$13,AD308),"")</f>
        <v/>
      </c>
      <c r="AO308" s="59" t="str">
        <f aca="false">IF($AJ308=Constants!$B$7,IF(AF308="",Constants!$B$13,AF308),"")</f>
        <v/>
      </c>
      <c r="AP308" s="59" t="str">
        <f aca="false">IF($AJ308=Constants!$B$7,IF(AH308="",Constants!$B$13,AH308),"")</f>
        <v/>
      </c>
      <c r="AQ308" s="59" t="str">
        <f aca="false">IF($AJ308=Constants!$B$7,IF(SUMPRODUCT(--($AL308:$AP308&gt;AL308))+SUMPRODUCT(--($AL308:AL308=AL308))=1,1,IF(SUMPRODUCT(--($AL308:$AP308&gt;AM308))+SUMPRODUCT(--($AL308:AM308=AM308))=1,2,IF(SUMPRODUCT(--($AL308:$AP308&gt;AN308))+SUMPRODUCT(--($AL308:AN308=AN308))=1,3,IF(SUMPRODUCT(--($AL308:$AP308&gt;AO308))+SUMPRODUCT(--($AL308:AO308=AO308))=1,4,5)))),"")</f>
        <v/>
      </c>
      <c r="AR308" s="59" t="str">
        <f aca="false">IF($AJ308=Constants!$B$7,IF(SUMPRODUCT(--($AL308:$AP308&gt;AL308))+SUMPRODUCT(--($AL308:AL308=AL308))=2,1,IF(SUMPRODUCT(--($AL308:$AP308&gt;AM308))+SUMPRODUCT(--($AL308:AM308=AM308))=2,2,IF(SUMPRODUCT(--($AL308:$AP308&gt;AN308))+SUMPRODUCT(--($AL308:AN308=AN308))=2,3,IF(SUMPRODUCT(--($AL308:$AP308&gt;AO308))+SUMPRODUCT(--($AL308:AO308=AO308))=2,4,5)))),"")</f>
        <v/>
      </c>
      <c r="AS308" s="59" t="str">
        <f aca="false">IF($AJ308=Constants!$B$7,IF(SUMPRODUCT(--($AL308:$AP308&gt;AL308))+SUMPRODUCT(--($AL308:AL308=AL308))=3,1,IF(SUMPRODUCT(--($AL308:$AP308&gt;AM308))+SUMPRODUCT(--($AL308:AM308=AM308))=3,2,IF(SUMPRODUCT(--($AL308:$AP308&gt;AN308))+SUMPRODUCT(--($AL308:AN308=AN308))=3,3,IF(SUMPRODUCT(--($AL308:$AP308&gt;AO308))+SUMPRODUCT(--($AL308:AO308=AO308))=3,4,5)))),"")</f>
        <v/>
      </c>
      <c r="AT308" s="59" t="str">
        <f aca="false">IF($AJ308=Constants!$B$7,LARGE(AL308:AP308,1)+LARGE(AL308:AP308,2)+LARGE(AL308:AP308,3),"")</f>
        <v/>
      </c>
      <c r="AU308" s="59" t="str">
        <f aca="false">IF(ISBLANK($C308),"",IF($AJ308&lt;&gt;Constants!$B$7,$AJ308,AT308*W308))</f>
        <v/>
      </c>
      <c r="AV308" s="59" t="str">
        <f aca="false">IF(ISBLANK($C308),"",IF($AJ308=Constants!$B$7,IF(ISNUMBER(AU308),RANK(AU308,$AU$8:$AU$507),Constants!$B$14),$AJ308))</f>
        <v/>
      </c>
      <c r="AW308" s="59" t="str">
        <f aca="false">IF(ISBLANK($C308),"",IF($AJ308=Constants!$B$7,IF(ISNUMBER(AV308),COUNTIFS($AK$8:$AK$507,"&lt;"&amp;$AK308)+COUNTIFS($AK$8:$AK$507,$AK308,$AV$8:$AV$507,"&lt;"&amp;$AV308)+1,Constants!$B$14),$AJ308))</f>
        <v/>
      </c>
      <c r="AX308" s="59" t="str">
        <f aca="false">IF(ISBLANK($C308),"",IF($AJ308=Constants!$B$7,LARGE(AL308:AP308,4)*W308,""))</f>
        <v/>
      </c>
      <c r="AY308" s="59" t="str">
        <f aca="false">IF(ISBLANK($C308),"",IF($AJ308=Constants!$B$7,RANK(AX308,$AX$8:$AX$507),$AJ308))</f>
        <v/>
      </c>
      <c r="AZ308" s="59" t="str">
        <f aca="false">IF(ISBLANK($C308),"",IF($AJ308=Constants!$B$7,IF(ISNUMBER(AV308),COUNTIFS($AK$8:$AK$507,"&lt;"&amp;$AK308)+COUNTIFS($AK$8:$AK$507,$AK308,$AV$8:$AV$507,"&lt;"&amp;$AV308)+COUNTIFS($AK$8:$AK$507,$AK308,$AV$8:$AV$507,$AV308,$AY$8:$AY$507,"&lt;"&amp;$AY308)+1,Constants!$B$14),$AJ308))</f>
        <v/>
      </c>
      <c r="BA308" s="59" t="str">
        <f aca="false">IF(ISBLANK($C308),"",IF($AJ308=Constants!$B$7,IF(ISNUMBER(AW308),AW308-AZ308,Constants!$B$14),$AJ308))</f>
        <v/>
      </c>
      <c r="BB308" s="61"/>
      <c r="BC308" s="62" t="str">
        <f aca="false">IF(ISBLANK($C308),"",IF($AJ308&lt;&gt;Constants!$B$7,$AJ308,SMALL(AQ308:AS308,1)&amp;", "&amp;SMALL(AQ308:AS308,2)&amp;", "&amp;SMALL(AQ308:AS308,3)))</f>
        <v/>
      </c>
      <c r="BD308" s="63" t="str">
        <f aca="false">IF(ISBLANK($C308),"",IF($AJ308&lt;&gt;Constants!$B$7,$AJ308,W308))</f>
        <v/>
      </c>
      <c r="BE308" s="64" t="str">
        <f aca="false">IF(ISBLANK($C308),"",IF($AJ308&lt;&gt;Constants!$B$7,$AJ308,AU308))</f>
        <v/>
      </c>
      <c r="BF308" s="65" t="str">
        <f aca="false">IF(ISBLANK($C308),"",IF($AJ308&lt;&gt;Constants!$B$7,$AJ308,AK308))</f>
        <v/>
      </c>
      <c r="BG308" s="63" t="str">
        <f aca="false">IF(ISBLANK($C308),"",BA308)</f>
        <v/>
      </c>
      <c r="BH308" s="63" t="str">
        <f aca="false">IF(ISBLANK($C308),"",AZ308)</f>
        <v/>
      </c>
      <c r="BI308" s="66" t="str">
        <f aca="false">IF(ISBLANK($C308),"",IF(BH308=Constants!$B$4,COUNTA($C$8:$C$507)+2,IF(BH308=Constants!$B$5,COUNTA($C$8:$C$507)+1,IF(BH308=Constants!$B$6,COUNTA($C$8:$C$507),BH308))))</f>
        <v/>
      </c>
      <c r="BJ308" s="5"/>
      <c r="BK308" s="67" t="n">
        <f aca="false">IF(OR(ISNUMBER(BH308),BH308=Constants!$B$4,BH308=Constants!$B$6,BH308=Constants!$B$5),1,0)</f>
        <v>0</v>
      </c>
      <c r="BL308" s="67" t="n">
        <v>301</v>
      </c>
      <c r="BM308" s="67" t="str">
        <f aca="false">IF(ISBLANK($C308),"",IF(ISNUMBER(BI308),BI308+ROW($B308)/1000,""))</f>
        <v/>
      </c>
      <c r="BN308" s="67" t="str">
        <f aca="false">IF(ISNUMBER(BM308),RANK(BM308,$BM$8:$BM$507,1),"")</f>
        <v/>
      </c>
      <c r="BO308" s="67" t="str">
        <f aca="false">IF(ISBLANK($C308),"",$B308)</f>
        <v/>
      </c>
      <c r="BP308" s="67" t="str">
        <f aca="false">IF(ISBLANK($C308),"",$C308)</f>
        <v/>
      </c>
      <c r="BQ308" s="67" t="str">
        <f aca="false">IF(ISBLANK($C308),"",$D308)</f>
        <v/>
      </c>
      <c r="BR308" s="68" t="str">
        <f aca="false">BF308</f>
        <v/>
      </c>
      <c r="BS308" s="69" t="str">
        <f aca="false">BE308</f>
        <v/>
      </c>
      <c r="BT308" s="67" t="str">
        <f aca="false">IF(ISBLANK($C308),"",BH308)</f>
        <v/>
      </c>
      <c r="BU308" s="70" t="str">
        <f aca="false">IF($BL308&gt;$BK$7,"",VLOOKUP($BL308,$BN$8:$BT$507,7,FALSE()))</f>
        <v/>
      </c>
      <c r="BV308" s="71" t="str">
        <f aca="false">IF($BL308&gt;$BK$7,"",VLOOKUP($BL308,$BN$8:$BT$507,2,FALSE()))</f>
        <v/>
      </c>
      <c r="BW308" s="71" t="str">
        <f aca="false">IF($BL308&gt;$BK$7,"",VLOOKUP($BL308,$BN$8:$BT$507,3,FALSE()))</f>
        <v/>
      </c>
      <c r="BX308" s="71" t="str">
        <f aca="false">IF($BL308&gt;$BK$7,"",VLOOKUP($BL308,$BN$8:$BT$507,4,FALSE()))</f>
        <v/>
      </c>
      <c r="BY308" s="71" t="str">
        <f aca="false">IF($BL308&gt;$BK$7,"",VLOOKUP($BL308,$BN$8:$BT$507,5,FALSE()))</f>
        <v/>
      </c>
      <c r="BZ308" s="72" t="str">
        <f aca="false">IF($BL308&gt;$BK$7,"",VLOOKUP($BL308,$BN$8:$BT$507,6,FALSE()))</f>
        <v/>
      </c>
      <c r="CA308" s="48"/>
    </row>
    <row r="309" customFormat="false" ht="15.75" hidden="false" customHeight="false" outlineLevel="0" collapsed="false">
      <c r="A309" s="5"/>
      <c r="B309" s="121"/>
      <c r="C309" s="50"/>
      <c r="D309" s="51"/>
      <c r="E309" s="74"/>
      <c r="F309" s="122"/>
      <c r="G309" s="54"/>
      <c r="H309" s="123"/>
      <c r="I309" s="124"/>
      <c r="J309" s="54"/>
      <c r="K309" s="123"/>
      <c r="L309" s="54"/>
      <c r="M309" s="123"/>
      <c r="N309" s="54"/>
      <c r="O309" s="123"/>
      <c r="P309" s="54"/>
      <c r="Q309" s="123"/>
      <c r="R309" s="54"/>
      <c r="S309" s="74"/>
      <c r="T309" s="58"/>
      <c r="U309" s="59" t="str">
        <f aca="false">IF(ISBLANK($C309),"",IF(E309=Constants!$B$2, TRUE(), IF(E309=Constants!$B$3, FALSE(), TRUE())))</f>
        <v/>
      </c>
      <c r="V309" s="59" t="str">
        <f aca="false">IF(ISBLANK($C309),"",IF(F309=Constants!$B$2, TRUE(), IF(F309=Constants!$B$3, FALSE(), TRUE())))</f>
        <v/>
      </c>
      <c r="W309" s="59" t="str">
        <f aca="false">IF(ISBLANK($C309),"",IF(G309=Constants!$B$15,Constants!$B$8,IF(G309=Constants!$B$16,Constants!$B$9,Constants!$B$10)))</f>
        <v/>
      </c>
      <c r="X309" s="59" t="str">
        <f aca="false">IF(ISBLANK($C309),"",IF(H309=Constants!$B$2, TRUE(), IF(H309=Constants!$B$3, FALSE(), TRUE())))</f>
        <v/>
      </c>
      <c r="Y309" s="59" t="str">
        <f aca="false">IF(ISBLANK($C309),"",IF(I309=Constants!$B$19,Constants!$B$19,Constants!$B$18))</f>
        <v/>
      </c>
      <c r="Z309" s="59" t="str">
        <f aca="false">IF(ISBLANK($C309),"",IF(ISNUMBER(J309),IF(J309&gt;=0,J309,""),""))</f>
        <v/>
      </c>
      <c r="AA309" s="59" t="str">
        <f aca="false">IF(ISBLANK($C309),"",IF(K309=Constants!$B$19,Constants!$B$19,Constants!$B$18))</f>
        <v/>
      </c>
      <c r="AB309" s="59" t="str">
        <f aca="false">IF(ISBLANK($C309),"",IF(ISNUMBER(L309),IF(L309&gt;=0,L309,""),""))</f>
        <v/>
      </c>
      <c r="AC309" s="59" t="str">
        <f aca="false">IF(ISBLANK($C309),"",IF(M309=Constants!$B$19,Constants!$B$19,Constants!$B$18))</f>
        <v/>
      </c>
      <c r="AD309" s="59" t="str">
        <f aca="false">IF(ISBLANK($C309),"",IF(ISNUMBER(N309),IF(N309&gt;=0,N309,""),""))</f>
        <v/>
      </c>
      <c r="AE309" s="59" t="str">
        <f aca="false">IF(ISBLANK($C309),"",IF(O309=Constants!$B$19,Constants!$B$19,Constants!$B$18))</f>
        <v/>
      </c>
      <c r="AF309" s="59" t="str">
        <f aca="false">IF(ISBLANK($C309),"",IF(ISNUMBER(P309),IF(P309&gt;=0,P309,""),""))</f>
        <v/>
      </c>
      <c r="AG309" s="59" t="str">
        <f aca="false">IF(ISBLANK($C309),"",IF(Q309=Constants!$B$19,Constants!$B$19,Constants!$B$18))</f>
        <v/>
      </c>
      <c r="AH309" s="59" t="str">
        <f aca="false">IF(ISBLANK($C309),"",IF(ISNUMBER(R309),IF(R309&gt;=0,R309,""),""))</f>
        <v/>
      </c>
      <c r="AI309" s="59" t="str">
        <f aca="false">IF(ISBLANK($C309),"",IF(S309=Constants!$B$2, TRUE(), IF(S309=Constants!$B$3, FALSE(), FALSE())))</f>
        <v/>
      </c>
      <c r="AJ309" s="59" t="str">
        <f aca="false">IF(ISBLANK($C309),"",IF(AI309,Constants!$B$4,IF(COUNTA(E309:R309)=0,Constants!$B$5,IF(COUNTA(J309,L309,N309,P309,R309)=0,Constants!$B$6,Constants!$B$7))))</f>
        <v/>
      </c>
      <c r="AK309" s="59" t="str">
        <f aca="false">IF(ISBLANK($C309),"",IF($AJ309&lt;&gt;Constants!$B$7,$AJ309,IF(OR(NOT(X309),AND(NOT(U309),COUNTIFS(Y309:AG309,Constants!$B$18,Z309:AH309,"&gt;=0")&gt;0),AND(NOT(V309),COUNTIFS(Y309:AG309,Constants!$B$19,Z309:AH309,"&gt;=0")&gt;0)),Constants!$B$12,Constants!$B$11)))</f>
        <v/>
      </c>
      <c r="AL309" s="59" t="str">
        <f aca="false">IF($AJ309=Constants!$B$7,IF(Z309="",Constants!$B$13,Z309),"")</f>
        <v/>
      </c>
      <c r="AM309" s="59" t="str">
        <f aca="false">IF($AJ309=Constants!$B$7,IF(AB309="",Constants!$B$13,AB309),"")</f>
        <v/>
      </c>
      <c r="AN309" s="59" t="str">
        <f aca="false">IF($AJ309=Constants!$B$7,IF(AD309="",Constants!$B$13,AD309),"")</f>
        <v/>
      </c>
      <c r="AO309" s="59" t="str">
        <f aca="false">IF($AJ309=Constants!$B$7,IF(AF309="",Constants!$B$13,AF309),"")</f>
        <v/>
      </c>
      <c r="AP309" s="59" t="str">
        <f aca="false">IF($AJ309=Constants!$B$7,IF(AH309="",Constants!$B$13,AH309),"")</f>
        <v/>
      </c>
      <c r="AQ309" s="59" t="str">
        <f aca="false">IF($AJ309=Constants!$B$7,IF(SUMPRODUCT(--($AL309:$AP309&gt;AL309))+SUMPRODUCT(--($AL309:AL309=AL309))=1,1,IF(SUMPRODUCT(--($AL309:$AP309&gt;AM309))+SUMPRODUCT(--($AL309:AM309=AM309))=1,2,IF(SUMPRODUCT(--($AL309:$AP309&gt;AN309))+SUMPRODUCT(--($AL309:AN309=AN309))=1,3,IF(SUMPRODUCT(--($AL309:$AP309&gt;AO309))+SUMPRODUCT(--($AL309:AO309=AO309))=1,4,5)))),"")</f>
        <v/>
      </c>
      <c r="AR309" s="59" t="str">
        <f aca="false">IF($AJ309=Constants!$B$7,IF(SUMPRODUCT(--($AL309:$AP309&gt;AL309))+SUMPRODUCT(--($AL309:AL309=AL309))=2,1,IF(SUMPRODUCT(--($AL309:$AP309&gt;AM309))+SUMPRODUCT(--($AL309:AM309=AM309))=2,2,IF(SUMPRODUCT(--($AL309:$AP309&gt;AN309))+SUMPRODUCT(--($AL309:AN309=AN309))=2,3,IF(SUMPRODUCT(--($AL309:$AP309&gt;AO309))+SUMPRODUCT(--($AL309:AO309=AO309))=2,4,5)))),"")</f>
        <v/>
      </c>
      <c r="AS309" s="59" t="str">
        <f aca="false">IF($AJ309=Constants!$B$7,IF(SUMPRODUCT(--($AL309:$AP309&gt;AL309))+SUMPRODUCT(--($AL309:AL309=AL309))=3,1,IF(SUMPRODUCT(--($AL309:$AP309&gt;AM309))+SUMPRODUCT(--($AL309:AM309=AM309))=3,2,IF(SUMPRODUCT(--($AL309:$AP309&gt;AN309))+SUMPRODUCT(--($AL309:AN309=AN309))=3,3,IF(SUMPRODUCT(--($AL309:$AP309&gt;AO309))+SUMPRODUCT(--($AL309:AO309=AO309))=3,4,5)))),"")</f>
        <v/>
      </c>
      <c r="AT309" s="59" t="str">
        <f aca="false">IF($AJ309=Constants!$B$7,LARGE(AL309:AP309,1)+LARGE(AL309:AP309,2)+LARGE(AL309:AP309,3),"")</f>
        <v/>
      </c>
      <c r="AU309" s="59" t="str">
        <f aca="false">IF(ISBLANK($C309),"",IF($AJ309&lt;&gt;Constants!$B$7,$AJ309,AT309*W309))</f>
        <v/>
      </c>
      <c r="AV309" s="59" t="str">
        <f aca="false">IF(ISBLANK($C309),"",IF($AJ309=Constants!$B$7,IF(ISNUMBER(AU309),RANK(AU309,$AU$8:$AU$507),Constants!$B$14),$AJ309))</f>
        <v/>
      </c>
      <c r="AW309" s="59" t="str">
        <f aca="false">IF(ISBLANK($C309),"",IF($AJ309=Constants!$B$7,IF(ISNUMBER(AV309),COUNTIFS($AK$8:$AK$507,"&lt;"&amp;$AK309)+COUNTIFS($AK$8:$AK$507,$AK309,$AV$8:$AV$507,"&lt;"&amp;$AV309)+1,Constants!$B$14),$AJ309))</f>
        <v/>
      </c>
      <c r="AX309" s="59" t="str">
        <f aca="false">IF(ISBLANK($C309),"",IF($AJ309=Constants!$B$7,LARGE(AL309:AP309,4)*W309,""))</f>
        <v/>
      </c>
      <c r="AY309" s="59" t="str">
        <f aca="false">IF(ISBLANK($C309),"",IF($AJ309=Constants!$B$7,RANK(AX309,$AX$8:$AX$507),$AJ309))</f>
        <v/>
      </c>
      <c r="AZ309" s="59" t="str">
        <f aca="false">IF(ISBLANK($C309),"",IF($AJ309=Constants!$B$7,IF(ISNUMBER(AV309),COUNTIFS($AK$8:$AK$507,"&lt;"&amp;$AK309)+COUNTIFS($AK$8:$AK$507,$AK309,$AV$8:$AV$507,"&lt;"&amp;$AV309)+COUNTIFS($AK$8:$AK$507,$AK309,$AV$8:$AV$507,$AV309,$AY$8:$AY$507,"&lt;"&amp;$AY309)+1,Constants!$B$14),$AJ309))</f>
        <v/>
      </c>
      <c r="BA309" s="59" t="str">
        <f aca="false">IF(ISBLANK($C309),"",IF($AJ309=Constants!$B$7,IF(ISNUMBER(AW309),AW309-AZ309,Constants!$B$14),$AJ309))</f>
        <v/>
      </c>
      <c r="BB309" s="61"/>
      <c r="BC309" s="62" t="str">
        <f aca="false">IF(ISBLANK($C309),"",IF($AJ309&lt;&gt;Constants!$B$7,$AJ309,SMALL(AQ309:AS309,1)&amp;", "&amp;SMALL(AQ309:AS309,2)&amp;", "&amp;SMALL(AQ309:AS309,3)))</f>
        <v/>
      </c>
      <c r="BD309" s="63" t="str">
        <f aca="false">IF(ISBLANK($C309),"",IF($AJ309&lt;&gt;Constants!$B$7,$AJ309,W309))</f>
        <v/>
      </c>
      <c r="BE309" s="64" t="str">
        <f aca="false">IF(ISBLANK($C309),"",IF($AJ309&lt;&gt;Constants!$B$7,$AJ309,AU309))</f>
        <v/>
      </c>
      <c r="BF309" s="65" t="str">
        <f aca="false">IF(ISBLANK($C309),"",IF($AJ309&lt;&gt;Constants!$B$7,$AJ309,AK309))</f>
        <v/>
      </c>
      <c r="BG309" s="63" t="str">
        <f aca="false">IF(ISBLANK($C309),"",BA309)</f>
        <v/>
      </c>
      <c r="BH309" s="63" t="str">
        <f aca="false">IF(ISBLANK($C309),"",AZ309)</f>
        <v/>
      </c>
      <c r="BI309" s="66" t="str">
        <f aca="false">IF(ISBLANK($C309),"",IF(BH309=Constants!$B$4,COUNTA($C$8:$C$507)+2,IF(BH309=Constants!$B$5,COUNTA($C$8:$C$507)+1,IF(BH309=Constants!$B$6,COUNTA($C$8:$C$507),BH309))))</f>
        <v/>
      </c>
      <c r="BJ309" s="5"/>
      <c r="BK309" s="67" t="n">
        <f aca="false">IF(OR(ISNUMBER(BH309),BH309=Constants!$B$4,BH309=Constants!$B$6,BH309=Constants!$B$5),1,0)</f>
        <v>0</v>
      </c>
      <c r="BL309" s="67" t="n">
        <v>302</v>
      </c>
      <c r="BM309" s="67" t="str">
        <f aca="false">IF(ISBLANK($C309),"",IF(ISNUMBER(BI309),BI309+ROW($B309)/1000,""))</f>
        <v/>
      </c>
      <c r="BN309" s="67" t="str">
        <f aca="false">IF(ISNUMBER(BM309),RANK(BM309,$BM$8:$BM$507,1),"")</f>
        <v/>
      </c>
      <c r="BO309" s="67" t="str">
        <f aca="false">IF(ISBLANK($C309),"",$B309)</f>
        <v/>
      </c>
      <c r="BP309" s="67" t="str">
        <f aca="false">IF(ISBLANK($C309),"",$C309)</f>
        <v/>
      </c>
      <c r="BQ309" s="67" t="str">
        <f aca="false">IF(ISBLANK($C309),"",$D309)</f>
        <v/>
      </c>
      <c r="BR309" s="68" t="str">
        <f aca="false">BF309</f>
        <v/>
      </c>
      <c r="BS309" s="69" t="str">
        <f aca="false">BE309</f>
        <v/>
      </c>
      <c r="BT309" s="67" t="str">
        <f aca="false">IF(ISBLANK($C309),"",BH309)</f>
        <v/>
      </c>
      <c r="BU309" s="70" t="str">
        <f aca="false">IF($BL309&gt;$BK$7,"",VLOOKUP($BL309,$BN$8:$BT$507,7,FALSE()))</f>
        <v/>
      </c>
      <c r="BV309" s="71" t="str">
        <f aca="false">IF($BL309&gt;$BK$7,"",VLOOKUP($BL309,$BN$8:$BT$507,2,FALSE()))</f>
        <v/>
      </c>
      <c r="BW309" s="71" t="str">
        <f aca="false">IF($BL309&gt;$BK$7,"",VLOOKUP($BL309,$BN$8:$BT$507,3,FALSE()))</f>
        <v/>
      </c>
      <c r="BX309" s="71" t="str">
        <f aca="false">IF($BL309&gt;$BK$7,"",VLOOKUP($BL309,$BN$8:$BT$507,4,FALSE()))</f>
        <v/>
      </c>
      <c r="BY309" s="71" t="str">
        <f aca="false">IF($BL309&gt;$BK$7,"",VLOOKUP($BL309,$BN$8:$BT$507,5,FALSE()))</f>
        <v/>
      </c>
      <c r="BZ309" s="72" t="str">
        <f aca="false">IF($BL309&gt;$BK$7,"",VLOOKUP($BL309,$BN$8:$BT$507,6,FALSE()))</f>
        <v/>
      </c>
      <c r="CA309" s="48"/>
    </row>
    <row r="310" customFormat="false" ht="15.75" hidden="false" customHeight="false" outlineLevel="0" collapsed="false">
      <c r="A310" s="5"/>
      <c r="B310" s="121"/>
      <c r="C310" s="50"/>
      <c r="D310" s="51"/>
      <c r="E310" s="74"/>
      <c r="F310" s="122"/>
      <c r="G310" s="54"/>
      <c r="H310" s="123"/>
      <c r="I310" s="124"/>
      <c r="J310" s="54"/>
      <c r="K310" s="123"/>
      <c r="L310" s="54"/>
      <c r="M310" s="123"/>
      <c r="N310" s="54"/>
      <c r="O310" s="123"/>
      <c r="P310" s="54"/>
      <c r="Q310" s="123"/>
      <c r="R310" s="54"/>
      <c r="S310" s="74"/>
      <c r="T310" s="58"/>
      <c r="U310" s="59" t="str">
        <f aca="false">IF(ISBLANK($C310),"",IF(E310=Constants!$B$2, TRUE(), IF(E310=Constants!$B$3, FALSE(), TRUE())))</f>
        <v/>
      </c>
      <c r="V310" s="59" t="str">
        <f aca="false">IF(ISBLANK($C310),"",IF(F310=Constants!$B$2, TRUE(), IF(F310=Constants!$B$3, FALSE(), TRUE())))</f>
        <v/>
      </c>
      <c r="W310" s="59" t="str">
        <f aca="false">IF(ISBLANK($C310),"",IF(G310=Constants!$B$15,Constants!$B$8,IF(G310=Constants!$B$16,Constants!$B$9,Constants!$B$10)))</f>
        <v/>
      </c>
      <c r="X310" s="59" t="str">
        <f aca="false">IF(ISBLANK($C310),"",IF(H310=Constants!$B$2, TRUE(), IF(H310=Constants!$B$3, FALSE(), TRUE())))</f>
        <v/>
      </c>
      <c r="Y310" s="59" t="str">
        <f aca="false">IF(ISBLANK($C310),"",IF(I310=Constants!$B$19,Constants!$B$19,Constants!$B$18))</f>
        <v/>
      </c>
      <c r="Z310" s="59" t="str">
        <f aca="false">IF(ISBLANK($C310),"",IF(ISNUMBER(J310),IF(J310&gt;=0,J310,""),""))</f>
        <v/>
      </c>
      <c r="AA310" s="59" t="str">
        <f aca="false">IF(ISBLANK($C310),"",IF(K310=Constants!$B$19,Constants!$B$19,Constants!$B$18))</f>
        <v/>
      </c>
      <c r="AB310" s="59" t="str">
        <f aca="false">IF(ISBLANK($C310),"",IF(ISNUMBER(L310),IF(L310&gt;=0,L310,""),""))</f>
        <v/>
      </c>
      <c r="AC310" s="59" t="str">
        <f aca="false">IF(ISBLANK($C310),"",IF(M310=Constants!$B$19,Constants!$B$19,Constants!$B$18))</f>
        <v/>
      </c>
      <c r="AD310" s="59" t="str">
        <f aca="false">IF(ISBLANK($C310),"",IF(ISNUMBER(N310),IF(N310&gt;=0,N310,""),""))</f>
        <v/>
      </c>
      <c r="AE310" s="59" t="str">
        <f aca="false">IF(ISBLANK($C310),"",IF(O310=Constants!$B$19,Constants!$B$19,Constants!$B$18))</f>
        <v/>
      </c>
      <c r="AF310" s="59" t="str">
        <f aca="false">IF(ISBLANK($C310),"",IF(ISNUMBER(P310),IF(P310&gt;=0,P310,""),""))</f>
        <v/>
      </c>
      <c r="AG310" s="59" t="str">
        <f aca="false">IF(ISBLANK($C310),"",IF(Q310=Constants!$B$19,Constants!$B$19,Constants!$B$18))</f>
        <v/>
      </c>
      <c r="AH310" s="59" t="str">
        <f aca="false">IF(ISBLANK($C310),"",IF(ISNUMBER(R310),IF(R310&gt;=0,R310,""),""))</f>
        <v/>
      </c>
      <c r="AI310" s="59" t="str">
        <f aca="false">IF(ISBLANK($C310),"",IF(S310=Constants!$B$2, TRUE(), IF(S310=Constants!$B$3, FALSE(), FALSE())))</f>
        <v/>
      </c>
      <c r="AJ310" s="59" t="str">
        <f aca="false">IF(ISBLANK($C310),"",IF(AI310,Constants!$B$4,IF(COUNTA(E310:R310)=0,Constants!$B$5,IF(COUNTA(J310,L310,N310,P310,R310)=0,Constants!$B$6,Constants!$B$7))))</f>
        <v/>
      </c>
      <c r="AK310" s="59" t="str">
        <f aca="false">IF(ISBLANK($C310),"",IF($AJ310&lt;&gt;Constants!$B$7,$AJ310,IF(OR(NOT(X310),AND(NOT(U310),COUNTIFS(Y310:AG310,Constants!$B$18,Z310:AH310,"&gt;=0")&gt;0),AND(NOT(V310),COUNTIFS(Y310:AG310,Constants!$B$19,Z310:AH310,"&gt;=0")&gt;0)),Constants!$B$12,Constants!$B$11)))</f>
        <v/>
      </c>
      <c r="AL310" s="59" t="str">
        <f aca="false">IF($AJ310=Constants!$B$7,IF(Z310="",Constants!$B$13,Z310),"")</f>
        <v/>
      </c>
      <c r="AM310" s="59" t="str">
        <f aca="false">IF($AJ310=Constants!$B$7,IF(AB310="",Constants!$B$13,AB310),"")</f>
        <v/>
      </c>
      <c r="AN310" s="59" t="str">
        <f aca="false">IF($AJ310=Constants!$B$7,IF(AD310="",Constants!$B$13,AD310),"")</f>
        <v/>
      </c>
      <c r="AO310" s="59" t="str">
        <f aca="false">IF($AJ310=Constants!$B$7,IF(AF310="",Constants!$B$13,AF310),"")</f>
        <v/>
      </c>
      <c r="AP310" s="59" t="str">
        <f aca="false">IF($AJ310=Constants!$B$7,IF(AH310="",Constants!$B$13,AH310),"")</f>
        <v/>
      </c>
      <c r="AQ310" s="59" t="str">
        <f aca="false">IF($AJ310=Constants!$B$7,IF(SUMPRODUCT(--($AL310:$AP310&gt;AL310))+SUMPRODUCT(--($AL310:AL310=AL310))=1,1,IF(SUMPRODUCT(--($AL310:$AP310&gt;AM310))+SUMPRODUCT(--($AL310:AM310=AM310))=1,2,IF(SUMPRODUCT(--($AL310:$AP310&gt;AN310))+SUMPRODUCT(--($AL310:AN310=AN310))=1,3,IF(SUMPRODUCT(--($AL310:$AP310&gt;AO310))+SUMPRODUCT(--($AL310:AO310=AO310))=1,4,5)))),"")</f>
        <v/>
      </c>
      <c r="AR310" s="59" t="str">
        <f aca="false">IF($AJ310=Constants!$B$7,IF(SUMPRODUCT(--($AL310:$AP310&gt;AL310))+SUMPRODUCT(--($AL310:AL310=AL310))=2,1,IF(SUMPRODUCT(--($AL310:$AP310&gt;AM310))+SUMPRODUCT(--($AL310:AM310=AM310))=2,2,IF(SUMPRODUCT(--($AL310:$AP310&gt;AN310))+SUMPRODUCT(--($AL310:AN310=AN310))=2,3,IF(SUMPRODUCT(--($AL310:$AP310&gt;AO310))+SUMPRODUCT(--($AL310:AO310=AO310))=2,4,5)))),"")</f>
        <v/>
      </c>
      <c r="AS310" s="59" t="str">
        <f aca="false">IF($AJ310=Constants!$B$7,IF(SUMPRODUCT(--($AL310:$AP310&gt;AL310))+SUMPRODUCT(--($AL310:AL310=AL310))=3,1,IF(SUMPRODUCT(--($AL310:$AP310&gt;AM310))+SUMPRODUCT(--($AL310:AM310=AM310))=3,2,IF(SUMPRODUCT(--($AL310:$AP310&gt;AN310))+SUMPRODUCT(--($AL310:AN310=AN310))=3,3,IF(SUMPRODUCT(--($AL310:$AP310&gt;AO310))+SUMPRODUCT(--($AL310:AO310=AO310))=3,4,5)))),"")</f>
        <v/>
      </c>
      <c r="AT310" s="59" t="str">
        <f aca="false">IF($AJ310=Constants!$B$7,LARGE(AL310:AP310,1)+LARGE(AL310:AP310,2)+LARGE(AL310:AP310,3),"")</f>
        <v/>
      </c>
      <c r="AU310" s="59" t="str">
        <f aca="false">IF(ISBLANK($C310),"",IF($AJ310&lt;&gt;Constants!$B$7,$AJ310,AT310*W310))</f>
        <v/>
      </c>
      <c r="AV310" s="59" t="str">
        <f aca="false">IF(ISBLANK($C310),"",IF($AJ310=Constants!$B$7,IF(ISNUMBER(AU310),RANK(AU310,$AU$8:$AU$507),Constants!$B$14),$AJ310))</f>
        <v/>
      </c>
      <c r="AW310" s="59" t="str">
        <f aca="false">IF(ISBLANK($C310),"",IF($AJ310=Constants!$B$7,IF(ISNUMBER(AV310),COUNTIFS($AK$8:$AK$507,"&lt;"&amp;$AK310)+COUNTIFS($AK$8:$AK$507,$AK310,$AV$8:$AV$507,"&lt;"&amp;$AV310)+1,Constants!$B$14),$AJ310))</f>
        <v/>
      </c>
      <c r="AX310" s="59" t="str">
        <f aca="false">IF(ISBLANK($C310),"",IF($AJ310=Constants!$B$7,LARGE(AL310:AP310,4)*W310,""))</f>
        <v/>
      </c>
      <c r="AY310" s="59" t="str">
        <f aca="false">IF(ISBLANK($C310),"",IF($AJ310=Constants!$B$7,RANK(AX310,$AX$8:$AX$507),$AJ310))</f>
        <v/>
      </c>
      <c r="AZ310" s="59" t="str">
        <f aca="false">IF(ISBLANK($C310),"",IF($AJ310=Constants!$B$7,IF(ISNUMBER(AV310),COUNTIFS($AK$8:$AK$507,"&lt;"&amp;$AK310)+COUNTIFS($AK$8:$AK$507,$AK310,$AV$8:$AV$507,"&lt;"&amp;$AV310)+COUNTIFS($AK$8:$AK$507,$AK310,$AV$8:$AV$507,$AV310,$AY$8:$AY$507,"&lt;"&amp;$AY310)+1,Constants!$B$14),$AJ310))</f>
        <v/>
      </c>
      <c r="BA310" s="59" t="str">
        <f aca="false">IF(ISBLANK($C310),"",IF($AJ310=Constants!$B$7,IF(ISNUMBER(AW310),AW310-AZ310,Constants!$B$14),$AJ310))</f>
        <v/>
      </c>
      <c r="BB310" s="61"/>
      <c r="BC310" s="62" t="str">
        <f aca="false">IF(ISBLANK($C310),"",IF($AJ310&lt;&gt;Constants!$B$7,$AJ310,SMALL(AQ310:AS310,1)&amp;", "&amp;SMALL(AQ310:AS310,2)&amp;", "&amp;SMALL(AQ310:AS310,3)))</f>
        <v/>
      </c>
      <c r="BD310" s="63" t="str">
        <f aca="false">IF(ISBLANK($C310),"",IF($AJ310&lt;&gt;Constants!$B$7,$AJ310,W310))</f>
        <v/>
      </c>
      <c r="BE310" s="64" t="str">
        <f aca="false">IF(ISBLANK($C310),"",IF($AJ310&lt;&gt;Constants!$B$7,$AJ310,AU310))</f>
        <v/>
      </c>
      <c r="BF310" s="65" t="str">
        <f aca="false">IF(ISBLANK($C310),"",IF($AJ310&lt;&gt;Constants!$B$7,$AJ310,AK310))</f>
        <v/>
      </c>
      <c r="BG310" s="63" t="str">
        <f aca="false">IF(ISBLANK($C310),"",BA310)</f>
        <v/>
      </c>
      <c r="BH310" s="63" t="str">
        <f aca="false">IF(ISBLANK($C310),"",AZ310)</f>
        <v/>
      </c>
      <c r="BI310" s="66" t="str">
        <f aca="false">IF(ISBLANK($C310),"",IF(BH310=Constants!$B$4,COUNTA($C$8:$C$507)+2,IF(BH310=Constants!$B$5,COUNTA($C$8:$C$507)+1,IF(BH310=Constants!$B$6,COUNTA($C$8:$C$507),BH310))))</f>
        <v/>
      </c>
      <c r="BJ310" s="5"/>
      <c r="BK310" s="67" t="n">
        <f aca="false">IF(OR(ISNUMBER(BH310),BH310=Constants!$B$4,BH310=Constants!$B$6,BH310=Constants!$B$5),1,0)</f>
        <v>0</v>
      </c>
      <c r="BL310" s="67" t="n">
        <v>303</v>
      </c>
      <c r="BM310" s="67" t="str">
        <f aca="false">IF(ISBLANK($C310),"",IF(ISNUMBER(BI310),BI310+ROW($B310)/1000,""))</f>
        <v/>
      </c>
      <c r="BN310" s="67" t="str">
        <f aca="false">IF(ISNUMBER(BM310),RANK(BM310,$BM$8:$BM$507,1),"")</f>
        <v/>
      </c>
      <c r="BO310" s="67" t="str">
        <f aca="false">IF(ISBLANK($C310),"",$B310)</f>
        <v/>
      </c>
      <c r="BP310" s="67" t="str">
        <f aca="false">IF(ISBLANK($C310),"",$C310)</f>
        <v/>
      </c>
      <c r="BQ310" s="67" t="str">
        <f aca="false">IF(ISBLANK($C310),"",$D310)</f>
        <v/>
      </c>
      <c r="BR310" s="68" t="str">
        <f aca="false">BF310</f>
        <v/>
      </c>
      <c r="BS310" s="69" t="str">
        <f aca="false">BE310</f>
        <v/>
      </c>
      <c r="BT310" s="67" t="str">
        <f aca="false">IF(ISBLANK($C310),"",BH310)</f>
        <v/>
      </c>
      <c r="BU310" s="70" t="str">
        <f aca="false">IF($BL310&gt;$BK$7,"",VLOOKUP($BL310,$BN$8:$BT$507,7,FALSE()))</f>
        <v/>
      </c>
      <c r="BV310" s="71" t="str">
        <f aca="false">IF($BL310&gt;$BK$7,"",VLOOKUP($BL310,$BN$8:$BT$507,2,FALSE()))</f>
        <v/>
      </c>
      <c r="BW310" s="71" t="str">
        <f aca="false">IF($BL310&gt;$BK$7,"",VLOOKUP($BL310,$BN$8:$BT$507,3,FALSE()))</f>
        <v/>
      </c>
      <c r="BX310" s="71" t="str">
        <f aca="false">IF($BL310&gt;$BK$7,"",VLOOKUP($BL310,$BN$8:$BT$507,4,FALSE()))</f>
        <v/>
      </c>
      <c r="BY310" s="71" t="str">
        <f aca="false">IF($BL310&gt;$BK$7,"",VLOOKUP($BL310,$BN$8:$BT$507,5,FALSE()))</f>
        <v/>
      </c>
      <c r="BZ310" s="72" t="str">
        <f aca="false">IF($BL310&gt;$BK$7,"",VLOOKUP($BL310,$BN$8:$BT$507,6,FALSE()))</f>
        <v/>
      </c>
      <c r="CA310" s="48"/>
    </row>
    <row r="311" customFormat="false" ht="15.75" hidden="false" customHeight="false" outlineLevel="0" collapsed="false">
      <c r="A311" s="5"/>
      <c r="B311" s="114"/>
      <c r="C311" s="115"/>
      <c r="D311" s="100"/>
      <c r="E311" s="120"/>
      <c r="F311" s="125"/>
      <c r="G311" s="82"/>
      <c r="H311" s="126"/>
      <c r="I311" s="127"/>
      <c r="J311" s="82"/>
      <c r="K311" s="126"/>
      <c r="L311" s="82"/>
      <c r="M311" s="126"/>
      <c r="N311" s="82"/>
      <c r="O311" s="126"/>
      <c r="P311" s="82"/>
      <c r="Q311" s="126"/>
      <c r="R311" s="82"/>
      <c r="S311" s="120"/>
      <c r="T311" s="86"/>
      <c r="U311" s="87" t="str">
        <f aca="false">IF(ISBLANK($C311),"",IF(E311=Constants!$B$2, TRUE(), IF(E311=Constants!$B$3, FALSE(), TRUE())))</f>
        <v/>
      </c>
      <c r="V311" s="87" t="str">
        <f aca="false">IF(ISBLANK($C311),"",IF(F311=Constants!$B$2, TRUE(), IF(F311=Constants!$B$3, FALSE(), TRUE())))</f>
        <v/>
      </c>
      <c r="W311" s="87" t="str">
        <f aca="false">IF(ISBLANK($C311),"",IF(G311=Constants!$B$15,Constants!$B$8,IF(G311=Constants!$B$16,Constants!$B$9,Constants!$B$10)))</f>
        <v/>
      </c>
      <c r="X311" s="87" t="str">
        <f aca="false">IF(ISBLANK($C311),"",IF(H311=Constants!$B$2, TRUE(), IF(H311=Constants!$B$3, FALSE(), TRUE())))</f>
        <v/>
      </c>
      <c r="Y311" s="87" t="str">
        <f aca="false">IF(ISBLANK($C311),"",IF(I311=Constants!$B$19,Constants!$B$19,Constants!$B$18))</f>
        <v/>
      </c>
      <c r="Z311" s="87" t="str">
        <f aca="false">IF(ISBLANK($C311),"",IF(ISNUMBER(J311),IF(J311&gt;=0,J311,""),""))</f>
        <v/>
      </c>
      <c r="AA311" s="87" t="str">
        <f aca="false">IF(ISBLANK($C311),"",IF(K311=Constants!$B$19,Constants!$B$19,Constants!$B$18))</f>
        <v/>
      </c>
      <c r="AB311" s="87" t="str">
        <f aca="false">IF(ISBLANK($C311),"",IF(ISNUMBER(L311),IF(L311&gt;=0,L311,""),""))</f>
        <v/>
      </c>
      <c r="AC311" s="87" t="str">
        <f aca="false">IF(ISBLANK($C311),"",IF(M311=Constants!$B$19,Constants!$B$19,Constants!$B$18))</f>
        <v/>
      </c>
      <c r="AD311" s="87" t="str">
        <f aca="false">IF(ISBLANK($C311),"",IF(ISNUMBER(N311),IF(N311&gt;=0,N311,""),""))</f>
        <v/>
      </c>
      <c r="AE311" s="87" t="str">
        <f aca="false">IF(ISBLANK($C311),"",IF(O311=Constants!$B$19,Constants!$B$19,Constants!$B$18))</f>
        <v/>
      </c>
      <c r="AF311" s="87" t="str">
        <f aca="false">IF(ISBLANK($C311),"",IF(ISNUMBER(P311),IF(P311&gt;=0,P311,""),""))</f>
        <v/>
      </c>
      <c r="AG311" s="87" t="str">
        <f aca="false">IF(ISBLANK($C311),"",IF(Q311=Constants!$B$19,Constants!$B$19,Constants!$B$18))</f>
        <v/>
      </c>
      <c r="AH311" s="87" t="str">
        <f aca="false">IF(ISBLANK($C311),"",IF(ISNUMBER(R311),IF(R311&gt;=0,R311,""),""))</f>
        <v/>
      </c>
      <c r="AI311" s="87" t="str">
        <f aca="false">IF(ISBLANK($C311),"",IF(S311=Constants!$B$2, TRUE(), IF(S311=Constants!$B$3, FALSE(), FALSE())))</f>
        <v/>
      </c>
      <c r="AJ311" s="87" t="str">
        <f aca="false">IF(ISBLANK($C311),"",IF(AI311,Constants!$B$4,IF(COUNTA(E311:R311)=0,Constants!$B$5,IF(COUNTA(J311,L311,N311,P311,R311)=0,Constants!$B$6,Constants!$B$7))))</f>
        <v/>
      </c>
      <c r="AK311" s="87" t="str">
        <f aca="false">IF(ISBLANK($C311),"",IF($AJ311&lt;&gt;Constants!$B$7,$AJ311,IF(OR(NOT(X311),AND(NOT(U311),COUNTIFS(Y311:AG311,Constants!$B$18,Z311:AH311,"&gt;=0")&gt;0),AND(NOT(V311),COUNTIFS(Y311:AG311,Constants!$B$19,Z311:AH311,"&gt;=0")&gt;0)),Constants!$B$12,Constants!$B$11)))</f>
        <v/>
      </c>
      <c r="AL311" s="87" t="str">
        <f aca="false">IF($AJ311=Constants!$B$7,IF(Z311="",Constants!$B$13,Z311),"")</f>
        <v/>
      </c>
      <c r="AM311" s="87" t="str">
        <f aca="false">IF($AJ311=Constants!$B$7,IF(AB311="",Constants!$B$13,AB311),"")</f>
        <v/>
      </c>
      <c r="AN311" s="87" t="str">
        <f aca="false">IF($AJ311=Constants!$B$7,IF(AD311="",Constants!$B$13,AD311),"")</f>
        <v/>
      </c>
      <c r="AO311" s="87" t="str">
        <f aca="false">IF($AJ311=Constants!$B$7,IF(AF311="",Constants!$B$13,AF311),"")</f>
        <v/>
      </c>
      <c r="AP311" s="87" t="str">
        <f aca="false">IF($AJ311=Constants!$B$7,IF(AH311="",Constants!$B$13,AH311),"")</f>
        <v/>
      </c>
      <c r="AQ311" s="87" t="str">
        <f aca="false">IF($AJ311=Constants!$B$7,IF(SUMPRODUCT(--($AL311:$AP311&gt;AL311))+SUMPRODUCT(--($AL311:AL311=AL311))=1,1,IF(SUMPRODUCT(--($AL311:$AP311&gt;AM311))+SUMPRODUCT(--($AL311:AM311=AM311))=1,2,IF(SUMPRODUCT(--($AL311:$AP311&gt;AN311))+SUMPRODUCT(--($AL311:AN311=AN311))=1,3,IF(SUMPRODUCT(--($AL311:$AP311&gt;AO311))+SUMPRODUCT(--($AL311:AO311=AO311))=1,4,5)))),"")</f>
        <v/>
      </c>
      <c r="AR311" s="87" t="str">
        <f aca="false">IF($AJ311=Constants!$B$7,IF(SUMPRODUCT(--($AL311:$AP311&gt;AL311))+SUMPRODUCT(--($AL311:AL311=AL311))=2,1,IF(SUMPRODUCT(--($AL311:$AP311&gt;AM311))+SUMPRODUCT(--($AL311:AM311=AM311))=2,2,IF(SUMPRODUCT(--($AL311:$AP311&gt;AN311))+SUMPRODUCT(--($AL311:AN311=AN311))=2,3,IF(SUMPRODUCT(--($AL311:$AP311&gt;AO311))+SUMPRODUCT(--($AL311:AO311=AO311))=2,4,5)))),"")</f>
        <v/>
      </c>
      <c r="AS311" s="87" t="str">
        <f aca="false">IF($AJ311=Constants!$B$7,IF(SUMPRODUCT(--($AL311:$AP311&gt;AL311))+SUMPRODUCT(--($AL311:AL311=AL311))=3,1,IF(SUMPRODUCT(--($AL311:$AP311&gt;AM311))+SUMPRODUCT(--($AL311:AM311=AM311))=3,2,IF(SUMPRODUCT(--($AL311:$AP311&gt;AN311))+SUMPRODUCT(--($AL311:AN311=AN311))=3,3,IF(SUMPRODUCT(--($AL311:$AP311&gt;AO311))+SUMPRODUCT(--($AL311:AO311=AO311))=3,4,5)))),"")</f>
        <v/>
      </c>
      <c r="AT311" s="87" t="str">
        <f aca="false">IF($AJ311=Constants!$B$7,LARGE(AL311:AP311,1)+LARGE(AL311:AP311,2)+LARGE(AL311:AP311,3),"")</f>
        <v/>
      </c>
      <c r="AU311" s="87" t="str">
        <f aca="false">IF(ISBLANK($C311),"",IF($AJ311&lt;&gt;Constants!$B$7,$AJ311,AT311*W311))</f>
        <v/>
      </c>
      <c r="AV311" s="87" t="str">
        <f aca="false">IF(ISBLANK($C311),"",IF($AJ311=Constants!$B$7,IF(ISNUMBER(AU311),RANK(AU311,$AU$8:$AU$507),Constants!$B$14),$AJ311))</f>
        <v/>
      </c>
      <c r="AW311" s="87" t="str">
        <f aca="false">IF(ISBLANK($C311),"",IF($AJ311=Constants!$B$7,IF(ISNUMBER(AV311),COUNTIFS($AK$8:$AK$507,"&lt;"&amp;$AK311)+COUNTIFS($AK$8:$AK$507,$AK311,$AV$8:$AV$507,"&lt;"&amp;$AV311)+1,Constants!$B$14),$AJ311))</f>
        <v/>
      </c>
      <c r="AX311" s="87" t="str">
        <f aca="false">IF(ISBLANK($C311),"",IF($AJ311=Constants!$B$7,LARGE(AL311:AP311,4)*W311,""))</f>
        <v/>
      </c>
      <c r="AY311" s="87" t="str">
        <f aca="false">IF(ISBLANK($C311),"",IF($AJ311=Constants!$B$7,RANK(AX311,$AX$8:$AX$507),$AJ311))</f>
        <v/>
      </c>
      <c r="AZ311" s="87" t="str">
        <f aca="false">IF(ISBLANK($C311),"",IF($AJ311=Constants!$B$7,IF(ISNUMBER(AV311),COUNTIFS($AK$8:$AK$507,"&lt;"&amp;$AK311)+COUNTIFS($AK$8:$AK$507,$AK311,$AV$8:$AV$507,"&lt;"&amp;$AV311)+COUNTIFS($AK$8:$AK$507,$AK311,$AV$8:$AV$507,$AV311,$AY$8:$AY$507,"&lt;"&amp;$AY311)+1,Constants!$B$14),$AJ311))</f>
        <v/>
      </c>
      <c r="BA311" s="87" t="str">
        <f aca="false">IF(ISBLANK($C311),"",IF($AJ311=Constants!$B$7,IF(ISNUMBER(AW311),AW311-AZ311,Constants!$B$14),$AJ311))</f>
        <v/>
      </c>
      <c r="BB311" s="88"/>
      <c r="BC311" s="89" t="str">
        <f aca="false">IF(ISBLANK($C311),"",IF($AJ311&lt;&gt;Constants!$B$7,$AJ311,SMALL(AQ311:AS311,1)&amp;", "&amp;SMALL(AQ311:AS311,2)&amp;", "&amp;SMALL(AQ311:AS311,3)))</f>
        <v/>
      </c>
      <c r="BD311" s="90" t="str">
        <f aca="false">IF(ISBLANK($C311),"",IF($AJ311&lt;&gt;Constants!$B$7,$AJ311,W311))</f>
        <v/>
      </c>
      <c r="BE311" s="91" t="str">
        <f aca="false">IF(ISBLANK($C311),"",IF($AJ311&lt;&gt;Constants!$B$7,$AJ311,AU311))</f>
        <v/>
      </c>
      <c r="BF311" s="92" t="str">
        <f aca="false">IF(ISBLANK($C311),"",IF($AJ311&lt;&gt;Constants!$B$7,$AJ311,AK311))</f>
        <v/>
      </c>
      <c r="BG311" s="90" t="str">
        <f aca="false">IF(ISBLANK($C311),"",BA311)</f>
        <v/>
      </c>
      <c r="BH311" s="90" t="str">
        <f aca="false">IF(ISBLANK($C311),"",AZ311)</f>
        <v/>
      </c>
      <c r="BI311" s="93" t="str">
        <f aca="false">IF(ISBLANK($C311),"",IF(BH311=Constants!$B$4,COUNTA($C$8:$C$507)+2,IF(BH311=Constants!$B$5,COUNTA($C$8:$C$507)+1,IF(BH311=Constants!$B$6,COUNTA($C$8:$C$507),BH311))))</f>
        <v/>
      </c>
      <c r="BJ311" s="5"/>
      <c r="BK311" s="94" t="n">
        <f aca="false">IF(OR(ISNUMBER(BH311),BH311=Constants!$B$4,BH311=Constants!$B$6,BH311=Constants!$B$5),1,0)</f>
        <v>0</v>
      </c>
      <c r="BL311" s="94" t="n">
        <v>304</v>
      </c>
      <c r="BM311" s="94" t="str">
        <f aca="false">IF(ISBLANK($C311),"",IF(ISNUMBER(BI311),BI311+ROW($B311)/1000,""))</f>
        <v/>
      </c>
      <c r="BN311" s="94" t="str">
        <f aca="false">IF(ISNUMBER(BM311),RANK(BM311,$BM$8:$BM$507,1),"")</f>
        <v/>
      </c>
      <c r="BO311" s="94" t="str">
        <f aca="false">IF(ISBLANK($C311),"",$B311)</f>
        <v/>
      </c>
      <c r="BP311" s="94" t="str">
        <f aca="false">IF(ISBLANK($C311),"",$C311)</f>
        <v/>
      </c>
      <c r="BQ311" s="94" t="str">
        <f aca="false">IF(ISBLANK($C311),"",$D311)</f>
        <v/>
      </c>
      <c r="BR311" s="95" t="str">
        <f aca="false">BF311</f>
        <v/>
      </c>
      <c r="BS311" s="96" t="str">
        <f aca="false">BE311</f>
        <v/>
      </c>
      <c r="BT311" s="94" t="str">
        <f aca="false">IF(ISBLANK($C311),"",BH311)</f>
        <v/>
      </c>
      <c r="BU311" s="97" t="str">
        <f aca="false">IF($BL311&gt;$BK$7,"",VLOOKUP($BL311,$BN$8:$BT$507,7,FALSE()))</f>
        <v/>
      </c>
      <c r="BV311" s="98" t="str">
        <f aca="false">IF($BL311&gt;$BK$7,"",VLOOKUP($BL311,$BN$8:$BT$507,2,FALSE()))</f>
        <v/>
      </c>
      <c r="BW311" s="98" t="str">
        <f aca="false">IF($BL311&gt;$BK$7,"",VLOOKUP($BL311,$BN$8:$BT$507,3,FALSE()))</f>
        <v/>
      </c>
      <c r="BX311" s="98" t="str">
        <f aca="false">IF($BL311&gt;$BK$7,"",VLOOKUP($BL311,$BN$8:$BT$507,4,FALSE()))</f>
        <v/>
      </c>
      <c r="BY311" s="98" t="str">
        <f aca="false">IF($BL311&gt;$BK$7,"",VLOOKUP($BL311,$BN$8:$BT$507,5,FALSE()))</f>
        <v/>
      </c>
      <c r="BZ311" s="99" t="str">
        <f aca="false">IF($BL311&gt;$BK$7,"",VLOOKUP($BL311,$BN$8:$BT$507,6,FALSE()))</f>
        <v/>
      </c>
      <c r="CA311" s="48"/>
    </row>
    <row r="312" customFormat="false" ht="15.75" hidden="false" customHeight="false" outlineLevel="0" collapsed="false">
      <c r="A312" s="5"/>
      <c r="B312" s="114"/>
      <c r="C312" s="115"/>
      <c r="D312" s="100"/>
      <c r="E312" s="120"/>
      <c r="F312" s="125"/>
      <c r="G312" s="82"/>
      <c r="H312" s="126"/>
      <c r="I312" s="127"/>
      <c r="J312" s="82"/>
      <c r="K312" s="126"/>
      <c r="L312" s="82"/>
      <c r="M312" s="126"/>
      <c r="N312" s="82"/>
      <c r="O312" s="126"/>
      <c r="P312" s="82"/>
      <c r="Q312" s="126"/>
      <c r="R312" s="82"/>
      <c r="S312" s="120"/>
      <c r="T312" s="86"/>
      <c r="U312" s="87" t="str">
        <f aca="false">IF(ISBLANK($C312),"",IF(E312=Constants!$B$2, TRUE(), IF(E312=Constants!$B$3, FALSE(), TRUE())))</f>
        <v/>
      </c>
      <c r="V312" s="87" t="str">
        <f aca="false">IF(ISBLANK($C312),"",IF(F312=Constants!$B$2, TRUE(), IF(F312=Constants!$B$3, FALSE(), TRUE())))</f>
        <v/>
      </c>
      <c r="W312" s="87" t="str">
        <f aca="false">IF(ISBLANK($C312),"",IF(G312=Constants!$B$15,Constants!$B$8,IF(G312=Constants!$B$16,Constants!$B$9,Constants!$B$10)))</f>
        <v/>
      </c>
      <c r="X312" s="87" t="str">
        <f aca="false">IF(ISBLANK($C312),"",IF(H312=Constants!$B$2, TRUE(), IF(H312=Constants!$B$3, FALSE(), TRUE())))</f>
        <v/>
      </c>
      <c r="Y312" s="87" t="str">
        <f aca="false">IF(ISBLANK($C312),"",IF(I312=Constants!$B$19,Constants!$B$19,Constants!$B$18))</f>
        <v/>
      </c>
      <c r="Z312" s="87" t="str">
        <f aca="false">IF(ISBLANK($C312),"",IF(ISNUMBER(J312),IF(J312&gt;=0,J312,""),""))</f>
        <v/>
      </c>
      <c r="AA312" s="87" t="str">
        <f aca="false">IF(ISBLANK($C312),"",IF(K312=Constants!$B$19,Constants!$B$19,Constants!$B$18))</f>
        <v/>
      </c>
      <c r="AB312" s="87" t="str">
        <f aca="false">IF(ISBLANK($C312),"",IF(ISNUMBER(L312),IF(L312&gt;=0,L312,""),""))</f>
        <v/>
      </c>
      <c r="AC312" s="87" t="str">
        <f aca="false">IF(ISBLANK($C312),"",IF(M312=Constants!$B$19,Constants!$B$19,Constants!$B$18))</f>
        <v/>
      </c>
      <c r="AD312" s="87" t="str">
        <f aca="false">IF(ISBLANK($C312),"",IF(ISNUMBER(N312),IF(N312&gt;=0,N312,""),""))</f>
        <v/>
      </c>
      <c r="AE312" s="87" t="str">
        <f aca="false">IF(ISBLANK($C312),"",IF(O312=Constants!$B$19,Constants!$B$19,Constants!$B$18))</f>
        <v/>
      </c>
      <c r="AF312" s="87" t="str">
        <f aca="false">IF(ISBLANK($C312),"",IF(ISNUMBER(P312),IF(P312&gt;=0,P312,""),""))</f>
        <v/>
      </c>
      <c r="AG312" s="87" t="str">
        <f aca="false">IF(ISBLANK($C312),"",IF(Q312=Constants!$B$19,Constants!$B$19,Constants!$B$18))</f>
        <v/>
      </c>
      <c r="AH312" s="87" t="str">
        <f aca="false">IF(ISBLANK($C312),"",IF(ISNUMBER(R312),IF(R312&gt;=0,R312,""),""))</f>
        <v/>
      </c>
      <c r="AI312" s="87" t="str">
        <f aca="false">IF(ISBLANK($C312),"",IF(S312=Constants!$B$2, TRUE(), IF(S312=Constants!$B$3, FALSE(), FALSE())))</f>
        <v/>
      </c>
      <c r="AJ312" s="87" t="str">
        <f aca="false">IF(ISBLANK($C312),"",IF(AI312,Constants!$B$4,IF(COUNTA(E312:R312)=0,Constants!$B$5,IF(COUNTA(J312,L312,N312,P312,R312)=0,Constants!$B$6,Constants!$B$7))))</f>
        <v/>
      </c>
      <c r="AK312" s="87" t="str">
        <f aca="false">IF(ISBLANK($C312),"",IF($AJ312&lt;&gt;Constants!$B$7,$AJ312,IF(OR(NOT(X312),AND(NOT(U312),COUNTIFS(Y312:AG312,Constants!$B$18,Z312:AH312,"&gt;=0")&gt;0),AND(NOT(V312),COUNTIFS(Y312:AG312,Constants!$B$19,Z312:AH312,"&gt;=0")&gt;0)),Constants!$B$12,Constants!$B$11)))</f>
        <v/>
      </c>
      <c r="AL312" s="87" t="str">
        <f aca="false">IF($AJ312=Constants!$B$7,IF(Z312="",Constants!$B$13,Z312),"")</f>
        <v/>
      </c>
      <c r="AM312" s="87" t="str">
        <f aca="false">IF($AJ312=Constants!$B$7,IF(AB312="",Constants!$B$13,AB312),"")</f>
        <v/>
      </c>
      <c r="AN312" s="87" t="str">
        <f aca="false">IF($AJ312=Constants!$B$7,IF(AD312="",Constants!$B$13,AD312),"")</f>
        <v/>
      </c>
      <c r="AO312" s="87" t="str">
        <f aca="false">IF($AJ312=Constants!$B$7,IF(AF312="",Constants!$B$13,AF312),"")</f>
        <v/>
      </c>
      <c r="AP312" s="87" t="str">
        <f aca="false">IF($AJ312=Constants!$B$7,IF(AH312="",Constants!$B$13,AH312),"")</f>
        <v/>
      </c>
      <c r="AQ312" s="87" t="str">
        <f aca="false">IF($AJ312=Constants!$B$7,IF(SUMPRODUCT(--($AL312:$AP312&gt;AL312))+SUMPRODUCT(--($AL312:AL312=AL312))=1,1,IF(SUMPRODUCT(--($AL312:$AP312&gt;AM312))+SUMPRODUCT(--($AL312:AM312=AM312))=1,2,IF(SUMPRODUCT(--($AL312:$AP312&gt;AN312))+SUMPRODUCT(--($AL312:AN312=AN312))=1,3,IF(SUMPRODUCT(--($AL312:$AP312&gt;AO312))+SUMPRODUCT(--($AL312:AO312=AO312))=1,4,5)))),"")</f>
        <v/>
      </c>
      <c r="AR312" s="87" t="str">
        <f aca="false">IF($AJ312=Constants!$B$7,IF(SUMPRODUCT(--($AL312:$AP312&gt;AL312))+SUMPRODUCT(--($AL312:AL312=AL312))=2,1,IF(SUMPRODUCT(--($AL312:$AP312&gt;AM312))+SUMPRODUCT(--($AL312:AM312=AM312))=2,2,IF(SUMPRODUCT(--($AL312:$AP312&gt;AN312))+SUMPRODUCT(--($AL312:AN312=AN312))=2,3,IF(SUMPRODUCT(--($AL312:$AP312&gt;AO312))+SUMPRODUCT(--($AL312:AO312=AO312))=2,4,5)))),"")</f>
        <v/>
      </c>
      <c r="AS312" s="87" t="str">
        <f aca="false">IF($AJ312=Constants!$B$7,IF(SUMPRODUCT(--($AL312:$AP312&gt;AL312))+SUMPRODUCT(--($AL312:AL312=AL312))=3,1,IF(SUMPRODUCT(--($AL312:$AP312&gt;AM312))+SUMPRODUCT(--($AL312:AM312=AM312))=3,2,IF(SUMPRODUCT(--($AL312:$AP312&gt;AN312))+SUMPRODUCT(--($AL312:AN312=AN312))=3,3,IF(SUMPRODUCT(--($AL312:$AP312&gt;AO312))+SUMPRODUCT(--($AL312:AO312=AO312))=3,4,5)))),"")</f>
        <v/>
      </c>
      <c r="AT312" s="87" t="str">
        <f aca="false">IF($AJ312=Constants!$B$7,LARGE(AL312:AP312,1)+LARGE(AL312:AP312,2)+LARGE(AL312:AP312,3),"")</f>
        <v/>
      </c>
      <c r="AU312" s="87" t="str">
        <f aca="false">IF(ISBLANK($C312),"",IF($AJ312&lt;&gt;Constants!$B$7,$AJ312,AT312*W312))</f>
        <v/>
      </c>
      <c r="AV312" s="87" t="str">
        <f aca="false">IF(ISBLANK($C312),"",IF($AJ312=Constants!$B$7,IF(ISNUMBER(AU312),RANK(AU312,$AU$8:$AU$507),Constants!$B$14),$AJ312))</f>
        <v/>
      </c>
      <c r="AW312" s="87" t="str">
        <f aca="false">IF(ISBLANK($C312),"",IF($AJ312=Constants!$B$7,IF(ISNUMBER(AV312),COUNTIFS($AK$8:$AK$507,"&lt;"&amp;$AK312)+COUNTIFS($AK$8:$AK$507,$AK312,$AV$8:$AV$507,"&lt;"&amp;$AV312)+1,Constants!$B$14),$AJ312))</f>
        <v/>
      </c>
      <c r="AX312" s="87" t="str">
        <f aca="false">IF(ISBLANK($C312),"",IF($AJ312=Constants!$B$7,LARGE(AL312:AP312,4)*W312,""))</f>
        <v/>
      </c>
      <c r="AY312" s="87" t="str">
        <f aca="false">IF(ISBLANK($C312),"",IF($AJ312=Constants!$B$7,RANK(AX312,$AX$8:$AX$507),$AJ312))</f>
        <v/>
      </c>
      <c r="AZ312" s="87" t="str">
        <f aca="false">IF(ISBLANK($C312),"",IF($AJ312=Constants!$B$7,IF(ISNUMBER(AV312),COUNTIFS($AK$8:$AK$507,"&lt;"&amp;$AK312)+COUNTIFS($AK$8:$AK$507,$AK312,$AV$8:$AV$507,"&lt;"&amp;$AV312)+COUNTIFS($AK$8:$AK$507,$AK312,$AV$8:$AV$507,$AV312,$AY$8:$AY$507,"&lt;"&amp;$AY312)+1,Constants!$B$14),$AJ312))</f>
        <v/>
      </c>
      <c r="BA312" s="87" t="str">
        <f aca="false">IF(ISBLANK($C312),"",IF($AJ312=Constants!$B$7,IF(ISNUMBER(AW312),AW312-AZ312,Constants!$B$14),$AJ312))</f>
        <v/>
      </c>
      <c r="BB312" s="88"/>
      <c r="BC312" s="89" t="str">
        <f aca="false">IF(ISBLANK($C312),"",IF($AJ312&lt;&gt;Constants!$B$7,$AJ312,SMALL(AQ312:AS312,1)&amp;", "&amp;SMALL(AQ312:AS312,2)&amp;", "&amp;SMALL(AQ312:AS312,3)))</f>
        <v/>
      </c>
      <c r="BD312" s="90" t="str">
        <f aca="false">IF(ISBLANK($C312),"",IF($AJ312&lt;&gt;Constants!$B$7,$AJ312,W312))</f>
        <v/>
      </c>
      <c r="BE312" s="91" t="str">
        <f aca="false">IF(ISBLANK($C312),"",IF($AJ312&lt;&gt;Constants!$B$7,$AJ312,AU312))</f>
        <v/>
      </c>
      <c r="BF312" s="92" t="str">
        <f aca="false">IF(ISBLANK($C312),"",IF($AJ312&lt;&gt;Constants!$B$7,$AJ312,AK312))</f>
        <v/>
      </c>
      <c r="BG312" s="90" t="str">
        <f aca="false">IF(ISBLANK($C312),"",BA312)</f>
        <v/>
      </c>
      <c r="BH312" s="90" t="str">
        <f aca="false">IF(ISBLANK($C312),"",AZ312)</f>
        <v/>
      </c>
      <c r="BI312" s="93" t="str">
        <f aca="false">IF(ISBLANK($C312),"",IF(BH312=Constants!$B$4,COUNTA($C$8:$C$507)+2,IF(BH312=Constants!$B$5,COUNTA($C$8:$C$507)+1,IF(BH312=Constants!$B$6,COUNTA($C$8:$C$507),BH312))))</f>
        <v/>
      </c>
      <c r="BJ312" s="5"/>
      <c r="BK312" s="94" t="n">
        <f aca="false">IF(OR(ISNUMBER(BH312),BH312=Constants!$B$4,BH312=Constants!$B$6,BH312=Constants!$B$5),1,0)</f>
        <v>0</v>
      </c>
      <c r="BL312" s="94" t="n">
        <v>305</v>
      </c>
      <c r="BM312" s="94" t="str">
        <f aca="false">IF(ISBLANK($C312),"",IF(ISNUMBER(BI312),BI312+ROW($B312)/1000,""))</f>
        <v/>
      </c>
      <c r="BN312" s="94" t="str">
        <f aca="false">IF(ISNUMBER(BM312),RANK(BM312,$BM$8:$BM$507,1),"")</f>
        <v/>
      </c>
      <c r="BO312" s="94" t="str">
        <f aca="false">IF(ISBLANK($C312),"",$B312)</f>
        <v/>
      </c>
      <c r="BP312" s="94" t="str">
        <f aca="false">IF(ISBLANK($C312),"",$C312)</f>
        <v/>
      </c>
      <c r="BQ312" s="94" t="str">
        <f aca="false">IF(ISBLANK($C312),"",$D312)</f>
        <v/>
      </c>
      <c r="BR312" s="95" t="str">
        <f aca="false">BF312</f>
        <v/>
      </c>
      <c r="BS312" s="96" t="str">
        <f aca="false">BE312</f>
        <v/>
      </c>
      <c r="BT312" s="94" t="str">
        <f aca="false">IF(ISBLANK($C312),"",BH312)</f>
        <v/>
      </c>
      <c r="BU312" s="97" t="str">
        <f aca="false">IF($BL312&gt;$BK$7,"",VLOOKUP($BL312,$BN$8:$BT$507,7,FALSE()))</f>
        <v/>
      </c>
      <c r="BV312" s="98" t="str">
        <f aca="false">IF($BL312&gt;$BK$7,"",VLOOKUP($BL312,$BN$8:$BT$507,2,FALSE()))</f>
        <v/>
      </c>
      <c r="BW312" s="98" t="str">
        <f aca="false">IF($BL312&gt;$BK$7,"",VLOOKUP($BL312,$BN$8:$BT$507,3,FALSE()))</f>
        <v/>
      </c>
      <c r="BX312" s="98" t="str">
        <f aca="false">IF($BL312&gt;$BK$7,"",VLOOKUP($BL312,$BN$8:$BT$507,4,FALSE()))</f>
        <v/>
      </c>
      <c r="BY312" s="98" t="str">
        <f aca="false">IF($BL312&gt;$BK$7,"",VLOOKUP($BL312,$BN$8:$BT$507,5,FALSE()))</f>
        <v/>
      </c>
      <c r="BZ312" s="99" t="str">
        <f aca="false">IF($BL312&gt;$BK$7,"",VLOOKUP($BL312,$BN$8:$BT$507,6,FALSE()))</f>
        <v/>
      </c>
      <c r="CA312" s="48"/>
    </row>
    <row r="313" customFormat="false" ht="15.75" hidden="false" customHeight="false" outlineLevel="0" collapsed="false">
      <c r="A313" s="5"/>
      <c r="B313" s="114"/>
      <c r="C313" s="115"/>
      <c r="D313" s="100"/>
      <c r="E313" s="120"/>
      <c r="F313" s="125"/>
      <c r="G313" s="82"/>
      <c r="H313" s="126"/>
      <c r="I313" s="127"/>
      <c r="J313" s="82"/>
      <c r="K313" s="126"/>
      <c r="L313" s="82"/>
      <c r="M313" s="126"/>
      <c r="N313" s="82"/>
      <c r="O313" s="126"/>
      <c r="P313" s="82"/>
      <c r="Q313" s="126"/>
      <c r="R313" s="82"/>
      <c r="S313" s="120"/>
      <c r="T313" s="86"/>
      <c r="U313" s="87" t="str">
        <f aca="false">IF(ISBLANK($C313),"",IF(E313=Constants!$B$2, TRUE(), IF(E313=Constants!$B$3, FALSE(), TRUE())))</f>
        <v/>
      </c>
      <c r="V313" s="87" t="str">
        <f aca="false">IF(ISBLANK($C313),"",IF(F313=Constants!$B$2, TRUE(), IF(F313=Constants!$B$3, FALSE(), TRUE())))</f>
        <v/>
      </c>
      <c r="W313" s="87" t="str">
        <f aca="false">IF(ISBLANK($C313),"",IF(G313=Constants!$B$15,Constants!$B$8,IF(G313=Constants!$B$16,Constants!$B$9,Constants!$B$10)))</f>
        <v/>
      </c>
      <c r="X313" s="87" t="str">
        <f aca="false">IF(ISBLANK($C313),"",IF(H313=Constants!$B$2, TRUE(), IF(H313=Constants!$B$3, FALSE(), TRUE())))</f>
        <v/>
      </c>
      <c r="Y313" s="87" t="str">
        <f aca="false">IF(ISBLANK($C313),"",IF(I313=Constants!$B$19,Constants!$B$19,Constants!$B$18))</f>
        <v/>
      </c>
      <c r="Z313" s="87" t="str">
        <f aca="false">IF(ISBLANK($C313),"",IF(ISNUMBER(J313),IF(J313&gt;=0,J313,""),""))</f>
        <v/>
      </c>
      <c r="AA313" s="87" t="str">
        <f aca="false">IF(ISBLANK($C313),"",IF(K313=Constants!$B$19,Constants!$B$19,Constants!$B$18))</f>
        <v/>
      </c>
      <c r="AB313" s="87" t="str">
        <f aca="false">IF(ISBLANK($C313),"",IF(ISNUMBER(L313),IF(L313&gt;=0,L313,""),""))</f>
        <v/>
      </c>
      <c r="AC313" s="87" t="str">
        <f aca="false">IF(ISBLANK($C313),"",IF(M313=Constants!$B$19,Constants!$B$19,Constants!$B$18))</f>
        <v/>
      </c>
      <c r="AD313" s="87" t="str">
        <f aca="false">IF(ISBLANK($C313),"",IF(ISNUMBER(N313),IF(N313&gt;=0,N313,""),""))</f>
        <v/>
      </c>
      <c r="AE313" s="87" t="str">
        <f aca="false">IF(ISBLANK($C313),"",IF(O313=Constants!$B$19,Constants!$B$19,Constants!$B$18))</f>
        <v/>
      </c>
      <c r="AF313" s="87" t="str">
        <f aca="false">IF(ISBLANK($C313),"",IF(ISNUMBER(P313),IF(P313&gt;=0,P313,""),""))</f>
        <v/>
      </c>
      <c r="AG313" s="87" t="str">
        <f aca="false">IF(ISBLANK($C313),"",IF(Q313=Constants!$B$19,Constants!$B$19,Constants!$B$18))</f>
        <v/>
      </c>
      <c r="AH313" s="87" t="str">
        <f aca="false">IF(ISBLANK($C313),"",IF(ISNUMBER(R313),IF(R313&gt;=0,R313,""),""))</f>
        <v/>
      </c>
      <c r="AI313" s="87" t="str">
        <f aca="false">IF(ISBLANK($C313),"",IF(S313=Constants!$B$2, TRUE(), IF(S313=Constants!$B$3, FALSE(), FALSE())))</f>
        <v/>
      </c>
      <c r="AJ313" s="87" t="str">
        <f aca="false">IF(ISBLANK($C313),"",IF(AI313,Constants!$B$4,IF(COUNTA(E313:R313)=0,Constants!$B$5,IF(COUNTA(J313,L313,N313,P313,R313)=0,Constants!$B$6,Constants!$B$7))))</f>
        <v/>
      </c>
      <c r="AK313" s="87" t="str">
        <f aca="false">IF(ISBLANK($C313),"",IF($AJ313&lt;&gt;Constants!$B$7,$AJ313,IF(OR(NOT(X313),AND(NOT(U313),COUNTIFS(Y313:AG313,Constants!$B$18,Z313:AH313,"&gt;=0")&gt;0),AND(NOT(V313),COUNTIFS(Y313:AG313,Constants!$B$19,Z313:AH313,"&gt;=0")&gt;0)),Constants!$B$12,Constants!$B$11)))</f>
        <v/>
      </c>
      <c r="AL313" s="87" t="str">
        <f aca="false">IF($AJ313=Constants!$B$7,IF(Z313="",Constants!$B$13,Z313),"")</f>
        <v/>
      </c>
      <c r="AM313" s="87" t="str">
        <f aca="false">IF($AJ313=Constants!$B$7,IF(AB313="",Constants!$B$13,AB313),"")</f>
        <v/>
      </c>
      <c r="AN313" s="87" t="str">
        <f aca="false">IF($AJ313=Constants!$B$7,IF(AD313="",Constants!$B$13,AD313),"")</f>
        <v/>
      </c>
      <c r="AO313" s="87" t="str">
        <f aca="false">IF($AJ313=Constants!$B$7,IF(AF313="",Constants!$B$13,AF313),"")</f>
        <v/>
      </c>
      <c r="AP313" s="87" t="str">
        <f aca="false">IF($AJ313=Constants!$B$7,IF(AH313="",Constants!$B$13,AH313),"")</f>
        <v/>
      </c>
      <c r="AQ313" s="87" t="str">
        <f aca="false">IF($AJ313=Constants!$B$7,IF(SUMPRODUCT(--($AL313:$AP313&gt;AL313))+SUMPRODUCT(--($AL313:AL313=AL313))=1,1,IF(SUMPRODUCT(--($AL313:$AP313&gt;AM313))+SUMPRODUCT(--($AL313:AM313=AM313))=1,2,IF(SUMPRODUCT(--($AL313:$AP313&gt;AN313))+SUMPRODUCT(--($AL313:AN313=AN313))=1,3,IF(SUMPRODUCT(--($AL313:$AP313&gt;AO313))+SUMPRODUCT(--($AL313:AO313=AO313))=1,4,5)))),"")</f>
        <v/>
      </c>
      <c r="AR313" s="87" t="str">
        <f aca="false">IF($AJ313=Constants!$B$7,IF(SUMPRODUCT(--($AL313:$AP313&gt;AL313))+SUMPRODUCT(--($AL313:AL313=AL313))=2,1,IF(SUMPRODUCT(--($AL313:$AP313&gt;AM313))+SUMPRODUCT(--($AL313:AM313=AM313))=2,2,IF(SUMPRODUCT(--($AL313:$AP313&gt;AN313))+SUMPRODUCT(--($AL313:AN313=AN313))=2,3,IF(SUMPRODUCT(--($AL313:$AP313&gt;AO313))+SUMPRODUCT(--($AL313:AO313=AO313))=2,4,5)))),"")</f>
        <v/>
      </c>
      <c r="AS313" s="87" t="str">
        <f aca="false">IF($AJ313=Constants!$B$7,IF(SUMPRODUCT(--($AL313:$AP313&gt;AL313))+SUMPRODUCT(--($AL313:AL313=AL313))=3,1,IF(SUMPRODUCT(--($AL313:$AP313&gt;AM313))+SUMPRODUCT(--($AL313:AM313=AM313))=3,2,IF(SUMPRODUCT(--($AL313:$AP313&gt;AN313))+SUMPRODUCT(--($AL313:AN313=AN313))=3,3,IF(SUMPRODUCT(--($AL313:$AP313&gt;AO313))+SUMPRODUCT(--($AL313:AO313=AO313))=3,4,5)))),"")</f>
        <v/>
      </c>
      <c r="AT313" s="87" t="str">
        <f aca="false">IF($AJ313=Constants!$B$7,LARGE(AL313:AP313,1)+LARGE(AL313:AP313,2)+LARGE(AL313:AP313,3),"")</f>
        <v/>
      </c>
      <c r="AU313" s="87" t="str">
        <f aca="false">IF(ISBLANK($C313),"",IF($AJ313&lt;&gt;Constants!$B$7,$AJ313,AT313*W313))</f>
        <v/>
      </c>
      <c r="AV313" s="87" t="str">
        <f aca="false">IF(ISBLANK($C313),"",IF($AJ313=Constants!$B$7,IF(ISNUMBER(AU313),RANK(AU313,$AU$8:$AU$507),Constants!$B$14),$AJ313))</f>
        <v/>
      </c>
      <c r="AW313" s="87" t="str">
        <f aca="false">IF(ISBLANK($C313),"",IF($AJ313=Constants!$B$7,IF(ISNUMBER(AV313),COUNTIFS($AK$8:$AK$507,"&lt;"&amp;$AK313)+COUNTIFS($AK$8:$AK$507,$AK313,$AV$8:$AV$507,"&lt;"&amp;$AV313)+1,Constants!$B$14),$AJ313))</f>
        <v/>
      </c>
      <c r="AX313" s="87" t="str">
        <f aca="false">IF(ISBLANK($C313),"",IF($AJ313=Constants!$B$7,LARGE(AL313:AP313,4)*W313,""))</f>
        <v/>
      </c>
      <c r="AY313" s="87" t="str">
        <f aca="false">IF(ISBLANK($C313),"",IF($AJ313=Constants!$B$7,RANK(AX313,$AX$8:$AX$507),$AJ313))</f>
        <v/>
      </c>
      <c r="AZ313" s="87" t="str">
        <f aca="false">IF(ISBLANK($C313),"",IF($AJ313=Constants!$B$7,IF(ISNUMBER(AV313),COUNTIFS($AK$8:$AK$507,"&lt;"&amp;$AK313)+COUNTIFS($AK$8:$AK$507,$AK313,$AV$8:$AV$507,"&lt;"&amp;$AV313)+COUNTIFS($AK$8:$AK$507,$AK313,$AV$8:$AV$507,$AV313,$AY$8:$AY$507,"&lt;"&amp;$AY313)+1,Constants!$B$14),$AJ313))</f>
        <v/>
      </c>
      <c r="BA313" s="87" t="str">
        <f aca="false">IF(ISBLANK($C313),"",IF($AJ313=Constants!$B$7,IF(ISNUMBER(AW313),AW313-AZ313,Constants!$B$14),$AJ313))</f>
        <v/>
      </c>
      <c r="BB313" s="88"/>
      <c r="BC313" s="89" t="str">
        <f aca="false">IF(ISBLANK($C313),"",IF($AJ313&lt;&gt;Constants!$B$7,$AJ313,SMALL(AQ313:AS313,1)&amp;", "&amp;SMALL(AQ313:AS313,2)&amp;", "&amp;SMALL(AQ313:AS313,3)))</f>
        <v/>
      </c>
      <c r="BD313" s="90" t="str">
        <f aca="false">IF(ISBLANK($C313),"",IF($AJ313&lt;&gt;Constants!$B$7,$AJ313,W313))</f>
        <v/>
      </c>
      <c r="BE313" s="91" t="str">
        <f aca="false">IF(ISBLANK($C313),"",IF($AJ313&lt;&gt;Constants!$B$7,$AJ313,AU313))</f>
        <v/>
      </c>
      <c r="BF313" s="92" t="str">
        <f aca="false">IF(ISBLANK($C313),"",IF($AJ313&lt;&gt;Constants!$B$7,$AJ313,AK313))</f>
        <v/>
      </c>
      <c r="BG313" s="90" t="str">
        <f aca="false">IF(ISBLANK($C313),"",BA313)</f>
        <v/>
      </c>
      <c r="BH313" s="90" t="str">
        <f aca="false">IF(ISBLANK($C313),"",AZ313)</f>
        <v/>
      </c>
      <c r="BI313" s="93" t="str">
        <f aca="false">IF(ISBLANK($C313),"",IF(BH313=Constants!$B$4,COUNTA($C$8:$C$507)+2,IF(BH313=Constants!$B$5,COUNTA($C$8:$C$507)+1,IF(BH313=Constants!$B$6,COUNTA($C$8:$C$507),BH313))))</f>
        <v/>
      </c>
      <c r="BJ313" s="5"/>
      <c r="BK313" s="94" t="n">
        <f aca="false">IF(OR(ISNUMBER(BH313),BH313=Constants!$B$4,BH313=Constants!$B$6,BH313=Constants!$B$5),1,0)</f>
        <v>0</v>
      </c>
      <c r="BL313" s="94" t="n">
        <v>306</v>
      </c>
      <c r="BM313" s="94" t="str">
        <f aca="false">IF(ISBLANK($C313),"",IF(ISNUMBER(BI313),BI313+ROW($B313)/1000,""))</f>
        <v/>
      </c>
      <c r="BN313" s="94" t="str">
        <f aca="false">IF(ISNUMBER(BM313),RANK(BM313,$BM$8:$BM$507,1),"")</f>
        <v/>
      </c>
      <c r="BO313" s="94" t="str">
        <f aca="false">IF(ISBLANK($C313),"",$B313)</f>
        <v/>
      </c>
      <c r="BP313" s="94" t="str">
        <f aca="false">IF(ISBLANK($C313),"",$C313)</f>
        <v/>
      </c>
      <c r="BQ313" s="94" t="str">
        <f aca="false">IF(ISBLANK($C313),"",$D313)</f>
        <v/>
      </c>
      <c r="BR313" s="95" t="str">
        <f aca="false">BF313</f>
        <v/>
      </c>
      <c r="BS313" s="96" t="str">
        <f aca="false">BE313</f>
        <v/>
      </c>
      <c r="BT313" s="94" t="str">
        <f aca="false">IF(ISBLANK($C313),"",BH313)</f>
        <v/>
      </c>
      <c r="BU313" s="97" t="str">
        <f aca="false">IF($BL313&gt;$BK$7,"",VLOOKUP($BL313,$BN$8:$BT$507,7,FALSE()))</f>
        <v/>
      </c>
      <c r="BV313" s="98" t="str">
        <f aca="false">IF($BL313&gt;$BK$7,"",VLOOKUP($BL313,$BN$8:$BT$507,2,FALSE()))</f>
        <v/>
      </c>
      <c r="BW313" s="98" t="str">
        <f aca="false">IF($BL313&gt;$BK$7,"",VLOOKUP($BL313,$BN$8:$BT$507,3,FALSE()))</f>
        <v/>
      </c>
      <c r="BX313" s="98" t="str">
        <f aca="false">IF($BL313&gt;$BK$7,"",VLOOKUP($BL313,$BN$8:$BT$507,4,FALSE()))</f>
        <v/>
      </c>
      <c r="BY313" s="98" t="str">
        <f aca="false">IF($BL313&gt;$BK$7,"",VLOOKUP($BL313,$BN$8:$BT$507,5,FALSE()))</f>
        <v/>
      </c>
      <c r="BZ313" s="99" t="str">
        <f aca="false">IF($BL313&gt;$BK$7,"",VLOOKUP($BL313,$BN$8:$BT$507,6,FALSE()))</f>
        <v/>
      </c>
      <c r="CA313" s="48"/>
    </row>
    <row r="314" customFormat="false" ht="15.75" hidden="false" customHeight="false" outlineLevel="0" collapsed="false">
      <c r="A314" s="5"/>
      <c r="B314" s="121"/>
      <c r="C314" s="50"/>
      <c r="D314" s="51"/>
      <c r="E314" s="74"/>
      <c r="F314" s="122"/>
      <c r="G314" s="54"/>
      <c r="H314" s="123"/>
      <c r="I314" s="124"/>
      <c r="J314" s="54"/>
      <c r="K314" s="123"/>
      <c r="L314" s="54"/>
      <c r="M314" s="123"/>
      <c r="N314" s="54"/>
      <c r="O314" s="123"/>
      <c r="P314" s="54"/>
      <c r="Q314" s="123"/>
      <c r="R314" s="54"/>
      <c r="S314" s="74"/>
      <c r="T314" s="58"/>
      <c r="U314" s="59" t="str">
        <f aca="false">IF(ISBLANK($C314),"",IF(E314=Constants!$B$2, TRUE(), IF(E314=Constants!$B$3, FALSE(), TRUE())))</f>
        <v/>
      </c>
      <c r="V314" s="59" t="str">
        <f aca="false">IF(ISBLANK($C314),"",IF(F314=Constants!$B$2, TRUE(), IF(F314=Constants!$B$3, FALSE(), TRUE())))</f>
        <v/>
      </c>
      <c r="W314" s="59" t="str">
        <f aca="false">IF(ISBLANK($C314),"",IF(G314=Constants!$B$15,Constants!$B$8,IF(G314=Constants!$B$16,Constants!$B$9,Constants!$B$10)))</f>
        <v/>
      </c>
      <c r="X314" s="59" t="str">
        <f aca="false">IF(ISBLANK($C314),"",IF(H314=Constants!$B$2, TRUE(), IF(H314=Constants!$B$3, FALSE(), TRUE())))</f>
        <v/>
      </c>
      <c r="Y314" s="59" t="str">
        <f aca="false">IF(ISBLANK($C314),"",IF(I314=Constants!$B$19,Constants!$B$19,Constants!$B$18))</f>
        <v/>
      </c>
      <c r="Z314" s="59" t="str">
        <f aca="false">IF(ISBLANK($C314),"",IF(ISNUMBER(J314),IF(J314&gt;=0,J314,""),""))</f>
        <v/>
      </c>
      <c r="AA314" s="59" t="str">
        <f aca="false">IF(ISBLANK($C314),"",IF(K314=Constants!$B$19,Constants!$B$19,Constants!$B$18))</f>
        <v/>
      </c>
      <c r="AB314" s="59" t="str">
        <f aca="false">IF(ISBLANK($C314),"",IF(ISNUMBER(L314),IF(L314&gt;=0,L314,""),""))</f>
        <v/>
      </c>
      <c r="AC314" s="59" t="str">
        <f aca="false">IF(ISBLANK($C314),"",IF(M314=Constants!$B$19,Constants!$B$19,Constants!$B$18))</f>
        <v/>
      </c>
      <c r="AD314" s="59" t="str">
        <f aca="false">IF(ISBLANK($C314),"",IF(ISNUMBER(N314),IF(N314&gt;=0,N314,""),""))</f>
        <v/>
      </c>
      <c r="AE314" s="59" t="str">
        <f aca="false">IF(ISBLANK($C314),"",IF(O314=Constants!$B$19,Constants!$B$19,Constants!$B$18))</f>
        <v/>
      </c>
      <c r="AF314" s="59" t="str">
        <f aca="false">IF(ISBLANK($C314),"",IF(ISNUMBER(P314),IF(P314&gt;=0,P314,""),""))</f>
        <v/>
      </c>
      <c r="AG314" s="59" t="str">
        <f aca="false">IF(ISBLANK($C314),"",IF(Q314=Constants!$B$19,Constants!$B$19,Constants!$B$18))</f>
        <v/>
      </c>
      <c r="AH314" s="59" t="str">
        <f aca="false">IF(ISBLANK($C314),"",IF(ISNUMBER(R314),IF(R314&gt;=0,R314,""),""))</f>
        <v/>
      </c>
      <c r="AI314" s="59" t="str">
        <f aca="false">IF(ISBLANK($C314),"",IF(S314=Constants!$B$2, TRUE(), IF(S314=Constants!$B$3, FALSE(), FALSE())))</f>
        <v/>
      </c>
      <c r="AJ314" s="59" t="str">
        <f aca="false">IF(ISBLANK($C314),"",IF(AI314,Constants!$B$4,IF(COUNTA(E314:R314)=0,Constants!$B$5,IF(COUNTA(J314,L314,N314,P314,R314)=0,Constants!$B$6,Constants!$B$7))))</f>
        <v/>
      </c>
      <c r="AK314" s="59" t="str">
        <f aca="false">IF(ISBLANK($C314),"",IF($AJ314&lt;&gt;Constants!$B$7,$AJ314,IF(OR(NOT(X314),AND(NOT(U314),COUNTIFS(Y314:AG314,Constants!$B$18,Z314:AH314,"&gt;=0")&gt;0),AND(NOT(V314),COUNTIFS(Y314:AG314,Constants!$B$19,Z314:AH314,"&gt;=0")&gt;0)),Constants!$B$12,Constants!$B$11)))</f>
        <v/>
      </c>
      <c r="AL314" s="59" t="str">
        <f aca="false">IF($AJ314=Constants!$B$7,IF(Z314="",Constants!$B$13,Z314),"")</f>
        <v/>
      </c>
      <c r="AM314" s="59" t="str">
        <f aca="false">IF($AJ314=Constants!$B$7,IF(AB314="",Constants!$B$13,AB314),"")</f>
        <v/>
      </c>
      <c r="AN314" s="59" t="str">
        <f aca="false">IF($AJ314=Constants!$B$7,IF(AD314="",Constants!$B$13,AD314),"")</f>
        <v/>
      </c>
      <c r="AO314" s="59" t="str">
        <f aca="false">IF($AJ314=Constants!$B$7,IF(AF314="",Constants!$B$13,AF314),"")</f>
        <v/>
      </c>
      <c r="AP314" s="59" t="str">
        <f aca="false">IF($AJ314=Constants!$B$7,IF(AH314="",Constants!$B$13,AH314),"")</f>
        <v/>
      </c>
      <c r="AQ314" s="59" t="str">
        <f aca="false">IF($AJ314=Constants!$B$7,IF(SUMPRODUCT(--($AL314:$AP314&gt;AL314))+SUMPRODUCT(--($AL314:AL314=AL314))=1,1,IF(SUMPRODUCT(--($AL314:$AP314&gt;AM314))+SUMPRODUCT(--($AL314:AM314=AM314))=1,2,IF(SUMPRODUCT(--($AL314:$AP314&gt;AN314))+SUMPRODUCT(--($AL314:AN314=AN314))=1,3,IF(SUMPRODUCT(--($AL314:$AP314&gt;AO314))+SUMPRODUCT(--($AL314:AO314=AO314))=1,4,5)))),"")</f>
        <v/>
      </c>
      <c r="AR314" s="59" t="str">
        <f aca="false">IF($AJ314=Constants!$B$7,IF(SUMPRODUCT(--($AL314:$AP314&gt;AL314))+SUMPRODUCT(--($AL314:AL314=AL314))=2,1,IF(SUMPRODUCT(--($AL314:$AP314&gt;AM314))+SUMPRODUCT(--($AL314:AM314=AM314))=2,2,IF(SUMPRODUCT(--($AL314:$AP314&gt;AN314))+SUMPRODUCT(--($AL314:AN314=AN314))=2,3,IF(SUMPRODUCT(--($AL314:$AP314&gt;AO314))+SUMPRODUCT(--($AL314:AO314=AO314))=2,4,5)))),"")</f>
        <v/>
      </c>
      <c r="AS314" s="59" t="str">
        <f aca="false">IF($AJ314=Constants!$B$7,IF(SUMPRODUCT(--($AL314:$AP314&gt;AL314))+SUMPRODUCT(--($AL314:AL314=AL314))=3,1,IF(SUMPRODUCT(--($AL314:$AP314&gt;AM314))+SUMPRODUCT(--($AL314:AM314=AM314))=3,2,IF(SUMPRODUCT(--($AL314:$AP314&gt;AN314))+SUMPRODUCT(--($AL314:AN314=AN314))=3,3,IF(SUMPRODUCT(--($AL314:$AP314&gt;AO314))+SUMPRODUCT(--($AL314:AO314=AO314))=3,4,5)))),"")</f>
        <v/>
      </c>
      <c r="AT314" s="59" t="str">
        <f aca="false">IF($AJ314=Constants!$B$7,LARGE(AL314:AP314,1)+LARGE(AL314:AP314,2)+LARGE(AL314:AP314,3),"")</f>
        <v/>
      </c>
      <c r="AU314" s="59" t="str">
        <f aca="false">IF(ISBLANK($C314),"",IF($AJ314&lt;&gt;Constants!$B$7,$AJ314,AT314*W314))</f>
        <v/>
      </c>
      <c r="AV314" s="59" t="str">
        <f aca="false">IF(ISBLANK($C314),"",IF($AJ314=Constants!$B$7,IF(ISNUMBER(AU314),RANK(AU314,$AU$8:$AU$507),Constants!$B$14),$AJ314))</f>
        <v/>
      </c>
      <c r="AW314" s="59" t="str">
        <f aca="false">IF(ISBLANK($C314),"",IF($AJ314=Constants!$B$7,IF(ISNUMBER(AV314),COUNTIFS($AK$8:$AK$507,"&lt;"&amp;$AK314)+COUNTIFS($AK$8:$AK$507,$AK314,$AV$8:$AV$507,"&lt;"&amp;$AV314)+1,Constants!$B$14),$AJ314))</f>
        <v/>
      </c>
      <c r="AX314" s="59" t="str">
        <f aca="false">IF(ISBLANK($C314),"",IF($AJ314=Constants!$B$7,LARGE(AL314:AP314,4)*W314,""))</f>
        <v/>
      </c>
      <c r="AY314" s="59" t="str">
        <f aca="false">IF(ISBLANK($C314),"",IF($AJ314=Constants!$B$7,RANK(AX314,$AX$8:$AX$507),$AJ314))</f>
        <v/>
      </c>
      <c r="AZ314" s="59" t="str">
        <f aca="false">IF(ISBLANK($C314),"",IF($AJ314=Constants!$B$7,IF(ISNUMBER(AV314),COUNTIFS($AK$8:$AK$507,"&lt;"&amp;$AK314)+COUNTIFS($AK$8:$AK$507,$AK314,$AV$8:$AV$507,"&lt;"&amp;$AV314)+COUNTIFS($AK$8:$AK$507,$AK314,$AV$8:$AV$507,$AV314,$AY$8:$AY$507,"&lt;"&amp;$AY314)+1,Constants!$B$14),$AJ314))</f>
        <v/>
      </c>
      <c r="BA314" s="59" t="str">
        <f aca="false">IF(ISBLANK($C314),"",IF($AJ314=Constants!$B$7,IF(ISNUMBER(AW314),AW314-AZ314,Constants!$B$14),$AJ314))</f>
        <v/>
      </c>
      <c r="BB314" s="61"/>
      <c r="BC314" s="62" t="str">
        <f aca="false">IF(ISBLANK($C314),"",IF($AJ314&lt;&gt;Constants!$B$7,$AJ314,SMALL(AQ314:AS314,1)&amp;", "&amp;SMALL(AQ314:AS314,2)&amp;", "&amp;SMALL(AQ314:AS314,3)))</f>
        <v/>
      </c>
      <c r="BD314" s="63" t="str">
        <f aca="false">IF(ISBLANK($C314),"",IF($AJ314&lt;&gt;Constants!$B$7,$AJ314,W314))</f>
        <v/>
      </c>
      <c r="BE314" s="64" t="str">
        <f aca="false">IF(ISBLANK($C314),"",IF($AJ314&lt;&gt;Constants!$B$7,$AJ314,AU314))</f>
        <v/>
      </c>
      <c r="BF314" s="65" t="str">
        <f aca="false">IF(ISBLANK($C314),"",IF($AJ314&lt;&gt;Constants!$B$7,$AJ314,AK314))</f>
        <v/>
      </c>
      <c r="BG314" s="63" t="str">
        <f aca="false">IF(ISBLANK($C314),"",BA314)</f>
        <v/>
      </c>
      <c r="BH314" s="63" t="str">
        <f aca="false">IF(ISBLANK($C314),"",AZ314)</f>
        <v/>
      </c>
      <c r="BI314" s="66" t="str">
        <f aca="false">IF(ISBLANK($C314),"",IF(BH314=Constants!$B$4,COUNTA($C$8:$C$507)+2,IF(BH314=Constants!$B$5,COUNTA($C$8:$C$507)+1,IF(BH314=Constants!$B$6,COUNTA($C$8:$C$507),BH314))))</f>
        <v/>
      </c>
      <c r="BJ314" s="5"/>
      <c r="BK314" s="67" t="n">
        <f aca="false">IF(OR(ISNUMBER(BH314),BH314=Constants!$B$4,BH314=Constants!$B$6,BH314=Constants!$B$5),1,0)</f>
        <v>0</v>
      </c>
      <c r="BL314" s="67" t="n">
        <v>307</v>
      </c>
      <c r="BM314" s="67" t="str">
        <f aca="false">IF(ISBLANK($C314),"",IF(ISNUMBER(BI314),BI314+ROW($B314)/1000,""))</f>
        <v/>
      </c>
      <c r="BN314" s="67" t="str">
        <f aca="false">IF(ISNUMBER(BM314),RANK(BM314,$BM$8:$BM$507,1),"")</f>
        <v/>
      </c>
      <c r="BO314" s="67" t="str">
        <f aca="false">IF(ISBLANK($C314),"",$B314)</f>
        <v/>
      </c>
      <c r="BP314" s="67" t="str">
        <f aca="false">IF(ISBLANK($C314),"",$C314)</f>
        <v/>
      </c>
      <c r="BQ314" s="67" t="str">
        <f aca="false">IF(ISBLANK($C314),"",$D314)</f>
        <v/>
      </c>
      <c r="BR314" s="68" t="str">
        <f aca="false">BF314</f>
        <v/>
      </c>
      <c r="BS314" s="69" t="str">
        <f aca="false">BE314</f>
        <v/>
      </c>
      <c r="BT314" s="67" t="str">
        <f aca="false">IF(ISBLANK($C314),"",BH314)</f>
        <v/>
      </c>
      <c r="BU314" s="70" t="str">
        <f aca="false">IF($BL314&gt;$BK$7,"",VLOOKUP($BL314,$BN$8:$BT$507,7,FALSE()))</f>
        <v/>
      </c>
      <c r="BV314" s="71" t="str">
        <f aca="false">IF($BL314&gt;$BK$7,"",VLOOKUP($BL314,$BN$8:$BT$507,2,FALSE()))</f>
        <v/>
      </c>
      <c r="BW314" s="71" t="str">
        <f aca="false">IF($BL314&gt;$BK$7,"",VLOOKUP($BL314,$BN$8:$BT$507,3,FALSE()))</f>
        <v/>
      </c>
      <c r="BX314" s="71" t="str">
        <f aca="false">IF($BL314&gt;$BK$7,"",VLOOKUP($BL314,$BN$8:$BT$507,4,FALSE()))</f>
        <v/>
      </c>
      <c r="BY314" s="71" t="str">
        <f aca="false">IF($BL314&gt;$BK$7,"",VLOOKUP($BL314,$BN$8:$BT$507,5,FALSE()))</f>
        <v/>
      </c>
      <c r="BZ314" s="72" t="str">
        <f aca="false">IF($BL314&gt;$BK$7,"",VLOOKUP($BL314,$BN$8:$BT$507,6,FALSE()))</f>
        <v/>
      </c>
      <c r="CA314" s="48"/>
    </row>
    <row r="315" customFormat="false" ht="15.75" hidden="false" customHeight="false" outlineLevel="0" collapsed="false">
      <c r="A315" s="5"/>
      <c r="B315" s="121"/>
      <c r="C315" s="50"/>
      <c r="D315" s="51"/>
      <c r="E315" s="74"/>
      <c r="F315" s="122"/>
      <c r="G315" s="54"/>
      <c r="H315" s="123"/>
      <c r="I315" s="124"/>
      <c r="J315" s="54"/>
      <c r="K315" s="123"/>
      <c r="L315" s="54"/>
      <c r="M315" s="123"/>
      <c r="N315" s="54"/>
      <c r="O315" s="123"/>
      <c r="P315" s="54"/>
      <c r="Q315" s="123"/>
      <c r="R315" s="54"/>
      <c r="S315" s="74"/>
      <c r="T315" s="58"/>
      <c r="U315" s="59" t="str">
        <f aca="false">IF(ISBLANK($C315),"",IF(E315=Constants!$B$2, TRUE(), IF(E315=Constants!$B$3, FALSE(), TRUE())))</f>
        <v/>
      </c>
      <c r="V315" s="59" t="str">
        <f aca="false">IF(ISBLANK($C315),"",IF(F315=Constants!$B$2, TRUE(), IF(F315=Constants!$B$3, FALSE(), TRUE())))</f>
        <v/>
      </c>
      <c r="W315" s="59" t="str">
        <f aca="false">IF(ISBLANK($C315),"",IF(G315=Constants!$B$15,Constants!$B$8,IF(G315=Constants!$B$16,Constants!$B$9,Constants!$B$10)))</f>
        <v/>
      </c>
      <c r="X315" s="59" t="str">
        <f aca="false">IF(ISBLANK($C315),"",IF(H315=Constants!$B$2, TRUE(), IF(H315=Constants!$B$3, FALSE(), TRUE())))</f>
        <v/>
      </c>
      <c r="Y315" s="59" t="str">
        <f aca="false">IF(ISBLANK($C315),"",IF(I315=Constants!$B$19,Constants!$B$19,Constants!$B$18))</f>
        <v/>
      </c>
      <c r="Z315" s="59" t="str">
        <f aca="false">IF(ISBLANK($C315),"",IF(ISNUMBER(J315),IF(J315&gt;=0,J315,""),""))</f>
        <v/>
      </c>
      <c r="AA315" s="59" t="str">
        <f aca="false">IF(ISBLANK($C315),"",IF(K315=Constants!$B$19,Constants!$B$19,Constants!$B$18))</f>
        <v/>
      </c>
      <c r="AB315" s="59" t="str">
        <f aca="false">IF(ISBLANK($C315),"",IF(ISNUMBER(L315),IF(L315&gt;=0,L315,""),""))</f>
        <v/>
      </c>
      <c r="AC315" s="59" t="str">
        <f aca="false">IF(ISBLANK($C315),"",IF(M315=Constants!$B$19,Constants!$B$19,Constants!$B$18))</f>
        <v/>
      </c>
      <c r="AD315" s="59" t="str">
        <f aca="false">IF(ISBLANK($C315),"",IF(ISNUMBER(N315),IF(N315&gt;=0,N315,""),""))</f>
        <v/>
      </c>
      <c r="AE315" s="59" t="str">
        <f aca="false">IF(ISBLANK($C315),"",IF(O315=Constants!$B$19,Constants!$B$19,Constants!$B$18))</f>
        <v/>
      </c>
      <c r="AF315" s="59" t="str">
        <f aca="false">IF(ISBLANK($C315),"",IF(ISNUMBER(P315),IF(P315&gt;=0,P315,""),""))</f>
        <v/>
      </c>
      <c r="AG315" s="59" t="str">
        <f aca="false">IF(ISBLANK($C315),"",IF(Q315=Constants!$B$19,Constants!$B$19,Constants!$B$18))</f>
        <v/>
      </c>
      <c r="AH315" s="59" t="str">
        <f aca="false">IF(ISBLANK($C315),"",IF(ISNUMBER(R315),IF(R315&gt;=0,R315,""),""))</f>
        <v/>
      </c>
      <c r="AI315" s="59" t="str">
        <f aca="false">IF(ISBLANK($C315),"",IF(S315=Constants!$B$2, TRUE(), IF(S315=Constants!$B$3, FALSE(), FALSE())))</f>
        <v/>
      </c>
      <c r="AJ315" s="59" t="str">
        <f aca="false">IF(ISBLANK($C315),"",IF(AI315,Constants!$B$4,IF(COUNTA(E315:R315)=0,Constants!$B$5,IF(COUNTA(J315,L315,N315,P315,R315)=0,Constants!$B$6,Constants!$B$7))))</f>
        <v/>
      </c>
      <c r="AK315" s="59" t="str">
        <f aca="false">IF(ISBLANK($C315),"",IF($AJ315&lt;&gt;Constants!$B$7,$AJ315,IF(OR(NOT(X315),AND(NOT(U315),COUNTIFS(Y315:AG315,Constants!$B$18,Z315:AH315,"&gt;=0")&gt;0),AND(NOT(V315),COUNTIFS(Y315:AG315,Constants!$B$19,Z315:AH315,"&gt;=0")&gt;0)),Constants!$B$12,Constants!$B$11)))</f>
        <v/>
      </c>
      <c r="AL315" s="59" t="str">
        <f aca="false">IF($AJ315=Constants!$B$7,IF(Z315="",Constants!$B$13,Z315),"")</f>
        <v/>
      </c>
      <c r="AM315" s="59" t="str">
        <f aca="false">IF($AJ315=Constants!$B$7,IF(AB315="",Constants!$B$13,AB315),"")</f>
        <v/>
      </c>
      <c r="AN315" s="59" t="str">
        <f aca="false">IF($AJ315=Constants!$B$7,IF(AD315="",Constants!$B$13,AD315),"")</f>
        <v/>
      </c>
      <c r="AO315" s="59" t="str">
        <f aca="false">IF($AJ315=Constants!$B$7,IF(AF315="",Constants!$B$13,AF315),"")</f>
        <v/>
      </c>
      <c r="AP315" s="59" t="str">
        <f aca="false">IF($AJ315=Constants!$B$7,IF(AH315="",Constants!$B$13,AH315),"")</f>
        <v/>
      </c>
      <c r="AQ315" s="59" t="str">
        <f aca="false">IF($AJ315=Constants!$B$7,IF(SUMPRODUCT(--($AL315:$AP315&gt;AL315))+SUMPRODUCT(--($AL315:AL315=AL315))=1,1,IF(SUMPRODUCT(--($AL315:$AP315&gt;AM315))+SUMPRODUCT(--($AL315:AM315=AM315))=1,2,IF(SUMPRODUCT(--($AL315:$AP315&gt;AN315))+SUMPRODUCT(--($AL315:AN315=AN315))=1,3,IF(SUMPRODUCT(--($AL315:$AP315&gt;AO315))+SUMPRODUCT(--($AL315:AO315=AO315))=1,4,5)))),"")</f>
        <v/>
      </c>
      <c r="AR315" s="59" t="str">
        <f aca="false">IF($AJ315=Constants!$B$7,IF(SUMPRODUCT(--($AL315:$AP315&gt;AL315))+SUMPRODUCT(--($AL315:AL315=AL315))=2,1,IF(SUMPRODUCT(--($AL315:$AP315&gt;AM315))+SUMPRODUCT(--($AL315:AM315=AM315))=2,2,IF(SUMPRODUCT(--($AL315:$AP315&gt;AN315))+SUMPRODUCT(--($AL315:AN315=AN315))=2,3,IF(SUMPRODUCT(--($AL315:$AP315&gt;AO315))+SUMPRODUCT(--($AL315:AO315=AO315))=2,4,5)))),"")</f>
        <v/>
      </c>
      <c r="AS315" s="59" t="str">
        <f aca="false">IF($AJ315=Constants!$B$7,IF(SUMPRODUCT(--($AL315:$AP315&gt;AL315))+SUMPRODUCT(--($AL315:AL315=AL315))=3,1,IF(SUMPRODUCT(--($AL315:$AP315&gt;AM315))+SUMPRODUCT(--($AL315:AM315=AM315))=3,2,IF(SUMPRODUCT(--($AL315:$AP315&gt;AN315))+SUMPRODUCT(--($AL315:AN315=AN315))=3,3,IF(SUMPRODUCT(--($AL315:$AP315&gt;AO315))+SUMPRODUCT(--($AL315:AO315=AO315))=3,4,5)))),"")</f>
        <v/>
      </c>
      <c r="AT315" s="59" t="str">
        <f aca="false">IF($AJ315=Constants!$B$7,LARGE(AL315:AP315,1)+LARGE(AL315:AP315,2)+LARGE(AL315:AP315,3),"")</f>
        <v/>
      </c>
      <c r="AU315" s="59" t="str">
        <f aca="false">IF(ISBLANK($C315),"",IF($AJ315&lt;&gt;Constants!$B$7,$AJ315,AT315*W315))</f>
        <v/>
      </c>
      <c r="AV315" s="59" t="str">
        <f aca="false">IF(ISBLANK($C315),"",IF($AJ315=Constants!$B$7,IF(ISNUMBER(AU315),RANK(AU315,$AU$8:$AU$507),Constants!$B$14),$AJ315))</f>
        <v/>
      </c>
      <c r="AW315" s="59" t="str">
        <f aca="false">IF(ISBLANK($C315),"",IF($AJ315=Constants!$B$7,IF(ISNUMBER(AV315),COUNTIFS($AK$8:$AK$507,"&lt;"&amp;$AK315)+COUNTIFS($AK$8:$AK$507,$AK315,$AV$8:$AV$507,"&lt;"&amp;$AV315)+1,Constants!$B$14),$AJ315))</f>
        <v/>
      </c>
      <c r="AX315" s="59" t="str">
        <f aca="false">IF(ISBLANK($C315),"",IF($AJ315=Constants!$B$7,LARGE(AL315:AP315,4)*W315,""))</f>
        <v/>
      </c>
      <c r="AY315" s="59" t="str">
        <f aca="false">IF(ISBLANK($C315),"",IF($AJ315=Constants!$B$7,RANK(AX315,$AX$8:$AX$507),$AJ315))</f>
        <v/>
      </c>
      <c r="AZ315" s="59" t="str">
        <f aca="false">IF(ISBLANK($C315),"",IF($AJ315=Constants!$B$7,IF(ISNUMBER(AV315),COUNTIFS($AK$8:$AK$507,"&lt;"&amp;$AK315)+COUNTIFS($AK$8:$AK$507,$AK315,$AV$8:$AV$507,"&lt;"&amp;$AV315)+COUNTIFS($AK$8:$AK$507,$AK315,$AV$8:$AV$507,$AV315,$AY$8:$AY$507,"&lt;"&amp;$AY315)+1,Constants!$B$14),$AJ315))</f>
        <v/>
      </c>
      <c r="BA315" s="59" t="str">
        <f aca="false">IF(ISBLANK($C315),"",IF($AJ315=Constants!$B$7,IF(ISNUMBER(AW315),AW315-AZ315,Constants!$B$14),$AJ315))</f>
        <v/>
      </c>
      <c r="BB315" s="61"/>
      <c r="BC315" s="62" t="str">
        <f aca="false">IF(ISBLANK($C315),"",IF($AJ315&lt;&gt;Constants!$B$7,$AJ315,SMALL(AQ315:AS315,1)&amp;", "&amp;SMALL(AQ315:AS315,2)&amp;", "&amp;SMALL(AQ315:AS315,3)))</f>
        <v/>
      </c>
      <c r="BD315" s="63" t="str">
        <f aca="false">IF(ISBLANK($C315),"",IF($AJ315&lt;&gt;Constants!$B$7,$AJ315,W315))</f>
        <v/>
      </c>
      <c r="BE315" s="64" t="str">
        <f aca="false">IF(ISBLANK($C315),"",IF($AJ315&lt;&gt;Constants!$B$7,$AJ315,AU315))</f>
        <v/>
      </c>
      <c r="BF315" s="65" t="str">
        <f aca="false">IF(ISBLANK($C315),"",IF($AJ315&lt;&gt;Constants!$B$7,$AJ315,AK315))</f>
        <v/>
      </c>
      <c r="BG315" s="63" t="str">
        <f aca="false">IF(ISBLANK($C315),"",BA315)</f>
        <v/>
      </c>
      <c r="BH315" s="63" t="str">
        <f aca="false">IF(ISBLANK($C315),"",AZ315)</f>
        <v/>
      </c>
      <c r="BI315" s="66" t="str">
        <f aca="false">IF(ISBLANK($C315),"",IF(BH315=Constants!$B$4,COUNTA($C$8:$C$507)+2,IF(BH315=Constants!$B$5,COUNTA($C$8:$C$507)+1,IF(BH315=Constants!$B$6,COUNTA($C$8:$C$507),BH315))))</f>
        <v/>
      </c>
      <c r="BJ315" s="5"/>
      <c r="BK315" s="67" t="n">
        <f aca="false">IF(OR(ISNUMBER(BH315),BH315=Constants!$B$4,BH315=Constants!$B$6,BH315=Constants!$B$5),1,0)</f>
        <v>0</v>
      </c>
      <c r="BL315" s="67" t="n">
        <v>308</v>
      </c>
      <c r="BM315" s="67" t="str">
        <f aca="false">IF(ISBLANK($C315),"",IF(ISNUMBER(BI315),BI315+ROW($B315)/1000,""))</f>
        <v/>
      </c>
      <c r="BN315" s="67" t="str">
        <f aca="false">IF(ISNUMBER(BM315),RANK(BM315,$BM$8:$BM$507,1),"")</f>
        <v/>
      </c>
      <c r="BO315" s="67" t="str">
        <f aca="false">IF(ISBLANK($C315),"",$B315)</f>
        <v/>
      </c>
      <c r="BP315" s="67" t="str">
        <f aca="false">IF(ISBLANK($C315),"",$C315)</f>
        <v/>
      </c>
      <c r="BQ315" s="67" t="str">
        <f aca="false">IF(ISBLANK($C315),"",$D315)</f>
        <v/>
      </c>
      <c r="BR315" s="68" t="str">
        <f aca="false">BF315</f>
        <v/>
      </c>
      <c r="BS315" s="69" t="str">
        <f aca="false">BE315</f>
        <v/>
      </c>
      <c r="BT315" s="67" t="str">
        <f aca="false">IF(ISBLANK($C315),"",BH315)</f>
        <v/>
      </c>
      <c r="BU315" s="70" t="str">
        <f aca="false">IF($BL315&gt;$BK$7,"",VLOOKUP($BL315,$BN$8:$BT$507,7,FALSE()))</f>
        <v/>
      </c>
      <c r="BV315" s="71" t="str">
        <f aca="false">IF($BL315&gt;$BK$7,"",VLOOKUP($BL315,$BN$8:$BT$507,2,FALSE()))</f>
        <v/>
      </c>
      <c r="BW315" s="71" t="str">
        <f aca="false">IF($BL315&gt;$BK$7,"",VLOOKUP($BL315,$BN$8:$BT$507,3,FALSE()))</f>
        <v/>
      </c>
      <c r="BX315" s="71" t="str">
        <f aca="false">IF($BL315&gt;$BK$7,"",VLOOKUP($BL315,$BN$8:$BT$507,4,FALSE()))</f>
        <v/>
      </c>
      <c r="BY315" s="71" t="str">
        <f aca="false">IF($BL315&gt;$BK$7,"",VLOOKUP($BL315,$BN$8:$BT$507,5,FALSE()))</f>
        <v/>
      </c>
      <c r="BZ315" s="72" t="str">
        <f aca="false">IF($BL315&gt;$BK$7,"",VLOOKUP($BL315,$BN$8:$BT$507,6,FALSE()))</f>
        <v/>
      </c>
      <c r="CA315" s="48"/>
    </row>
    <row r="316" customFormat="false" ht="15.75" hidden="false" customHeight="false" outlineLevel="0" collapsed="false">
      <c r="A316" s="5"/>
      <c r="B316" s="121"/>
      <c r="C316" s="50"/>
      <c r="D316" s="51"/>
      <c r="E316" s="74"/>
      <c r="F316" s="122"/>
      <c r="G316" s="54"/>
      <c r="H316" s="123"/>
      <c r="I316" s="124"/>
      <c r="J316" s="54"/>
      <c r="K316" s="123"/>
      <c r="L316" s="54"/>
      <c r="M316" s="123"/>
      <c r="N316" s="54"/>
      <c r="O316" s="123"/>
      <c r="P316" s="54"/>
      <c r="Q316" s="123"/>
      <c r="R316" s="54"/>
      <c r="S316" s="74"/>
      <c r="T316" s="58"/>
      <c r="U316" s="59" t="str">
        <f aca="false">IF(ISBLANK($C316),"",IF(E316=Constants!$B$2, TRUE(), IF(E316=Constants!$B$3, FALSE(), TRUE())))</f>
        <v/>
      </c>
      <c r="V316" s="59" t="str">
        <f aca="false">IF(ISBLANK($C316),"",IF(F316=Constants!$B$2, TRUE(), IF(F316=Constants!$B$3, FALSE(), TRUE())))</f>
        <v/>
      </c>
      <c r="W316" s="59" t="str">
        <f aca="false">IF(ISBLANK($C316),"",IF(G316=Constants!$B$15,Constants!$B$8,IF(G316=Constants!$B$16,Constants!$B$9,Constants!$B$10)))</f>
        <v/>
      </c>
      <c r="X316" s="59" t="str">
        <f aca="false">IF(ISBLANK($C316),"",IF(H316=Constants!$B$2, TRUE(), IF(H316=Constants!$B$3, FALSE(), TRUE())))</f>
        <v/>
      </c>
      <c r="Y316" s="59" t="str">
        <f aca="false">IF(ISBLANK($C316),"",IF(I316=Constants!$B$19,Constants!$B$19,Constants!$B$18))</f>
        <v/>
      </c>
      <c r="Z316" s="59" t="str">
        <f aca="false">IF(ISBLANK($C316),"",IF(ISNUMBER(J316),IF(J316&gt;=0,J316,""),""))</f>
        <v/>
      </c>
      <c r="AA316" s="59" t="str">
        <f aca="false">IF(ISBLANK($C316),"",IF(K316=Constants!$B$19,Constants!$B$19,Constants!$B$18))</f>
        <v/>
      </c>
      <c r="AB316" s="59" t="str">
        <f aca="false">IF(ISBLANK($C316),"",IF(ISNUMBER(L316),IF(L316&gt;=0,L316,""),""))</f>
        <v/>
      </c>
      <c r="AC316" s="59" t="str">
        <f aca="false">IF(ISBLANK($C316),"",IF(M316=Constants!$B$19,Constants!$B$19,Constants!$B$18))</f>
        <v/>
      </c>
      <c r="AD316" s="59" t="str">
        <f aca="false">IF(ISBLANK($C316),"",IF(ISNUMBER(N316),IF(N316&gt;=0,N316,""),""))</f>
        <v/>
      </c>
      <c r="AE316" s="59" t="str">
        <f aca="false">IF(ISBLANK($C316),"",IF(O316=Constants!$B$19,Constants!$B$19,Constants!$B$18))</f>
        <v/>
      </c>
      <c r="AF316" s="59" t="str">
        <f aca="false">IF(ISBLANK($C316),"",IF(ISNUMBER(P316),IF(P316&gt;=0,P316,""),""))</f>
        <v/>
      </c>
      <c r="AG316" s="59" t="str">
        <f aca="false">IF(ISBLANK($C316),"",IF(Q316=Constants!$B$19,Constants!$B$19,Constants!$B$18))</f>
        <v/>
      </c>
      <c r="AH316" s="59" t="str">
        <f aca="false">IF(ISBLANK($C316),"",IF(ISNUMBER(R316),IF(R316&gt;=0,R316,""),""))</f>
        <v/>
      </c>
      <c r="AI316" s="59" t="str">
        <f aca="false">IF(ISBLANK($C316),"",IF(S316=Constants!$B$2, TRUE(), IF(S316=Constants!$B$3, FALSE(), FALSE())))</f>
        <v/>
      </c>
      <c r="AJ316" s="59" t="str">
        <f aca="false">IF(ISBLANK($C316),"",IF(AI316,Constants!$B$4,IF(COUNTA(E316:R316)=0,Constants!$B$5,IF(COUNTA(J316,L316,N316,P316,R316)=0,Constants!$B$6,Constants!$B$7))))</f>
        <v/>
      </c>
      <c r="AK316" s="59" t="str">
        <f aca="false">IF(ISBLANK($C316),"",IF($AJ316&lt;&gt;Constants!$B$7,$AJ316,IF(OR(NOT(X316),AND(NOT(U316),COUNTIFS(Y316:AG316,Constants!$B$18,Z316:AH316,"&gt;=0")&gt;0),AND(NOT(V316),COUNTIFS(Y316:AG316,Constants!$B$19,Z316:AH316,"&gt;=0")&gt;0)),Constants!$B$12,Constants!$B$11)))</f>
        <v/>
      </c>
      <c r="AL316" s="59" t="str">
        <f aca="false">IF($AJ316=Constants!$B$7,IF(Z316="",Constants!$B$13,Z316),"")</f>
        <v/>
      </c>
      <c r="AM316" s="59" t="str">
        <f aca="false">IF($AJ316=Constants!$B$7,IF(AB316="",Constants!$B$13,AB316),"")</f>
        <v/>
      </c>
      <c r="AN316" s="59" t="str">
        <f aca="false">IF($AJ316=Constants!$B$7,IF(AD316="",Constants!$B$13,AD316),"")</f>
        <v/>
      </c>
      <c r="AO316" s="59" t="str">
        <f aca="false">IF($AJ316=Constants!$B$7,IF(AF316="",Constants!$B$13,AF316),"")</f>
        <v/>
      </c>
      <c r="AP316" s="59" t="str">
        <f aca="false">IF($AJ316=Constants!$B$7,IF(AH316="",Constants!$B$13,AH316),"")</f>
        <v/>
      </c>
      <c r="AQ316" s="59" t="str">
        <f aca="false">IF($AJ316=Constants!$B$7,IF(SUMPRODUCT(--($AL316:$AP316&gt;AL316))+SUMPRODUCT(--($AL316:AL316=AL316))=1,1,IF(SUMPRODUCT(--($AL316:$AP316&gt;AM316))+SUMPRODUCT(--($AL316:AM316=AM316))=1,2,IF(SUMPRODUCT(--($AL316:$AP316&gt;AN316))+SUMPRODUCT(--($AL316:AN316=AN316))=1,3,IF(SUMPRODUCT(--($AL316:$AP316&gt;AO316))+SUMPRODUCT(--($AL316:AO316=AO316))=1,4,5)))),"")</f>
        <v/>
      </c>
      <c r="AR316" s="59" t="str">
        <f aca="false">IF($AJ316=Constants!$B$7,IF(SUMPRODUCT(--($AL316:$AP316&gt;AL316))+SUMPRODUCT(--($AL316:AL316=AL316))=2,1,IF(SUMPRODUCT(--($AL316:$AP316&gt;AM316))+SUMPRODUCT(--($AL316:AM316=AM316))=2,2,IF(SUMPRODUCT(--($AL316:$AP316&gt;AN316))+SUMPRODUCT(--($AL316:AN316=AN316))=2,3,IF(SUMPRODUCT(--($AL316:$AP316&gt;AO316))+SUMPRODUCT(--($AL316:AO316=AO316))=2,4,5)))),"")</f>
        <v/>
      </c>
      <c r="AS316" s="59" t="str">
        <f aca="false">IF($AJ316=Constants!$B$7,IF(SUMPRODUCT(--($AL316:$AP316&gt;AL316))+SUMPRODUCT(--($AL316:AL316=AL316))=3,1,IF(SUMPRODUCT(--($AL316:$AP316&gt;AM316))+SUMPRODUCT(--($AL316:AM316=AM316))=3,2,IF(SUMPRODUCT(--($AL316:$AP316&gt;AN316))+SUMPRODUCT(--($AL316:AN316=AN316))=3,3,IF(SUMPRODUCT(--($AL316:$AP316&gt;AO316))+SUMPRODUCT(--($AL316:AO316=AO316))=3,4,5)))),"")</f>
        <v/>
      </c>
      <c r="AT316" s="59" t="str">
        <f aca="false">IF($AJ316=Constants!$B$7,LARGE(AL316:AP316,1)+LARGE(AL316:AP316,2)+LARGE(AL316:AP316,3),"")</f>
        <v/>
      </c>
      <c r="AU316" s="59" t="str">
        <f aca="false">IF(ISBLANK($C316),"",IF($AJ316&lt;&gt;Constants!$B$7,$AJ316,AT316*W316))</f>
        <v/>
      </c>
      <c r="AV316" s="59" t="str">
        <f aca="false">IF(ISBLANK($C316),"",IF($AJ316=Constants!$B$7,IF(ISNUMBER(AU316),RANK(AU316,$AU$8:$AU$507),Constants!$B$14),$AJ316))</f>
        <v/>
      </c>
      <c r="AW316" s="59" t="str">
        <f aca="false">IF(ISBLANK($C316),"",IF($AJ316=Constants!$B$7,IF(ISNUMBER(AV316),COUNTIFS($AK$8:$AK$507,"&lt;"&amp;$AK316)+COUNTIFS($AK$8:$AK$507,$AK316,$AV$8:$AV$507,"&lt;"&amp;$AV316)+1,Constants!$B$14),$AJ316))</f>
        <v/>
      </c>
      <c r="AX316" s="59" t="str">
        <f aca="false">IF(ISBLANK($C316),"",IF($AJ316=Constants!$B$7,LARGE(AL316:AP316,4)*W316,""))</f>
        <v/>
      </c>
      <c r="AY316" s="59" t="str">
        <f aca="false">IF(ISBLANK($C316),"",IF($AJ316=Constants!$B$7,RANK(AX316,$AX$8:$AX$507),$AJ316))</f>
        <v/>
      </c>
      <c r="AZ316" s="59" t="str">
        <f aca="false">IF(ISBLANK($C316),"",IF($AJ316=Constants!$B$7,IF(ISNUMBER(AV316),COUNTIFS($AK$8:$AK$507,"&lt;"&amp;$AK316)+COUNTIFS($AK$8:$AK$507,$AK316,$AV$8:$AV$507,"&lt;"&amp;$AV316)+COUNTIFS($AK$8:$AK$507,$AK316,$AV$8:$AV$507,$AV316,$AY$8:$AY$507,"&lt;"&amp;$AY316)+1,Constants!$B$14),$AJ316))</f>
        <v/>
      </c>
      <c r="BA316" s="59" t="str">
        <f aca="false">IF(ISBLANK($C316),"",IF($AJ316=Constants!$B$7,IF(ISNUMBER(AW316),AW316-AZ316,Constants!$B$14),$AJ316))</f>
        <v/>
      </c>
      <c r="BB316" s="61"/>
      <c r="BC316" s="62" t="str">
        <f aca="false">IF(ISBLANK($C316),"",IF($AJ316&lt;&gt;Constants!$B$7,$AJ316,SMALL(AQ316:AS316,1)&amp;", "&amp;SMALL(AQ316:AS316,2)&amp;", "&amp;SMALL(AQ316:AS316,3)))</f>
        <v/>
      </c>
      <c r="BD316" s="63" t="str">
        <f aca="false">IF(ISBLANK($C316),"",IF($AJ316&lt;&gt;Constants!$B$7,$AJ316,W316))</f>
        <v/>
      </c>
      <c r="BE316" s="64" t="str">
        <f aca="false">IF(ISBLANK($C316),"",IF($AJ316&lt;&gt;Constants!$B$7,$AJ316,AU316))</f>
        <v/>
      </c>
      <c r="BF316" s="65" t="str">
        <f aca="false">IF(ISBLANK($C316),"",IF($AJ316&lt;&gt;Constants!$B$7,$AJ316,AK316))</f>
        <v/>
      </c>
      <c r="BG316" s="63" t="str">
        <f aca="false">IF(ISBLANK($C316),"",BA316)</f>
        <v/>
      </c>
      <c r="BH316" s="63" t="str">
        <f aca="false">IF(ISBLANK($C316),"",AZ316)</f>
        <v/>
      </c>
      <c r="BI316" s="66" t="str">
        <f aca="false">IF(ISBLANK($C316),"",IF(BH316=Constants!$B$4,COUNTA($C$8:$C$507)+2,IF(BH316=Constants!$B$5,COUNTA($C$8:$C$507)+1,IF(BH316=Constants!$B$6,COUNTA($C$8:$C$507),BH316))))</f>
        <v/>
      </c>
      <c r="BJ316" s="5"/>
      <c r="BK316" s="67" t="n">
        <f aca="false">IF(OR(ISNUMBER(BH316),BH316=Constants!$B$4,BH316=Constants!$B$6,BH316=Constants!$B$5),1,0)</f>
        <v>0</v>
      </c>
      <c r="BL316" s="67" t="n">
        <v>309</v>
      </c>
      <c r="BM316" s="67" t="str">
        <f aca="false">IF(ISBLANK($C316),"",IF(ISNUMBER(BI316),BI316+ROW($B316)/1000,""))</f>
        <v/>
      </c>
      <c r="BN316" s="67" t="str">
        <f aca="false">IF(ISNUMBER(BM316),RANK(BM316,$BM$8:$BM$507,1),"")</f>
        <v/>
      </c>
      <c r="BO316" s="67" t="str">
        <f aca="false">IF(ISBLANK($C316),"",$B316)</f>
        <v/>
      </c>
      <c r="BP316" s="67" t="str">
        <f aca="false">IF(ISBLANK($C316),"",$C316)</f>
        <v/>
      </c>
      <c r="BQ316" s="67" t="str">
        <f aca="false">IF(ISBLANK($C316),"",$D316)</f>
        <v/>
      </c>
      <c r="BR316" s="68" t="str">
        <f aca="false">BF316</f>
        <v/>
      </c>
      <c r="BS316" s="69" t="str">
        <f aca="false">BE316</f>
        <v/>
      </c>
      <c r="BT316" s="67" t="str">
        <f aca="false">IF(ISBLANK($C316),"",BH316)</f>
        <v/>
      </c>
      <c r="BU316" s="70" t="str">
        <f aca="false">IF($BL316&gt;$BK$7,"",VLOOKUP($BL316,$BN$8:$BT$507,7,FALSE()))</f>
        <v/>
      </c>
      <c r="BV316" s="71" t="str">
        <f aca="false">IF($BL316&gt;$BK$7,"",VLOOKUP($BL316,$BN$8:$BT$507,2,FALSE()))</f>
        <v/>
      </c>
      <c r="BW316" s="71" t="str">
        <f aca="false">IF($BL316&gt;$BK$7,"",VLOOKUP($BL316,$BN$8:$BT$507,3,FALSE()))</f>
        <v/>
      </c>
      <c r="BX316" s="71" t="str">
        <f aca="false">IF($BL316&gt;$BK$7,"",VLOOKUP($BL316,$BN$8:$BT$507,4,FALSE()))</f>
        <v/>
      </c>
      <c r="BY316" s="71" t="str">
        <f aca="false">IF($BL316&gt;$BK$7,"",VLOOKUP($BL316,$BN$8:$BT$507,5,FALSE()))</f>
        <v/>
      </c>
      <c r="BZ316" s="72" t="str">
        <f aca="false">IF($BL316&gt;$BK$7,"",VLOOKUP($BL316,$BN$8:$BT$507,6,FALSE()))</f>
        <v/>
      </c>
      <c r="CA316" s="48"/>
    </row>
    <row r="317" customFormat="false" ht="15.75" hidden="false" customHeight="false" outlineLevel="0" collapsed="false">
      <c r="A317" s="5"/>
      <c r="B317" s="114"/>
      <c r="C317" s="115"/>
      <c r="D317" s="100"/>
      <c r="E317" s="120"/>
      <c r="F317" s="125"/>
      <c r="G317" s="82"/>
      <c r="H317" s="126"/>
      <c r="I317" s="127"/>
      <c r="J317" s="82"/>
      <c r="K317" s="126"/>
      <c r="L317" s="82"/>
      <c r="M317" s="126"/>
      <c r="N317" s="82"/>
      <c r="O317" s="126"/>
      <c r="P317" s="82"/>
      <c r="Q317" s="126"/>
      <c r="R317" s="82"/>
      <c r="S317" s="120"/>
      <c r="T317" s="86"/>
      <c r="U317" s="87" t="str">
        <f aca="false">IF(ISBLANK($C317),"",IF(E317=Constants!$B$2, TRUE(), IF(E317=Constants!$B$3, FALSE(), TRUE())))</f>
        <v/>
      </c>
      <c r="V317" s="87" t="str">
        <f aca="false">IF(ISBLANK($C317),"",IF(F317=Constants!$B$2, TRUE(), IF(F317=Constants!$B$3, FALSE(), TRUE())))</f>
        <v/>
      </c>
      <c r="W317" s="87" t="str">
        <f aca="false">IF(ISBLANK($C317),"",IF(G317=Constants!$B$15,Constants!$B$8,IF(G317=Constants!$B$16,Constants!$B$9,Constants!$B$10)))</f>
        <v/>
      </c>
      <c r="X317" s="87" t="str">
        <f aca="false">IF(ISBLANK($C317),"",IF(H317=Constants!$B$2, TRUE(), IF(H317=Constants!$B$3, FALSE(), TRUE())))</f>
        <v/>
      </c>
      <c r="Y317" s="87" t="str">
        <f aca="false">IF(ISBLANK($C317),"",IF(I317=Constants!$B$19,Constants!$B$19,Constants!$B$18))</f>
        <v/>
      </c>
      <c r="Z317" s="87" t="str">
        <f aca="false">IF(ISBLANK($C317),"",IF(ISNUMBER(J317),IF(J317&gt;=0,J317,""),""))</f>
        <v/>
      </c>
      <c r="AA317" s="87" t="str">
        <f aca="false">IF(ISBLANK($C317),"",IF(K317=Constants!$B$19,Constants!$B$19,Constants!$B$18))</f>
        <v/>
      </c>
      <c r="AB317" s="87" t="str">
        <f aca="false">IF(ISBLANK($C317),"",IF(ISNUMBER(L317),IF(L317&gt;=0,L317,""),""))</f>
        <v/>
      </c>
      <c r="AC317" s="87" t="str">
        <f aca="false">IF(ISBLANK($C317),"",IF(M317=Constants!$B$19,Constants!$B$19,Constants!$B$18))</f>
        <v/>
      </c>
      <c r="AD317" s="87" t="str">
        <f aca="false">IF(ISBLANK($C317),"",IF(ISNUMBER(N317),IF(N317&gt;=0,N317,""),""))</f>
        <v/>
      </c>
      <c r="AE317" s="87" t="str">
        <f aca="false">IF(ISBLANK($C317),"",IF(O317=Constants!$B$19,Constants!$B$19,Constants!$B$18))</f>
        <v/>
      </c>
      <c r="AF317" s="87" t="str">
        <f aca="false">IF(ISBLANK($C317),"",IF(ISNUMBER(P317),IF(P317&gt;=0,P317,""),""))</f>
        <v/>
      </c>
      <c r="AG317" s="87" t="str">
        <f aca="false">IF(ISBLANK($C317),"",IF(Q317=Constants!$B$19,Constants!$B$19,Constants!$B$18))</f>
        <v/>
      </c>
      <c r="AH317" s="87" t="str">
        <f aca="false">IF(ISBLANK($C317),"",IF(ISNUMBER(R317),IF(R317&gt;=0,R317,""),""))</f>
        <v/>
      </c>
      <c r="AI317" s="87" t="str">
        <f aca="false">IF(ISBLANK($C317),"",IF(S317=Constants!$B$2, TRUE(), IF(S317=Constants!$B$3, FALSE(), FALSE())))</f>
        <v/>
      </c>
      <c r="AJ317" s="87" t="str">
        <f aca="false">IF(ISBLANK($C317),"",IF(AI317,Constants!$B$4,IF(COUNTA(E317:R317)=0,Constants!$B$5,IF(COUNTA(J317,L317,N317,P317,R317)=0,Constants!$B$6,Constants!$B$7))))</f>
        <v/>
      </c>
      <c r="AK317" s="87" t="str">
        <f aca="false">IF(ISBLANK($C317),"",IF($AJ317&lt;&gt;Constants!$B$7,$AJ317,IF(OR(NOT(X317),AND(NOT(U317),COUNTIFS(Y317:AG317,Constants!$B$18,Z317:AH317,"&gt;=0")&gt;0),AND(NOT(V317),COUNTIFS(Y317:AG317,Constants!$B$19,Z317:AH317,"&gt;=0")&gt;0)),Constants!$B$12,Constants!$B$11)))</f>
        <v/>
      </c>
      <c r="AL317" s="87" t="str">
        <f aca="false">IF($AJ317=Constants!$B$7,IF(Z317="",Constants!$B$13,Z317),"")</f>
        <v/>
      </c>
      <c r="AM317" s="87" t="str">
        <f aca="false">IF($AJ317=Constants!$B$7,IF(AB317="",Constants!$B$13,AB317),"")</f>
        <v/>
      </c>
      <c r="AN317" s="87" t="str">
        <f aca="false">IF($AJ317=Constants!$B$7,IF(AD317="",Constants!$B$13,AD317),"")</f>
        <v/>
      </c>
      <c r="AO317" s="87" t="str">
        <f aca="false">IF($AJ317=Constants!$B$7,IF(AF317="",Constants!$B$13,AF317),"")</f>
        <v/>
      </c>
      <c r="AP317" s="87" t="str">
        <f aca="false">IF($AJ317=Constants!$B$7,IF(AH317="",Constants!$B$13,AH317),"")</f>
        <v/>
      </c>
      <c r="AQ317" s="87" t="str">
        <f aca="false">IF($AJ317=Constants!$B$7,IF(SUMPRODUCT(--($AL317:$AP317&gt;AL317))+SUMPRODUCT(--($AL317:AL317=AL317))=1,1,IF(SUMPRODUCT(--($AL317:$AP317&gt;AM317))+SUMPRODUCT(--($AL317:AM317=AM317))=1,2,IF(SUMPRODUCT(--($AL317:$AP317&gt;AN317))+SUMPRODUCT(--($AL317:AN317=AN317))=1,3,IF(SUMPRODUCT(--($AL317:$AP317&gt;AO317))+SUMPRODUCT(--($AL317:AO317=AO317))=1,4,5)))),"")</f>
        <v/>
      </c>
      <c r="AR317" s="87" t="str">
        <f aca="false">IF($AJ317=Constants!$B$7,IF(SUMPRODUCT(--($AL317:$AP317&gt;AL317))+SUMPRODUCT(--($AL317:AL317=AL317))=2,1,IF(SUMPRODUCT(--($AL317:$AP317&gt;AM317))+SUMPRODUCT(--($AL317:AM317=AM317))=2,2,IF(SUMPRODUCT(--($AL317:$AP317&gt;AN317))+SUMPRODUCT(--($AL317:AN317=AN317))=2,3,IF(SUMPRODUCT(--($AL317:$AP317&gt;AO317))+SUMPRODUCT(--($AL317:AO317=AO317))=2,4,5)))),"")</f>
        <v/>
      </c>
      <c r="AS317" s="87" t="str">
        <f aca="false">IF($AJ317=Constants!$B$7,IF(SUMPRODUCT(--($AL317:$AP317&gt;AL317))+SUMPRODUCT(--($AL317:AL317=AL317))=3,1,IF(SUMPRODUCT(--($AL317:$AP317&gt;AM317))+SUMPRODUCT(--($AL317:AM317=AM317))=3,2,IF(SUMPRODUCT(--($AL317:$AP317&gt;AN317))+SUMPRODUCT(--($AL317:AN317=AN317))=3,3,IF(SUMPRODUCT(--($AL317:$AP317&gt;AO317))+SUMPRODUCT(--($AL317:AO317=AO317))=3,4,5)))),"")</f>
        <v/>
      </c>
      <c r="AT317" s="87" t="str">
        <f aca="false">IF($AJ317=Constants!$B$7,LARGE(AL317:AP317,1)+LARGE(AL317:AP317,2)+LARGE(AL317:AP317,3),"")</f>
        <v/>
      </c>
      <c r="AU317" s="87" t="str">
        <f aca="false">IF(ISBLANK($C317),"",IF($AJ317&lt;&gt;Constants!$B$7,$AJ317,AT317*W317))</f>
        <v/>
      </c>
      <c r="AV317" s="87" t="str">
        <f aca="false">IF(ISBLANK($C317),"",IF($AJ317=Constants!$B$7,IF(ISNUMBER(AU317),RANK(AU317,$AU$8:$AU$507),Constants!$B$14),$AJ317))</f>
        <v/>
      </c>
      <c r="AW317" s="87" t="str">
        <f aca="false">IF(ISBLANK($C317),"",IF($AJ317=Constants!$B$7,IF(ISNUMBER(AV317),COUNTIFS($AK$8:$AK$507,"&lt;"&amp;$AK317)+COUNTIFS($AK$8:$AK$507,$AK317,$AV$8:$AV$507,"&lt;"&amp;$AV317)+1,Constants!$B$14),$AJ317))</f>
        <v/>
      </c>
      <c r="AX317" s="87" t="str">
        <f aca="false">IF(ISBLANK($C317),"",IF($AJ317=Constants!$B$7,LARGE(AL317:AP317,4)*W317,""))</f>
        <v/>
      </c>
      <c r="AY317" s="87" t="str">
        <f aca="false">IF(ISBLANK($C317),"",IF($AJ317=Constants!$B$7,RANK(AX317,$AX$8:$AX$507),$AJ317))</f>
        <v/>
      </c>
      <c r="AZ317" s="87" t="str">
        <f aca="false">IF(ISBLANK($C317),"",IF($AJ317=Constants!$B$7,IF(ISNUMBER(AV317),COUNTIFS($AK$8:$AK$507,"&lt;"&amp;$AK317)+COUNTIFS($AK$8:$AK$507,$AK317,$AV$8:$AV$507,"&lt;"&amp;$AV317)+COUNTIFS($AK$8:$AK$507,$AK317,$AV$8:$AV$507,$AV317,$AY$8:$AY$507,"&lt;"&amp;$AY317)+1,Constants!$B$14),$AJ317))</f>
        <v/>
      </c>
      <c r="BA317" s="87" t="str">
        <f aca="false">IF(ISBLANK($C317),"",IF($AJ317=Constants!$B$7,IF(ISNUMBER(AW317),AW317-AZ317,Constants!$B$14),$AJ317))</f>
        <v/>
      </c>
      <c r="BB317" s="88"/>
      <c r="BC317" s="89" t="str">
        <f aca="false">IF(ISBLANK($C317),"",IF($AJ317&lt;&gt;Constants!$B$7,$AJ317,SMALL(AQ317:AS317,1)&amp;", "&amp;SMALL(AQ317:AS317,2)&amp;", "&amp;SMALL(AQ317:AS317,3)))</f>
        <v/>
      </c>
      <c r="BD317" s="90" t="str">
        <f aca="false">IF(ISBLANK($C317),"",IF($AJ317&lt;&gt;Constants!$B$7,$AJ317,W317))</f>
        <v/>
      </c>
      <c r="BE317" s="91" t="str">
        <f aca="false">IF(ISBLANK($C317),"",IF($AJ317&lt;&gt;Constants!$B$7,$AJ317,AU317))</f>
        <v/>
      </c>
      <c r="BF317" s="92" t="str">
        <f aca="false">IF(ISBLANK($C317),"",IF($AJ317&lt;&gt;Constants!$B$7,$AJ317,AK317))</f>
        <v/>
      </c>
      <c r="BG317" s="90" t="str">
        <f aca="false">IF(ISBLANK($C317),"",BA317)</f>
        <v/>
      </c>
      <c r="BH317" s="90" t="str">
        <f aca="false">IF(ISBLANK($C317),"",AZ317)</f>
        <v/>
      </c>
      <c r="BI317" s="93" t="str">
        <f aca="false">IF(ISBLANK($C317),"",IF(BH317=Constants!$B$4,COUNTA($C$8:$C$507)+2,IF(BH317=Constants!$B$5,COUNTA($C$8:$C$507)+1,IF(BH317=Constants!$B$6,COUNTA($C$8:$C$507),BH317))))</f>
        <v/>
      </c>
      <c r="BJ317" s="5"/>
      <c r="BK317" s="94" t="n">
        <f aca="false">IF(OR(ISNUMBER(BH317),BH317=Constants!$B$4,BH317=Constants!$B$6,BH317=Constants!$B$5),1,0)</f>
        <v>0</v>
      </c>
      <c r="BL317" s="94" t="n">
        <v>310</v>
      </c>
      <c r="BM317" s="94" t="str">
        <f aca="false">IF(ISBLANK($C317),"",IF(ISNUMBER(BI317),BI317+ROW($B317)/1000,""))</f>
        <v/>
      </c>
      <c r="BN317" s="94" t="str">
        <f aca="false">IF(ISNUMBER(BM317),RANK(BM317,$BM$8:$BM$507,1),"")</f>
        <v/>
      </c>
      <c r="BO317" s="94" t="str">
        <f aca="false">IF(ISBLANK($C317),"",$B317)</f>
        <v/>
      </c>
      <c r="BP317" s="94" t="str">
        <f aca="false">IF(ISBLANK($C317),"",$C317)</f>
        <v/>
      </c>
      <c r="BQ317" s="94" t="str">
        <f aca="false">IF(ISBLANK($C317),"",$D317)</f>
        <v/>
      </c>
      <c r="BR317" s="95" t="str">
        <f aca="false">BF317</f>
        <v/>
      </c>
      <c r="BS317" s="96" t="str">
        <f aca="false">BE317</f>
        <v/>
      </c>
      <c r="BT317" s="94" t="str">
        <f aca="false">IF(ISBLANK($C317),"",BH317)</f>
        <v/>
      </c>
      <c r="BU317" s="97" t="str">
        <f aca="false">IF($BL317&gt;$BK$7,"",VLOOKUP($BL317,$BN$8:$BT$507,7,FALSE()))</f>
        <v/>
      </c>
      <c r="BV317" s="98" t="str">
        <f aca="false">IF($BL317&gt;$BK$7,"",VLOOKUP($BL317,$BN$8:$BT$507,2,FALSE()))</f>
        <v/>
      </c>
      <c r="BW317" s="98" t="str">
        <f aca="false">IF($BL317&gt;$BK$7,"",VLOOKUP($BL317,$BN$8:$BT$507,3,FALSE()))</f>
        <v/>
      </c>
      <c r="BX317" s="98" t="str">
        <f aca="false">IF($BL317&gt;$BK$7,"",VLOOKUP($BL317,$BN$8:$BT$507,4,FALSE()))</f>
        <v/>
      </c>
      <c r="BY317" s="98" t="str">
        <f aca="false">IF($BL317&gt;$BK$7,"",VLOOKUP($BL317,$BN$8:$BT$507,5,FALSE()))</f>
        <v/>
      </c>
      <c r="BZ317" s="99" t="str">
        <f aca="false">IF($BL317&gt;$BK$7,"",VLOOKUP($BL317,$BN$8:$BT$507,6,FALSE()))</f>
        <v/>
      </c>
      <c r="CA317" s="48"/>
    </row>
    <row r="318" customFormat="false" ht="15.75" hidden="false" customHeight="false" outlineLevel="0" collapsed="false">
      <c r="A318" s="5"/>
      <c r="B318" s="114"/>
      <c r="C318" s="115"/>
      <c r="D318" s="100"/>
      <c r="E318" s="120"/>
      <c r="F318" s="125"/>
      <c r="G318" s="82"/>
      <c r="H318" s="126"/>
      <c r="I318" s="127"/>
      <c r="J318" s="82"/>
      <c r="K318" s="126"/>
      <c r="L318" s="82"/>
      <c r="M318" s="126"/>
      <c r="N318" s="82"/>
      <c r="O318" s="126"/>
      <c r="P318" s="82"/>
      <c r="Q318" s="126"/>
      <c r="R318" s="82"/>
      <c r="S318" s="120"/>
      <c r="T318" s="86"/>
      <c r="U318" s="87" t="str">
        <f aca="false">IF(ISBLANK($C318),"",IF(E318=Constants!$B$2, TRUE(), IF(E318=Constants!$B$3, FALSE(), TRUE())))</f>
        <v/>
      </c>
      <c r="V318" s="87" t="str">
        <f aca="false">IF(ISBLANK($C318),"",IF(F318=Constants!$B$2, TRUE(), IF(F318=Constants!$B$3, FALSE(), TRUE())))</f>
        <v/>
      </c>
      <c r="W318" s="87" t="str">
        <f aca="false">IF(ISBLANK($C318),"",IF(G318=Constants!$B$15,Constants!$B$8,IF(G318=Constants!$B$16,Constants!$B$9,Constants!$B$10)))</f>
        <v/>
      </c>
      <c r="X318" s="87" t="str">
        <f aca="false">IF(ISBLANK($C318),"",IF(H318=Constants!$B$2, TRUE(), IF(H318=Constants!$B$3, FALSE(), TRUE())))</f>
        <v/>
      </c>
      <c r="Y318" s="87" t="str">
        <f aca="false">IF(ISBLANK($C318),"",IF(I318=Constants!$B$19,Constants!$B$19,Constants!$B$18))</f>
        <v/>
      </c>
      <c r="Z318" s="87" t="str">
        <f aca="false">IF(ISBLANK($C318),"",IF(ISNUMBER(J318),IF(J318&gt;=0,J318,""),""))</f>
        <v/>
      </c>
      <c r="AA318" s="87" t="str">
        <f aca="false">IF(ISBLANK($C318),"",IF(K318=Constants!$B$19,Constants!$B$19,Constants!$B$18))</f>
        <v/>
      </c>
      <c r="AB318" s="87" t="str">
        <f aca="false">IF(ISBLANK($C318),"",IF(ISNUMBER(L318),IF(L318&gt;=0,L318,""),""))</f>
        <v/>
      </c>
      <c r="AC318" s="87" t="str">
        <f aca="false">IF(ISBLANK($C318),"",IF(M318=Constants!$B$19,Constants!$B$19,Constants!$B$18))</f>
        <v/>
      </c>
      <c r="AD318" s="87" t="str">
        <f aca="false">IF(ISBLANK($C318),"",IF(ISNUMBER(N318),IF(N318&gt;=0,N318,""),""))</f>
        <v/>
      </c>
      <c r="AE318" s="87" t="str">
        <f aca="false">IF(ISBLANK($C318),"",IF(O318=Constants!$B$19,Constants!$B$19,Constants!$B$18))</f>
        <v/>
      </c>
      <c r="AF318" s="87" t="str">
        <f aca="false">IF(ISBLANK($C318),"",IF(ISNUMBER(P318),IF(P318&gt;=0,P318,""),""))</f>
        <v/>
      </c>
      <c r="AG318" s="87" t="str">
        <f aca="false">IF(ISBLANK($C318),"",IF(Q318=Constants!$B$19,Constants!$B$19,Constants!$B$18))</f>
        <v/>
      </c>
      <c r="AH318" s="87" t="str">
        <f aca="false">IF(ISBLANK($C318),"",IF(ISNUMBER(R318),IF(R318&gt;=0,R318,""),""))</f>
        <v/>
      </c>
      <c r="AI318" s="87" t="str">
        <f aca="false">IF(ISBLANK($C318),"",IF(S318=Constants!$B$2, TRUE(), IF(S318=Constants!$B$3, FALSE(), FALSE())))</f>
        <v/>
      </c>
      <c r="AJ318" s="87" t="str">
        <f aca="false">IF(ISBLANK($C318),"",IF(AI318,Constants!$B$4,IF(COUNTA(E318:R318)=0,Constants!$B$5,IF(COUNTA(J318,L318,N318,P318,R318)=0,Constants!$B$6,Constants!$B$7))))</f>
        <v/>
      </c>
      <c r="AK318" s="87" t="str">
        <f aca="false">IF(ISBLANK($C318),"",IF($AJ318&lt;&gt;Constants!$B$7,$AJ318,IF(OR(NOT(X318),AND(NOT(U318),COUNTIFS(Y318:AG318,Constants!$B$18,Z318:AH318,"&gt;=0")&gt;0),AND(NOT(V318),COUNTIFS(Y318:AG318,Constants!$B$19,Z318:AH318,"&gt;=0")&gt;0)),Constants!$B$12,Constants!$B$11)))</f>
        <v/>
      </c>
      <c r="AL318" s="87" t="str">
        <f aca="false">IF($AJ318=Constants!$B$7,IF(Z318="",Constants!$B$13,Z318),"")</f>
        <v/>
      </c>
      <c r="AM318" s="87" t="str">
        <f aca="false">IF($AJ318=Constants!$B$7,IF(AB318="",Constants!$B$13,AB318),"")</f>
        <v/>
      </c>
      <c r="AN318" s="87" t="str">
        <f aca="false">IF($AJ318=Constants!$B$7,IF(AD318="",Constants!$B$13,AD318),"")</f>
        <v/>
      </c>
      <c r="AO318" s="87" t="str">
        <f aca="false">IF($AJ318=Constants!$B$7,IF(AF318="",Constants!$B$13,AF318),"")</f>
        <v/>
      </c>
      <c r="AP318" s="87" t="str">
        <f aca="false">IF($AJ318=Constants!$B$7,IF(AH318="",Constants!$B$13,AH318),"")</f>
        <v/>
      </c>
      <c r="AQ318" s="87" t="str">
        <f aca="false">IF($AJ318=Constants!$B$7,IF(SUMPRODUCT(--($AL318:$AP318&gt;AL318))+SUMPRODUCT(--($AL318:AL318=AL318))=1,1,IF(SUMPRODUCT(--($AL318:$AP318&gt;AM318))+SUMPRODUCT(--($AL318:AM318=AM318))=1,2,IF(SUMPRODUCT(--($AL318:$AP318&gt;AN318))+SUMPRODUCT(--($AL318:AN318=AN318))=1,3,IF(SUMPRODUCT(--($AL318:$AP318&gt;AO318))+SUMPRODUCT(--($AL318:AO318=AO318))=1,4,5)))),"")</f>
        <v/>
      </c>
      <c r="AR318" s="87" t="str">
        <f aca="false">IF($AJ318=Constants!$B$7,IF(SUMPRODUCT(--($AL318:$AP318&gt;AL318))+SUMPRODUCT(--($AL318:AL318=AL318))=2,1,IF(SUMPRODUCT(--($AL318:$AP318&gt;AM318))+SUMPRODUCT(--($AL318:AM318=AM318))=2,2,IF(SUMPRODUCT(--($AL318:$AP318&gt;AN318))+SUMPRODUCT(--($AL318:AN318=AN318))=2,3,IF(SUMPRODUCT(--($AL318:$AP318&gt;AO318))+SUMPRODUCT(--($AL318:AO318=AO318))=2,4,5)))),"")</f>
        <v/>
      </c>
      <c r="AS318" s="87" t="str">
        <f aca="false">IF($AJ318=Constants!$B$7,IF(SUMPRODUCT(--($AL318:$AP318&gt;AL318))+SUMPRODUCT(--($AL318:AL318=AL318))=3,1,IF(SUMPRODUCT(--($AL318:$AP318&gt;AM318))+SUMPRODUCT(--($AL318:AM318=AM318))=3,2,IF(SUMPRODUCT(--($AL318:$AP318&gt;AN318))+SUMPRODUCT(--($AL318:AN318=AN318))=3,3,IF(SUMPRODUCT(--($AL318:$AP318&gt;AO318))+SUMPRODUCT(--($AL318:AO318=AO318))=3,4,5)))),"")</f>
        <v/>
      </c>
      <c r="AT318" s="87" t="str">
        <f aca="false">IF($AJ318=Constants!$B$7,LARGE(AL318:AP318,1)+LARGE(AL318:AP318,2)+LARGE(AL318:AP318,3),"")</f>
        <v/>
      </c>
      <c r="AU318" s="87" t="str">
        <f aca="false">IF(ISBLANK($C318),"",IF($AJ318&lt;&gt;Constants!$B$7,$AJ318,AT318*W318))</f>
        <v/>
      </c>
      <c r="AV318" s="87" t="str">
        <f aca="false">IF(ISBLANK($C318),"",IF($AJ318=Constants!$B$7,IF(ISNUMBER(AU318),RANK(AU318,$AU$8:$AU$507),Constants!$B$14),$AJ318))</f>
        <v/>
      </c>
      <c r="AW318" s="87" t="str">
        <f aca="false">IF(ISBLANK($C318),"",IF($AJ318=Constants!$B$7,IF(ISNUMBER(AV318),COUNTIFS($AK$8:$AK$507,"&lt;"&amp;$AK318)+COUNTIFS($AK$8:$AK$507,$AK318,$AV$8:$AV$507,"&lt;"&amp;$AV318)+1,Constants!$B$14),$AJ318))</f>
        <v/>
      </c>
      <c r="AX318" s="87" t="str">
        <f aca="false">IF(ISBLANK($C318),"",IF($AJ318=Constants!$B$7,LARGE(AL318:AP318,4)*W318,""))</f>
        <v/>
      </c>
      <c r="AY318" s="87" t="str">
        <f aca="false">IF(ISBLANK($C318),"",IF($AJ318=Constants!$B$7,RANK(AX318,$AX$8:$AX$507),$AJ318))</f>
        <v/>
      </c>
      <c r="AZ318" s="87" t="str">
        <f aca="false">IF(ISBLANK($C318),"",IF($AJ318=Constants!$B$7,IF(ISNUMBER(AV318),COUNTIFS($AK$8:$AK$507,"&lt;"&amp;$AK318)+COUNTIFS($AK$8:$AK$507,$AK318,$AV$8:$AV$507,"&lt;"&amp;$AV318)+COUNTIFS($AK$8:$AK$507,$AK318,$AV$8:$AV$507,$AV318,$AY$8:$AY$507,"&lt;"&amp;$AY318)+1,Constants!$B$14),$AJ318))</f>
        <v/>
      </c>
      <c r="BA318" s="87" t="str">
        <f aca="false">IF(ISBLANK($C318),"",IF($AJ318=Constants!$B$7,IF(ISNUMBER(AW318),AW318-AZ318,Constants!$B$14),$AJ318))</f>
        <v/>
      </c>
      <c r="BB318" s="88"/>
      <c r="BC318" s="89" t="str">
        <f aca="false">IF(ISBLANK($C318),"",IF($AJ318&lt;&gt;Constants!$B$7,$AJ318,SMALL(AQ318:AS318,1)&amp;", "&amp;SMALL(AQ318:AS318,2)&amp;", "&amp;SMALL(AQ318:AS318,3)))</f>
        <v/>
      </c>
      <c r="BD318" s="90" t="str">
        <f aca="false">IF(ISBLANK($C318),"",IF($AJ318&lt;&gt;Constants!$B$7,$AJ318,W318))</f>
        <v/>
      </c>
      <c r="BE318" s="91" t="str">
        <f aca="false">IF(ISBLANK($C318),"",IF($AJ318&lt;&gt;Constants!$B$7,$AJ318,AU318))</f>
        <v/>
      </c>
      <c r="BF318" s="92" t="str">
        <f aca="false">IF(ISBLANK($C318),"",IF($AJ318&lt;&gt;Constants!$B$7,$AJ318,AK318))</f>
        <v/>
      </c>
      <c r="BG318" s="90" t="str">
        <f aca="false">IF(ISBLANK($C318),"",BA318)</f>
        <v/>
      </c>
      <c r="BH318" s="90" t="str">
        <f aca="false">IF(ISBLANK($C318),"",AZ318)</f>
        <v/>
      </c>
      <c r="BI318" s="93" t="str">
        <f aca="false">IF(ISBLANK($C318),"",IF(BH318=Constants!$B$4,COUNTA($C$8:$C$507)+2,IF(BH318=Constants!$B$5,COUNTA($C$8:$C$507)+1,IF(BH318=Constants!$B$6,COUNTA($C$8:$C$507),BH318))))</f>
        <v/>
      </c>
      <c r="BJ318" s="5"/>
      <c r="BK318" s="94" t="n">
        <f aca="false">IF(OR(ISNUMBER(BH318),BH318=Constants!$B$4,BH318=Constants!$B$6,BH318=Constants!$B$5),1,0)</f>
        <v>0</v>
      </c>
      <c r="BL318" s="94" t="n">
        <v>311</v>
      </c>
      <c r="BM318" s="94" t="str">
        <f aca="false">IF(ISBLANK($C318),"",IF(ISNUMBER(BI318),BI318+ROW($B318)/1000,""))</f>
        <v/>
      </c>
      <c r="BN318" s="94" t="str">
        <f aca="false">IF(ISNUMBER(BM318),RANK(BM318,$BM$8:$BM$507,1),"")</f>
        <v/>
      </c>
      <c r="BO318" s="94" t="str">
        <f aca="false">IF(ISBLANK($C318),"",$B318)</f>
        <v/>
      </c>
      <c r="BP318" s="94" t="str">
        <f aca="false">IF(ISBLANK($C318),"",$C318)</f>
        <v/>
      </c>
      <c r="BQ318" s="94" t="str">
        <f aca="false">IF(ISBLANK($C318),"",$D318)</f>
        <v/>
      </c>
      <c r="BR318" s="95" t="str">
        <f aca="false">BF318</f>
        <v/>
      </c>
      <c r="BS318" s="96" t="str">
        <f aca="false">BE318</f>
        <v/>
      </c>
      <c r="BT318" s="94" t="str">
        <f aca="false">IF(ISBLANK($C318),"",BH318)</f>
        <v/>
      </c>
      <c r="BU318" s="97" t="str">
        <f aca="false">IF($BL318&gt;$BK$7,"",VLOOKUP($BL318,$BN$8:$BT$507,7,FALSE()))</f>
        <v/>
      </c>
      <c r="BV318" s="98" t="str">
        <f aca="false">IF($BL318&gt;$BK$7,"",VLOOKUP($BL318,$BN$8:$BT$507,2,FALSE()))</f>
        <v/>
      </c>
      <c r="BW318" s="98" t="str">
        <f aca="false">IF($BL318&gt;$BK$7,"",VLOOKUP($BL318,$BN$8:$BT$507,3,FALSE()))</f>
        <v/>
      </c>
      <c r="BX318" s="98" t="str">
        <f aca="false">IF($BL318&gt;$BK$7,"",VLOOKUP($BL318,$BN$8:$BT$507,4,FALSE()))</f>
        <v/>
      </c>
      <c r="BY318" s="98" t="str">
        <f aca="false">IF($BL318&gt;$BK$7,"",VLOOKUP($BL318,$BN$8:$BT$507,5,FALSE()))</f>
        <v/>
      </c>
      <c r="BZ318" s="99" t="str">
        <f aca="false">IF($BL318&gt;$BK$7,"",VLOOKUP($BL318,$BN$8:$BT$507,6,FALSE()))</f>
        <v/>
      </c>
      <c r="CA318" s="48"/>
    </row>
    <row r="319" customFormat="false" ht="15.75" hidden="false" customHeight="false" outlineLevel="0" collapsed="false">
      <c r="A319" s="5"/>
      <c r="B319" s="114"/>
      <c r="C319" s="115"/>
      <c r="D319" s="100"/>
      <c r="E319" s="120"/>
      <c r="F319" s="125"/>
      <c r="G319" s="82"/>
      <c r="H319" s="126"/>
      <c r="I319" s="127"/>
      <c r="J319" s="82"/>
      <c r="K319" s="126"/>
      <c r="L319" s="82"/>
      <c r="M319" s="126"/>
      <c r="N319" s="82"/>
      <c r="O319" s="126"/>
      <c r="P319" s="82"/>
      <c r="Q319" s="126"/>
      <c r="R319" s="82"/>
      <c r="S319" s="120"/>
      <c r="T319" s="86"/>
      <c r="U319" s="87" t="str">
        <f aca="false">IF(ISBLANK($C319),"",IF(E319=Constants!$B$2, TRUE(), IF(E319=Constants!$B$3, FALSE(), TRUE())))</f>
        <v/>
      </c>
      <c r="V319" s="87" t="str">
        <f aca="false">IF(ISBLANK($C319),"",IF(F319=Constants!$B$2, TRUE(), IF(F319=Constants!$B$3, FALSE(), TRUE())))</f>
        <v/>
      </c>
      <c r="W319" s="87" t="str">
        <f aca="false">IF(ISBLANK($C319),"",IF(G319=Constants!$B$15,Constants!$B$8,IF(G319=Constants!$B$16,Constants!$B$9,Constants!$B$10)))</f>
        <v/>
      </c>
      <c r="X319" s="87" t="str">
        <f aca="false">IF(ISBLANK($C319),"",IF(H319=Constants!$B$2, TRUE(), IF(H319=Constants!$B$3, FALSE(), TRUE())))</f>
        <v/>
      </c>
      <c r="Y319" s="87" t="str">
        <f aca="false">IF(ISBLANK($C319),"",IF(I319=Constants!$B$19,Constants!$B$19,Constants!$B$18))</f>
        <v/>
      </c>
      <c r="Z319" s="87" t="str">
        <f aca="false">IF(ISBLANK($C319),"",IF(ISNUMBER(J319),IF(J319&gt;=0,J319,""),""))</f>
        <v/>
      </c>
      <c r="AA319" s="87" t="str">
        <f aca="false">IF(ISBLANK($C319),"",IF(K319=Constants!$B$19,Constants!$B$19,Constants!$B$18))</f>
        <v/>
      </c>
      <c r="AB319" s="87" t="str">
        <f aca="false">IF(ISBLANK($C319),"",IF(ISNUMBER(L319),IF(L319&gt;=0,L319,""),""))</f>
        <v/>
      </c>
      <c r="AC319" s="87" t="str">
        <f aca="false">IF(ISBLANK($C319),"",IF(M319=Constants!$B$19,Constants!$B$19,Constants!$B$18))</f>
        <v/>
      </c>
      <c r="AD319" s="87" t="str">
        <f aca="false">IF(ISBLANK($C319),"",IF(ISNUMBER(N319),IF(N319&gt;=0,N319,""),""))</f>
        <v/>
      </c>
      <c r="AE319" s="87" t="str">
        <f aca="false">IF(ISBLANK($C319),"",IF(O319=Constants!$B$19,Constants!$B$19,Constants!$B$18))</f>
        <v/>
      </c>
      <c r="AF319" s="87" t="str">
        <f aca="false">IF(ISBLANK($C319),"",IF(ISNUMBER(P319),IF(P319&gt;=0,P319,""),""))</f>
        <v/>
      </c>
      <c r="AG319" s="87" t="str">
        <f aca="false">IF(ISBLANK($C319),"",IF(Q319=Constants!$B$19,Constants!$B$19,Constants!$B$18))</f>
        <v/>
      </c>
      <c r="AH319" s="87" t="str">
        <f aca="false">IF(ISBLANK($C319),"",IF(ISNUMBER(R319),IF(R319&gt;=0,R319,""),""))</f>
        <v/>
      </c>
      <c r="AI319" s="87" t="str">
        <f aca="false">IF(ISBLANK($C319),"",IF(S319=Constants!$B$2, TRUE(), IF(S319=Constants!$B$3, FALSE(), FALSE())))</f>
        <v/>
      </c>
      <c r="AJ319" s="87" t="str">
        <f aca="false">IF(ISBLANK($C319),"",IF(AI319,Constants!$B$4,IF(COUNTA(E319:R319)=0,Constants!$B$5,IF(COUNTA(J319,L319,N319,P319,R319)=0,Constants!$B$6,Constants!$B$7))))</f>
        <v/>
      </c>
      <c r="AK319" s="87" t="str">
        <f aca="false">IF(ISBLANK($C319),"",IF($AJ319&lt;&gt;Constants!$B$7,$AJ319,IF(OR(NOT(X319),AND(NOT(U319),COUNTIFS(Y319:AG319,Constants!$B$18,Z319:AH319,"&gt;=0")&gt;0),AND(NOT(V319),COUNTIFS(Y319:AG319,Constants!$B$19,Z319:AH319,"&gt;=0")&gt;0)),Constants!$B$12,Constants!$B$11)))</f>
        <v/>
      </c>
      <c r="AL319" s="87" t="str">
        <f aca="false">IF($AJ319=Constants!$B$7,IF(Z319="",Constants!$B$13,Z319),"")</f>
        <v/>
      </c>
      <c r="AM319" s="87" t="str">
        <f aca="false">IF($AJ319=Constants!$B$7,IF(AB319="",Constants!$B$13,AB319),"")</f>
        <v/>
      </c>
      <c r="AN319" s="87" t="str">
        <f aca="false">IF($AJ319=Constants!$B$7,IF(AD319="",Constants!$B$13,AD319),"")</f>
        <v/>
      </c>
      <c r="AO319" s="87" t="str">
        <f aca="false">IF($AJ319=Constants!$B$7,IF(AF319="",Constants!$B$13,AF319),"")</f>
        <v/>
      </c>
      <c r="AP319" s="87" t="str">
        <f aca="false">IF($AJ319=Constants!$B$7,IF(AH319="",Constants!$B$13,AH319),"")</f>
        <v/>
      </c>
      <c r="AQ319" s="87" t="str">
        <f aca="false">IF($AJ319=Constants!$B$7,IF(SUMPRODUCT(--($AL319:$AP319&gt;AL319))+SUMPRODUCT(--($AL319:AL319=AL319))=1,1,IF(SUMPRODUCT(--($AL319:$AP319&gt;AM319))+SUMPRODUCT(--($AL319:AM319=AM319))=1,2,IF(SUMPRODUCT(--($AL319:$AP319&gt;AN319))+SUMPRODUCT(--($AL319:AN319=AN319))=1,3,IF(SUMPRODUCT(--($AL319:$AP319&gt;AO319))+SUMPRODUCT(--($AL319:AO319=AO319))=1,4,5)))),"")</f>
        <v/>
      </c>
      <c r="AR319" s="87" t="str">
        <f aca="false">IF($AJ319=Constants!$B$7,IF(SUMPRODUCT(--($AL319:$AP319&gt;AL319))+SUMPRODUCT(--($AL319:AL319=AL319))=2,1,IF(SUMPRODUCT(--($AL319:$AP319&gt;AM319))+SUMPRODUCT(--($AL319:AM319=AM319))=2,2,IF(SUMPRODUCT(--($AL319:$AP319&gt;AN319))+SUMPRODUCT(--($AL319:AN319=AN319))=2,3,IF(SUMPRODUCT(--($AL319:$AP319&gt;AO319))+SUMPRODUCT(--($AL319:AO319=AO319))=2,4,5)))),"")</f>
        <v/>
      </c>
      <c r="AS319" s="87" t="str">
        <f aca="false">IF($AJ319=Constants!$B$7,IF(SUMPRODUCT(--($AL319:$AP319&gt;AL319))+SUMPRODUCT(--($AL319:AL319=AL319))=3,1,IF(SUMPRODUCT(--($AL319:$AP319&gt;AM319))+SUMPRODUCT(--($AL319:AM319=AM319))=3,2,IF(SUMPRODUCT(--($AL319:$AP319&gt;AN319))+SUMPRODUCT(--($AL319:AN319=AN319))=3,3,IF(SUMPRODUCT(--($AL319:$AP319&gt;AO319))+SUMPRODUCT(--($AL319:AO319=AO319))=3,4,5)))),"")</f>
        <v/>
      </c>
      <c r="AT319" s="87" t="str">
        <f aca="false">IF($AJ319=Constants!$B$7,LARGE(AL319:AP319,1)+LARGE(AL319:AP319,2)+LARGE(AL319:AP319,3),"")</f>
        <v/>
      </c>
      <c r="AU319" s="87" t="str">
        <f aca="false">IF(ISBLANK($C319),"",IF($AJ319&lt;&gt;Constants!$B$7,$AJ319,AT319*W319))</f>
        <v/>
      </c>
      <c r="AV319" s="87" t="str">
        <f aca="false">IF(ISBLANK($C319),"",IF($AJ319=Constants!$B$7,IF(ISNUMBER(AU319),RANK(AU319,$AU$8:$AU$507),Constants!$B$14),$AJ319))</f>
        <v/>
      </c>
      <c r="AW319" s="87" t="str">
        <f aca="false">IF(ISBLANK($C319),"",IF($AJ319=Constants!$B$7,IF(ISNUMBER(AV319),COUNTIFS($AK$8:$AK$507,"&lt;"&amp;$AK319)+COUNTIFS($AK$8:$AK$507,$AK319,$AV$8:$AV$507,"&lt;"&amp;$AV319)+1,Constants!$B$14),$AJ319))</f>
        <v/>
      </c>
      <c r="AX319" s="87" t="str">
        <f aca="false">IF(ISBLANK($C319),"",IF($AJ319=Constants!$B$7,LARGE(AL319:AP319,4)*W319,""))</f>
        <v/>
      </c>
      <c r="AY319" s="87" t="str">
        <f aca="false">IF(ISBLANK($C319),"",IF($AJ319=Constants!$B$7,RANK(AX319,$AX$8:$AX$507),$AJ319))</f>
        <v/>
      </c>
      <c r="AZ319" s="87" t="str">
        <f aca="false">IF(ISBLANK($C319),"",IF($AJ319=Constants!$B$7,IF(ISNUMBER(AV319),COUNTIFS($AK$8:$AK$507,"&lt;"&amp;$AK319)+COUNTIFS($AK$8:$AK$507,$AK319,$AV$8:$AV$507,"&lt;"&amp;$AV319)+COUNTIFS($AK$8:$AK$507,$AK319,$AV$8:$AV$507,$AV319,$AY$8:$AY$507,"&lt;"&amp;$AY319)+1,Constants!$B$14),$AJ319))</f>
        <v/>
      </c>
      <c r="BA319" s="87" t="str">
        <f aca="false">IF(ISBLANK($C319),"",IF($AJ319=Constants!$B$7,IF(ISNUMBER(AW319),AW319-AZ319,Constants!$B$14),$AJ319))</f>
        <v/>
      </c>
      <c r="BB319" s="88"/>
      <c r="BC319" s="89" t="str">
        <f aca="false">IF(ISBLANK($C319),"",IF($AJ319&lt;&gt;Constants!$B$7,$AJ319,SMALL(AQ319:AS319,1)&amp;", "&amp;SMALL(AQ319:AS319,2)&amp;", "&amp;SMALL(AQ319:AS319,3)))</f>
        <v/>
      </c>
      <c r="BD319" s="90" t="str">
        <f aca="false">IF(ISBLANK($C319),"",IF($AJ319&lt;&gt;Constants!$B$7,$AJ319,W319))</f>
        <v/>
      </c>
      <c r="BE319" s="91" t="str">
        <f aca="false">IF(ISBLANK($C319),"",IF($AJ319&lt;&gt;Constants!$B$7,$AJ319,AU319))</f>
        <v/>
      </c>
      <c r="BF319" s="92" t="str">
        <f aca="false">IF(ISBLANK($C319),"",IF($AJ319&lt;&gt;Constants!$B$7,$AJ319,AK319))</f>
        <v/>
      </c>
      <c r="BG319" s="90" t="str">
        <f aca="false">IF(ISBLANK($C319),"",BA319)</f>
        <v/>
      </c>
      <c r="BH319" s="90" t="str">
        <f aca="false">IF(ISBLANK($C319),"",AZ319)</f>
        <v/>
      </c>
      <c r="BI319" s="93" t="str">
        <f aca="false">IF(ISBLANK($C319),"",IF(BH319=Constants!$B$4,COUNTA($C$8:$C$507)+2,IF(BH319=Constants!$B$5,COUNTA($C$8:$C$507)+1,IF(BH319=Constants!$B$6,COUNTA($C$8:$C$507),BH319))))</f>
        <v/>
      </c>
      <c r="BJ319" s="5"/>
      <c r="BK319" s="94" t="n">
        <f aca="false">IF(OR(ISNUMBER(BH319),BH319=Constants!$B$4,BH319=Constants!$B$6,BH319=Constants!$B$5),1,0)</f>
        <v>0</v>
      </c>
      <c r="BL319" s="94" t="n">
        <v>312</v>
      </c>
      <c r="BM319" s="94" t="str">
        <f aca="false">IF(ISBLANK($C319),"",IF(ISNUMBER(BI319),BI319+ROW($B319)/1000,""))</f>
        <v/>
      </c>
      <c r="BN319" s="94" t="str">
        <f aca="false">IF(ISNUMBER(BM319),RANK(BM319,$BM$8:$BM$507,1),"")</f>
        <v/>
      </c>
      <c r="BO319" s="94" t="str">
        <f aca="false">IF(ISBLANK($C319),"",$B319)</f>
        <v/>
      </c>
      <c r="BP319" s="94" t="str">
        <f aca="false">IF(ISBLANK($C319),"",$C319)</f>
        <v/>
      </c>
      <c r="BQ319" s="94" t="str">
        <f aca="false">IF(ISBLANK($C319),"",$D319)</f>
        <v/>
      </c>
      <c r="BR319" s="95" t="str">
        <f aca="false">BF319</f>
        <v/>
      </c>
      <c r="BS319" s="96" t="str">
        <f aca="false">BE319</f>
        <v/>
      </c>
      <c r="BT319" s="94" t="str">
        <f aca="false">IF(ISBLANK($C319),"",BH319)</f>
        <v/>
      </c>
      <c r="BU319" s="97" t="str">
        <f aca="false">IF($BL319&gt;$BK$7,"",VLOOKUP($BL319,$BN$8:$BT$507,7,FALSE()))</f>
        <v/>
      </c>
      <c r="BV319" s="98" t="str">
        <f aca="false">IF($BL319&gt;$BK$7,"",VLOOKUP($BL319,$BN$8:$BT$507,2,FALSE()))</f>
        <v/>
      </c>
      <c r="BW319" s="98" t="str">
        <f aca="false">IF($BL319&gt;$BK$7,"",VLOOKUP($BL319,$BN$8:$BT$507,3,FALSE()))</f>
        <v/>
      </c>
      <c r="BX319" s="98" t="str">
        <f aca="false">IF($BL319&gt;$BK$7,"",VLOOKUP($BL319,$BN$8:$BT$507,4,FALSE()))</f>
        <v/>
      </c>
      <c r="BY319" s="98" t="str">
        <f aca="false">IF($BL319&gt;$BK$7,"",VLOOKUP($BL319,$BN$8:$BT$507,5,FALSE()))</f>
        <v/>
      </c>
      <c r="BZ319" s="99" t="str">
        <f aca="false">IF($BL319&gt;$BK$7,"",VLOOKUP($BL319,$BN$8:$BT$507,6,FALSE()))</f>
        <v/>
      </c>
      <c r="CA319" s="48"/>
    </row>
    <row r="320" customFormat="false" ht="15.75" hidden="false" customHeight="false" outlineLevel="0" collapsed="false">
      <c r="A320" s="5"/>
      <c r="B320" s="121"/>
      <c r="C320" s="50"/>
      <c r="D320" s="51"/>
      <c r="E320" s="74"/>
      <c r="F320" s="122"/>
      <c r="G320" s="54"/>
      <c r="H320" s="123"/>
      <c r="I320" s="124"/>
      <c r="J320" s="54"/>
      <c r="K320" s="123"/>
      <c r="L320" s="54"/>
      <c r="M320" s="123"/>
      <c r="N320" s="54"/>
      <c r="O320" s="123"/>
      <c r="P320" s="54"/>
      <c r="Q320" s="123"/>
      <c r="R320" s="54"/>
      <c r="S320" s="74"/>
      <c r="T320" s="58"/>
      <c r="U320" s="59" t="str">
        <f aca="false">IF(ISBLANK($C320),"",IF(E320=Constants!$B$2, TRUE(), IF(E320=Constants!$B$3, FALSE(), TRUE())))</f>
        <v/>
      </c>
      <c r="V320" s="59" t="str">
        <f aca="false">IF(ISBLANK($C320),"",IF(F320=Constants!$B$2, TRUE(), IF(F320=Constants!$B$3, FALSE(), TRUE())))</f>
        <v/>
      </c>
      <c r="W320" s="59" t="str">
        <f aca="false">IF(ISBLANK($C320),"",IF(G320=Constants!$B$15,Constants!$B$8,IF(G320=Constants!$B$16,Constants!$B$9,Constants!$B$10)))</f>
        <v/>
      </c>
      <c r="X320" s="59" t="str">
        <f aca="false">IF(ISBLANK($C320),"",IF(H320=Constants!$B$2, TRUE(), IF(H320=Constants!$B$3, FALSE(), TRUE())))</f>
        <v/>
      </c>
      <c r="Y320" s="59" t="str">
        <f aca="false">IF(ISBLANK($C320),"",IF(I320=Constants!$B$19,Constants!$B$19,Constants!$B$18))</f>
        <v/>
      </c>
      <c r="Z320" s="59" t="str">
        <f aca="false">IF(ISBLANK($C320),"",IF(ISNUMBER(J320),IF(J320&gt;=0,J320,""),""))</f>
        <v/>
      </c>
      <c r="AA320" s="59" t="str">
        <f aca="false">IF(ISBLANK($C320),"",IF(K320=Constants!$B$19,Constants!$B$19,Constants!$B$18))</f>
        <v/>
      </c>
      <c r="AB320" s="59" t="str">
        <f aca="false">IF(ISBLANK($C320),"",IF(ISNUMBER(L320),IF(L320&gt;=0,L320,""),""))</f>
        <v/>
      </c>
      <c r="AC320" s="59" t="str">
        <f aca="false">IF(ISBLANK($C320),"",IF(M320=Constants!$B$19,Constants!$B$19,Constants!$B$18))</f>
        <v/>
      </c>
      <c r="AD320" s="59" t="str">
        <f aca="false">IF(ISBLANK($C320),"",IF(ISNUMBER(N320),IF(N320&gt;=0,N320,""),""))</f>
        <v/>
      </c>
      <c r="AE320" s="59" t="str">
        <f aca="false">IF(ISBLANK($C320),"",IF(O320=Constants!$B$19,Constants!$B$19,Constants!$B$18))</f>
        <v/>
      </c>
      <c r="AF320" s="59" t="str">
        <f aca="false">IF(ISBLANK($C320),"",IF(ISNUMBER(P320),IF(P320&gt;=0,P320,""),""))</f>
        <v/>
      </c>
      <c r="AG320" s="59" t="str">
        <f aca="false">IF(ISBLANK($C320),"",IF(Q320=Constants!$B$19,Constants!$B$19,Constants!$B$18))</f>
        <v/>
      </c>
      <c r="AH320" s="59" t="str">
        <f aca="false">IF(ISBLANK($C320),"",IF(ISNUMBER(R320),IF(R320&gt;=0,R320,""),""))</f>
        <v/>
      </c>
      <c r="AI320" s="59" t="str">
        <f aca="false">IF(ISBLANK($C320),"",IF(S320=Constants!$B$2, TRUE(), IF(S320=Constants!$B$3, FALSE(), FALSE())))</f>
        <v/>
      </c>
      <c r="AJ320" s="59" t="str">
        <f aca="false">IF(ISBLANK($C320),"",IF(AI320,Constants!$B$4,IF(COUNTA(E320:R320)=0,Constants!$B$5,IF(COUNTA(J320,L320,N320,P320,R320)=0,Constants!$B$6,Constants!$B$7))))</f>
        <v/>
      </c>
      <c r="AK320" s="59" t="str">
        <f aca="false">IF(ISBLANK($C320),"",IF($AJ320&lt;&gt;Constants!$B$7,$AJ320,IF(OR(NOT(X320),AND(NOT(U320),COUNTIFS(Y320:AG320,Constants!$B$18,Z320:AH320,"&gt;=0")&gt;0),AND(NOT(V320),COUNTIFS(Y320:AG320,Constants!$B$19,Z320:AH320,"&gt;=0")&gt;0)),Constants!$B$12,Constants!$B$11)))</f>
        <v/>
      </c>
      <c r="AL320" s="59" t="str">
        <f aca="false">IF($AJ320=Constants!$B$7,IF(Z320="",Constants!$B$13,Z320),"")</f>
        <v/>
      </c>
      <c r="AM320" s="59" t="str">
        <f aca="false">IF($AJ320=Constants!$B$7,IF(AB320="",Constants!$B$13,AB320),"")</f>
        <v/>
      </c>
      <c r="AN320" s="59" t="str">
        <f aca="false">IF($AJ320=Constants!$B$7,IF(AD320="",Constants!$B$13,AD320),"")</f>
        <v/>
      </c>
      <c r="AO320" s="59" t="str">
        <f aca="false">IF($AJ320=Constants!$B$7,IF(AF320="",Constants!$B$13,AF320),"")</f>
        <v/>
      </c>
      <c r="AP320" s="59" t="str">
        <f aca="false">IF($AJ320=Constants!$B$7,IF(AH320="",Constants!$B$13,AH320),"")</f>
        <v/>
      </c>
      <c r="AQ320" s="59" t="str">
        <f aca="false">IF($AJ320=Constants!$B$7,IF(SUMPRODUCT(--($AL320:$AP320&gt;AL320))+SUMPRODUCT(--($AL320:AL320=AL320))=1,1,IF(SUMPRODUCT(--($AL320:$AP320&gt;AM320))+SUMPRODUCT(--($AL320:AM320=AM320))=1,2,IF(SUMPRODUCT(--($AL320:$AP320&gt;AN320))+SUMPRODUCT(--($AL320:AN320=AN320))=1,3,IF(SUMPRODUCT(--($AL320:$AP320&gt;AO320))+SUMPRODUCT(--($AL320:AO320=AO320))=1,4,5)))),"")</f>
        <v/>
      </c>
      <c r="AR320" s="59" t="str">
        <f aca="false">IF($AJ320=Constants!$B$7,IF(SUMPRODUCT(--($AL320:$AP320&gt;AL320))+SUMPRODUCT(--($AL320:AL320=AL320))=2,1,IF(SUMPRODUCT(--($AL320:$AP320&gt;AM320))+SUMPRODUCT(--($AL320:AM320=AM320))=2,2,IF(SUMPRODUCT(--($AL320:$AP320&gt;AN320))+SUMPRODUCT(--($AL320:AN320=AN320))=2,3,IF(SUMPRODUCT(--($AL320:$AP320&gt;AO320))+SUMPRODUCT(--($AL320:AO320=AO320))=2,4,5)))),"")</f>
        <v/>
      </c>
      <c r="AS320" s="59" t="str">
        <f aca="false">IF($AJ320=Constants!$B$7,IF(SUMPRODUCT(--($AL320:$AP320&gt;AL320))+SUMPRODUCT(--($AL320:AL320=AL320))=3,1,IF(SUMPRODUCT(--($AL320:$AP320&gt;AM320))+SUMPRODUCT(--($AL320:AM320=AM320))=3,2,IF(SUMPRODUCT(--($AL320:$AP320&gt;AN320))+SUMPRODUCT(--($AL320:AN320=AN320))=3,3,IF(SUMPRODUCT(--($AL320:$AP320&gt;AO320))+SUMPRODUCT(--($AL320:AO320=AO320))=3,4,5)))),"")</f>
        <v/>
      </c>
      <c r="AT320" s="59" t="str">
        <f aca="false">IF($AJ320=Constants!$B$7,LARGE(AL320:AP320,1)+LARGE(AL320:AP320,2)+LARGE(AL320:AP320,3),"")</f>
        <v/>
      </c>
      <c r="AU320" s="59" t="str">
        <f aca="false">IF(ISBLANK($C320),"",IF($AJ320&lt;&gt;Constants!$B$7,$AJ320,AT320*W320))</f>
        <v/>
      </c>
      <c r="AV320" s="59" t="str">
        <f aca="false">IF(ISBLANK($C320),"",IF($AJ320=Constants!$B$7,IF(ISNUMBER(AU320),RANK(AU320,$AU$8:$AU$507),Constants!$B$14),$AJ320))</f>
        <v/>
      </c>
      <c r="AW320" s="59" t="str">
        <f aca="false">IF(ISBLANK($C320),"",IF($AJ320=Constants!$B$7,IF(ISNUMBER(AV320),COUNTIFS($AK$8:$AK$507,"&lt;"&amp;$AK320)+COUNTIFS($AK$8:$AK$507,$AK320,$AV$8:$AV$507,"&lt;"&amp;$AV320)+1,Constants!$B$14),$AJ320))</f>
        <v/>
      </c>
      <c r="AX320" s="59" t="str">
        <f aca="false">IF(ISBLANK($C320),"",IF($AJ320=Constants!$B$7,LARGE(AL320:AP320,4)*W320,""))</f>
        <v/>
      </c>
      <c r="AY320" s="59" t="str">
        <f aca="false">IF(ISBLANK($C320),"",IF($AJ320=Constants!$B$7,RANK(AX320,$AX$8:$AX$507),$AJ320))</f>
        <v/>
      </c>
      <c r="AZ320" s="59" t="str">
        <f aca="false">IF(ISBLANK($C320),"",IF($AJ320=Constants!$B$7,IF(ISNUMBER(AV320),COUNTIFS($AK$8:$AK$507,"&lt;"&amp;$AK320)+COUNTIFS($AK$8:$AK$507,$AK320,$AV$8:$AV$507,"&lt;"&amp;$AV320)+COUNTIFS($AK$8:$AK$507,$AK320,$AV$8:$AV$507,$AV320,$AY$8:$AY$507,"&lt;"&amp;$AY320)+1,Constants!$B$14),$AJ320))</f>
        <v/>
      </c>
      <c r="BA320" s="59" t="str">
        <f aca="false">IF(ISBLANK($C320),"",IF($AJ320=Constants!$B$7,IF(ISNUMBER(AW320),AW320-AZ320,Constants!$B$14),$AJ320))</f>
        <v/>
      </c>
      <c r="BB320" s="61"/>
      <c r="BC320" s="62" t="str">
        <f aca="false">IF(ISBLANK($C320),"",IF($AJ320&lt;&gt;Constants!$B$7,$AJ320,SMALL(AQ320:AS320,1)&amp;", "&amp;SMALL(AQ320:AS320,2)&amp;", "&amp;SMALL(AQ320:AS320,3)))</f>
        <v/>
      </c>
      <c r="BD320" s="63" t="str">
        <f aca="false">IF(ISBLANK($C320),"",IF($AJ320&lt;&gt;Constants!$B$7,$AJ320,W320))</f>
        <v/>
      </c>
      <c r="BE320" s="64" t="str">
        <f aca="false">IF(ISBLANK($C320),"",IF($AJ320&lt;&gt;Constants!$B$7,$AJ320,AU320))</f>
        <v/>
      </c>
      <c r="BF320" s="65" t="str">
        <f aca="false">IF(ISBLANK($C320),"",IF($AJ320&lt;&gt;Constants!$B$7,$AJ320,AK320))</f>
        <v/>
      </c>
      <c r="BG320" s="63" t="str">
        <f aca="false">IF(ISBLANK($C320),"",BA320)</f>
        <v/>
      </c>
      <c r="BH320" s="63" t="str">
        <f aca="false">IF(ISBLANK($C320),"",AZ320)</f>
        <v/>
      </c>
      <c r="BI320" s="66" t="str">
        <f aca="false">IF(ISBLANK($C320),"",IF(BH320=Constants!$B$4,COUNTA($C$8:$C$507)+2,IF(BH320=Constants!$B$5,COUNTA($C$8:$C$507)+1,IF(BH320=Constants!$B$6,COUNTA($C$8:$C$507),BH320))))</f>
        <v/>
      </c>
      <c r="BJ320" s="5"/>
      <c r="BK320" s="67" t="n">
        <f aca="false">IF(OR(ISNUMBER(BH320),BH320=Constants!$B$4,BH320=Constants!$B$6,BH320=Constants!$B$5),1,0)</f>
        <v>0</v>
      </c>
      <c r="BL320" s="67" t="n">
        <v>313</v>
      </c>
      <c r="BM320" s="67" t="str">
        <f aca="false">IF(ISBLANK($C320),"",IF(ISNUMBER(BI320),BI320+ROW($B320)/1000,""))</f>
        <v/>
      </c>
      <c r="BN320" s="67" t="str">
        <f aca="false">IF(ISNUMBER(BM320),RANK(BM320,$BM$8:$BM$507,1),"")</f>
        <v/>
      </c>
      <c r="BO320" s="67" t="str">
        <f aca="false">IF(ISBLANK($C320),"",$B320)</f>
        <v/>
      </c>
      <c r="BP320" s="67" t="str">
        <f aca="false">IF(ISBLANK($C320),"",$C320)</f>
        <v/>
      </c>
      <c r="BQ320" s="67" t="str">
        <f aca="false">IF(ISBLANK($C320),"",$D320)</f>
        <v/>
      </c>
      <c r="BR320" s="68" t="str">
        <f aca="false">BF320</f>
        <v/>
      </c>
      <c r="BS320" s="69" t="str">
        <f aca="false">BE320</f>
        <v/>
      </c>
      <c r="BT320" s="67" t="str">
        <f aca="false">IF(ISBLANK($C320),"",BH320)</f>
        <v/>
      </c>
      <c r="BU320" s="70" t="str">
        <f aca="false">IF($BL320&gt;$BK$7,"",VLOOKUP($BL320,$BN$8:$BT$507,7,FALSE()))</f>
        <v/>
      </c>
      <c r="BV320" s="71" t="str">
        <f aca="false">IF($BL320&gt;$BK$7,"",VLOOKUP($BL320,$BN$8:$BT$507,2,FALSE()))</f>
        <v/>
      </c>
      <c r="BW320" s="71" t="str">
        <f aca="false">IF($BL320&gt;$BK$7,"",VLOOKUP($BL320,$BN$8:$BT$507,3,FALSE()))</f>
        <v/>
      </c>
      <c r="BX320" s="71" t="str">
        <f aca="false">IF($BL320&gt;$BK$7,"",VLOOKUP($BL320,$BN$8:$BT$507,4,FALSE()))</f>
        <v/>
      </c>
      <c r="BY320" s="71" t="str">
        <f aca="false">IF($BL320&gt;$BK$7,"",VLOOKUP($BL320,$BN$8:$BT$507,5,FALSE()))</f>
        <v/>
      </c>
      <c r="BZ320" s="72" t="str">
        <f aca="false">IF($BL320&gt;$BK$7,"",VLOOKUP($BL320,$BN$8:$BT$507,6,FALSE()))</f>
        <v/>
      </c>
      <c r="CA320" s="48"/>
    </row>
    <row r="321" customFormat="false" ht="15.75" hidden="false" customHeight="false" outlineLevel="0" collapsed="false">
      <c r="A321" s="5"/>
      <c r="B321" s="121"/>
      <c r="C321" s="50"/>
      <c r="D321" s="51"/>
      <c r="E321" s="74"/>
      <c r="F321" s="122"/>
      <c r="G321" s="54"/>
      <c r="H321" s="123"/>
      <c r="I321" s="124"/>
      <c r="J321" s="54"/>
      <c r="K321" s="123"/>
      <c r="L321" s="54"/>
      <c r="M321" s="123"/>
      <c r="N321" s="54"/>
      <c r="O321" s="123"/>
      <c r="P321" s="54"/>
      <c r="Q321" s="123"/>
      <c r="R321" s="54"/>
      <c r="S321" s="74"/>
      <c r="T321" s="58"/>
      <c r="U321" s="59" t="str">
        <f aca="false">IF(ISBLANK($C321),"",IF(E321=Constants!$B$2, TRUE(), IF(E321=Constants!$B$3, FALSE(), TRUE())))</f>
        <v/>
      </c>
      <c r="V321" s="59" t="str">
        <f aca="false">IF(ISBLANK($C321),"",IF(F321=Constants!$B$2, TRUE(), IF(F321=Constants!$B$3, FALSE(), TRUE())))</f>
        <v/>
      </c>
      <c r="W321" s="59" t="str">
        <f aca="false">IF(ISBLANK($C321),"",IF(G321=Constants!$B$15,Constants!$B$8,IF(G321=Constants!$B$16,Constants!$B$9,Constants!$B$10)))</f>
        <v/>
      </c>
      <c r="X321" s="59" t="str">
        <f aca="false">IF(ISBLANK($C321),"",IF(H321=Constants!$B$2, TRUE(), IF(H321=Constants!$B$3, FALSE(), TRUE())))</f>
        <v/>
      </c>
      <c r="Y321" s="59" t="str">
        <f aca="false">IF(ISBLANK($C321),"",IF(I321=Constants!$B$19,Constants!$B$19,Constants!$B$18))</f>
        <v/>
      </c>
      <c r="Z321" s="59" t="str">
        <f aca="false">IF(ISBLANK($C321),"",IF(ISNUMBER(J321),IF(J321&gt;=0,J321,""),""))</f>
        <v/>
      </c>
      <c r="AA321" s="59" t="str">
        <f aca="false">IF(ISBLANK($C321),"",IF(K321=Constants!$B$19,Constants!$B$19,Constants!$B$18))</f>
        <v/>
      </c>
      <c r="AB321" s="59" t="str">
        <f aca="false">IF(ISBLANK($C321),"",IF(ISNUMBER(L321),IF(L321&gt;=0,L321,""),""))</f>
        <v/>
      </c>
      <c r="AC321" s="59" t="str">
        <f aca="false">IF(ISBLANK($C321),"",IF(M321=Constants!$B$19,Constants!$B$19,Constants!$B$18))</f>
        <v/>
      </c>
      <c r="AD321" s="59" t="str">
        <f aca="false">IF(ISBLANK($C321),"",IF(ISNUMBER(N321),IF(N321&gt;=0,N321,""),""))</f>
        <v/>
      </c>
      <c r="AE321" s="59" t="str">
        <f aca="false">IF(ISBLANK($C321),"",IF(O321=Constants!$B$19,Constants!$B$19,Constants!$B$18))</f>
        <v/>
      </c>
      <c r="AF321" s="59" t="str">
        <f aca="false">IF(ISBLANK($C321),"",IF(ISNUMBER(P321),IF(P321&gt;=0,P321,""),""))</f>
        <v/>
      </c>
      <c r="AG321" s="59" t="str">
        <f aca="false">IF(ISBLANK($C321),"",IF(Q321=Constants!$B$19,Constants!$B$19,Constants!$B$18))</f>
        <v/>
      </c>
      <c r="AH321" s="59" t="str">
        <f aca="false">IF(ISBLANK($C321),"",IF(ISNUMBER(R321),IF(R321&gt;=0,R321,""),""))</f>
        <v/>
      </c>
      <c r="AI321" s="59" t="str">
        <f aca="false">IF(ISBLANK($C321),"",IF(S321=Constants!$B$2, TRUE(), IF(S321=Constants!$B$3, FALSE(), FALSE())))</f>
        <v/>
      </c>
      <c r="AJ321" s="59" t="str">
        <f aca="false">IF(ISBLANK($C321),"",IF(AI321,Constants!$B$4,IF(COUNTA(E321:R321)=0,Constants!$B$5,IF(COUNTA(J321,L321,N321,P321,R321)=0,Constants!$B$6,Constants!$B$7))))</f>
        <v/>
      </c>
      <c r="AK321" s="59" t="str">
        <f aca="false">IF(ISBLANK($C321),"",IF($AJ321&lt;&gt;Constants!$B$7,$AJ321,IF(OR(NOT(X321),AND(NOT(U321),COUNTIFS(Y321:AG321,Constants!$B$18,Z321:AH321,"&gt;=0")&gt;0),AND(NOT(V321),COUNTIFS(Y321:AG321,Constants!$B$19,Z321:AH321,"&gt;=0")&gt;0)),Constants!$B$12,Constants!$B$11)))</f>
        <v/>
      </c>
      <c r="AL321" s="59" t="str">
        <f aca="false">IF($AJ321=Constants!$B$7,IF(Z321="",Constants!$B$13,Z321),"")</f>
        <v/>
      </c>
      <c r="AM321" s="59" t="str">
        <f aca="false">IF($AJ321=Constants!$B$7,IF(AB321="",Constants!$B$13,AB321),"")</f>
        <v/>
      </c>
      <c r="AN321" s="59" t="str">
        <f aca="false">IF($AJ321=Constants!$B$7,IF(AD321="",Constants!$B$13,AD321),"")</f>
        <v/>
      </c>
      <c r="AO321" s="59" t="str">
        <f aca="false">IF($AJ321=Constants!$B$7,IF(AF321="",Constants!$B$13,AF321),"")</f>
        <v/>
      </c>
      <c r="AP321" s="59" t="str">
        <f aca="false">IF($AJ321=Constants!$B$7,IF(AH321="",Constants!$B$13,AH321),"")</f>
        <v/>
      </c>
      <c r="AQ321" s="59" t="str">
        <f aca="false">IF($AJ321=Constants!$B$7,IF(SUMPRODUCT(--($AL321:$AP321&gt;AL321))+SUMPRODUCT(--($AL321:AL321=AL321))=1,1,IF(SUMPRODUCT(--($AL321:$AP321&gt;AM321))+SUMPRODUCT(--($AL321:AM321=AM321))=1,2,IF(SUMPRODUCT(--($AL321:$AP321&gt;AN321))+SUMPRODUCT(--($AL321:AN321=AN321))=1,3,IF(SUMPRODUCT(--($AL321:$AP321&gt;AO321))+SUMPRODUCT(--($AL321:AO321=AO321))=1,4,5)))),"")</f>
        <v/>
      </c>
      <c r="AR321" s="59" t="str">
        <f aca="false">IF($AJ321=Constants!$B$7,IF(SUMPRODUCT(--($AL321:$AP321&gt;AL321))+SUMPRODUCT(--($AL321:AL321=AL321))=2,1,IF(SUMPRODUCT(--($AL321:$AP321&gt;AM321))+SUMPRODUCT(--($AL321:AM321=AM321))=2,2,IF(SUMPRODUCT(--($AL321:$AP321&gt;AN321))+SUMPRODUCT(--($AL321:AN321=AN321))=2,3,IF(SUMPRODUCT(--($AL321:$AP321&gt;AO321))+SUMPRODUCT(--($AL321:AO321=AO321))=2,4,5)))),"")</f>
        <v/>
      </c>
      <c r="AS321" s="59" t="str">
        <f aca="false">IF($AJ321=Constants!$B$7,IF(SUMPRODUCT(--($AL321:$AP321&gt;AL321))+SUMPRODUCT(--($AL321:AL321=AL321))=3,1,IF(SUMPRODUCT(--($AL321:$AP321&gt;AM321))+SUMPRODUCT(--($AL321:AM321=AM321))=3,2,IF(SUMPRODUCT(--($AL321:$AP321&gt;AN321))+SUMPRODUCT(--($AL321:AN321=AN321))=3,3,IF(SUMPRODUCT(--($AL321:$AP321&gt;AO321))+SUMPRODUCT(--($AL321:AO321=AO321))=3,4,5)))),"")</f>
        <v/>
      </c>
      <c r="AT321" s="59" t="str">
        <f aca="false">IF($AJ321=Constants!$B$7,LARGE(AL321:AP321,1)+LARGE(AL321:AP321,2)+LARGE(AL321:AP321,3),"")</f>
        <v/>
      </c>
      <c r="AU321" s="59" t="str">
        <f aca="false">IF(ISBLANK($C321),"",IF($AJ321&lt;&gt;Constants!$B$7,$AJ321,AT321*W321))</f>
        <v/>
      </c>
      <c r="AV321" s="59" t="str">
        <f aca="false">IF(ISBLANK($C321),"",IF($AJ321=Constants!$B$7,IF(ISNUMBER(AU321),RANK(AU321,$AU$8:$AU$507),Constants!$B$14),$AJ321))</f>
        <v/>
      </c>
      <c r="AW321" s="59" t="str">
        <f aca="false">IF(ISBLANK($C321),"",IF($AJ321=Constants!$B$7,IF(ISNUMBER(AV321),COUNTIFS($AK$8:$AK$507,"&lt;"&amp;$AK321)+COUNTIFS($AK$8:$AK$507,$AK321,$AV$8:$AV$507,"&lt;"&amp;$AV321)+1,Constants!$B$14),$AJ321))</f>
        <v/>
      </c>
      <c r="AX321" s="59" t="str">
        <f aca="false">IF(ISBLANK($C321),"",IF($AJ321=Constants!$B$7,LARGE(AL321:AP321,4)*W321,""))</f>
        <v/>
      </c>
      <c r="AY321" s="59" t="str">
        <f aca="false">IF(ISBLANK($C321),"",IF($AJ321=Constants!$B$7,RANK(AX321,$AX$8:$AX$507),$AJ321))</f>
        <v/>
      </c>
      <c r="AZ321" s="59" t="str">
        <f aca="false">IF(ISBLANK($C321),"",IF($AJ321=Constants!$B$7,IF(ISNUMBER(AV321),COUNTIFS($AK$8:$AK$507,"&lt;"&amp;$AK321)+COUNTIFS($AK$8:$AK$507,$AK321,$AV$8:$AV$507,"&lt;"&amp;$AV321)+COUNTIFS($AK$8:$AK$507,$AK321,$AV$8:$AV$507,$AV321,$AY$8:$AY$507,"&lt;"&amp;$AY321)+1,Constants!$B$14),$AJ321))</f>
        <v/>
      </c>
      <c r="BA321" s="59" t="str">
        <f aca="false">IF(ISBLANK($C321),"",IF($AJ321=Constants!$B$7,IF(ISNUMBER(AW321),AW321-AZ321,Constants!$B$14),$AJ321))</f>
        <v/>
      </c>
      <c r="BB321" s="61"/>
      <c r="BC321" s="62" t="str">
        <f aca="false">IF(ISBLANK($C321),"",IF($AJ321&lt;&gt;Constants!$B$7,$AJ321,SMALL(AQ321:AS321,1)&amp;", "&amp;SMALL(AQ321:AS321,2)&amp;", "&amp;SMALL(AQ321:AS321,3)))</f>
        <v/>
      </c>
      <c r="BD321" s="63" t="str">
        <f aca="false">IF(ISBLANK($C321),"",IF($AJ321&lt;&gt;Constants!$B$7,$AJ321,W321))</f>
        <v/>
      </c>
      <c r="BE321" s="64" t="str">
        <f aca="false">IF(ISBLANK($C321),"",IF($AJ321&lt;&gt;Constants!$B$7,$AJ321,AU321))</f>
        <v/>
      </c>
      <c r="BF321" s="65" t="str">
        <f aca="false">IF(ISBLANK($C321),"",IF($AJ321&lt;&gt;Constants!$B$7,$AJ321,AK321))</f>
        <v/>
      </c>
      <c r="BG321" s="63" t="str">
        <f aca="false">IF(ISBLANK($C321),"",BA321)</f>
        <v/>
      </c>
      <c r="BH321" s="63" t="str">
        <f aca="false">IF(ISBLANK($C321),"",AZ321)</f>
        <v/>
      </c>
      <c r="BI321" s="66" t="str">
        <f aca="false">IF(ISBLANK($C321),"",IF(BH321=Constants!$B$4,COUNTA($C$8:$C$507)+2,IF(BH321=Constants!$B$5,COUNTA($C$8:$C$507)+1,IF(BH321=Constants!$B$6,COUNTA($C$8:$C$507),BH321))))</f>
        <v/>
      </c>
      <c r="BJ321" s="5"/>
      <c r="BK321" s="67" t="n">
        <f aca="false">IF(OR(ISNUMBER(BH321),BH321=Constants!$B$4,BH321=Constants!$B$6,BH321=Constants!$B$5),1,0)</f>
        <v>0</v>
      </c>
      <c r="BL321" s="67" t="n">
        <v>314</v>
      </c>
      <c r="BM321" s="67" t="str">
        <f aca="false">IF(ISBLANK($C321),"",IF(ISNUMBER(BI321),BI321+ROW($B321)/1000,""))</f>
        <v/>
      </c>
      <c r="BN321" s="67" t="str">
        <f aca="false">IF(ISNUMBER(BM321),RANK(BM321,$BM$8:$BM$507,1),"")</f>
        <v/>
      </c>
      <c r="BO321" s="67" t="str">
        <f aca="false">IF(ISBLANK($C321),"",$B321)</f>
        <v/>
      </c>
      <c r="BP321" s="67" t="str">
        <f aca="false">IF(ISBLANK($C321),"",$C321)</f>
        <v/>
      </c>
      <c r="BQ321" s="67" t="str">
        <f aca="false">IF(ISBLANK($C321),"",$D321)</f>
        <v/>
      </c>
      <c r="BR321" s="68" t="str">
        <f aca="false">BF321</f>
        <v/>
      </c>
      <c r="BS321" s="69" t="str">
        <f aca="false">BE321</f>
        <v/>
      </c>
      <c r="BT321" s="67" t="str">
        <f aca="false">IF(ISBLANK($C321),"",BH321)</f>
        <v/>
      </c>
      <c r="BU321" s="70" t="str">
        <f aca="false">IF($BL321&gt;$BK$7,"",VLOOKUP($BL321,$BN$8:$BT$507,7,FALSE()))</f>
        <v/>
      </c>
      <c r="BV321" s="71" t="str">
        <f aca="false">IF($BL321&gt;$BK$7,"",VLOOKUP($BL321,$BN$8:$BT$507,2,FALSE()))</f>
        <v/>
      </c>
      <c r="BW321" s="71" t="str">
        <f aca="false">IF($BL321&gt;$BK$7,"",VLOOKUP($BL321,$BN$8:$BT$507,3,FALSE()))</f>
        <v/>
      </c>
      <c r="BX321" s="71" t="str">
        <f aca="false">IF($BL321&gt;$BK$7,"",VLOOKUP($BL321,$BN$8:$BT$507,4,FALSE()))</f>
        <v/>
      </c>
      <c r="BY321" s="71" t="str">
        <f aca="false">IF($BL321&gt;$BK$7,"",VLOOKUP($BL321,$BN$8:$BT$507,5,FALSE()))</f>
        <v/>
      </c>
      <c r="BZ321" s="72" t="str">
        <f aca="false">IF($BL321&gt;$BK$7,"",VLOOKUP($BL321,$BN$8:$BT$507,6,FALSE()))</f>
        <v/>
      </c>
      <c r="CA321" s="48"/>
    </row>
    <row r="322" customFormat="false" ht="15.75" hidden="false" customHeight="false" outlineLevel="0" collapsed="false">
      <c r="A322" s="5"/>
      <c r="B322" s="121"/>
      <c r="C322" s="50"/>
      <c r="D322" s="51"/>
      <c r="E322" s="74"/>
      <c r="F322" s="122"/>
      <c r="G322" s="54"/>
      <c r="H322" s="123"/>
      <c r="I322" s="124"/>
      <c r="J322" s="54"/>
      <c r="K322" s="123"/>
      <c r="L322" s="54"/>
      <c r="M322" s="123"/>
      <c r="N322" s="54"/>
      <c r="O322" s="123"/>
      <c r="P322" s="54"/>
      <c r="Q322" s="123"/>
      <c r="R322" s="54"/>
      <c r="S322" s="74"/>
      <c r="T322" s="58"/>
      <c r="U322" s="59" t="str">
        <f aca="false">IF(ISBLANK($C322),"",IF(E322=Constants!$B$2, TRUE(), IF(E322=Constants!$B$3, FALSE(), TRUE())))</f>
        <v/>
      </c>
      <c r="V322" s="59" t="str">
        <f aca="false">IF(ISBLANK($C322),"",IF(F322=Constants!$B$2, TRUE(), IF(F322=Constants!$B$3, FALSE(), TRUE())))</f>
        <v/>
      </c>
      <c r="W322" s="59" t="str">
        <f aca="false">IF(ISBLANK($C322),"",IF(G322=Constants!$B$15,Constants!$B$8,IF(G322=Constants!$B$16,Constants!$B$9,Constants!$B$10)))</f>
        <v/>
      </c>
      <c r="X322" s="59" t="str">
        <f aca="false">IF(ISBLANK($C322),"",IF(H322=Constants!$B$2, TRUE(), IF(H322=Constants!$B$3, FALSE(), TRUE())))</f>
        <v/>
      </c>
      <c r="Y322" s="59" t="str">
        <f aca="false">IF(ISBLANK($C322),"",IF(I322=Constants!$B$19,Constants!$B$19,Constants!$B$18))</f>
        <v/>
      </c>
      <c r="Z322" s="59" t="str">
        <f aca="false">IF(ISBLANK($C322),"",IF(ISNUMBER(J322),IF(J322&gt;=0,J322,""),""))</f>
        <v/>
      </c>
      <c r="AA322" s="59" t="str">
        <f aca="false">IF(ISBLANK($C322),"",IF(K322=Constants!$B$19,Constants!$B$19,Constants!$B$18))</f>
        <v/>
      </c>
      <c r="AB322" s="59" t="str">
        <f aca="false">IF(ISBLANK($C322),"",IF(ISNUMBER(L322),IF(L322&gt;=0,L322,""),""))</f>
        <v/>
      </c>
      <c r="AC322" s="59" t="str">
        <f aca="false">IF(ISBLANK($C322),"",IF(M322=Constants!$B$19,Constants!$B$19,Constants!$B$18))</f>
        <v/>
      </c>
      <c r="AD322" s="59" t="str">
        <f aca="false">IF(ISBLANK($C322),"",IF(ISNUMBER(N322),IF(N322&gt;=0,N322,""),""))</f>
        <v/>
      </c>
      <c r="AE322" s="59" t="str">
        <f aca="false">IF(ISBLANK($C322),"",IF(O322=Constants!$B$19,Constants!$B$19,Constants!$B$18))</f>
        <v/>
      </c>
      <c r="AF322" s="59" t="str">
        <f aca="false">IF(ISBLANK($C322),"",IF(ISNUMBER(P322),IF(P322&gt;=0,P322,""),""))</f>
        <v/>
      </c>
      <c r="AG322" s="59" t="str">
        <f aca="false">IF(ISBLANK($C322),"",IF(Q322=Constants!$B$19,Constants!$B$19,Constants!$B$18))</f>
        <v/>
      </c>
      <c r="AH322" s="59" t="str">
        <f aca="false">IF(ISBLANK($C322),"",IF(ISNUMBER(R322),IF(R322&gt;=0,R322,""),""))</f>
        <v/>
      </c>
      <c r="AI322" s="59" t="str">
        <f aca="false">IF(ISBLANK($C322),"",IF(S322=Constants!$B$2, TRUE(), IF(S322=Constants!$B$3, FALSE(), FALSE())))</f>
        <v/>
      </c>
      <c r="AJ322" s="59" t="str">
        <f aca="false">IF(ISBLANK($C322),"",IF(AI322,Constants!$B$4,IF(COUNTA(E322:R322)=0,Constants!$B$5,IF(COUNTA(J322,L322,N322,P322,R322)=0,Constants!$B$6,Constants!$B$7))))</f>
        <v/>
      </c>
      <c r="AK322" s="59" t="str">
        <f aca="false">IF(ISBLANK($C322),"",IF($AJ322&lt;&gt;Constants!$B$7,$AJ322,IF(OR(NOT(X322),AND(NOT(U322),COUNTIFS(Y322:AG322,Constants!$B$18,Z322:AH322,"&gt;=0")&gt;0),AND(NOT(V322),COUNTIFS(Y322:AG322,Constants!$B$19,Z322:AH322,"&gt;=0")&gt;0)),Constants!$B$12,Constants!$B$11)))</f>
        <v/>
      </c>
      <c r="AL322" s="59" t="str">
        <f aca="false">IF($AJ322=Constants!$B$7,IF(Z322="",Constants!$B$13,Z322),"")</f>
        <v/>
      </c>
      <c r="AM322" s="59" t="str">
        <f aca="false">IF($AJ322=Constants!$B$7,IF(AB322="",Constants!$B$13,AB322),"")</f>
        <v/>
      </c>
      <c r="AN322" s="59" t="str">
        <f aca="false">IF($AJ322=Constants!$B$7,IF(AD322="",Constants!$B$13,AD322),"")</f>
        <v/>
      </c>
      <c r="AO322" s="59" t="str">
        <f aca="false">IF($AJ322=Constants!$B$7,IF(AF322="",Constants!$B$13,AF322),"")</f>
        <v/>
      </c>
      <c r="AP322" s="59" t="str">
        <f aca="false">IF($AJ322=Constants!$B$7,IF(AH322="",Constants!$B$13,AH322),"")</f>
        <v/>
      </c>
      <c r="AQ322" s="59" t="str">
        <f aca="false">IF($AJ322=Constants!$B$7,IF(SUMPRODUCT(--($AL322:$AP322&gt;AL322))+SUMPRODUCT(--($AL322:AL322=AL322))=1,1,IF(SUMPRODUCT(--($AL322:$AP322&gt;AM322))+SUMPRODUCT(--($AL322:AM322=AM322))=1,2,IF(SUMPRODUCT(--($AL322:$AP322&gt;AN322))+SUMPRODUCT(--($AL322:AN322=AN322))=1,3,IF(SUMPRODUCT(--($AL322:$AP322&gt;AO322))+SUMPRODUCT(--($AL322:AO322=AO322))=1,4,5)))),"")</f>
        <v/>
      </c>
      <c r="AR322" s="59" t="str">
        <f aca="false">IF($AJ322=Constants!$B$7,IF(SUMPRODUCT(--($AL322:$AP322&gt;AL322))+SUMPRODUCT(--($AL322:AL322=AL322))=2,1,IF(SUMPRODUCT(--($AL322:$AP322&gt;AM322))+SUMPRODUCT(--($AL322:AM322=AM322))=2,2,IF(SUMPRODUCT(--($AL322:$AP322&gt;AN322))+SUMPRODUCT(--($AL322:AN322=AN322))=2,3,IF(SUMPRODUCT(--($AL322:$AP322&gt;AO322))+SUMPRODUCT(--($AL322:AO322=AO322))=2,4,5)))),"")</f>
        <v/>
      </c>
      <c r="AS322" s="59" t="str">
        <f aca="false">IF($AJ322=Constants!$B$7,IF(SUMPRODUCT(--($AL322:$AP322&gt;AL322))+SUMPRODUCT(--($AL322:AL322=AL322))=3,1,IF(SUMPRODUCT(--($AL322:$AP322&gt;AM322))+SUMPRODUCT(--($AL322:AM322=AM322))=3,2,IF(SUMPRODUCT(--($AL322:$AP322&gt;AN322))+SUMPRODUCT(--($AL322:AN322=AN322))=3,3,IF(SUMPRODUCT(--($AL322:$AP322&gt;AO322))+SUMPRODUCT(--($AL322:AO322=AO322))=3,4,5)))),"")</f>
        <v/>
      </c>
      <c r="AT322" s="59" t="str">
        <f aca="false">IF($AJ322=Constants!$B$7,LARGE(AL322:AP322,1)+LARGE(AL322:AP322,2)+LARGE(AL322:AP322,3),"")</f>
        <v/>
      </c>
      <c r="AU322" s="59" t="str">
        <f aca="false">IF(ISBLANK($C322),"",IF($AJ322&lt;&gt;Constants!$B$7,$AJ322,AT322*W322))</f>
        <v/>
      </c>
      <c r="AV322" s="59" t="str">
        <f aca="false">IF(ISBLANK($C322),"",IF($AJ322=Constants!$B$7,IF(ISNUMBER(AU322),RANK(AU322,$AU$8:$AU$507),Constants!$B$14),$AJ322))</f>
        <v/>
      </c>
      <c r="AW322" s="59" t="str">
        <f aca="false">IF(ISBLANK($C322),"",IF($AJ322=Constants!$B$7,IF(ISNUMBER(AV322),COUNTIFS($AK$8:$AK$507,"&lt;"&amp;$AK322)+COUNTIFS($AK$8:$AK$507,$AK322,$AV$8:$AV$507,"&lt;"&amp;$AV322)+1,Constants!$B$14),$AJ322))</f>
        <v/>
      </c>
      <c r="AX322" s="59" t="str">
        <f aca="false">IF(ISBLANK($C322),"",IF($AJ322=Constants!$B$7,LARGE(AL322:AP322,4)*W322,""))</f>
        <v/>
      </c>
      <c r="AY322" s="59" t="str">
        <f aca="false">IF(ISBLANK($C322),"",IF($AJ322=Constants!$B$7,RANK(AX322,$AX$8:$AX$507),$AJ322))</f>
        <v/>
      </c>
      <c r="AZ322" s="59" t="str">
        <f aca="false">IF(ISBLANK($C322),"",IF($AJ322=Constants!$B$7,IF(ISNUMBER(AV322),COUNTIFS($AK$8:$AK$507,"&lt;"&amp;$AK322)+COUNTIFS($AK$8:$AK$507,$AK322,$AV$8:$AV$507,"&lt;"&amp;$AV322)+COUNTIFS($AK$8:$AK$507,$AK322,$AV$8:$AV$507,$AV322,$AY$8:$AY$507,"&lt;"&amp;$AY322)+1,Constants!$B$14),$AJ322))</f>
        <v/>
      </c>
      <c r="BA322" s="59" t="str">
        <f aca="false">IF(ISBLANK($C322),"",IF($AJ322=Constants!$B$7,IF(ISNUMBER(AW322),AW322-AZ322,Constants!$B$14),$AJ322))</f>
        <v/>
      </c>
      <c r="BB322" s="61"/>
      <c r="BC322" s="62" t="str">
        <f aca="false">IF(ISBLANK($C322),"",IF($AJ322&lt;&gt;Constants!$B$7,$AJ322,SMALL(AQ322:AS322,1)&amp;", "&amp;SMALL(AQ322:AS322,2)&amp;", "&amp;SMALL(AQ322:AS322,3)))</f>
        <v/>
      </c>
      <c r="BD322" s="63" t="str">
        <f aca="false">IF(ISBLANK($C322),"",IF($AJ322&lt;&gt;Constants!$B$7,$AJ322,W322))</f>
        <v/>
      </c>
      <c r="BE322" s="64" t="str">
        <f aca="false">IF(ISBLANK($C322),"",IF($AJ322&lt;&gt;Constants!$B$7,$AJ322,AU322))</f>
        <v/>
      </c>
      <c r="BF322" s="65" t="str">
        <f aca="false">IF(ISBLANK($C322),"",IF($AJ322&lt;&gt;Constants!$B$7,$AJ322,AK322))</f>
        <v/>
      </c>
      <c r="BG322" s="63" t="str">
        <f aca="false">IF(ISBLANK($C322),"",BA322)</f>
        <v/>
      </c>
      <c r="BH322" s="63" t="str">
        <f aca="false">IF(ISBLANK($C322),"",AZ322)</f>
        <v/>
      </c>
      <c r="BI322" s="66" t="str">
        <f aca="false">IF(ISBLANK($C322),"",IF(BH322=Constants!$B$4,COUNTA($C$8:$C$507)+2,IF(BH322=Constants!$B$5,COUNTA($C$8:$C$507)+1,IF(BH322=Constants!$B$6,COUNTA($C$8:$C$507),BH322))))</f>
        <v/>
      </c>
      <c r="BJ322" s="5"/>
      <c r="BK322" s="67" t="n">
        <f aca="false">IF(OR(ISNUMBER(BH322),BH322=Constants!$B$4,BH322=Constants!$B$6,BH322=Constants!$B$5),1,0)</f>
        <v>0</v>
      </c>
      <c r="BL322" s="67" t="n">
        <v>315</v>
      </c>
      <c r="BM322" s="67" t="str">
        <f aca="false">IF(ISBLANK($C322),"",IF(ISNUMBER(BI322),BI322+ROW($B322)/1000,""))</f>
        <v/>
      </c>
      <c r="BN322" s="67" t="str">
        <f aca="false">IF(ISNUMBER(BM322),RANK(BM322,$BM$8:$BM$507,1),"")</f>
        <v/>
      </c>
      <c r="BO322" s="67" t="str">
        <f aca="false">IF(ISBLANK($C322),"",$B322)</f>
        <v/>
      </c>
      <c r="BP322" s="67" t="str">
        <f aca="false">IF(ISBLANK($C322),"",$C322)</f>
        <v/>
      </c>
      <c r="BQ322" s="67" t="str">
        <f aca="false">IF(ISBLANK($C322),"",$D322)</f>
        <v/>
      </c>
      <c r="BR322" s="68" t="str">
        <f aca="false">BF322</f>
        <v/>
      </c>
      <c r="BS322" s="69" t="str">
        <f aca="false">BE322</f>
        <v/>
      </c>
      <c r="BT322" s="67" t="str">
        <f aca="false">IF(ISBLANK($C322),"",BH322)</f>
        <v/>
      </c>
      <c r="BU322" s="70" t="str">
        <f aca="false">IF($BL322&gt;$BK$7,"",VLOOKUP($BL322,$BN$8:$BT$507,7,FALSE()))</f>
        <v/>
      </c>
      <c r="BV322" s="71" t="str">
        <f aca="false">IF($BL322&gt;$BK$7,"",VLOOKUP($BL322,$BN$8:$BT$507,2,FALSE()))</f>
        <v/>
      </c>
      <c r="BW322" s="71" t="str">
        <f aca="false">IF($BL322&gt;$BK$7,"",VLOOKUP($BL322,$BN$8:$BT$507,3,FALSE()))</f>
        <v/>
      </c>
      <c r="BX322" s="71" t="str">
        <f aca="false">IF($BL322&gt;$BK$7,"",VLOOKUP($BL322,$BN$8:$BT$507,4,FALSE()))</f>
        <v/>
      </c>
      <c r="BY322" s="71" t="str">
        <f aca="false">IF($BL322&gt;$BK$7,"",VLOOKUP($BL322,$BN$8:$BT$507,5,FALSE()))</f>
        <v/>
      </c>
      <c r="BZ322" s="72" t="str">
        <f aca="false">IF($BL322&gt;$BK$7,"",VLOOKUP($BL322,$BN$8:$BT$507,6,FALSE()))</f>
        <v/>
      </c>
      <c r="CA322" s="48"/>
    </row>
    <row r="323" customFormat="false" ht="15.75" hidden="false" customHeight="false" outlineLevel="0" collapsed="false">
      <c r="A323" s="5"/>
      <c r="B323" s="114"/>
      <c r="C323" s="115"/>
      <c r="D323" s="100"/>
      <c r="E323" s="120"/>
      <c r="F323" s="125"/>
      <c r="G323" s="82"/>
      <c r="H323" s="126"/>
      <c r="I323" s="127"/>
      <c r="J323" s="82"/>
      <c r="K323" s="126"/>
      <c r="L323" s="82"/>
      <c r="M323" s="126"/>
      <c r="N323" s="82"/>
      <c r="O323" s="126"/>
      <c r="P323" s="82"/>
      <c r="Q323" s="126"/>
      <c r="R323" s="82"/>
      <c r="S323" s="120"/>
      <c r="T323" s="86"/>
      <c r="U323" s="87" t="str">
        <f aca="false">IF(ISBLANK($C323),"",IF(E323=Constants!$B$2, TRUE(), IF(E323=Constants!$B$3, FALSE(), TRUE())))</f>
        <v/>
      </c>
      <c r="V323" s="87" t="str">
        <f aca="false">IF(ISBLANK($C323),"",IF(F323=Constants!$B$2, TRUE(), IF(F323=Constants!$B$3, FALSE(), TRUE())))</f>
        <v/>
      </c>
      <c r="W323" s="87" t="str">
        <f aca="false">IF(ISBLANK($C323),"",IF(G323=Constants!$B$15,Constants!$B$8,IF(G323=Constants!$B$16,Constants!$B$9,Constants!$B$10)))</f>
        <v/>
      </c>
      <c r="X323" s="87" t="str">
        <f aca="false">IF(ISBLANK($C323),"",IF(H323=Constants!$B$2, TRUE(), IF(H323=Constants!$B$3, FALSE(), TRUE())))</f>
        <v/>
      </c>
      <c r="Y323" s="87" t="str">
        <f aca="false">IF(ISBLANK($C323),"",IF(I323=Constants!$B$19,Constants!$B$19,Constants!$B$18))</f>
        <v/>
      </c>
      <c r="Z323" s="87" t="str">
        <f aca="false">IF(ISBLANK($C323),"",IF(ISNUMBER(J323),IF(J323&gt;=0,J323,""),""))</f>
        <v/>
      </c>
      <c r="AA323" s="87" t="str">
        <f aca="false">IF(ISBLANK($C323),"",IF(K323=Constants!$B$19,Constants!$B$19,Constants!$B$18))</f>
        <v/>
      </c>
      <c r="AB323" s="87" t="str">
        <f aca="false">IF(ISBLANK($C323),"",IF(ISNUMBER(L323),IF(L323&gt;=0,L323,""),""))</f>
        <v/>
      </c>
      <c r="AC323" s="87" t="str">
        <f aca="false">IF(ISBLANK($C323),"",IF(M323=Constants!$B$19,Constants!$B$19,Constants!$B$18))</f>
        <v/>
      </c>
      <c r="AD323" s="87" t="str">
        <f aca="false">IF(ISBLANK($C323),"",IF(ISNUMBER(N323),IF(N323&gt;=0,N323,""),""))</f>
        <v/>
      </c>
      <c r="AE323" s="87" t="str">
        <f aca="false">IF(ISBLANK($C323),"",IF(O323=Constants!$B$19,Constants!$B$19,Constants!$B$18))</f>
        <v/>
      </c>
      <c r="AF323" s="87" t="str">
        <f aca="false">IF(ISBLANK($C323),"",IF(ISNUMBER(P323),IF(P323&gt;=0,P323,""),""))</f>
        <v/>
      </c>
      <c r="AG323" s="87" t="str">
        <f aca="false">IF(ISBLANK($C323),"",IF(Q323=Constants!$B$19,Constants!$B$19,Constants!$B$18))</f>
        <v/>
      </c>
      <c r="AH323" s="87" t="str">
        <f aca="false">IF(ISBLANK($C323),"",IF(ISNUMBER(R323),IF(R323&gt;=0,R323,""),""))</f>
        <v/>
      </c>
      <c r="AI323" s="87" t="str">
        <f aca="false">IF(ISBLANK($C323),"",IF(S323=Constants!$B$2, TRUE(), IF(S323=Constants!$B$3, FALSE(), FALSE())))</f>
        <v/>
      </c>
      <c r="AJ323" s="87" t="str">
        <f aca="false">IF(ISBLANK($C323),"",IF(AI323,Constants!$B$4,IF(COUNTA(E323:R323)=0,Constants!$B$5,IF(COUNTA(J323,L323,N323,P323,R323)=0,Constants!$B$6,Constants!$B$7))))</f>
        <v/>
      </c>
      <c r="AK323" s="87" t="str">
        <f aca="false">IF(ISBLANK($C323),"",IF($AJ323&lt;&gt;Constants!$B$7,$AJ323,IF(OR(NOT(X323),AND(NOT(U323),COUNTIFS(Y323:AG323,Constants!$B$18,Z323:AH323,"&gt;=0")&gt;0),AND(NOT(V323),COUNTIFS(Y323:AG323,Constants!$B$19,Z323:AH323,"&gt;=0")&gt;0)),Constants!$B$12,Constants!$B$11)))</f>
        <v/>
      </c>
      <c r="AL323" s="87" t="str">
        <f aca="false">IF($AJ323=Constants!$B$7,IF(Z323="",Constants!$B$13,Z323),"")</f>
        <v/>
      </c>
      <c r="AM323" s="87" t="str">
        <f aca="false">IF($AJ323=Constants!$B$7,IF(AB323="",Constants!$B$13,AB323),"")</f>
        <v/>
      </c>
      <c r="AN323" s="87" t="str">
        <f aca="false">IF($AJ323=Constants!$B$7,IF(AD323="",Constants!$B$13,AD323),"")</f>
        <v/>
      </c>
      <c r="AO323" s="87" t="str">
        <f aca="false">IF($AJ323=Constants!$B$7,IF(AF323="",Constants!$B$13,AF323),"")</f>
        <v/>
      </c>
      <c r="AP323" s="87" t="str">
        <f aca="false">IF($AJ323=Constants!$B$7,IF(AH323="",Constants!$B$13,AH323),"")</f>
        <v/>
      </c>
      <c r="AQ323" s="87" t="str">
        <f aca="false">IF($AJ323=Constants!$B$7,IF(SUMPRODUCT(--($AL323:$AP323&gt;AL323))+SUMPRODUCT(--($AL323:AL323=AL323))=1,1,IF(SUMPRODUCT(--($AL323:$AP323&gt;AM323))+SUMPRODUCT(--($AL323:AM323=AM323))=1,2,IF(SUMPRODUCT(--($AL323:$AP323&gt;AN323))+SUMPRODUCT(--($AL323:AN323=AN323))=1,3,IF(SUMPRODUCT(--($AL323:$AP323&gt;AO323))+SUMPRODUCT(--($AL323:AO323=AO323))=1,4,5)))),"")</f>
        <v/>
      </c>
      <c r="AR323" s="87" t="str">
        <f aca="false">IF($AJ323=Constants!$B$7,IF(SUMPRODUCT(--($AL323:$AP323&gt;AL323))+SUMPRODUCT(--($AL323:AL323=AL323))=2,1,IF(SUMPRODUCT(--($AL323:$AP323&gt;AM323))+SUMPRODUCT(--($AL323:AM323=AM323))=2,2,IF(SUMPRODUCT(--($AL323:$AP323&gt;AN323))+SUMPRODUCT(--($AL323:AN323=AN323))=2,3,IF(SUMPRODUCT(--($AL323:$AP323&gt;AO323))+SUMPRODUCT(--($AL323:AO323=AO323))=2,4,5)))),"")</f>
        <v/>
      </c>
      <c r="AS323" s="87" t="str">
        <f aca="false">IF($AJ323=Constants!$B$7,IF(SUMPRODUCT(--($AL323:$AP323&gt;AL323))+SUMPRODUCT(--($AL323:AL323=AL323))=3,1,IF(SUMPRODUCT(--($AL323:$AP323&gt;AM323))+SUMPRODUCT(--($AL323:AM323=AM323))=3,2,IF(SUMPRODUCT(--($AL323:$AP323&gt;AN323))+SUMPRODUCT(--($AL323:AN323=AN323))=3,3,IF(SUMPRODUCT(--($AL323:$AP323&gt;AO323))+SUMPRODUCT(--($AL323:AO323=AO323))=3,4,5)))),"")</f>
        <v/>
      </c>
      <c r="AT323" s="87" t="str">
        <f aca="false">IF($AJ323=Constants!$B$7,LARGE(AL323:AP323,1)+LARGE(AL323:AP323,2)+LARGE(AL323:AP323,3),"")</f>
        <v/>
      </c>
      <c r="AU323" s="87" t="str">
        <f aca="false">IF(ISBLANK($C323),"",IF($AJ323&lt;&gt;Constants!$B$7,$AJ323,AT323*W323))</f>
        <v/>
      </c>
      <c r="AV323" s="87" t="str">
        <f aca="false">IF(ISBLANK($C323),"",IF($AJ323=Constants!$B$7,IF(ISNUMBER(AU323),RANK(AU323,$AU$8:$AU$507),Constants!$B$14),$AJ323))</f>
        <v/>
      </c>
      <c r="AW323" s="87" t="str">
        <f aca="false">IF(ISBLANK($C323),"",IF($AJ323=Constants!$B$7,IF(ISNUMBER(AV323),COUNTIFS($AK$8:$AK$507,"&lt;"&amp;$AK323)+COUNTIFS($AK$8:$AK$507,$AK323,$AV$8:$AV$507,"&lt;"&amp;$AV323)+1,Constants!$B$14),$AJ323))</f>
        <v/>
      </c>
      <c r="AX323" s="87" t="str">
        <f aca="false">IF(ISBLANK($C323),"",IF($AJ323=Constants!$B$7,LARGE(AL323:AP323,4)*W323,""))</f>
        <v/>
      </c>
      <c r="AY323" s="87" t="str">
        <f aca="false">IF(ISBLANK($C323),"",IF($AJ323=Constants!$B$7,RANK(AX323,$AX$8:$AX$507),$AJ323))</f>
        <v/>
      </c>
      <c r="AZ323" s="87" t="str">
        <f aca="false">IF(ISBLANK($C323),"",IF($AJ323=Constants!$B$7,IF(ISNUMBER(AV323),COUNTIFS($AK$8:$AK$507,"&lt;"&amp;$AK323)+COUNTIFS($AK$8:$AK$507,$AK323,$AV$8:$AV$507,"&lt;"&amp;$AV323)+COUNTIFS($AK$8:$AK$507,$AK323,$AV$8:$AV$507,$AV323,$AY$8:$AY$507,"&lt;"&amp;$AY323)+1,Constants!$B$14),$AJ323))</f>
        <v/>
      </c>
      <c r="BA323" s="87" t="str">
        <f aca="false">IF(ISBLANK($C323),"",IF($AJ323=Constants!$B$7,IF(ISNUMBER(AW323),AW323-AZ323,Constants!$B$14),$AJ323))</f>
        <v/>
      </c>
      <c r="BB323" s="88"/>
      <c r="BC323" s="89" t="str">
        <f aca="false">IF(ISBLANK($C323),"",IF($AJ323&lt;&gt;Constants!$B$7,$AJ323,SMALL(AQ323:AS323,1)&amp;", "&amp;SMALL(AQ323:AS323,2)&amp;", "&amp;SMALL(AQ323:AS323,3)))</f>
        <v/>
      </c>
      <c r="BD323" s="90" t="str">
        <f aca="false">IF(ISBLANK($C323),"",IF($AJ323&lt;&gt;Constants!$B$7,$AJ323,W323))</f>
        <v/>
      </c>
      <c r="BE323" s="91" t="str">
        <f aca="false">IF(ISBLANK($C323),"",IF($AJ323&lt;&gt;Constants!$B$7,$AJ323,AU323))</f>
        <v/>
      </c>
      <c r="BF323" s="92" t="str">
        <f aca="false">IF(ISBLANK($C323),"",IF($AJ323&lt;&gt;Constants!$B$7,$AJ323,AK323))</f>
        <v/>
      </c>
      <c r="BG323" s="90" t="str">
        <f aca="false">IF(ISBLANK($C323),"",BA323)</f>
        <v/>
      </c>
      <c r="BH323" s="90" t="str">
        <f aca="false">IF(ISBLANK($C323),"",AZ323)</f>
        <v/>
      </c>
      <c r="BI323" s="93" t="str">
        <f aca="false">IF(ISBLANK($C323),"",IF(BH323=Constants!$B$4,COUNTA($C$8:$C$507)+2,IF(BH323=Constants!$B$5,COUNTA($C$8:$C$507)+1,IF(BH323=Constants!$B$6,COUNTA($C$8:$C$507),BH323))))</f>
        <v/>
      </c>
      <c r="BJ323" s="5"/>
      <c r="BK323" s="94" t="n">
        <f aca="false">IF(OR(ISNUMBER(BH323),BH323=Constants!$B$4,BH323=Constants!$B$6,BH323=Constants!$B$5),1,0)</f>
        <v>0</v>
      </c>
      <c r="BL323" s="94" t="n">
        <v>316</v>
      </c>
      <c r="BM323" s="94" t="str">
        <f aca="false">IF(ISBLANK($C323),"",IF(ISNUMBER(BI323),BI323+ROW($B323)/1000,""))</f>
        <v/>
      </c>
      <c r="BN323" s="94" t="str">
        <f aca="false">IF(ISNUMBER(BM323),RANK(BM323,$BM$8:$BM$507,1),"")</f>
        <v/>
      </c>
      <c r="BO323" s="94" t="str">
        <f aca="false">IF(ISBLANK($C323),"",$B323)</f>
        <v/>
      </c>
      <c r="BP323" s="94" t="str">
        <f aca="false">IF(ISBLANK($C323),"",$C323)</f>
        <v/>
      </c>
      <c r="BQ323" s="94" t="str">
        <f aca="false">IF(ISBLANK($C323),"",$D323)</f>
        <v/>
      </c>
      <c r="BR323" s="95" t="str">
        <f aca="false">BF323</f>
        <v/>
      </c>
      <c r="BS323" s="96" t="str">
        <f aca="false">BE323</f>
        <v/>
      </c>
      <c r="BT323" s="94" t="str">
        <f aca="false">IF(ISBLANK($C323),"",BH323)</f>
        <v/>
      </c>
      <c r="BU323" s="97" t="str">
        <f aca="false">IF($BL323&gt;$BK$7,"",VLOOKUP($BL323,$BN$8:$BT$507,7,FALSE()))</f>
        <v/>
      </c>
      <c r="BV323" s="98" t="str">
        <f aca="false">IF($BL323&gt;$BK$7,"",VLOOKUP($BL323,$BN$8:$BT$507,2,FALSE()))</f>
        <v/>
      </c>
      <c r="BW323" s="98" t="str">
        <f aca="false">IF($BL323&gt;$BK$7,"",VLOOKUP($BL323,$BN$8:$BT$507,3,FALSE()))</f>
        <v/>
      </c>
      <c r="BX323" s="98" t="str">
        <f aca="false">IF($BL323&gt;$BK$7,"",VLOOKUP($BL323,$BN$8:$BT$507,4,FALSE()))</f>
        <v/>
      </c>
      <c r="BY323" s="98" t="str">
        <f aca="false">IF($BL323&gt;$BK$7,"",VLOOKUP($BL323,$BN$8:$BT$507,5,FALSE()))</f>
        <v/>
      </c>
      <c r="BZ323" s="99" t="str">
        <f aca="false">IF($BL323&gt;$BK$7,"",VLOOKUP($BL323,$BN$8:$BT$507,6,FALSE()))</f>
        <v/>
      </c>
      <c r="CA323" s="48"/>
    </row>
    <row r="324" customFormat="false" ht="15.75" hidden="false" customHeight="false" outlineLevel="0" collapsed="false">
      <c r="A324" s="5"/>
      <c r="B324" s="114"/>
      <c r="C324" s="115"/>
      <c r="D324" s="100"/>
      <c r="E324" s="120"/>
      <c r="F324" s="125"/>
      <c r="G324" s="82"/>
      <c r="H324" s="126"/>
      <c r="I324" s="127"/>
      <c r="J324" s="82"/>
      <c r="K324" s="126"/>
      <c r="L324" s="82"/>
      <c r="M324" s="126"/>
      <c r="N324" s="82"/>
      <c r="O324" s="126"/>
      <c r="P324" s="82"/>
      <c r="Q324" s="126"/>
      <c r="R324" s="82"/>
      <c r="S324" s="120"/>
      <c r="T324" s="86"/>
      <c r="U324" s="87" t="str">
        <f aca="false">IF(ISBLANK($C324),"",IF(E324=Constants!$B$2, TRUE(), IF(E324=Constants!$B$3, FALSE(), TRUE())))</f>
        <v/>
      </c>
      <c r="V324" s="87" t="str">
        <f aca="false">IF(ISBLANK($C324),"",IF(F324=Constants!$B$2, TRUE(), IF(F324=Constants!$B$3, FALSE(), TRUE())))</f>
        <v/>
      </c>
      <c r="W324" s="87" t="str">
        <f aca="false">IF(ISBLANK($C324),"",IF(G324=Constants!$B$15,Constants!$B$8,IF(G324=Constants!$B$16,Constants!$B$9,Constants!$B$10)))</f>
        <v/>
      </c>
      <c r="X324" s="87" t="str">
        <f aca="false">IF(ISBLANK($C324),"",IF(H324=Constants!$B$2, TRUE(), IF(H324=Constants!$B$3, FALSE(), TRUE())))</f>
        <v/>
      </c>
      <c r="Y324" s="87" t="str">
        <f aca="false">IF(ISBLANK($C324),"",IF(I324=Constants!$B$19,Constants!$B$19,Constants!$B$18))</f>
        <v/>
      </c>
      <c r="Z324" s="87" t="str">
        <f aca="false">IF(ISBLANK($C324),"",IF(ISNUMBER(J324),IF(J324&gt;=0,J324,""),""))</f>
        <v/>
      </c>
      <c r="AA324" s="87" t="str">
        <f aca="false">IF(ISBLANK($C324),"",IF(K324=Constants!$B$19,Constants!$B$19,Constants!$B$18))</f>
        <v/>
      </c>
      <c r="AB324" s="87" t="str">
        <f aca="false">IF(ISBLANK($C324),"",IF(ISNUMBER(L324),IF(L324&gt;=0,L324,""),""))</f>
        <v/>
      </c>
      <c r="AC324" s="87" t="str">
        <f aca="false">IF(ISBLANK($C324),"",IF(M324=Constants!$B$19,Constants!$B$19,Constants!$B$18))</f>
        <v/>
      </c>
      <c r="AD324" s="87" t="str">
        <f aca="false">IF(ISBLANK($C324),"",IF(ISNUMBER(N324),IF(N324&gt;=0,N324,""),""))</f>
        <v/>
      </c>
      <c r="AE324" s="87" t="str">
        <f aca="false">IF(ISBLANK($C324),"",IF(O324=Constants!$B$19,Constants!$B$19,Constants!$B$18))</f>
        <v/>
      </c>
      <c r="AF324" s="87" t="str">
        <f aca="false">IF(ISBLANK($C324),"",IF(ISNUMBER(P324),IF(P324&gt;=0,P324,""),""))</f>
        <v/>
      </c>
      <c r="AG324" s="87" t="str">
        <f aca="false">IF(ISBLANK($C324),"",IF(Q324=Constants!$B$19,Constants!$B$19,Constants!$B$18))</f>
        <v/>
      </c>
      <c r="AH324" s="87" t="str">
        <f aca="false">IF(ISBLANK($C324),"",IF(ISNUMBER(R324),IF(R324&gt;=0,R324,""),""))</f>
        <v/>
      </c>
      <c r="AI324" s="87" t="str">
        <f aca="false">IF(ISBLANK($C324),"",IF(S324=Constants!$B$2, TRUE(), IF(S324=Constants!$B$3, FALSE(), FALSE())))</f>
        <v/>
      </c>
      <c r="AJ324" s="87" t="str">
        <f aca="false">IF(ISBLANK($C324),"",IF(AI324,Constants!$B$4,IF(COUNTA(E324:R324)=0,Constants!$B$5,IF(COUNTA(J324,L324,N324,P324,R324)=0,Constants!$B$6,Constants!$B$7))))</f>
        <v/>
      </c>
      <c r="AK324" s="87" t="str">
        <f aca="false">IF(ISBLANK($C324),"",IF($AJ324&lt;&gt;Constants!$B$7,$AJ324,IF(OR(NOT(X324),AND(NOT(U324),COUNTIFS(Y324:AG324,Constants!$B$18,Z324:AH324,"&gt;=0")&gt;0),AND(NOT(V324),COUNTIFS(Y324:AG324,Constants!$B$19,Z324:AH324,"&gt;=0")&gt;0)),Constants!$B$12,Constants!$B$11)))</f>
        <v/>
      </c>
      <c r="AL324" s="87" t="str">
        <f aca="false">IF($AJ324=Constants!$B$7,IF(Z324="",Constants!$B$13,Z324),"")</f>
        <v/>
      </c>
      <c r="AM324" s="87" t="str">
        <f aca="false">IF($AJ324=Constants!$B$7,IF(AB324="",Constants!$B$13,AB324),"")</f>
        <v/>
      </c>
      <c r="AN324" s="87" t="str">
        <f aca="false">IF($AJ324=Constants!$B$7,IF(AD324="",Constants!$B$13,AD324),"")</f>
        <v/>
      </c>
      <c r="AO324" s="87" t="str">
        <f aca="false">IF($AJ324=Constants!$B$7,IF(AF324="",Constants!$B$13,AF324),"")</f>
        <v/>
      </c>
      <c r="AP324" s="87" t="str">
        <f aca="false">IF($AJ324=Constants!$B$7,IF(AH324="",Constants!$B$13,AH324),"")</f>
        <v/>
      </c>
      <c r="AQ324" s="87" t="str">
        <f aca="false">IF($AJ324=Constants!$B$7,IF(SUMPRODUCT(--($AL324:$AP324&gt;AL324))+SUMPRODUCT(--($AL324:AL324=AL324))=1,1,IF(SUMPRODUCT(--($AL324:$AP324&gt;AM324))+SUMPRODUCT(--($AL324:AM324=AM324))=1,2,IF(SUMPRODUCT(--($AL324:$AP324&gt;AN324))+SUMPRODUCT(--($AL324:AN324=AN324))=1,3,IF(SUMPRODUCT(--($AL324:$AP324&gt;AO324))+SUMPRODUCT(--($AL324:AO324=AO324))=1,4,5)))),"")</f>
        <v/>
      </c>
      <c r="AR324" s="87" t="str">
        <f aca="false">IF($AJ324=Constants!$B$7,IF(SUMPRODUCT(--($AL324:$AP324&gt;AL324))+SUMPRODUCT(--($AL324:AL324=AL324))=2,1,IF(SUMPRODUCT(--($AL324:$AP324&gt;AM324))+SUMPRODUCT(--($AL324:AM324=AM324))=2,2,IF(SUMPRODUCT(--($AL324:$AP324&gt;AN324))+SUMPRODUCT(--($AL324:AN324=AN324))=2,3,IF(SUMPRODUCT(--($AL324:$AP324&gt;AO324))+SUMPRODUCT(--($AL324:AO324=AO324))=2,4,5)))),"")</f>
        <v/>
      </c>
      <c r="AS324" s="87" t="str">
        <f aca="false">IF($AJ324=Constants!$B$7,IF(SUMPRODUCT(--($AL324:$AP324&gt;AL324))+SUMPRODUCT(--($AL324:AL324=AL324))=3,1,IF(SUMPRODUCT(--($AL324:$AP324&gt;AM324))+SUMPRODUCT(--($AL324:AM324=AM324))=3,2,IF(SUMPRODUCT(--($AL324:$AP324&gt;AN324))+SUMPRODUCT(--($AL324:AN324=AN324))=3,3,IF(SUMPRODUCT(--($AL324:$AP324&gt;AO324))+SUMPRODUCT(--($AL324:AO324=AO324))=3,4,5)))),"")</f>
        <v/>
      </c>
      <c r="AT324" s="87" t="str">
        <f aca="false">IF($AJ324=Constants!$B$7,LARGE(AL324:AP324,1)+LARGE(AL324:AP324,2)+LARGE(AL324:AP324,3),"")</f>
        <v/>
      </c>
      <c r="AU324" s="87" t="str">
        <f aca="false">IF(ISBLANK($C324),"",IF($AJ324&lt;&gt;Constants!$B$7,$AJ324,AT324*W324))</f>
        <v/>
      </c>
      <c r="AV324" s="87" t="str">
        <f aca="false">IF(ISBLANK($C324),"",IF($AJ324=Constants!$B$7,IF(ISNUMBER(AU324),RANK(AU324,$AU$8:$AU$507),Constants!$B$14),$AJ324))</f>
        <v/>
      </c>
      <c r="AW324" s="87" t="str">
        <f aca="false">IF(ISBLANK($C324),"",IF($AJ324=Constants!$B$7,IF(ISNUMBER(AV324),COUNTIFS($AK$8:$AK$507,"&lt;"&amp;$AK324)+COUNTIFS($AK$8:$AK$507,$AK324,$AV$8:$AV$507,"&lt;"&amp;$AV324)+1,Constants!$B$14),$AJ324))</f>
        <v/>
      </c>
      <c r="AX324" s="87" t="str">
        <f aca="false">IF(ISBLANK($C324),"",IF($AJ324=Constants!$B$7,LARGE(AL324:AP324,4)*W324,""))</f>
        <v/>
      </c>
      <c r="AY324" s="87" t="str">
        <f aca="false">IF(ISBLANK($C324),"",IF($AJ324=Constants!$B$7,RANK(AX324,$AX$8:$AX$507),$AJ324))</f>
        <v/>
      </c>
      <c r="AZ324" s="87" t="str">
        <f aca="false">IF(ISBLANK($C324),"",IF($AJ324=Constants!$B$7,IF(ISNUMBER(AV324),COUNTIFS($AK$8:$AK$507,"&lt;"&amp;$AK324)+COUNTIFS($AK$8:$AK$507,$AK324,$AV$8:$AV$507,"&lt;"&amp;$AV324)+COUNTIFS($AK$8:$AK$507,$AK324,$AV$8:$AV$507,$AV324,$AY$8:$AY$507,"&lt;"&amp;$AY324)+1,Constants!$B$14),$AJ324))</f>
        <v/>
      </c>
      <c r="BA324" s="87" t="str">
        <f aca="false">IF(ISBLANK($C324),"",IF($AJ324=Constants!$B$7,IF(ISNUMBER(AW324),AW324-AZ324,Constants!$B$14),$AJ324))</f>
        <v/>
      </c>
      <c r="BB324" s="88"/>
      <c r="BC324" s="89" t="str">
        <f aca="false">IF(ISBLANK($C324),"",IF($AJ324&lt;&gt;Constants!$B$7,$AJ324,SMALL(AQ324:AS324,1)&amp;", "&amp;SMALL(AQ324:AS324,2)&amp;", "&amp;SMALL(AQ324:AS324,3)))</f>
        <v/>
      </c>
      <c r="BD324" s="90" t="str">
        <f aca="false">IF(ISBLANK($C324),"",IF($AJ324&lt;&gt;Constants!$B$7,$AJ324,W324))</f>
        <v/>
      </c>
      <c r="BE324" s="91" t="str">
        <f aca="false">IF(ISBLANK($C324),"",IF($AJ324&lt;&gt;Constants!$B$7,$AJ324,AU324))</f>
        <v/>
      </c>
      <c r="BF324" s="92" t="str">
        <f aca="false">IF(ISBLANK($C324),"",IF($AJ324&lt;&gt;Constants!$B$7,$AJ324,AK324))</f>
        <v/>
      </c>
      <c r="BG324" s="90" t="str">
        <f aca="false">IF(ISBLANK($C324),"",BA324)</f>
        <v/>
      </c>
      <c r="BH324" s="90" t="str">
        <f aca="false">IF(ISBLANK($C324),"",AZ324)</f>
        <v/>
      </c>
      <c r="BI324" s="93" t="str">
        <f aca="false">IF(ISBLANK($C324),"",IF(BH324=Constants!$B$4,COUNTA($C$8:$C$507)+2,IF(BH324=Constants!$B$5,COUNTA($C$8:$C$507)+1,IF(BH324=Constants!$B$6,COUNTA($C$8:$C$507),BH324))))</f>
        <v/>
      </c>
      <c r="BJ324" s="5"/>
      <c r="BK324" s="94" t="n">
        <f aca="false">IF(OR(ISNUMBER(BH324),BH324=Constants!$B$4,BH324=Constants!$B$6,BH324=Constants!$B$5),1,0)</f>
        <v>0</v>
      </c>
      <c r="BL324" s="94" t="n">
        <v>317</v>
      </c>
      <c r="BM324" s="94" t="str">
        <f aca="false">IF(ISBLANK($C324),"",IF(ISNUMBER(BI324),BI324+ROW($B324)/1000,""))</f>
        <v/>
      </c>
      <c r="BN324" s="94" t="str">
        <f aca="false">IF(ISNUMBER(BM324),RANK(BM324,$BM$8:$BM$507,1),"")</f>
        <v/>
      </c>
      <c r="BO324" s="94" t="str">
        <f aca="false">IF(ISBLANK($C324),"",$B324)</f>
        <v/>
      </c>
      <c r="BP324" s="94" t="str">
        <f aca="false">IF(ISBLANK($C324),"",$C324)</f>
        <v/>
      </c>
      <c r="BQ324" s="94" t="str">
        <f aca="false">IF(ISBLANK($C324),"",$D324)</f>
        <v/>
      </c>
      <c r="BR324" s="95" t="str">
        <f aca="false">BF324</f>
        <v/>
      </c>
      <c r="BS324" s="96" t="str">
        <f aca="false">BE324</f>
        <v/>
      </c>
      <c r="BT324" s="94" t="str">
        <f aca="false">IF(ISBLANK($C324),"",BH324)</f>
        <v/>
      </c>
      <c r="BU324" s="97" t="str">
        <f aca="false">IF($BL324&gt;$BK$7,"",VLOOKUP($BL324,$BN$8:$BT$507,7,FALSE()))</f>
        <v/>
      </c>
      <c r="BV324" s="98" t="str">
        <f aca="false">IF($BL324&gt;$BK$7,"",VLOOKUP($BL324,$BN$8:$BT$507,2,FALSE()))</f>
        <v/>
      </c>
      <c r="BW324" s="98" t="str">
        <f aca="false">IF($BL324&gt;$BK$7,"",VLOOKUP($BL324,$BN$8:$BT$507,3,FALSE()))</f>
        <v/>
      </c>
      <c r="BX324" s="98" t="str">
        <f aca="false">IF($BL324&gt;$BK$7,"",VLOOKUP($BL324,$BN$8:$BT$507,4,FALSE()))</f>
        <v/>
      </c>
      <c r="BY324" s="98" t="str">
        <f aca="false">IF($BL324&gt;$BK$7,"",VLOOKUP($BL324,$BN$8:$BT$507,5,FALSE()))</f>
        <v/>
      </c>
      <c r="BZ324" s="99" t="str">
        <f aca="false">IF($BL324&gt;$BK$7,"",VLOOKUP($BL324,$BN$8:$BT$507,6,FALSE()))</f>
        <v/>
      </c>
      <c r="CA324" s="48"/>
    </row>
    <row r="325" customFormat="false" ht="15.75" hidden="false" customHeight="false" outlineLevel="0" collapsed="false">
      <c r="A325" s="5"/>
      <c r="B325" s="114"/>
      <c r="C325" s="115"/>
      <c r="D325" s="100"/>
      <c r="E325" s="120"/>
      <c r="F325" s="125"/>
      <c r="G325" s="82"/>
      <c r="H325" s="126"/>
      <c r="I325" s="127"/>
      <c r="J325" s="82"/>
      <c r="K325" s="126"/>
      <c r="L325" s="82"/>
      <c r="M325" s="126"/>
      <c r="N325" s="82"/>
      <c r="O325" s="126"/>
      <c r="P325" s="82"/>
      <c r="Q325" s="126"/>
      <c r="R325" s="82"/>
      <c r="S325" s="120"/>
      <c r="T325" s="86"/>
      <c r="U325" s="87" t="str">
        <f aca="false">IF(ISBLANK($C325),"",IF(E325=Constants!$B$2, TRUE(), IF(E325=Constants!$B$3, FALSE(), TRUE())))</f>
        <v/>
      </c>
      <c r="V325" s="87" t="str">
        <f aca="false">IF(ISBLANK($C325),"",IF(F325=Constants!$B$2, TRUE(), IF(F325=Constants!$B$3, FALSE(), TRUE())))</f>
        <v/>
      </c>
      <c r="W325" s="87" t="str">
        <f aca="false">IF(ISBLANK($C325),"",IF(G325=Constants!$B$15,Constants!$B$8,IF(G325=Constants!$B$16,Constants!$B$9,Constants!$B$10)))</f>
        <v/>
      </c>
      <c r="X325" s="87" t="str">
        <f aca="false">IF(ISBLANK($C325),"",IF(H325=Constants!$B$2, TRUE(), IF(H325=Constants!$B$3, FALSE(), TRUE())))</f>
        <v/>
      </c>
      <c r="Y325" s="87" t="str">
        <f aca="false">IF(ISBLANK($C325),"",IF(I325=Constants!$B$19,Constants!$B$19,Constants!$B$18))</f>
        <v/>
      </c>
      <c r="Z325" s="87" t="str">
        <f aca="false">IF(ISBLANK($C325),"",IF(ISNUMBER(J325),IF(J325&gt;=0,J325,""),""))</f>
        <v/>
      </c>
      <c r="AA325" s="87" t="str">
        <f aca="false">IF(ISBLANK($C325),"",IF(K325=Constants!$B$19,Constants!$B$19,Constants!$B$18))</f>
        <v/>
      </c>
      <c r="AB325" s="87" t="str">
        <f aca="false">IF(ISBLANK($C325),"",IF(ISNUMBER(L325),IF(L325&gt;=0,L325,""),""))</f>
        <v/>
      </c>
      <c r="AC325" s="87" t="str">
        <f aca="false">IF(ISBLANK($C325),"",IF(M325=Constants!$B$19,Constants!$B$19,Constants!$B$18))</f>
        <v/>
      </c>
      <c r="AD325" s="87" t="str">
        <f aca="false">IF(ISBLANK($C325),"",IF(ISNUMBER(N325),IF(N325&gt;=0,N325,""),""))</f>
        <v/>
      </c>
      <c r="AE325" s="87" t="str">
        <f aca="false">IF(ISBLANK($C325),"",IF(O325=Constants!$B$19,Constants!$B$19,Constants!$B$18))</f>
        <v/>
      </c>
      <c r="AF325" s="87" t="str">
        <f aca="false">IF(ISBLANK($C325),"",IF(ISNUMBER(P325),IF(P325&gt;=0,P325,""),""))</f>
        <v/>
      </c>
      <c r="AG325" s="87" t="str">
        <f aca="false">IF(ISBLANK($C325),"",IF(Q325=Constants!$B$19,Constants!$B$19,Constants!$B$18))</f>
        <v/>
      </c>
      <c r="AH325" s="87" t="str">
        <f aca="false">IF(ISBLANK($C325),"",IF(ISNUMBER(R325),IF(R325&gt;=0,R325,""),""))</f>
        <v/>
      </c>
      <c r="AI325" s="87" t="str">
        <f aca="false">IF(ISBLANK($C325),"",IF(S325=Constants!$B$2, TRUE(), IF(S325=Constants!$B$3, FALSE(), FALSE())))</f>
        <v/>
      </c>
      <c r="AJ325" s="87" t="str">
        <f aca="false">IF(ISBLANK($C325),"",IF(AI325,Constants!$B$4,IF(COUNTA(E325:R325)=0,Constants!$B$5,IF(COUNTA(J325,L325,N325,P325,R325)=0,Constants!$B$6,Constants!$B$7))))</f>
        <v/>
      </c>
      <c r="AK325" s="87" t="str">
        <f aca="false">IF(ISBLANK($C325),"",IF($AJ325&lt;&gt;Constants!$B$7,$AJ325,IF(OR(NOT(X325),AND(NOT(U325),COUNTIFS(Y325:AG325,Constants!$B$18,Z325:AH325,"&gt;=0")&gt;0),AND(NOT(V325),COUNTIFS(Y325:AG325,Constants!$B$19,Z325:AH325,"&gt;=0")&gt;0)),Constants!$B$12,Constants!$B$11)))</f>
        <v/>
      </c>
      <c r="AL325" s="87" t="str">
        <f aca="false">IF($AJ325=Constants!$B$7,IF(Z325="",Constants!$B$13,Z325),"")</f>
        <v/>
      </c>
      <c r="AM325" s="87" t="str">
        <f aca="false">IF($AJ325=Constants!$B$7,IF(AB325="",Constants!$B$13,AB325),"")</f>
        <v/>
      </c>
      <c r="AN325" s="87" t="str">
        <f aca="false">IF($AJ325=Constants!$B$7,IF(AD325="",Constants!$B$13,AD325),"")</f>
        <v/>
      </c>
      <c r="AO325" s="87" t="str">
        <f aca="false">IF($AJ325=Constants!$B$7,IF(AF325="",Constants!$B$13,AF325),"")</f>
        <v/>
      </c>
      <c r="AP325" s="87" t="str">
        <f aca="false">IF($AJ325=Constants!$B$7,IF(AH325="",Constants!$B$13,AH325),"")</f>
        <v/>
      </c>
      <c r="AQ325" s="87" t="str">
        <f aca="false">IF($AJ325=Constants!$B$7,IF(SUMPRODUCT(--($AL325:$AP325&gt;AL325))+SUMPRODUCT(--($AL325:AL325=AL325))=1,1,IF(SUMPRODUCT(--($AL325:$AP325&gt;AM325))+SUMPRODUCT(--($AL325:AM325=AM325))=1,2,IF(SUMPRODUCT(--($AL325:$AP325&gt;AN325))+SUMPRODUCT(--($AL325:AN325=AN325))=1,3,IF(SUMPRODUCT(--($AL325:$AP325&gt;AO325))+SUMPRODUCT(--($AL325:AO325=AO325))=1,4,5)))),"")</f>
        <v/>
      </c>
      <c r="AR325" s="87" t="str">
        <f aca="false">IF($AJ325=Constants!$B$7,IF(SUMPRODUCT(--($AL325:$AP325&gt;AL325))+SUMPRODUCT(--($AL325:AL325=AL325))=2,1,IF(SUMPRODUCT(--($AL325:$AP325&gt;AM325))+SUMPRODUCT(--($AL325:AM325=AM325))=2,2,IF(SUMPRODUCT(--($AL325:$AP325&gt;AN325))+SUMPRODUCT(--($AL325:AN325=AN325))=2,3,IF(SUMPRODUCT(--($AL325:$AP325&gt;AO325))+SUMPRODUCT(--($AL325:AO325=AO325))=2,4,5)))),"")</f>
        <v/>
      </c>
      <c r="AS325" s="87" t="str">
        <f aca="false">IF($AJ325=Constants!$B$7,IF(SUMPRODUCT(--($AL325:$AP325&gt;AL325))+SUMPRODUCT(--($AL325:AL325=AL325))=3,1,IF(SUMPRODUCT(--($AL325:$AP325&gt;AM325))+SUMPRODUCT(--($AL325:AM325=AM325))=3,2,IF(SUMPRODUCT(--($AL325:$AP325&gt;AN325))+SUMPRODUCT(--($AL325:AN325=AN325))=3,3,IF(SUMPRODUCT(--($AL325:$AP325&gt;AO325))+SUMPRODUCT(--($AL325:AO325=AO325))=3,4,5)))),"")</f>
        <v/>
      </c>
      <c r="AT325" s="87" t="str">
        <f aca="false">IF($AJ325=Constants!$B$7,LARGE(AL325:AP325,1)+LARGE(AL325:AP325,2)+LARGE(AL325:AP325,3),"")</f>
        <v/>
      </c>
      <c r="AU325" s="87" t="str">
        <f aca="false">IF(ISBLANK($C325),"",IF($AJ325&lt;&gt;Constants!$B$7,$AJ325,AT325*W325))</f>
        <v/>
      </c>
      <c r="AV325" s="87" t="str">
        <f aca="false">IF(ISBLANK($C325),"",IF($AJ325=Constants!$B$7,IF(ISNUMBER(AU325),RANK(AU325,$AU$8:$AU$507),Constants!$B$14),$AJ325))</f>
        <v/>
      </c>
      <c r="AW325" s="87" t="str">
        <f aca="false">IF(ISBLANK($C325),"",IF($AJ325=Constants!$B$7,IF(ISNUMBER(AV325),COUNTIFS($AK$8:$AK$507,"&lt;"&amp;$AK325)+COUNTIFS($AK$8:$AK$507,$AK325,$AV$8:$AV$507,"&lt;"&amp;$AV325)+1,Constants!$B$14),$AJ325))</f>
        <v/>
      </c>
      <c r="AX325" s="87" t="str">
        <f aca="false">IF(ISBLANK($C325),"",IF($AJ325=Constants!$B$7,LARGE(AL325:AP325,4)*W325,""))</f>
        <v/>
      </c>
      <c r="AY325" s="87" t="str">
        <f aca="false">IF(ISBLANK($C325),"",IF($AJ325=Constants!$B$7,RANK(AX325,$AX$8:$AX$507),$AJ325))</f>
        <v/>
      </c>
      <c r="AZ325" s="87" t="str">
        <f aca="false">IF(ISBLANK($C325),"",IF($AJ325=Constants!$B$7,IF(ISNUMBER(AV325),COUNTIFS($AK$8:$AK$507,"&lt;"&amp;$AK325)+COUNTIFS($AK$8:$AK$507,$AK325,$AV$8:$AV$507,"&lt;"&amp;$AV325)+COUNTIFS($AK$8:$AK$507,$AK325,$AV$8:$AV$507,$AV325,$AY$8:$AY$507,"&lt;"&amp;$AY325)+1,Constants!$B$14),$AJ325))</f>
        <v/>
      </c>
      <c r="BA325" s="87" t="str">
        <f aca="false">IF(ISBLANK($C325),"",IF($AJ325=Constants!$B$7,IF(ISNUMBER(AW325),AW325-AZ325,Constants!$B$14),$AJ325))</f>
        <v/>
      </c>
      <c r="BB325" s="88"/>
      <c r="BC325" s="89" t="str">
        <f aca="false">IF(ISBLANK($C325),"",IF($AJ325&lt;&gt;Constants!$B$7,$AJ325,SMALL(AQ325:AS325,1)&amp;", "&amp;SMALL(AQ325:AS325,2)&amp;", "&amp;SMALL(AQ325:AS325,3)))</f>
        <v/>
      </c>
      <c r="BD325" s="90" t="str">
        <f aca="false">IF(ISBLANK($C325),"",IF($AJ325&lt;&gt;Constants!$B$7,$AJ325,W325))</f>
        <v/>
      </c>
      <c r="BE325" s="91" t="str">
        <f aca="false">IF(ISBLANK($C325),"",IF($AJ325&lt;&gt;Constants!$B$7,$AJ325,AU325))</f>
        <v/>
      </c>
      <c r="BF325" s="92" t="str">
        <f aca="false">IF(ISBLANK($C325),"",IF($AJ325&lt;&gt;Constants!$B$7,$AJ325,AK325))</f>
        <v/>
      </c>
      <c r="BG325" s="90" t="str">
        <f aca="false">IF(ISBLANK($C325),"",BA325)</f>
        <v/>
      </c>
      <c r="BH325" s="90" t="str">
        <f aca="false">IF(ISBLANK($C325),"",AZ325)</f>
        <v/>
      </c>
      <c r="BI325" s="93" t="str">
        <f aca="false">IF(ISBLANK($C325),"",IF(BH325=Constants!$B$4,COUNTA($C$8:$C$507)+2,IF(BH325=Constants!$B$5,COUNTA($C$8:$C$507)+1,IF(BH325=Constants!$B$6,COUNTA($C$8:$C$507),BH325))))</f>
        <v/>
      </c>
      <c r="BJ325" s="5"/>
      <c r="BK325" s="94" t="n">
        <f aca="false">IF(OR(ISNUMBER(BH325),BH325=Constants!$B$4,BH325=Constants!$B$6,BH325=Constants!$B$5),1,0)</f>
        <v>0</v>
      </c>
      <c r="BL325" s="94" t="n">
        <v>318</v>
      </c>
      <c r="BM325" s="94" t="str">
        <f aca="false">IF(ISBLANK($C325),"",IF(ISNUMBER(BI325),BI325+ROW($B325)/1000,""))</f>
        <v/>
      </c>
      <c r="BN325" s="94" t="str">
        <f aca="false">IF(ISNUMBER(BM325),RANK(BM325,$BM$8:$BM$507,1),"")</f>
        <v/>
      </c>
      <c r="BO325" s="94" t="str">
        <f aca="false">IF(ISBLANK($C325),"",$B325)</f>
        <v/>
      </c>
      <c r="BP325" s="94" t="str">
        <f aca="false">IF(ISBLANK($C325),"",$C325)</f>
        <v/>
      </c>
      <c r="BQ325" s="94" t="str">
        <f aca="false">IF(ISBLANK($C325),"",$D325)</f>
        <v/>
      </c>
      <c r="BR325" s="95" t="str">
        <f aca="false">BF325</f>
        <v/>
      </c>
      <c r="BS325" s="96" t="str">
        <f aca="false">BE325</f>
        <v/>
      </c>
      <c r="BT325" s="94" t="str">
        <f aca="false">IF(ISBLANK($C325),"",BH325)</f>
        <v/>
      </c>
      <c r="BU325" s="97" t="str">
        <f aca="false">IF($BL325&gt;$BK$7,"",VLOOKUP($BL325,$BN$8:$BT$507,7,FALSE()))</f>
        <v/>
      </c>
      <c r="BV325" s="98" t="str">
        <f aca="false">IF($BL325&gt;$BK$7,"",VLOOKUP($BL325,$BN$8:$BT$507,2,FALSE()))</f>
        <v/>
      </c>
      <c r="BW325" s="98" t="str">
        <f aca="false">IF($BL325&gt;$BK$7,"",VLOOKUP($BL325,$BN$8:$BT$507,3,FALSE()))</f>
        <v/>
      </c>
      <c r="BX325" s="98" t="str">
        <f aca="false">IF($BL325&gt;$BK$7,"",VLOOKUP($BL325,$BN$8:$BT$507,4,FALSE()))</f>
        <v/>
      </c>
      <c r="BY325" s="98" t="str">
        <f aca="false">IF($BL325&gt;$BK$7,"",VLOOKUP($BL325,$BN$8:$BT$507,5,FALSE()))</f>
        <v/>
      </c>
      <c r="BZ325" s="99" t="str">
        <f aca="false">IF($BL325&gt;$BK$7,"",VLOOKUP($BL325,$BN$8:$BT$507,6,FALSE()))</f>
        <v/>
      </c>
      <c r="CA325" s="48"/>
    </row>
    <row r="326" customFormat="false" ht="15.75" hidden="false" customHeight="false" outlineLevel="0" collapsed="false">
      <c r="A326" s="5"/>
      <c r="B326" s="121"/>
      <c r="C326" s="50"/>
      <c r="D326" s="51"/>
      <c r="E326" s="74"/>
      <c r="F326" s="122"/>
      <c r="G326" s="54"/>
      <c r="H326" s="123"/>
      <c r="I326" s="124"/>
      <c r="J326" s="54"/>
      <c r="K326" s="123"/>
      <c r="L326" s="54"/>
      <c r="M326" s="123"/>
      <c r="N326" s="54"/>
      <c r="O326" s="123"/>
      <c r="P326" s="54"/>
      <c r="Q326" s="123"/>
      <c r="R326" s="54"/>
      <c r="S326" s="74"/>
      <c r="T326" s="58"/>
      <c r="U326" s="59" t="str">
        <f aca="false">IF(ISBLANK($C326),"",IF(E326=Constants!$B$2, TRUE(), IF(E326=Constants!$B$3, FALSE(), TRUE())))</f>
        <v/>
      </c>
      <c r="V326" s="59" t="str">
        <f aca="false">IF(ISBLANK($C326),"",IF(F326=Constants!$B$2, TRUE(), IF(F326=Constants!$B$3, FALSE(), TRUE())))</f>
        <v/>
      </c>
      <c r="W326" s="59" t="str">
        <f aca="false">IF(ISBLANK($C326),"",IF(G326=Constants!$B$15,Constants!$B$8,IF(G326=Constants!$B$16,Constants!$B$9,Constants!$B$10)))</f>
        <v/>
      </c>
      <c r="X326" s="59" t="str">
        <f aca="false">IF(ISBLANK($C326),"",IF(H326=Constants!$B$2, TRUE(), IF(H326=Constants!$B$3, FALSE(), TRUE())))</f>
        <v/>
      </c>
      <c r="Y326" s="59" t="str">
        <f aca="false">IF(ISBLANK($C326),"",IF(I326=Constants!$B$19,Constants!$B$19,Constants!$B$18))</f>
        <v/>
      </c>
      <c r="Z326" s="59" t="str">
        <f aca="false">IF(ISBLANK($C326),"",IF(ISNUMBER(J326),IF(J326&gt;=0,J326,""),""))</f>
        <v/>
      </c>
      <c r="AA326" s="59" t="str">
        <f aca="false">IF(ISBLANK($C326),"",IF(K326=Constants!$B$19,Constants!$B$19,Constants!$B$18))</f>
        <v/>
      </c>
      <c r="AB326" s="59" t="str">
        <f aca="false">IF(ISBLANK($C326),"",IF(ISNUMBER(L326),IF(L326&gt;=0,L326,""),""))</f>
        <v/>
      </c>
      <c r="AC326" s="59" t="str">
        <f aca="false">IF(ISBLANK($C326),"",IF(M326=Constants!$B$19,Constants!$B$19,Constants!$B$18))</f>
        <v/>
      </c>
      <c r="AD326" s="59" t="str">
        <f aca="false">IF(ISBLANK($C326),"",IF(ISNUMBER(N326),IF(N326&gt;=0,N326,""),""))</f>
        <v/>
      </c>
      <c r="AE326" s="59" t="str">
        <f aca="false">IF(ISBLANK($C326),"",IF(O326=Constants!$B$19,Constants!$B$19,Constants!$B$18))</f>
        <v/>
      </c>
      <c r="AF326" s="59" t="str">
        <f aca="false">IF(ISBLANK($C326),"",IF(ISNUMBER(P326),IF(P326&gt;=0,P326,""),""))</f>
        <v/>
      </c>
      <c r="AG326" s="59" t="str">
        <f aca="false">IF(ISBLANK($C326),"",IF(Q326=Constants!$B$19,Constants!$B$19,Constants!$B$18))</f>
        <v/>
      </c>
      <c r="AH326" s="59" t="str">
        <f aca="false">IF(ISBLANK($C326),"",IF(ISNUMBER(R326),IF(R326&gt;=0,R326,""),""))</f>
        <v/>
      </c>
      <c r="AI326" s="59" t="str">
        <f aca="false">IF(ISBLANK($C326),"",IF(S326=Constants!$B$2, TRUE(), IF(S326=Constants!$B$3, FALSE(), FALSE())))</f>
        <v/>
      </c>
      <c r="AJ326" s="59" t="str">
        <f aca="false">IF(ISBLANK($C326),"",IF(AI326,Constants!$B$4,IF(COUNTA(E326:R326)=0,Constants!$B$5,IF(COUNTA(J326,L326,N326,P326,R326)=0,Constants!$B$6,Constants!$B$7))))</f>
        <v/>
      </c>
      <c r="AK326" s="59" t="str">
        <f aca="false">IF(ISBLANK($C326),"",IF($AJ326&lt;&gt;Constants!$B$7,$AJ326,IF(OR(NOT(X326),AND(NOT(U326),COUNTIFS(Y326:AG326,Constants!$B$18,Z326:AH326,"&gt;=0")&gt;0),AND(NOT(V326),COUNTIFS(Y326:AG326,Constants!$B$19,Z326:AH326,"&gt;=0")&gt;0)),Constants!$B$12,Constants!$B$11)))</f>
        <v/>
      </c>
      <c r="AL326" s="59" t="str">
        <f aca="false">IF($AJ326=Constants!$B$7,IF(Z326="",Constants!$B$13,Z326),"")</f>
        <v/>
      </c>
      <c r="AM326" s="59" t="str">
        <f aca="false">IF($AJ326=Constants!$B$7,IF(AB326="",Constants!$B$13,AB326),"")</f>
        <v/>
      </c>
      <c r="AN326" s="59" t="str">
        <f aca="false">IF($AJ326=Constants!$B$7,IF(AD326="",Constants!$B$13,AD326),"")</f>
        <v/>
      </c>
      <c r="AO326" s="59" t="str">
        <f aca="false">IF($AJ326=Constants!$B$7,IF(AF326="",Constants!$B$13,AF326),"")</f>
        <v/>
      </c>
      <c r="AP326" s="59" t="str">
        <f aca="false">IF($AJ326=Constants!$B$7,IF(AH326="",Constants!$B$13,AH326),"")</f>
        <v/>
      </c>
      <c r="AQ326" s="59" t="str">
        <f aca="false">IF($AJ326=Constants!$B$7,IF(SUMPRODUCT(--($AL326:$AP326&gt;AL326))+SUMPRODUCT(--($AL326:AL326=AL326))=1,1,IF(SUMPRODUCT(--($AL326:$AP326&gt;AM326))+SUMPRODUCT(--($AL326:AM326=AM326))=1,2,IF(SUMPRODUCT(--($AL326:$AP326&gt;AN326))+SUMPRODUCT(--($AL326:AN326=AN326))=1,3,IF(SUMPRODUCT(--($AL326:$AP326&gt;AO326))+SUMPRODUCT(--($AL326:AO326=AO326))=1,4,5)))),"")</f>
        <v/>
      </c>
      <c r="AR326" s="59" t="str">
        <f aca="false">IF($AJ326=Constants!$B$7,IF(SUMPRODUCT(--($AL326:$AP326&gt;AL326))+SUMPRODUCT(--($AL326:AL326=AL326))=2,1,IF(SUMPRODUCT(--($AL326:$AP326&gt;AM326))+SUMPRODUCT(--($AL326:AM326=AM326))=2,2,IF(SUMPRODUCT(--($AL326:$AP326&gt;AN326))+SUMPRODUCT(--($AL326:AN326=AN326))=2,3,IF(SUMPRODUCT(--($AL326:$AP326&gt;AO326))+SUMPRODUCT(--($AL326:AO326=AO326))=2,4,5)))),"")</f>
        <v/>
      </c>
      <c r="AS326" s="59" t="str">
        <f aca="false">IF($AJ326=Constants!$B$7,IF(SUMPRODUCT(--($AL326:$AP326&gt;AL326))+SUMPRODUCT(--($AL326:AL326=AL326))=3,1,IF(SUMPRODUCT(--($AL326:$AP326&gt;AM326))+SUMPRODUCT(--($AL326:AM326=AM326))=3,2,IF(SUMPRODUCT(--($AL326:$AP326&gt;AN326))+SUMPRODUCT(--($AL326:AN326=AN326))=3,3,IF(SUMPRODUCT(--($AL326:$AP326&gt;AO326))+SUMPRODUCT(--($AL326:AO326=AO326))=3,4,5)))),"")</f>
        <v/>
      </c>
      <c r="AT326" s="59" t="str">
        <f aca="false">IF($AJ326=Constants!$B$7,LARGE(AL326:AP326,1)+LARGE(AL326:AP326,2)+LARGE(AL326:AP326,3),"")</f>
        <v/>
      </c>
      <c r="AU326" s="59" t="str">
        <f aca="false">IF(ISBLANK($C326),"",IF($AJ326&lt;&gt;Constants!$B$7,$AJ326,AT326*W326))</f>
        <v/>
      </c>
      <c r="AV326" s="59" t="str">
        <f aca="false">IF(ISBLANK($C326),"",IF($AJ326=Constants!$B$7,IF(ISNUMBER(AU326),RANK(AU326,$AU$8:$AU$507),Constants!$B$14),$AJ326))</f>
        <v/>
      </c>
      <c r="AW326" s="59" t="str">
        <f aca="false">IF(ISBLANK($C326),"",IF($AJ326=Constants!$B$7,IF(ISNUMBER(AV326),COUNTIFS($AK$8:$AK$507,"&lt;"&amp;$AK326)+COUNTIFS($AK$8:$AK$507,$AK326,$AV$8:$AV$507,"&lt;"&amp;$AV326)+1,Constants!$B$14),$AJ326))</f>
        <v/>
      </c>
      <c r="AX326" s="59" t="str">
        <f aca="false">IF(ISBLANK($C326),"",IF($AJ326=Constants!$B$7,LARGE(AL326:AP326,4)*W326,""))</f>
        <v/>
      </c>
      <c r="AY326" s="59" t="str">
        <f aca="false">IF(ISBLANK($C326),"",IF($AJ326=Constants!$B$7,RANK(AX326,$AX$8:$AX$507),$AJ326))</f>
        <v/>
      </c>
      <c r="AZ326" s="59" t="str">
        <f aca="false">IF(ISBLANK($C326),"",IF($AJ326=Constants!$B$7,IF(ISNUMBER(AV326),COUNTIFS($AK$8:$AK$507,"&lt;"&amp;$AK326)+COUNTIFS($AK$8:$AK$507,$AK326,$AV$8:$AV$507,"&lt;"&amp;$AV326)+COUNTIFS($AK$8:$AK$507,$AK326,$AV$8:$AV$507,$AV326,$AY$8:$AY$507,"&lt;"&amp;$AY326)+1,Constants!$B$14),$AJ326))</f>
        <v/>
      </c>
      <c r="BA326" s="59" t="str">
        <f aca="false">IF(ISBLANK($C326),"",IF($AJ326=Constants!$B$7,IF(ISNUMBER(AW326),AW326-AZ326,Constants!$B$14),$AJ326))</f>
        <v/>
      </c>
      <c r="BB326" s="61"/>
      <c r="BC326" s="62" t="str">
        <f aca="false">IF(ISBLANK($C326),"",IF($AJ326&lt;&gt;Constants!$B$7,$AJ326,SMALL(AQ326:AS326,1)&amp;", "&amp;SMALL(AQ326:AS326,2)&amp;", "&amp;SMALL(AQ326:AS326,3)))</f>
        <v/>
      </c>
      <c r="BD326" s="63" t="str">
        <f aca="false">IF(ISBLANK($C326),"",IF($AJ326&lt;&gt;Constants!$B$7,$AJ326,W326))</f>
        <v/>
      </c>
      <c r="BE326" s="64" t="str">
        <f aca="false">IF(ISBLANK($C326),"",IF($AJ326&lt;&gt;Constants!$B$7,$AJ326,AU326))</f>
        <v/>
      </c>
      <c r="BF326" s="65" t="str">
        <f aca="false">IF(ISBLANK($C326),"",IF($AJ326&lt;&gt;Constants!$B$7,$AJ326,AK326))</f>
        <v/>
      </c>
      <c r="BG326" s="63" t="str">
        <f aca="false">IF(ISBLANK($C326),"",BA326)</f>
        <v/>
      </c>
      <c r="BH326" s="63" t="str">
        <f aca="false">IF(ISBLANK($C326),"",AZ326)</f>
        <v/>
      </c>
      <c r="BI326" s="66" t="str">
        <f aca="false">IF(ISBLANK($C326),"",IF(BH326=Constants!$B$4,COUNTA($C$8:$C$507)+2,IF(BH326=Constants!$B$5,COUNTA($C$8:$C$507)+1,IF(BH326=Constants!$B$6,COUNTA($C$8:$C$507),BH326))))</f>
        <v/>
      </c>
      <c r="BJ326" s="5"/>
      <c r="BK326" s="67" t="n">
        <f aca="false">IF(OR(ISNUMBER(BH326),BH326=Constants!$B$4,BH326=Constants!$B$6,BH326=Constants!$B$5),1,0)</f>
        <v>0</v>
      </c>
      <c r="BL326" s="67" t="n">
        <v>319</v>
      </c>
      <c r="BM326" s="67" t="str">
        <f aca="false">IF(ISBLANK($C326),"",IF(ISNUMBER(BI326),BI326+ROW($B326)/1000,""))</f>
        <v/>
      </c>
      <c r="BN326" s="67" t="str">
        <f aca="false">IF(ISNUMBER(BM326),RANK(BM326,$BM$8:$BM$507,1),"")</f>
        <v/>
      </c>
      <c r="BO326" s="67" t="str">
        <f aca="false">IF(ISBLANK($C326),"",$B326)</f>
        <v/>
      </c>
      <c r="BP326" s="67" t="str">
        <f aca="false">IF(ISBLANK($C326),"",$C326)</f>
        <v/>
      </c>
      <c r="BQ326" s="67" t="str">
        <f aca="false">IF(ISBLANK($C326),"",$D326)</f>
        <v/>
      </c>
      <c r="BR326" s="68" t="str">
        <f aca="false">BF326</f>
        <v/>
      </c>
      <c r="BS326" s="69" t="str">
        <f aca="false">BE326</f>
        <v/>
      </c>
      <c r="BT326" s="67" t="str">
        <f aca="false">IF(ISBLANK($C326),"",BH326)</f>
        <v/>
      </c>
      <c r="BU326" s="70" t="str">
        <f aca="false">IF($BL326&gt;$BK$7,"",VLOOKUP($BL326,$BN$8:$BT$507,7,FALSE()))</f>
        <v/>
      </c>
      <c r="BV326" s="71" t="str">
        <f aca="false">IF($BL326&gt;$BK$7,"",VLOOKUP($BL326,$BN$8:$BT$507,2,FALSE()))</f>
        <v/>
      </c>
      <c r="BW326" s="71" t="str">
        <f aca="false">IF($BL326&gt;$BK$7,"",VLOOKUP($BL326,$BN$8:$BT$507,3,FALSE()))</f>
        <v/>
      </c>
      <c r="BX326" s="71" t="str">
        <f aca="false">IF($BL326&gt;$BK$7,"",VLOOKUP($BL326,$BN$8:$BT$507,4,FALSE()))</f>
        <v/>
      </c>
      <c r="BY326" s="71" t="str">
        <f aca="false">IF($BL326&gt;$BK$7,"",VLOOKUP($BL326,$BN$8:$BT$507,5,FALSE()))</f>
        <v/>
      </c>
      <c r="BZ326" s="72" t="str">
        <f aca="false">IF($BL326&gt;$BK$7,"",VLOOKUP($BL326,$BN$8:$BT$507,6,FALSE()))</f>
        <v/>
      </c>
      <c r="CA326" s="48"/>
    </row>
    <row r="327" customFormat="false" ht="15.75" hidden="false" customHeight="false" outlineLevel="0" collapsed="false">
      <c r="A327" s="5"/>
      <c r="B327" s="121"/>
      <c r="C327" s="50"/>
      <c r="D327" s="51"/>
      <c r="E327" s="74"/>
      <c r="F327" s="122"/>
      <c r="G327" s="54"/>
      <c r="H327" s="123"/>
      <c r="I327" s="124"/>
      <c r="J327" s="54"/>
      <c r="K327" s="123"/>
      <c r="L327" s="54"/>
      <c r="M327" s="123"/>
      <c r="N327" s="54"/>
      <c r="O327" s="123"/>
      <c r="P327" s="54"/>
      <c r="Q327" s="123"/>
      <c r="R327" s="54"/>
      <c r="S327" s="74"/>
      <c r="T327" s="58"/>
      <c r="U327" s="59" t="str">
        <f aca="false">IF(ISBLANK($C327),"",IF(E327=Constants!$B$2, TRUE(), IF(E327=Constants!$B$3, FALSE(), TRUE())))</f>
        <v/>
      </c>
      <c r="V327" s="59" t="str">
        <f aca="false">IF(ISBLANK($C327),"",IF(F327=Constants!$B$2, TRUE(), IF(F327=Constants!$B$3, FALSE(), TRUE())))</f>
        <v/>
      </c>
      <c r="W327" s="59" t="str">
        <f aca="false">IF(ISBLANK($C327),"",IF(G327=Constants!$B$15,Constants!$B$8,IF(G327=Constants!$B$16,Constants!$B$9,Constants!$B$10)))</f>
        <v/>
      </c>
      <c r="X327" s="59" t="str">
        <f aca="false">IF(ISBLANK($C327),"",IF(H327=Constants!$B$2, TRUE(), IF(H327=Constants!$B$3, FALSE(), TRUE())))</f>
        <v/>
      </c>
      <c r="Y327" s="59" t="str">
        <f aca="false">IF(ISBLANK($C327),"",IF(I327=Constants!$B$19,Constants!$B$19,Constants!$B$18))</f>
        <v/>
      </c>
      <c r="Z327" s="59" t="str">
        <f aca="false">IF(ISBLANK($C327),"",IF(ISNUMBER(J327),IF(J327&gt;=0,J327,""),""))</f>
        <v/>
      </c>
      <c r="AA327" s="59" t="str">
        <f aca="false">IF(ISBLANK($C327),"",IF(K327=Constants!$B$19,Constants!$B$19,Constants!$B$18))</f>
        <v/>
      </c>
      <c r="AB327" s="59" t="str">
        <f aca="false">IF(ISBLANK($C327),"",IF(ISNUMBER(L327),IF(L327&gt;=0,L327,""),""))</f>
        <v/>
      </c>
      <c r="AC327" s="59" t="str">
        <f aca="false">IF(ISBLANK($C327),"",IF(M327=Constants!$B$19,Constants!$B$19,Constants!$B$18))</f>
        <v/>
      </c>
      <c r="AD327" s="59" t="str">
        <f aca="false">IF(ISBLANK($C327),"",IF(ISNUMBER(N327),IF(N327&gt;=0,N327,""),""))</f>
        <v/>
      </c>
      <c r="AE327" s="59" t="str">
        <f aca="false">IF(ISBLANK($C327),"",IF(O327=Constants!$B$19,Constants!$B$19,Constants!$B$18))</f>
        <v/>
      </c>
      <c r="AF327" s="59" t="str">
        <f aca="false">IF(ISBLANK($C327),"",IF(ISNUMBER(P327),IF(P327&gt;=0,P327,""),""))</f>
        <v/>
      </c>
      <c r="AG327" s="59" t="str">
        <f aca="false">IF(ISBLANK($C327),"",IF(Q327=Constants!$B$19,Constants!$B$19,Constants!$B$18))</f>
        <v/>
      </c>
      <c r="AH327" s="59" t="str">
        <f aca="false">IF(ISBLANK($C327),"",IF(ISNUMBER(R327),IF(R327&gt;=0,R327,""),""))</f>
        <v/>
      </c>
      <c r="AI327" s="59" t="str">
        <f aca="false">IF(ISBLANK($C327),"",IF(S327=Constants!$B$2, TRUE(), IF(S327=Constants!$B$3, FALSE(), FALSE())))</f>
        <v/>
      </c>
      <c r="AJ327" s="59" t="str">
        <f aca="false">IF(ISBLANK($C327),"",IF(AI327,Constants!$B$4,IF(COUNTA(E327:R327)=0,Constants!$B$5,IF(COUNTA(J327,L327,N327,P327,R327)=0,Constants!$B$6,Constants!$B$7))))</f>
        <v/>
      </c>
      <c r="AK327" s="59" t="str">
        <f aca="false">IF(ISBLANK($C327),"",IF($AJ327&lt;&gt;Constants!$B$7,$AJ327,IF(OR(NOT(X327),AND(NOT(U327),COUNTIFS(Y327:AG327,Constants!$B$18,Z327:AH327,"&gt;=0")&gt;0),AND(NOT(V327),COUNTIFS(Y327:AG327,Constants!$B$19,Z327:AH327,"&gt;=0")&gt;0)),Constants!$B$12,Constants!$B$11)))</f>
        <v/>
      </c>
      <c r="AL327" s="59" t="str">
        <f aca="false">IF($AJ327=Constants!$B$7,IF(Z327="",Constants!$B$13,Z327),"")</f>
        <v/>
      </c>
      <c r="AM327" s="59" t="str">
        <f aca="false">IF($AJ327=Constants!$B$7,IF(AB327="",Constants!$B$13,AB327),"")</f>
        <v/>
      </c>
      <c r="AN327" s="59" t="str">
        <f aca="false">IF($AJ327=Constants!$B$7,IF(AD327="",Constants!$B$13,AD327),"")</f>
        <v/>
      </c>
      <c r="AO327" s="59" t="str">
        <f aca="false">IF($AJ327=Constants!$B$7,IF(AF327="",Constants!$B$13,AF327),"")</f>
        <v/>
      </c>
      <c r="AP327" s="59" t="str">
        <f aca="false">IF($AJ327=Constants!$B$7,IF(AH327="",Constants!$B$13,AH327),"")</f>
        <v/>
      </c>
      <c r="AQ327" s="59" t="str">
        <f aca="false">IF($AJ327=Constants!$B$7,IF(SUMPRODUCT(--($AL327:$AP327&gt;AL327))+SUMPRODUCT(--($AL327:AL327=AL327))=1,1,IF(SUMPRODUCT(--($AL327:$AP327&gt;AM327))+SUMPRODUCT(--($AL327:AM327=AM327))=1,2,IF(SUMPRODUCT(--($AL327:$AP327&gt;AN327))+SUMPRODUCT(--($AL327:AN327=AN327))=1,3,IF(SUMPRODUCT(--($AL327:$AP327&gt;AO327))+SUMPRODUCT(--($AL327:AO327=AO327))=1,4,5)))),"")</f>
        <v/>
      </c>
      <c r="AR327" s="59" t="str">
        <f aca="false">IF($AJ327=Constants!$B$7,IF(SUMPRODUCT(--($AL327:$AP327&gt;AL327))+SUMPRODUCT(--($AL327:AL327=AL327))=2,1,IF(SUMPRODUCT(--($AL327:$AP327&gt;AM327))+SUMPRODUCT(--($AL327:AM327=AM327))=2,2,IF(SUMPRODUCT(--($AL327:$AP327&gt;AN327))+SUMPRODUCT(--($AL327:AN327=AN327))=2,3,IF(SUMPRODUCT(--($AL327:$AP327&gt;AO327))+SUMPRODUCT(--($AL327:AO327=AO327))=2,4,5)))),"")</f>
        <v/>
      </c>
      <c r="AS327" s="59" t="str">
        <f aca="false">IF($AJ327=Constants!$B$7,IF(SUMPRODUCT(--($AL327:$AP327&gt;AL327))+SUMPRODUCT(--($AL327:AL327=AL327))=3,1,IF(SUMPRODUCT(--($AL327:$AP327&gt;AM327))+SUMPRODUCT(--($AL327:AM327=AM327))=3,2,IF(SUMPRODUCT(--($AL327:$AP327&gt;AN327))+SUMPRODUCT(--($AL327:AN327=AN327))=3,3,IF(SUMPRODUCT(--($AL327:$AP327&gt;AO327))+SUMPRODUCT(--($AL327:AO327=AO327))=3,4,5)))),"")</f>
        <v/>
      </c>
      <c r="AT327" s="59" t="str">
        <f aca="false">IF($AJ327=Constants!$B$7,LARGE(AL327:AP327,1)+LARGE(AL327:AP327,2)+LARGE(AL327:AP327,3),"")</f>
        <v/>
      </c>
      <c r="AU327" s="59" t="str">
        <f aca="false">IF(ISBLANK($C327),"",IF($AJ327&lt;&gt;Constants!$B$7,$AJ327,AT327*W327))</f>
        <v/>
      </c>
      <c r="AV327" s="59" t="str">
        <f aca="false">IF(ISBLANK($C327),"",IF($AJ327=Constants!$B$7,IF(ISNUMBER(AU327),RANK(AU327,$AU$8:$AU$507),Constants!$B$14),$AJ327))</f>
        <v/>
      </c>
      <c r="AW327" s="59" t="str">
        <f aca="false">IF(ISBLANK($C327),"",IF($AJ327=Constants!$B$7,IF(ISNUMBER(AV327),COUNTIFS($AK$8:$AK$507,"&lt;"&amp;$AK327)+COUNTIFS($AK$8:$AK$507,$AK327,$AV$8:$AV$507,"&lt;"&amp;$AV327)+1,Constants!$B$14),$AJ327))</f>
        <v/>
      </c>
      <c r="AX327" s="59" t="str">
        <f aca="false">IF(ISBLANK($C327),"",IF($AJ327=Constants!$B$7,LARGE(AL327:AP327,4)*W327,""))</f>
        <v/>
      </c>
      <c r="AY327" s="59" t="str">
        <f aca="false">IF(ISBLANK($C327),"",IF($AJ327=Constants!$B$7,RANK(AX327,$AX$8:$AX$507),$AJ327))</f>
        <v/>
      </c>
      <c r="AZ327" s="59" t="str">
        <f aca="false">IF(ISBLANK($C327),"",IF($AJ327=Constants!$B$7,IF(ISNUMBER(AV327),COUNTIFS($AK$8:$AK$507,"&lt;"&amp;$AK327)+COUNTIFS($AK$8:$AK$507,$AK327,$AV$8:$AV$507,"&lt;"&amp;$AV327)+COUNTIFS($AK$8:$AK$507,$AK327,$AV$8:$AV$507,$AV327,$AY$8:$AY$507,"&lt;"&amp;$AY327)+1,Constants!$B$14),$AJ327))</f>
        <v/>
      </c>
      <c r="BA327" s="59" t="str">
        <f aca="false">IF(ISBLANK($C327),"",IF($AJ327=Constants!$B$7,IF(ISNUMBER(AW327),AW327-AZ327,Constants!$B$14),$AJ327))</f>
        <v/>
      </c>
      <c r="BB327" s="61"/>
      <c r="BC327" s="62" t="str">
        <f aca="false">IF(ISBLANK($C327),"",IF($AJ327&lt;&gt;Constants!$B$7,$AJ327,SMALL(AQ327:AS327,1)&amp;", "&amp;SMALL(AQ327:AS327,2)&amp;", "&amp;SMALL(AQ327:AS327,3)))</f>
        <v/>
      </c>
      <c r="BD327" s="63" t="str">
        <f aca="false">IF(ISBLANK($C327),"",IF($AJ327&lt;&gt;Constants!$B$7,$AJ327,W327))</f>
        <v/>
      </c>
      <c r="BE327" s="64" t="str">
        <f aca="false">IF(ISBLANK($C327),"",IF($AJ327&lt;&gt;Constants!$B$7,$AJ327,AU327))</f>
        <v/>
      </c>
      <c r="BF327" s="65" t="str">
        <f aca="false">IF(ISBLANK($C327),"",IF($AJ327&lt;&gt;Constants!$B$7,$AJ327,AK327))</f>
        <v/>
      </c>
      <c r="BG327" s="63" t="str">
        <f aca="false">IF(ISBLANK($C327),"",BA327)</f>
        <v/>
      </c>
      <c r="BH327" s="63" t="str">
        <f aca="false">IF(ISBLANK($C327),"",AZ327)</f>
        <v/>
      </c>
      <c r="BI327" s="66" t="str">
        <f aca="false">IF(ISBLANK($C327),"",IF(BH327=Constants!$B$4,COUNTA($C$8:$C$507)+2,IF(BH327=Constants!$B$5,COUNTA($C$8:$C$507)+1,IF(BH327=Constants!$B$6,COUNTA($C$8:$C$507),BH327))))</f>
        <v/>
      </c>
      <c r="BJ327" s="5"/>
      <c r="BK327" s="67" t="n">
        <f aca="false">IF(OR(ISNUMBER(BH327),BH327=Constants!$B$4,BH327=Constants!$B$6,BH327=Constants!$B$5),1,0)</f>
        <v>0</v>
      </c>
      <c r="BL327" s="67" t="n">
        <v>320</v>
      </c>
      <c r="BM327" s="67" t="str">
        <f aca="false">IF(ISBLANK($C327),"",IF(ISNUMBER(BI327),BI327+ROW($B327)/1000,""))</f>
        <v/>
      </c>
      <c r="BN327" s="67" t="str">
        <f aca="false">IF(ISNUMBER(BM327),RANK(BM327,$BM$8:$BM$507,1),"")</f>
        <v/>
      </c>
      <c r="BO327" s="67" t="str">
        <f aca="false">IF(ISBLANK($C327),"",$B327)</f>
        <v/>
      </c>
      <c r="BP327" s="67" t="str">
        <f aca="false">IF(ISBLANK($C327),"",$C327)</f>
        <v/>
      </c>
      <c r="BQ327" s="67" t="str">
        <f aca="false">IF(ISBLANK($C327),"",$D327)</f>
        <v/>
      </c>
      <c r="BR327" s="68" t="str">
        <f aca="false">BF327</f>
        <v/>
      </c>
      <c r="BS327" s="69" t="str">
        <f aca="false">BE327</f>
        <v/>
      </c>
      <c r="BT327" s="67" t="str">
        <f aca="false">IF(ISBLANK($C327),"",BH327)</f>
        <v/>
      </c>
      <c r="BU327" s="70" t="str">
        <f aca="false">IF($BL327&gt;$BK$7,"",VLOOKUP($BL327,$BN$8:$BT$507,7,FALSE()))</f>
        <v/>
      </c>
      <c r="BV327" s="71" t="str">
        <f aca="false">IF($BL327&gt;$BK$7,"",VLOOKUP($BL327,$BN$8:$BT$507,2,FALSE()))</f>
        <v/>
      </c>
      <c r="BW327" s="71" t="str">
        <f aca="false">IF($BL327&gt;$BK$7,"",VLOOKUP($BL327,$BN$8:$BT$507,3,FALSE()))</f>
        <v/>
      </c>
      <c r="BX327" s="71" t="str">
        <f aca="false">IF($BL327&gt;$BK$7,"",VLOOKUP($BL327,$BN$8:$BT$507,4,FALSE()))</f>
        <v/>
      </c>
      <c r="BY327" s="71" t="str">
        <f aca="false">IF($BL327&gt;$BK$7,"",VLOOKUP($BL327,$BN$8:$BT$507,5,FALSE()))</f>
        <v/>
      </c>
      <c r="BZ327" s="72" t="str">
        <f aca="false">IF($BL327&gt;$BK$7,"",VLOOKUP($BL327,$BN$8:$BT$507,6,FALSE()))</f>
        <v/>
      </c>
      <c r="CA327" s="48"/>
    </row>
    <row r="328" customFormat="false" ht="15.75" hidden="false" customHeight="false" outlineLevel="0" collapsed="false">
      <c r="A328" s="5"/>
      <c r="B328" s="121"/>
      <c r="C328" s="50"/>
      <c r="D328" s="51"/>
      <c r="E328" s="74"/>
      <c r="F328" s="122"/>
      <c r="G328" s="54"/>
      <c r="H328" s="123"/>
      <c r="I328" s="124"/>
      <c r="J328" s="54"/>
      <c r="K328" s="123"/>
      <c r="L328" s="54"/>
      <c r="M328" s="123"/>
      <c r="N328" s="54"/>
      <c r="O328" s="123"/>
      <c r="P328" s="54"/>
      <c r="Q328" s="123"/>
      <c r="R328" s="54"/>
      <c r="S328" s="74"/>
      <c r="T328" s="58"/>
      <c r="U328" s="59" t="str">
        <f aca="false">IF(ISBLANK($C328),"",IF(E328=Constants!$B$2, TRUE(), IF(E328=Constants!$B$3, FALSE(), TRUE())))</f>
        <v/>
      </c>
      <c r="V328" s="59" t="str">
        <f aca="false">IF(ISBLANK($C328),"",IF(F328=Constants!$B$2, TRUE(), IF(F328=Constants!$B$3, FALSE(), TRUE())))</f>
        <v/>
      </c>
      <c r="W328" s="59" t="str">
        <f aca="false">IF(ISBLANK($C328),"",IF(G328=Constants!$B$15,Constants!$B$8,IF(G328=Constants!$B$16,Constants!$B$9,Constants!$B$10)))</f>
        <v/>
      </c>
      <c r="X328" s="59" t="str">
        <f aca="false">IF(ISBLANK($C328),"",IF(H328=Constants!$B$2, TRUE(), IF(H328=Constants!$B$3, FALSE(), TRUE())))</f>
        <v/>
      </c>
      <c r="Y328" s="59" t="str">
        <f aca="false">IF(ISBLANK($C328),"",IF(I328=Constants!$B$19,Constants!$B$19,Constants!$B$18))</f>
        <v/>
      </c>
      <c r="Z328" s="59" t="str">
        <f aca="false">IF(ISBLANK($C328),"",IF(ISNUMBER(J328),IF(J328&gt;=0,J328,""),""))</f>
        <v/>
      </c>
      <c r="AA328" s="59" t="str">
        <f aca="false">IF(ISBLANK($C328),"",IF(K328=Constants!$B$19,Constants!$B$19,Constants!$B$18))</f>
        <v/>
      </c>
      <c r="AB328" s="59" t="str">
        <f aca="false">IF(ISBLANK($C328),"",IF(ISNUMBER(L328),IF(L328&gt;=0,L328,""),""))</f>
        <v/>
      </c>
      <c r="AC328" s="59" t="str">
        <f aca="false">IF(ISBLANK($C328),"",IF(M328=Constants!$B$19,Constants!$B$19,Constants!$B$18))</f>
        <v/>
      </c>
      <c r="AD328" s="59" t="str">
        <f aca="false">IF(ISBLANK($C328),"",IF(ISNUMBER(N328),IF(N328&gt;=0,N328,""),""))</f>
        <v/>
      </c>
      <c r="AE328" s="59" t="str">
        <f aca="false">IF(ISBLANK($C328),"",IF(O328=Constants!$B$19,Constants!$B$19,Constants!$B$18))</f>
        <v/>
      </c>
      <c r="AF328" s="59" t="str">
        <f aca="false">IF(ISBLANK($C328),"",IF(ISNUMBER(P328),IF(P328&gt;=0,P328,""),""))</f>
        <v/>
      </c>
      <c r="AG328" s="59" t="str">
        <f aca="false">IF(ISBLANK($C328),"",IF(Q328=Constants!$B$19,Constants!$B$19,Constants!$B$18))</f>
        <v/>
      </c>
      <c r="AH328" s="59" t="str">
        <f aca="false">IF(ISBLANK($C328),"",IF(ISNUMBER(R328),IF(R328&gt;=0,R328,""),""))</f>
        <v/>
      </c>
      <c r="AI328" s="59" t="str">
        <f aca="false">IF(ISBLANK($C328),"",IF(S328=Constants!$B$2, TRUE(), IF(S328=Constants!$B$3, FALSE(), FALSE())))</f>
        <v/>
      </c>
      <c r="AJ328" s="59" t="str">
        <f aca="false">IF(ISBLANK($C328),"",IF(AI328,Constants!$B$4,IF(COUNTA(E328:R328)=0,Constants!$B$5,IF(COUNTA(J328,L328,N328,P328,R328)=0,Constants!$B$6,Constants!$B$7))))</f>
        <v/>
      </c>
      <c r="AK328" s="59" t="str">
        <f aca="false">IF(ISBLANK($C328),"",IF($AJ328&lt;&gt;Constants!$B$7,$AJ328,IF(OR(NOT(X328),AND(NOT(U328),COUNTIFS(Y328:AG328,Constants!$B$18,Z328:AH328,"&gt;=0")&gt;0),AND(NOT(V328),COUNTIFS(Y328:AG328,Constants!$B$19,Z328:AH328,"&gt;=0")&gt;0)),Constants!$B$12,Constants!$B$11)))</f>
        <v/>
      </c>
      <c r="AL328" s="59" t="str">
        <f aca="false">IF($AJ328=Constants!$B$7,IF(Z328="",Constants!$B$13,Z328),"")</f>
        <v/>
      </c>
      <c r="AM328" s="59" t="str">
        <f aca="false">IF($AJ328=Constants!$B$7,IF(AB328="",Constants!$B$13,AB328),"")</f>
        <v/>
      </c>
      <c r="AN328" s="59" t="str">
        <f aca="false">IF($AJ328=Constants!$B$7,IF(AD328="",Constants!$B$13,AD328),"")</f>
        <v/>
      </c>
      <c r="AO328" s="59" t="str">
        <f aca="false">IF($AJ328=Constants!$B$7,IF(AF328="",Constants!$B$13,AF328),"")</f>
        <v/>
      </c>
      <c r="AP328" s="59" t="str">
        <f aca="false">IF($AJ328=Constants!$B$7,IF(AH328="",Constants!$B$13,AH328),"")</f>
        <v/>
      </c>
      <c r="AQ328" s="59" t="str">
        <f aca="false">IF($AJ328=Constants!$B$7,IF(SUMPRODUCT(--($AL328:$AP328&gt;AL328))+SUMPRODUCT(--($AL328:AL328=AL328))=1,1,IF(SUMPRODUCT(--($AL328:$AP328&gt;AM328))+SUMPRODUCT(--($AL328:AM328=AM328))=1,2,IF(SUMPRODUCT(--($AL328:$AP328&gt;AN328))+SUMPRODUCT(--($AL328:AN328=AN328))=1,3,IF(SUMPRODUCT(--($AL328:$AP328&gt;AO328))+SUMPRODUCT(--($AL328:AO328=AO328))=1,4,5)))),"")</f>
        <v/>
      </c>
      <c r="AR328" s="59" t="str">
        <f aca="false">IF($AJ328=Constants!$B$7,IF(SUMPRODUCT(--($AL328:$AP328&gt;AL328))+SUMPRODUCT(--($AL328:AL328=AL328))=2,1,IF(SUMPRODUCT(--($AL328:$AP328&gt;AM328))+SUMPRODUCT(--($AL328:AM328=AM328))=2,2,IF(SUMPRODUCT(--($AL328:$AP328&gt;AN328))+SUMPRODUCT(--($AL328:AN328=AN328))=2,3,IF(SUMPRODUCT(--($AL328:$AP328&gt;AO328))+SUMPRODUCT(--($AL328:AO328=AO328))=2,4,5)))),"")</f>
        <v/>
      </c>
      <c r="AS328" s="59" t="str">
        <f aca="false">IF($AJ328=Constants!$B$7,IF(SUMPRODUCT(--($AL328:$AP328&gt;AL328))+SUMPRODUCT(--($AL328:AL328=AL328))=3,1,IF(SUMPRODUCT(--($AL328:$AP328&gt;AM328))+SUMPRODUCT(--($AL328:AM328=AM328))=3,2,IF(SUMPRODUCT(--($AL328:$AP328&gt;AN328))+SUMPRODUCT(--($AL328:AN328=AN328))=3,3,IF(SUMPRODUCT(--($AL328:$AP328&gt;AO328))+SUMPRODUCT(--($AL328:AO328=AO328))=3,4,5)))),"")</f>
        <v/>
      </c>
      <c r="AT328" s="59" t="str">
        <f aca="false">IF($AJ328=Constants!$B$7,LARGE(AL328:AP328,1)+LARGE(AL328:AP328,2)+LARGE(AL328:AP328,3),"")</f>
        <v/>
      </c>
      <c r="AU328" s="59" t="str">
        <f aca="false">IF(ISBLANK($C328),"",IF($AJ328&lt;&gt;Constants!$B$7,$AJ328,AT328*W328))</f>
        <v/>
      </c>
      <c r="AV328" s="59" t="str">
        <f aca="false">IF(ISBLANK($C328),"",IF($AJ328=Constants!$B$7,IF(ISNUMBER(AU328),RANK(AU328,$AU$8:$AU$507),Constants!$B$14),$AJ328))</f>
        <v/>
      </c>
      <c r="AW328" s="59" t="str">
        <f aca="false">IF(ISBLANK($C328),"",IF($AJ328=Constants!$B$7,IF(ISNUMBER(AV328),COUNTIFS($AK$8:$AK$507,"&lt;"&amp;$AK328)+COUNTIFS($AK$8:$AK$507,$AK328,$AV$8:$AV$507,"&lt;"&amp;$AV328)+1,Constants!$B$14),$AJ328))</f>
        <v/>
      </c>
      <c r="AX328" s="59" t="str">
        <f aca="false">IF(ISBLANK($C328),"",IF($AJ328=Constants!$B$7,LARGE(AL328:AP328,4)*W328,""))</f>
        <v/>
      </c>
      <c r="AY328" s="59" t="str">
        <f aca="false">IF(ISBLANK($C328),"",IF($AJ328=Constants!$B$7,RANK(AX328,$AX$8:$AX$507),$AJ328))</f>
        <v/>
      </c>
      <c r="AZ328" s="59" t="str">
        <f aca="false">IF(ISBLANK($C328),"",IF($AJ328=Constants!$B$7,IF(ISNUMBER(AV328),COUNTIFS($AK$8:$AK$507,"&lt;"&amp;$AK328)+COUNTIFS($AK$8:$AK$507,$AK328,$AV$8:$AV$507,"&lt;"&amp;$AV328)+COUNTIFS($AK$8:$AK$507,$AK328,$AV$8:$AV$507,$AV328,$AY$8:$AY$507,"&lt;"&amp;$AY328)+1,Constants!$B$14),$AJ328))</f>
        <v/>
      </c>
      <c r="BA328" s="59" t="str">
        <f aca="false">IF(ISBLANK($C328),"",IF($AJ328=Constants!$B$7,IF(ISNUMBER(AW328),AW328-AZ328,Constants!$B$14),$AJ328))</f>
        <v/>
      </c>
      <c r="BB328" s="61"/>
      <c r="BC328" s="62" t="str">
        <f aca="false">IF(ISBLANK($C328),"",IF($AJ328&lt;&gt;Constants!$B$7,$AJ328,SMALL(AQ328:AS328,1)&amp;", "&amp;SMALL(AQ328:AS328,2)&amp;", "&amp;SMALL(AQ328:AS328,3)))</f>
        <v/>
      </c>
      <c r="BD328" s="63" t="str">
        <f aca="false">IF(ISBLANK($C328),"",IF($AJ328&lt;&gt;Constants!$B$7,$AJ328,W328))</f>
        <v/>
      </c>
      <c r="BE328" s="64" t="str">
        <f aca="false">IF(ISBLANK($C328),"",IF($AJ328&lt;&gt;Constants!$B$7,$AJ328,AU328))</f>
        <v/>
      </c>
      <c r="BF328" s="65" t="str">
        <f aca="false">IF(ISBLANK($C328),"",IF($AJ328&lt;&gt;Constants!$B$7,$AJ328,AK328))</f>
        <v/>
      </c>
      <c r="BG328" s="63" t="str">
        <f aca="false">IF(ISBLANK($C328),"",BA328)</f>
        <v/>
      </c>
      <c r="BH328" s="63" t="str">
        <f aca="false">IF(ISBLANK($C328),"",AZ328)</f>
        <v/>
      </c>
      <c r="BI328" s="66" t="str">
        <f aca="false">IF(ISBLANK($C328),"",IF(BH328=Constants!$B$4,COUNTA($C$8:$C$507)+2,IF(BH328=Constants!$B$5,COUNTA($C$8:$C$507)+1,IF(BH328=Constants!$B$6,COUNTA($C$8:$C$507),BH328))))</f>
        <v/>
      </c>
      <c r="BJ328" s="5"/>
      <c r="BK328" s="67" t="n">
        <f aca="false">IF(OR(ISNUMBER(BH328),BH328=Constants!$B$4,BH328=Constants!$B$6,BH328=Constants!$B$5),1,0)</f>
        <v>0</v>
      </c>
      <c r="BL328" s="67" t="n">
        <v>321</v>
      </c>
      <c r="BM328" s="67" t="str">
        <f aca="false">IF(ISBLANK($C328),"",IF(ISNUMBER(BI328),BI328+ROW($B328)/1000,""))</f>
        <v/>
      </c>
      <c r="BN328" s="67" t="str">
        <f aca="false">IF(ISNUMBER(BM328),RANK(BM328,$BM$8:$BM$507,1),"")</f>
        <v/>
      </c>
      <c r="BO328" s="67" t="str">
        <f aca="false">IF(ISBLANK($C328),"",$B328)</f>
        <v/>
      </c>
      <c r="BP328" s="67" t="str">
        <f aca="false">IF(ISBLANK($C328),"",$C328)</f>
        <v/>
      </c>
      <c r="BQ328" s="67" t="str">
        <f aca="false">IF(ISBLANK($C328),"",$D328)</f>
        <v/>
      </c>
      <c r="BR328" s="68" t="str">
        <f aca="false">BF328</f>
        <v/>
      </c>
      <c r="BS328" s="69" t="str">
        <f aca="false">BE328</f>
        <v/>
      </c>
      <c r="BT328" s="67" t="str">
        <f aca="false">IF(ISBLANK($C328),"",BH328)</f>
        <v/>
      </c>
      <c r="BU328" s="70" t="str">
        <f aca="false">IF($BL328&gt;$BK$7,"",VLOOKUP($BL328,$BN$8:$BT$507,7,FALSE()))</f>
        <v/>
      </c>
      <c r="BV328" s="71" t="str">
        <f aca="false">IF($BL328&gt;$BK$7,"",VLOOKUP($BL328,$BN$8:$BT$507,2,FALSE()))</f>
        <v/>
      </c>
      <c r="BW328" s="71" t="str">
        <f aca="false">IF($BL328&gt;$BK$7,"",VLOOKUP($BL328,$BN$8:$BT$507,3,FALSE()))</f>
        <v/>
      </c>
      <c r="BX328" s="71" t="str">
        <f aca="false">IF($BL328&gt;$BK$7,"",VLOOKUP($BL328,$BN$8:$BT$507,4,FALSE()))</f>
        <v/>
      </c>
      <c r="BY328" s="71" t="str">
        <f aca="false">IF($BL328&gt;$BK$7,"",VLOOKUP($BL328,$BN$8:$BT$507,5,FALSE()))</f>
        <v/>
      </c>
      <c r="BZ328" s="72" t="str">
        <f aca="false">IF($BL328&gt;$BK$7,"",VLOOKUP($BL328,$BN$8:$BT$507,6,FALSE()))</f>
        <v/>
      </c>
      <c r="CA328" s="48"/>
    </row>
    <row r="329" customFormat="false" ht="15.75" hidden="false" customHeight="false" outlineLevel="0" collapsed="false">
      <c r="A329" s="5"/>
      <c r="B329" s="114"/>
      <c r="C329" s="115"/>
      <c r="D329" s="100"/>
      <c r="E329" s="120"/>
      <c r="F329" s="125"/>
      <c r="G329" s="82"/>
      <c r="H329" s="126"/>
      <c r="I329" s="127"/>
      <c r="J329" s="82"/>
      <c r="K329" s="126"/>
      <c r="L329" s="82"/>
      <c r="M329" s="126"/>
      <c r="N329" s="82"/>
      <c r="O329" s="126"/>
      <c r="P329" s="82"/>
      <c r="Q329" s="126"/>
      <c r="R329" s="82"/>
      <c r="S329" s="120"/>
      <c r="T329" s="86"/>
      <c r="U329" s="87" t="str">
        <f aca="false">IF(ISBLANK($C329),"",IF(E329=Constants!$B$2, TRUE(), IF(E329=Constants!$B$3, FALSE(), TRUE())))</f>
        <v/>
      </c>
      <c r="V329" s="87" t="str">
        <f aca="false">IF(ISBLANK($C329),"",IF(F329=Constants!$B$2, TRUE(), IF(F329=Constants!$B$3, FALSE(), TRUE())))</f>
        <v/>
      </c>
      <c r="W329" s="87" t="str">
        <f aca="false">IF(ISBLANK($C329),"",IF(G329=Constants!$B$15,Constants!$B$8,IF(G329=Constants!$B$16,Constants!$B$9,Constants!$B$10)))</f>
        <v/>
      </c>
      <c r="X329" s="87" t="str">
        <f aca="false">IF(ISBLANK($C329),"",IF(H329=Constants!$B$2, TRUE(), IF(H329=Constants!$B$3, FALSE(), TRUE())))</f>
        <v/>
      </c>
      <c r="Y329" s="87" t="str">
        <f aca="false">IF(ISBLANK($C329),"",IF(I329=Constants!$B$19,Constants!$B$19,Constants!$B$18))</f>
        <v/>
      </c>
      <c r="Z329" s="87" t="str">
        <f aca="false">IF(ISBLANK($C329),"",IF(ISNUMBER(J329),IF(J329&gt;=0,J329,""),""))</f>
        <v/>
      </c>
      <c r="AA329" s="87" t="str">
        <f aca="false">IF(ISBLANK($C329),"",IF(K329=Constants!$B$19,Constants!$B$19,Constants!$B$18))</f>
        <v/>
      </c>
      <c r="AB329" s="87" t="str">
        <f aca="false">IF(ISBLANK($C329),"",IF(ISNUMBER(L329),IF(L329&gt;=0,L329,""),""))</f>
        <v/>
      </c>
      <c r="AC329" s="87" t="str">
        <f aca="false">IF(ISBLANK($C329),"",IF(M329=Constants!$B$19,Constants!$B$19,Constants!$B$18))</f>
        <v/>
      </c>
      <c r="AD329" s="87" t="str">
        <f aca="false">IF(ISBLANK($C329),"",IF(ISNUMBER(N329),IF(N329&gt;=0,N329,""),""))</f>
        <v/>
      </c>
      <c r="AE329" s="87" t="str">
        <f aca="false">IF(ISBLANK($C329),"",IF(O329=Constants!$B$19,Constants!$B$19,Constants!$B$18))</f>
        <v/>
      </c>
      <c r="AF329" s="87" t="str">
        <f aca="false">IF(ISBLANK($C329),"",IF(ISNUMBER(P329),IF(P329&gt;=0,P329,""),""))</f>
        <v/>
      </c>
      <c r="AG329" s="87" t="str">
        <f aca="false">IF(ISBLANK($C329),"",IF(Q329=Constants!$B$19,Constants!$B$19,Constants!$B$18))</f>
        <v/>
      </c>
      <c r="AH329" s="87" t="str">
        <f aca="false">IF(ISBLANK($C329),"",IF(ISNUMBER(R329),IF(R329&gt;=0,R329,""),""))</f>
        <v/>
      </c>
      <c r="AI329" s="87" t="str">
        <f aca="false">IF(ISBLANK($C329),"",IF(S329=Constants!$B$2, TRUE(), IF(S329=Constants!$B$3, FALSE(), FALSE())))</f>
        <v/>
      </c>
      <c r="AJ329" s="87" t="str">
        <f aca="false">IF(ISBLANK($C329),"",IF(AI329,Constants!$B$4,IF(COUNTA(E329:R329)=0,Constants!$B$5,IF(COUNTA(J329,L329,N329,P329,R329)=0,Constants!$B$6,Constants!$B$7))))</f>
        <v/>
      </c>
      <c r="AK329" s="87" t="str">
        <f aca="false">IF(ISBLANK($C329),"",IF($AJ329&lt;&gt;Constants!$B$7,$AJ329,IF(OR(NOT(X329),AND(NOT(U329),COUNTIFS(Y329:AG329,Constants!$B$18,Z329:AH329,"&gt;=0")&gt;0),AND(NOT(V329),COUNTIFS(Y329:AG329,Constants!$B$19,Z329:AH329,"&gt;=0")&gt;0)),Constants!$B$12,Constants!$B$11)))</f>
        <v/>
      </c>
      <c r="AL329" s="87" t="str">
        <f aca="false">IF($AJ329=Constants!$B$7,IF(Z329="",Constants!$B$13,Z329),"")</f>
        <v/>
      </c>
      <c r="AM329" s="87" t="str">
        <f aca="false">IF($AJ329=Constants!$B$7,IF(AB329="",Constants!$B$13,AB329),"")</f>
        <v/>
      </c>
      <c r="AN329" s="87" t="str">
        <f aca="false">IF($AJ329=Constants!$B$7,IF(AD329="",Constants!$B$13,AD329),"")</f>
        <v/>
      </c>
      <c r="AO329" s="87" t="str">
        <f aca="false">IF($AJ329=Constants!$B$7,IF(AF329="",Constants!$B$13,AF329),"")</f>
        <v/>
      </c>
      <c r="AP329" s="87" t="str">
        <f aca="false">IF($AJ329=Constants!$B$7,IF(AH329="",Constants!$B$13,AH329),"")</f>
        <v/>
      </c>
      <c r="AQ329" s="87" t="str">
        <f aca="false">IF($AJ329=Constants!$B$7,IF(SUMPRODUCT(--($AL329:$AP329&gt;AL329))+SUMPRODUCT(--($AL329:AL329=AL329))=1,1,IF(SUMPRODUCT(--($AL329:$AP329&gt;AM329))+SUMPRODUCT(--($AL329:AM329=AM329))=1,2,IF(SUMPRODUCT(--($AL329:$AP329&gt;AN329))+SUMPRODUCT(--($AL329:AN329=AN329))=1,3,IF(SUMPRODUCT(--($AL329:$AP329&gt;AO329))+SUMPRODUCT(--($AL329:AO329=AO329))=1,4,5)))),"")</f>
        <v/>
      </c>
      <c r="AR329" s="87" t="str">
        <f aca="false">IF($AJ329=Constants!$B$7,IF(SUMPRODUCT(--($AL329:$AP329&gt;AL329))+SUMPRODUCT(--($AL329:AL329=AL329))=2,1,IF(SUMPRODUCT(--($AL329:$AP329&gt;AM329))+SUMPRODUCT(--($AL329:AM329=AM329))=2,2,IF(SUMPRODUCT(--($AL329:$AP329&gt;AN329))+SUMPRODUCT(--($AL329:AN329=AN329))=2,3,IF(SUMPRODUCT(--($AL329:$AP329&gt;AO329))+SUMPRODUCT(--($AL329:AO329=AO329))=2,4,5)))),"")</f>
        <v/>
      </c>
      <c r="AS329" s="87" t="str">
        <f aca="false">IF($AJ329=Constants!$B$7,IF(SUMPRODUCT(--($AL329:$AP329&gt;AL329))+SUMPRODUCT(--($AL329:AL329=AL329))=3,1,IF(SUMPRODUCT(--($AL329:$AP329&gt;AM329))+SUMPRODUCT(--($AL329:AM329=AM329))=3,2,IF(SUMPRODUCT(--($AL329:$AP329&gt;AN329))+SUMPRODUCT(--($AL329:AN329=AN329))=3,3,IF(SUMPRODUCT(--($AL329:$AP329&gt;AO329))+SUMPRODUCT(--($AL329:AO329=AO329))=3,4,5)))),"")</f>
        <v/>
      </c>
      <c r="AT329" s="87" t="str">
        <f aca="false">IF($AJ329=Constants!$B$7,LARGE(AL329:AP329,1)+LARGE(AL329:AP329,2)+LARGE(AL329:AP329,3),"")</f>
        <v/>
      </c>
      <c r="AU329" s="87" t="str">
        <f aca="false">IF(ISBLANK($C329),"",IF($AJ329&lt;&gt;Constants!$B$7,$AJ329,AT329*W329))</f>
        <v/>
      </c>
      <c r="AV329" s="87" t="str">
        <f aca="false">IF(ISBLANK($C329),"",IF($AJ329=Constants!$B$7,IF(ISNUMBER(AU329),RANK(AU329,$AU$8:$AU$507),Constants!$B$14),$AJ329))</f>
        <v/>
      </c>
      <c r="AW329" s="87" t="str">
        <f aca="false">IF(ISBLANK($C329),"",IF($AJ329=Constants!$B$7,IF(ISNUMBER(AV329),COUNTIFS($AK$8:$AK$507,"&lt;"&amp;$AK329)+COUNTIFS($AK$8:$AK$507,$AK329,$AV$8:$AV$507,"&lt;"&amp;$AV329)+1,Constants!$B$14),$AJ329))</f>
        <v/>
      </c>
      <c r="AX329" s="87" t="str">
        <f aca="false">IF(ISBLANK($C329),"",IF($AJ329=Constants!$B$7,LARGE(AL329:AP329,4)*W329,""))</f>
        <v/>
      </c>
      <c r="AY329" s="87" t="str">
        <f aca="false">IF(ISBLANK($C329),"",IF($AJ329=Constants!$B$7,RANK(AX329,$AX$8:$AX$507),$AJ329))</f>
        <v/>
      </c>
      <c r="AZ329" s="87" t="str">
        <f aca="false">IF(ISBLANK($C329),"",IF($AJ329=Constants!$B$7,IF(ISNUMBER(AV329),COUNTIFS($AK$8:$AK$507,"&lt;"&amp;$AK329)+COUNTIFS($AK$8:$AK$507,$AK329,$AV$8:$AV$507,"&lt;"&amp;$AV329)+COUNTIFS($AK$8:$AK$507,$AK329,$AV$8:$AV$507,$AV329,$AY$8:$AY$507,"&lt;"&amp;$AY329)+1,Constants!$B$14),$AJ329))</f>
        <v/>
      </c>
      <c r="BA329" s="87" t="str">
        <f aca="false">IF(ISBLANK($C329),"",IF($AJ329=Constants!$B$7,IF(ISNUMBER(AW329),AW329-AZ329,Constants!$B$14),$AJ329))</f>
        <v/>
      </c>
      <c r="BB329" s="88"/>
      <c r="BC329" s="89" t="str">
        <f aca="false">IF(ISBLANK($C329),"",IF($AJ329&lt;&gt;Constants!$B$7,$AJ329,SMALL(AQ329:AS329,1)&amp;", "&amp;SMALL(AQ329:AS329,2)&amp;", "&amp;SMALL(AQ329:AS329,3)))</f>
        <v/>
      </c>
      <c r="BD329" s="90" t="str">
        <f aca="false">IF(ISBLANK($C329),"",IF($AJ329&lt;&gt;Constants!$B$7,$AJ329,W329))</f>
        <v/>
      </c>
      <c r="BE329" s="91" t="str">
        <f aca="false">IF(ISBLANK($C329),"",IF($AJ329&lt;&gt;Constants!$B$7,$AJ329,AU329))</f>
        <v/>
      </c>
      <c r="BF329" s="92" t="str">
        <f aca="false">IF(ISBLANK($C329),"",IF($AJ329&lt;&gt;Constants!$B$7,$AJ329,AK329))</f>
        <v/>
      </c>
      <c r="BG329" s="90" t="str">
        <f aca="false">IF(ISBLANK($C329),"",BA329)</f>
        <v/>
      </c>
      <c r="BH329" s="90" t="str">
        <f aca="false">IF(ISBLANK($C329),"",AZ329)</f>
        <v/>
      </c>
      <c r="BI329" s="93" t="str">
        <f aca="false">IF(ISBLANK($C329),"",IF(BH329=Constants!$B$4,COUNTA($C$8:$C$507)+2,IF(BH329=Constants!$B$5,COUNTA($C$8:$C$507)+1,IF(BH329=Constants!$B$6,COUNTA($C$8:$C$507),BH329))))</f>
        <v/>
      </c>
      <c r="BJ329" s="5"/>
      <c r="BK329" s="94" t="n">
        <f aca="false">IF(OR(ISNUMBER(BH329),BH329=Constants!$B$4,BH329=Constants!$B$6,BH329=Constants!$B$5),1,0)</f>
        <v>0</v>
      </c>
      <c r="BL329" s="94" t="n">
        <v>322</v>
      </c>
      <c r="BM329" s="94" t="str">
        <f aca="false">IF(ISBLANK($C329),"",IF(ISNUMBER(BI329),BI329+ROW($B329)/1000,""))</f>
        <v/>
      </c>
      <c r="BN329" s="94" t="str">
        <f aca="false">IF(ISNUMBER(BM329),RANK(BM329,$BM$8:$BM$507,1),"")</f>
        <v/>
      </c>
      <c r="BO329" s="94" t="str">
        <f aca="false">IF(ISBLANK($C329),"",$B329)</f>
        <v/>
      </c>
      <c r="BP329" s="94" t="str">
        <f aca="false">IF(ISBLANK($C329),"",$C329)</f>
        <v/>
      </c>
      <c r="BQ329" s="94" t="str">
        <f aca="false">IF(ISBLANK($C329),"",$D329)</f>
        <v/>
      </c>
      <c r="BR329" s="95" t="str">
        <f aca="false">BF329</f>
        <v/>
      </c>
      <c r="BS329" s="96" t="str">
        <f aca="false">BE329</f>
        <v/>
      </c>
      <c r="BT329" s="94" t="str">
        <f aca="false">IF(ISBLANK($C329),"",BH329)</f>
        <v/>
      </c>
      <c r="BU329" s="97" t="str">
        <f aca="false">IF($BL329&gt;$BK$7,"",VLOOKUP($BL329,$BN$8:$BT$507,7,FALSE()))</f>
        <v/>
      </c>
      <c r="BV329" s="98" t="str">
        <f aca="false">IF($BL329&gt;$BK$7,"",VLOOKUP($BL329,$BN$8:$BT$507,2,FALSE()))</f>
        <v/>
      </c>
      <c r="BW329" s="98" t="str">
        <f aca="false">IF($BL329&gt;$BK$7,"",VLOOKUP($BL329,$BN$8:$BT$507,3,FALSE()))</f>
        <v/>
      </c>
      <c r="BX329" s="98" t="str">
        <f aca="false">IF($BL329&gt;$BK$7,"",VLOOKUP($BL329,$BN$8:$BT$507,4,FALSE()))</f>
        <v/>
      </c>
      <c r="BY329" s="98" t="str">
        <f aca="false">IF($BL329&gt;$BK$7,"",VLOOKUP($BL329,$BN$8:$BT$507,5,FALSE()))</f>
        <v/>
      </c>
      <c r="BZ329" s="99" t="str">
        <f aca="false">IF($BL329&gt;$BK$7,"",VLOOKUP($BL329,$BN$8:$BT$507,6,FALSE()))</f>
        <v/>
      </c>
      <c r="CA329" s="48"/>
    </row>
    <row r="330" customFormat="false" ht="15.75" hidden="false" customHeight="false" outlineLevel="0" collapsed="false">
      <c r="A330" s="5"/>
      <c r="B330" s="114"/>
      <c r="C330" s="115"/>
      <c r="D330" s="100"/>
      <c r="E330" s="120"/>
      <c r="F330" s="125"/>
      <c r="G330" s="82"/>
      <c r="H330" s="126"/>
      <c r="I330" s="127"/>
      <c r="J330" s="82"/>
      <c r="K330" s="126"/>
      <c r="L330" s="82"/>
      <c r="M330" s="126"/>
      <c r="N330" s="82"/>
      <c r="O330" s="126"/>
      <c r="P330" s="82"/>
      <c r="Q330" s="126"/>
      <c r="R330" s="82"/>
      <c r="S330" s="120"/>
      <c r="T330" s="86"/>
      <c r="U330" s="87" t="str">
        <f aca="false">IF(ISBLANK($C330),"",IF(E330=Constants!$B$2, TRUE(), IF(E330=Constants!$B$3, FALSE(), TRUE())))</f>
        <v/>
      </c>
      <c r="V330" s="87" t="str">
        <f aca="false">IF(ISBLANK($C330),"",IF(F330=Constants!$B$2, TRUE(), IF(F330=Constants!$B$3, FALSE(), TRUE())))</f>
        <v/>
      </c>
      <c r="W330" s="87" t="str">
        <f aca="false">IF(ISBLANK($C330),"",IF(G330=Constants!$B$15,Constants!$B$8,IF(G330=Constants!$B$16,Constants!$B$9,Constants!$B$10)))</f>
        <v/>
      </c>
      <c r="X330" s="87" t="str">
        <f aca="false">IF(ISBLANK($C330),"",IF(H330=Constants!$B$2, TRUE(), IF(H330=Constants!$B$3, FALSE(), TRUE())))</f>
        <v/>
      </c>
      <c r="Y330" s="87" t="str">
        <f aca="false">IF(ISBLANK($C330),"",IF(I330=Constants!$B$19,Constants!$B$19,Constants!$B$18))</f>
        <v/>
      </c>
      <c r="Z330" s="87" t="str">
        <f aca="false">IF(ISBLANK($C330),"",IF(ISNUMBER(J330),IF(J330&gt;=0,J330,""),""))</f>
        <v/>
      </c>
      <c r="AA330" s="87" t="str">
        <f aca="false">IF(ISBLANK($C330),"",IF(K330=Constants!$B$19,Constants!$B$19,Constants!$B$18))</f>
        <v/>
      </c>
      <c r="AB330" s="87" t="str">
        <f aca="false">IF(ISBLANK($C330),"",IF(ISNUMBER(L330),IF(L330&gt;=0,L330,""),""))</f>
        <v/>
      </c>
      <c r="AC330" s="87" t="str">
        <f aca="false">IF(ISBLANK($C330),"",IF(M330=Constants!$B$19,Constants!$B$19,Constants!$B$18))</f>
        <v/>
      </c>
      <c r="AD330" s="87" t="str">
        <f aca="false">IF(ISBLANK($C330),"",IF(ISNUMBER(N330),IF(N330&gt;=0,N330,""),""))</f>
        <v/>
      </c>
      <c r="AE330" s="87" t="str">
        <f aca="false">IF(ISBLANK($C330),"",IF(O330=Constants!$B$19,Constants!$B$19,Constants!$B$18))</f>
        <v/>
      </c>
      <c r="AF330" s="87" t="str">
        <f aca="false">IF(ISBLANK($C330),"",IF(ISNUMBER(P330),IF(P330&gt;=0,P330,""),""))</f>
        <v/>
      </c>
      <c r="AG330" s="87" t="str">
        <f aca="false">IF(ISBLANK($C330),"",IF(Q330=Constants!$B$19,Constants!$B$19,Constants!$B$18))</f>
        <v/>
      </c>
      <c r="AH330" s="87" t="str">
        <f aca="false">IF(ISBLANK($C330),"",IF(ISNUMBER(R330),IF(R330&gt;=0,R330,""),""))</f>
        <v/>
      </c>
      <c r="AI330" s="87" t="str">
        <f aca="false">IF(ISBLANK($C330),"",IF(S330=Constants!$B$2, TRUE(), IF(S330=Constants!$B$3, FALSE(), FALSE())))</f>
        <v/>
      </c>
      <c r="AJ330" s="87" t="str">
        <f aca="false">IF(ISBLANK($C330),"",IF(AI330,Constants!$B$4,IF(COUNTA(E330:R330)=0,Constants!$B$5,IF(COUNTA(J330,L330,N330,P330,R330)=0,Constants!$B$6,Constants!$B$7))))</f>
        <v/>
      </c>
      <c r="AK330" s="87" t="str">
        <f aca="false">IF(ISBLANK($C330),"",IF($AJ330&lt;&gt;Constants!$B$7,$AJ330,IF(OR(NOT(X330),AND(NOT(U330),COUNTIFS(Y330:AG330,Constants!$B$18,Z330:AH330,"&gt;=0")&gt;0),AND(NOT(V330),COUNTIFS(Y330:AG330,Constants!$B$19,Z330:AH330,"&gt;=0")&gt;0)),Constants!$B$12,Constants!$B$11)))</f>
        <v/>
      </c>
      <c r="AL330" s="87" t="str">
        <f aca="false">IF($AJ330=Constants!$B$7,IF(Z330="",Constants!$B$13,Z330),"")</f>
        <v/>
      </c>
      <c r="AM330" s="87" t="str">
        <f aca="false">IF($AJ330=Constants!$B$7,IF(AB330="",Constants!$B$13,AB330),"")</f>
        <v/>
      </c>
      <c r="AN330" s="87" t="str">
        <f aca="false">IF($AJ330=Constants!$B$7,IF(AD330="",Constants!$B$13,AD330),"")</f>
        <v/>
      </c>
      <c r="AO330" s="87" t="str">
        <f aca="false">IF($AJ330=Constants!$B$7,IF(AF330="",Constants!$B$13,AF330),"")</f>
        <v/>
      </c>
      <c r="AP330" s="87" t="str">
        <f aca="false">IF($AJ330=Constants!$B$7,IF(AH330="",Constants!$B$13,AH330),"")</f>
        <v/>
      </c>
      <c r="AQ330" s="87" t="str">
        <f aca="false">IF($AJ330=Constants!$B$7,IF(SUMPRODUCT(--($AL330:$AP330&gt;AL330))+SUMPRODUCT(--($AL330:AL330=AL330))=1,1,IF(SUMPRODUCT(--($AL330:$AP330&gt;AM330))+SUMPRODUCT(--($AL330:AM330=AM330))=1,2,IF(SUMPRODUCT(--($AL330:$AP330&gt;AN330))+SUMPRODUCT(--($AL330:AN330=AN330))=1,3,IF(SUMPRODUCT(--($AL330:$AP330&gt;AO330))+SUMPRODUCT(--($AL330:AO330=AO330))=1,4,5)))),"")</f>
        <v/>
      </c>
      <c r="AR330" s="87" t="str">
        <f aca="false">IF($AJ330=Constants!$B$7,IF(SUMPRODUCT(--($AL330:$AP330&gt;AL330))+SUMPRODUCT(--($AL330:AL330=AL330))=2,1,IF(SUMPRODUCT(--($AL330:$AP330&gt;AM330))+SUMPRODUCT(--($AL330:AM330=AM330))=2,2,IF(SUMPRODUCT(--($AL330:$AP330&gt;AN330))+SUMPRODUCT(--($AL330:AN330=AN330))=2,3,IF(SUMPRODUCT(--($AL330:$AP330&gt;AO330))+SUMPRODUCT(--($AL330:AO330=AO330))=2,4,5)))),"")</f>
        <v/>
      </c>
      <c r="AS330" s="87" t="str">
        <f aca="false">IF($AJ330=Constants!$B$7,IF(SUMPRODUCT(--($AL330:$AP330&gt;AL330))+SUMPRODUCT(--($AL330:AL330=AL330))=3,1,IF(SUMPRODUCT(--($AL330:$AP330&gt;AM330))+SUMPRODUCT(--($AL330:AM330=AM330))=3,2,IF(SUMPRODUCT(--($AL330:$AP330&gt;AN330))+SUMPRODUCT(--($AL330:AN330=AN330))=3,3,IF(SUMPRODUCT(--($AL330:$AP330&gt;AO330))+SUMPRODUCT(--($AL330:AO330=AO330))=3,4,5)))),"")</f>
        <v/>
      </c>
      <c r="AT330" s="87" t="str">
        <f aca="false">IF($AJ330=Constants!$B$7,LARGE(AL330:AP330,1)+LARGE(AL330:AP330,2)+LARGE(AL330:AP330,3),"")</f>
        <v/>
      </c>
      <c r="AU330" s="87" t="str">
        <f aca="false">IF(ISBLANK($C330),"",IF($AJ330&lt;&gt;Constants!$B$7,$AJ330,AT330*W330))</f>
        <v/>
      </c>
      <c r="AV330" s="87" t="str">
        <f aca="false">IF(ISBLANK($C330),"",IF($AJ330=Constants!$B$7,IF(ISNUMBER(AU330),RANK(AU330,$AU$8:$AU$507),Constants!$B$14),$AJ330))</f>
        <v/>
      </c>
      <c r="AW330" s="87" t="str">
        <f aca="false">IF(ISBLANK($C330),"",IF($AJ330=Constants!$B$7,IF(ISNUMBER(AV330),COUNTIFS($AK$8:$AK$507,"&lt;"&amp;$AK330)+COUNTIFS($AK$8:$AK$507,$AK330,$AV$8:$AV$507,"&lt;"&amp;$AV330)+1,Constants!$B$14),$AJ330))</f>
        <v/>
      </c>
      <c r="AX330" s="87" t="str">
        <f aca="false">IF(ISBLANK($C330),"",IF($AJ330=Constants!$B$7,LARGE(AL330:AP330,4)*W330,""))</f>
        <v/>
      </c>
      <c r="AY330" s="87" t="str">
        <f aca="false">IF(ISBLANK($C330),"",IF($AJ330=Constants!$B$7,RANK(AX330,$AX$8:$AX$507),$AJ330))</f>
        <v/>
      </c>
      <c r="AZ330" s="87" t="str">
        <f aca="false">IF(ISBLANK($C330),"",IF($AJ330=Constants!$B$7,IF(ISNUMBER(AV330),COUNTIFS($AK$8:$AK$507,"&lt;"&amp;$AK330)+COUNTIFS($AK$8:$AK$507,$AK330,$AV$8:$AV$507,"&lt;"&amp;$AV330)+COUNTIFS($AK$8:$AK$507,$AK330,$AV$8:$AV$507,$AV330,$AY$8:$AY$507,"&lt;"&amp;$AY330)+1,Constants!$B$14),$AJ330))</f>
        <v/>
      </c>
      <c r="BA330" s="87" t="str">
        <f aca="false">IF(ISBLANK($C330),"",IF($AJ330=Constants!$B$7,IF(ISNUMBER(AW330),AW330-AZ330,Constants!$B$14),$AJ330))</f>
        <v/>
      </c>
      <c r="BB330" s="88"/>
      <c r="BC330" s="89" t="str">
        <f aca="false">IF(ISBLANK($C330),"",IF($AJ330&lt;&gt;Constants!$B$7,$AJ330,SMALL(AQ330:AS330,1)&amp;", "&amp;SMALL(AQ330:AS330,2)&amp;", "&amp;SMALL(AQ330:AS330,3)))</f>
        <v/>
      </c>
      <c r="BD330" s="90" t="str">
        <f aca="false">IF(ISBLANK($C330),"",IF($AJ330&lt;&gt;Constants!$B$7,$AJ330,W330))</f>
        <v/>
      </c>
      <c r="BE330" s="91" t="str">
        <f aca="false">IF(ISBLANK($C330),"",IF($AJ330&lt;&gt;Constants!$B$7,$AJ330,AU330))</f>
        <v/>
      </c>
      <c r="BF330" s="92" t="str">
        <f aca="false">IF(ISBLANK($C330),"",IF($AJ330&lt;&gt;Constants!$B$7,$AJ330,AK330))</f>
        <v/>
      </c>
      <c r="BG330" s="90" t="str">
        <f aca="false">IF(ISBLANK($C330),"",BA330)</f>
        <v/>
      </c>
      <c r="BH330" s="90" t="str">
        <f aca="false">IF(ISBLANK($C330),"",AZ330)</f>
        <v/>
      </c>
      <c r="BI330" s="93" t="str">
        <f aca="false">IF(ISBLANK($C330),"",IF(BH330=Constants!$B$4,COUNTA($C$8:$C$507)+2,IF(BH330=Constants!$B$5,COUNTA($C$8:$C$507)+1,IF(BH330=Constants!$B$6,COUNTA($C$8:$C$507),BH330))))</f>
        <v/>
      </c>
      <c r="BJ330" s="5"/>
      <c r="BK330" s="94" t="n">
        <f aca="false">IF(OR(ISNUMBER(BH330),BH330=Constants!$B$4,BH330=Constants!$B$6,BH330=Constants!$B$5),1,0)</f>
        <v>0</v>
      </c>
      <c r="BL330" s="94" t="n">
        <v>323</v>
      </c>
      <c r="BM330" s="94" t="str">
        <f aca="false">IF(ISBLANK($C330),"",IF(ISNUMBER(BI330),BI330+ROW($B330)/1000,""))</f>
        <v/>
      </c>
      <c r="BN330" s="94" t="str">
        <f aca="false">IF(ISNUMBER(BM330),RANK(BM330,$BM$8:$BM$507,1),"")</f>
        <v/>
      </c>
      <c r="BO330" s="94" t="str">
        <f aca="false">IF(ISBLANK($C330),"",$B330)</f>
        <v/>
      </c>
      <c r="BP330" s="94" t="str">
        <f aca="false">IF(ISBLANK($C330),"",$C330)</f>
        <v/>
      </c>
      <c r="BQ330" s="94" t="str">
        <f aca="false">IF(ISBLANK($C330),"",$D330)</f>
        <v/>
      </c>
      <c r="BR330" s="95" t="str">
        <f aca="false">BF330</f>
        <v/>
      </c>
      <c r="BS330" s="96" t="str">
        <f aca="false">BE330</f>
        <v/>
      </c>
      <c r="BT330" s="94" t="str">
        <f aca="false">IF(ISBLANK($C330),"",BH330)</f>
        <v/>
      </c>
      <c r="BU330" s="97" t="str">
        <f aca="false">IF($BL330&gt;$BK$7,"",VLOOKUP($BL330,$BN$8:$BT$507,7,FALSE()))</f>
        <v/>
      </c>
      <c r="BV330" s="98" t="str">
        <f aca="false">IF($BL330&gt;$BK$7,"",VLOOKUP($BL330,$BN$8:$BT$507,2,FALSE()))</f>
        <v/>
      </c>
      <c r="BW330" s="98" t="str">
        <f aca="false">IF($BL330&gt;$BK$7,"",VLOOKUP($BL330,$BN$8:$BT$507,3,FALSE()))</f>
        <v/>
      </c>
      <c r="BX330" s="98" t="str">
        <f aca="false">IF($BL330&gt;$BK$7,"",VLOOKUP($BL330,$BN$8:$BT$507,4,FALSE()))</f>
        <v/>
      </c>
      <c r="BY330" s="98" t="str">
        <f aca="false">IF($BL330&gt;$BK$7,"",VLOOKUP($BL330,$BN$8:$BT$507,5,FALSE()))</f>
        <v/>
      </c>
      <c r="BZ330" s="99" t="str">
        <f aca="false">IF($BL330&gt;$BK$7,"",VLOOKUP($BL330,$BN$8:$BT$507,6,FALSE()))</f>
        <v/>
      </c>
      <c r="CA330" s="48"/>
    </row>
    <row r="331" customFormat="false" ht="15.75" hidden="false" customHeight="false" outlineLevel="0" collapsed="false">
      <c r="A331" s="5"/>
      <c r="B331" s="114"/>
      <c r="C331" s="115"/>
      <c r="D331" s="100"/>
      <c r="E331" s="120"/>
      <c r="F331" s="125"/>
      <c r="G331" s="82"/>
      <c r="H331" s="126"/>
      <c r="I331" s="127"/>
      <c r="J331" s="82"/>
      <c r="K331" s="126"/>
      <c r="L331" s="82"/>
      <c r="M331" s="126"/>
      <c r="N331" s="82"/>
      <c r="O331" s="126"/>
      <c r="P331" s="82"/>
      <c r="Q331" s="126"/>
      <c r="R331" s="82"/>
      <c r="S331" s="120"/>
      <c r="T331" s="86"/>
      <c r="U331" s="87" t="str">
        <f aca="false">IF(ISBLANK($C331),"",IF(E331=Constants!$B$2, TRUE(), IF(E331=Constants!$B$3, FALSE(), TRUE())))</f>
        <v/>
      </c>
      <c r="V331" s="87" t="str">
        <f aca="false">IF(ISBLANK($C331),"",IF(F331=Constants!$B$2, TRUE(), IF(F331=Constants!$B$3, FALSE(), TRUE())))</f>
        <v/>
      </c>
      <c r="W331" s="87" t="str">
        <f aca="false">IF(ISBLANK($C331),"",IF(G331=Constants!$B$15,Constants!$B$8,IF(G331=Constants!$B$16,Constants!$B$9,Constants!$B$10)))</f>
        <v/>
      </c>
      <c r="X331" s="87" t="str">
        <f aca="false">IF(ISBLANK($C331),"",IF(H331=Constants!$B$2, TRUE(), IF(H331=Constants!$B$3, FALSE(), TRUE())))</f>
        <v/>
      </c>
      <c r="Y331" s="87" t="str">
        <f aca="false">IF(ISBLANK($C331),"",IF(I331=Constants!$B$19,Constants!$B$19,Constants!$B$18))</f>
        <v/>
      </c>
      <c r="Z331" s="87" t="str">
        <f aca="false">IF(ISBLANK($C331),"",IF(ISNUMBER(J331),IF(J331&gt;=0,J331,""),""))</f>
        <v/>
      </c>
      <c r="AA331" s="87" t="str">
        <f aca="false">IF(ISBLANK($C331),"",IF(K331=Constants!$B$19,Constants!$B$19,Constants!$B$18))</f>
        <v/>
      </c>
      <c r="AB331" s="87" t="str">
        <f aca="false">IF(ISBLANK($C331),"",IF(ISNUMBER(L331),IF(L331&gt;=0,L331,""),""))</f>
        <v/>
      </c>
      <c r="AC331" s="87" t="str">
        <f aca="false">IF(ISBLANK($C331),"",IF(M331=Constants!$B$19,Constants!$B$19,Constants!$B$18))</f>
        <v/>
      </c>
      <c r="AD331" s="87" t="str">
        <f aca="false">IF(ISBLANK($C331),"",IF(ISNUMBER(N331),IF(N331&gt;=0,N331,""),""))</f>
        <v/>
      </c>
      <c r="AE331" s="87" t="str">
        <f aca="false">IF(ISBLANK($C331),"",IF(O331=Constants!$B$19,Constants!$B$19,Constants!$B$18))</f>
        <v/>
      </c>
      <c r="AF331" s="87" t="str">
        <f aca="false">IF(ISBLANK($C331),"",IF(ISNUMBER(P331),IF(P331&gt;=0,P331,""),""))</f>
        <v/>
      </c>
      <c r="AG331" s="87" t="str">
        <f aca="false">IF(ISBLANK($C331),"",IF(Q331=Constants!$B$19,Constants!$B$19,Constants!$B$18))</f>
        <v/>
      </c>
      <c r="AH331" s="87" t="str">
        <f aca="false">IF(ISBLANK($C331),"",IF(ISNUMBER(R331),IF(R331&gt;=0,R331,""),""))</f>
        <v/>
      </c>
      <c r="AI331" s="87" t="str">
        <f aca="false">IF(ISBLANK($C331),"",IF(S331=Constants!$B$2, TRUE(), IF(S331=Constants!$B$3, FALSE(), FALSE())))</f>
        <v/>
      </c>
      <c r="AJ331" s="87" t="str">
        <f aca="false">IF(ISBLANK($C331),"",IF(AI331,Constants!$B$4,IF(COUNTA(E331:R331)=0,Constants!$B$5,IF(COUNTA(J331,L331,N331,P331,R331)=0,Constants!$B$6,Constants!$B$7))))</f>
        <v/>
      </c>
      <c r="AK331" s="87" t="str">
        <f aca="false">IF(ISBLANK($C331),"",IF($AJ331&lt;&gt;Constants!$B$7,$AJ331,IF(OR(NOT(X331),AND(NOT(U331),COUNTIFS(Y331:AG331,Constants!$B$18,Z331:AH331,"&gt;=0")&gt;0),AND(NOT(V331),COUNTIFS(Y331:AG331,Constants!$B$19,Z331:AH331,"&gt;=0")&gt;0)),Constants!$B$12,Constants!$B$11)))</f>
        <v/>
      </c>
      <c r="AL331" s="87" t="str">
        <f aca="false">IF($AJ331=Constants!$B$7,IF(Z331="",Constants!$B$13,Z331),"")</f>
        <v/>
      </c>
      <c r="AM331" s="87" t="str">
        <f aca="false">IF($AJ331=Constants!$B$7,IF(AB331="",Constants!$B$13,AB331),"")</f>
        <v/>
      </c>
      <c r="AN331" s="87" t="str">
        <f aca="false">IF($AJ331=Constants!$B$7,IF(AD331="",Constants!$B$13,AD331),"")</f>
        <v/>
      </c>
      <c r="AO331" s="87" t="str">
        <f aca="false">IF($AJ331=Constants!$B$7,IF(AF331="",Constants!$B$13,AF331),"")</f>
        <v/>
      </c>
      <c r="AP331" s="87" t="str">
        <f aca="false">IF($AJ331=Constants!$B$7,IF(AH331="",Constants!$B$13,AH331),"")</f>
        <v/>
      </c>
      <c r="AQ331" s="87" t="str">
        <f aca="false">IF($AJ331=Constants!$B$7,IF(SUMPRODUCT(--($AL331:$AP331&gt;AL331))+SUMPRODUCT(--($AL331:AL331=AL331))=1,1,IF(SUMPRODUCT(--($AL331:$AP331&gt;AM331))+SUMPRODUCT(--($AL331:AM331=AM331))=1,2,IF(SUMPRODUCT(--($AL331:$AP331&gt;AN331))+SUMPRODUCT(--($AL331:AN331=AN331))=1,3,IF(SUMPRODUCT(--($AL331:$AP331&gt;AO331))+SUMPRODUCT(--($AL331:AO331=AO331))=1,4,5)))),"")</f>
        <v/>
      </c>
      <c r="AR331" s="87" t="str">
        <f aca="false">IF($AJ331=Constants!$B$7,IF(SUMPRODUCT(--($AL331:$AP331&gt;AL331))+SUMPRODUCT(--($AL331:AL331=AL331))=2,1,IF(SUMPRODUCT(--($AL331:$AP331&gt;AM331))+SUMPRODUCT(--($AL331:AM331=AM331))=2,2,IF(SUMPRODUCT(--($AL331:$AP331&gt;AN331))+SUMPRODUCT(--($AL331:AN331=AN331))=2,3,IF(SUMPRODUCT(--($AL331:$AP331&gt;AO331))+SUMPRODUCT(--($AL331:AO331=AO331))=2,4,5)))),"")</f>
        <v/>
      </c>
      <c r="AS331" s="87" t="str">
        <f aca="false">IF($AJ331=Constants!$B$7,IF(SUMPRODUCT(--($AL331:$AP331&gt;AL331))+SUMPRODUCT(--($AL331:AL331=AL331))=3,1,IF(SUMPRODUCT(--($AL331:$AP331&gt;AM331))+SUMPRODUCT(--($AL331:AM331=AM331))=3,2,IF(SUMPRODUCT(--($AL331:$AP331&gt;AN331))+SUMPRODUCT(--($AL331:AN331=AN331))=3,3,IF(SUMPRODUCT(--($AL331:$AP331&gt;AO331))+SUMPRODUCT(--($AL331:AO331=AO331))=3,4,5)))),"")</f>
        <v/>
      </c>
      <c r="AT331" s="87" t="str">
        <f aca="false">IF($AJ331=Constants!$B$7,LARGE(AL331:AP331,1)+LARGE(AL331:AP331,2)+LARGE(AL331:AP331,3),"")</f>
        <v/>
      </c>
      <c r="AU331" s="87" t="str">
        <f aca="false">IF(ISBLANK($C331),"",IF($AJ331&lt;&gt;Constants!$B$7,$AJ331,AT331*W331))</f>
        <v/>
      </c>
      <c r="AV331" s="87" t="str">
        <f aca="false">IF(ISBLANK($C331),"",IF($AJ331=Constants!$B$7,IF(ISNUMBER(AU331),RANK(AU331,$AU$8:$AU$507),Constants!$B$14),$AJ331))</f>
        <v/>
      </c>
      <c r="AW331" s="87" t="str">
        <f aca="false">IF(ISBLANK($C331),"",IF($AJ331=Constants!$B$7,IF(ISNUMBER(AV331),COUNTIFS($AK$8:$AK$507,"&lt;"&amp;$AK331)+COUNTIFS($AK$8:$AK$507,$AK331,$AV$8:$AV$507,"&lt;"&amp;$AV331)+1,Constants!$B$14),$AJ331))</f>
        <v/>
      </c>
      <c r="AX331" s="87" t="str">
        <f aca="false">IF(ISBLANK($C331),"",IF($AJ331=Constants!$B$7,LARGE(AL331:AP331,4)*W331,""))</f>
        <v/>
      </c>
      <c r="AY331" s="87" t="str">
        <f aca="false">IF(ISBLANK($C331),"",IF($AJ331=Constants!$B$7,RANK(AX331,$AX$8:$AX$507),$AJ331))</f>
        <v/>
      </c>
      <c r="AZ331" s="87" t="str">
        <f aca="false">IF(ISBLANK($C331),"",IF($AJ331=Constants!$B$7,IF(ISNUMBER(AV331),COUNTIFS($AK$8:$AK$507,"&lt;"&amp;$AK331)+COUNTIFS($AK$8:$AK$507,$AK331,$AV$8:$AV$507,"&lt;"&amp;$AV331)+COUNTIFS($AK$8:$AK$507,$AK331,$AV$8:$AV$507,$AV331,$AY$8:$AY$507,"&lt;"&amp;$AY331)+1,Constants!$B$14),$AJ331))</f>
        <v/>
      </c>
      <c r="BA331" s="87" t="str">
        <f aca="false">IF(ISBLANK($C331),"",IF($AJ331=Constants!$B$7,IF(ISNUMBER(AW331),AW331-AZ331,Constants!$B$14),$AJ331))</f>
        <v/>
      </c>
      <c r="BB331" s="88"/>
      <c r="BC331" s="89" t="str">
        <f aca="false">IF(ISBLANK($C331),"",IF($AJ331&lt;&gt;Constants!$B$7,$AJ331,SMALL(AQ331:AS331,1)&amp;", "&amp;SMALL(AQ331:AS331,2)&amp;", "&amp;SMALL(AQ331:AS331,3)))</f>
        <v/>
      </c>
      <c r="BD331" s="90" t="str">
        <f aca="false">IF(ISBLANK($C331),"",IF($AJ331&lt;&gt;Constants!$B$7,$AJ331,W331))</f>
        <v/>
      </c>
      <c r="BE331" s="91" t="str">
        <f aca="false">IF(ISBLANK($C331),"",IF($AJ331&lt;&gt;Constants!$B$7,$AJ331,AU331))</f>
        <v/>
      </c>
      <c r="BF331" s="92" t="str">
        <f aca="false">IF(ISBLANK($C331),"",IF($AJ331&lt;&gt;Constants!$B$7,$AJ331,AK331))</f>
        <v/>
      </c>
      <c r="BG331" s="90" t="str">
        <f aca="false">IF(ISBLANK($C331),"",BA331)</f>
        <v/>
      </c>
      <c r="BH331" s="90" t="str">
        <f aca="false">IF(ISBLANK($C331),"",AZ331)</f>
        <v/>
      </c>
      <c r="BI331" s="93" t="str">
        <f aca="false">IF(ISBLANK($C331),"",IF(BH331=Constants!$B$4,COUNTA($C$8:$C$507)+2,IF(BH331=Constants!$B$5,COUNTA($C$8:$C$507)+1,IF(BH331=Constants!$B$6,COUNTA($C$8:$C$507),BH331))))</f>
        <v/>
      </c>
      <c r="BJ331" s="5"/>
      <c r="BK331" s="94" t="n">
        <f aca="false">IF(OR(ISNUMBER(BH331),BH331=Constants!$B$4,BH331=Constants!$B$6,BH331=Constants!$B$5),1,0)</f>
        <v>0</v>
      </c>
      <c r="BL331" s="94" t="n">
        <v>324</v>
      </c>
      <c r="BM331" s="94" t="str">
        <f aca="false">IF(ISBLANK($C331),"",IF(ISNUMBER(BI331),BI331+ROW($B331)/1000,""))</f>
        <v/>
      </c>
      <c r="BN331" s="94" t="str">
        <f aca="false">IF(ISNUMBER(BM331),RANK(BM331,$BM$8:$BM$507,1),"")</f>
        <v/>
      </c>
      <c r="BO331" s="94" t="str">
        <f aca="false">IF(ISBLANK($C331),"",$B331)</f>
        <v/>
      </c>
      <c r="BP331" s="94" t="str">
        <f aca="false">IF(ISBLANK($C331),"",$C331)</f>
        <v/>
      </c>
      <c r="BQ331" s="94" t="str">
        <f aca="false">IF(ISBLANK($C331),"",$D331)</f>
        <v/>
      </c>
      <c r="BR331" s="95" t="str">
        <f aca="false">BF331</f>
        <v/>
      </c>
      <c r="BS331" s="96" t="str">
        <f aca="false">BE331</f>
        <v/>
      </c>
      <c r="BT331" s="94" t="str">
        <f aca="false">IF(ISBLANK($C331),"",BH331)</f>
        <v/>
      </c>
      <c r="BU331" s="97" t="str">
        <f aca="false">IF($BL331&gt;$BK$7,"",VLOOKUP($BL331,$BN$8:$BT$507,7,FALSE()))</f>
        <v/>
      </c>
      <c r="BV331" s="98" t="str">
        <f aca="false">IF($BL331&gt;$BK$7,"",VLOOKUP($BL331,$BN$8:$BT$507,2,FALSE()))</f>
        <v/>
      </c>
      <c r="BW331" s="98" t="str">
        <f aca="false">IF($BL331&gt;$BK$7,"",VLOOKUP($BL331,$BN$8:$BT$507,3,FALSE()))</f>
        <v/>
      </c>
      <c r="BX331" s="98" t="str">
        <f aca="false">IF($BL331&gt;$BK$7,"",VLOOKUP($BL331,$BN$8:$BT$507,4,FALSE()))</f>
        <v/>
      </c>
      <c r="BY331" s="98" t="str">
        <f aca="false">IF($BL331&gt;$BK$7,"",VLOOKUP($BL331,$BN$8:$BT$507,5,FALSE()))</f>
        <v/>
      </c>
      <c r="BZ331" s="99" t="str">
        <f aca="false">IF($BL331&gt;$BK$7,"",VLOOKUP($BL331,$BN$8:$BT$507,6,FALSE()))</f>
        <v/>
      </c>
      <c r="CA331" s="48"/>
    </row>
    <row r="332" customFormat="false" ht="15.75" hidden="false" customHeight="false" outlineLevel="0" collapsed="false">
      <c r="A332" s="5"/>
      <c r="B332" s="121"/>
      <c r="C332" s="50"/>
      <c r="D332" s="51"/>
      <c r="E332" s="74"/>
      <c r="F332" s="122"/>
      <c r="G332" s="54"/>
      <c r="H332" s="123"/>
      <c r="I332" s="124"/>
      <c r="J332" s="54"/>
      <c r="K332" s="123"/>
      <c r="L332" s="54"/>
      <c r="M332" s="123"/>
      <c r="N332" s="54"/>
      <c r="O332" s="123"/>
      <c r="P332" s="54"/>
      <c r="Q332" s="123"/>
      <c r="R332" s="54"/>
      <c r="S332" s="74"/>
      <c r="T332" s="58"/>
      <c r="U332" s="59" t="str">
        <f aca="false">IF(ISBLANK($C332),"",IF(E332=Constants!$B$2, TRUE(), IF(E332=Constants!$B$3, FALSE(), TRUE())))</f>
        <v/>
      </c>
      <c r="V332" s="59" t="str">
        <f aca="false">IF(ISBLANK($C332),"",IF(F332=Constants!$B$2, TRUE(), IF(F332=Constants!$B$3, FALSE(), TRUE())))</f>
        <v/>
      </c>
      <c r="W332" s="59" t="str">
        <f aca="false">IF(ISBLANK($C332),"",IF(G332=Constants!$B$15,Constants!$B$8,IF(G332=Constants!$B$16,Constants!$B$9,Constants!$B$10)))</f>
        <v/>
      </c>
      <c r="X332" s="59" t="str">
        <f aca="false">IF(ISBLANK($C332),"",IF(H332=Constants!$B$2, TRUE(), IF(H332=Constants!$B$3, FALSE(), TRUE())))</f>
        <v/>
      </c>
      <c r="Y332" s="59" t="str">
        <f aca="false">IF(ISBLANK($C332),"",IF(I332=Constants!$B$19,Constants!$B$19,Constants!$B$18))</f>
        <v/>
      </c>
      <c r="Z332" s="59" t="str">
        <f aca="false">IF(ISBLANK($C332),"",IF(ISNUMBER(J332),IF(J332&gt;=0,J332,""),""))</f>
        <v/>
      </c>
      <c r="AA332" s="59" t="str">
        <f aca="false">IF(ISBLANK($C332),"",IF(K332=Constants!$B$19,Constants!$B$19,Constants!$B$18))</f>
        <v/>
      </c>
      <c r="AB332" s="59" t="str">
        <f aca="false">IF(ISBLANK($C332),"",IF(ISNUMBER(L332),IF(L332&gt;=0,L332,""),""))</f>
        <v/>
      </c>
      <c r="AC332" s="59" t="str">
        <f aca="false">IF(ISBLANK($C332),"",IF(M332=Constants!$B$19,Constants!$B$19,Constants!$B$18))</f>
        <v/>
      </c>
      <c r="AD332" s="59" t="str">
        <f aca="false">IF(ISBLANK($C332),"",IF(ISNUMBER(N332),IF(N332&gt;=0,N332,""),""))</f>
        <v/>
      </c>
      <c r="AE332" s="59" t="str">
        <f aca="false">IF(ISBLANK($C332),"",IF(O332=Constants!$B$19,Constants!$B$19,Constants!$B$18))</f>
        <v/>
      </c>
      <c r="AF332" s="59" t="str">
        <f aca="false">IF(ISBLANK($C332),"",IF(ISNUMBER(P332),IF(P332&gt;=0,P332,""),""))</f>
        <v/>
      </c>
      <c r="AG332" s="59" t="str">
        <f aca="false">IF(ISBLANK($C332),"",IF(Q332=Constants!$B$19,Constants!$B$19,Constants!$B$18))</f>
        <v/>
      </c>
      <c r="AH332" s="59" t="str">
        <f aca="false">IF(ISBLANK($C332),"",IF(ISNUMBER(R332),IF(R332&gt;=0,R332,""),""))</f>
        <v/>
      </c>
      <c r="AI332" s="59" t="str">
        <f aca="false">IF(ISBLANK($C332),"",IF(S332=Constants!$B$2, TRUE(), IF(S332=Constants!$B$3, FALSE(), FALSE())))</f>
        <v/>
      </c>
      <c r="AJ332" s="59" t="str">
        <f aca="false">IF(ISBLANK($C332),"",IF(AI332,Constants!$B$4,IF(COUNTA(E332:R332)=0,Constants!$B$5,IF(COUNTA(J332,L332,N332,P332,R332)=0,Constants!$B$6,Constants!$B$7))))</f>
        <v/>
      </c>
      <c r="AK332" s="59" t="str">
        <f aca="false">IF(ISBLANK($C332),"",IF($AJ332&lt;&gt;Constants!$B$7,$AJ332,IF(OR(NOT(X332),AND(NOT(U332),COUNTIFS(Y332:AG332,Constants!$B$18,Z332:AH332,"&gt;=0")&gt;0),AND(NOT(V332),COUNTIFS(Y332:AG332,Constants!$B$19,Z332:AH332,"&gt;=0")&gt;0)),Constants!$B$12,Constants!$B$11)))</f>
        <v/>
      </c>
      <c r="AL332" s="59" t="str">
        <f aca="false">IF($AJ332=Constants!$B$7,IF(Z332="",Constants!$B$13,Z332),"")</f>
        <v/>
      </c>
      <c r="AM332" s="59" t="str">
        <f aca="false">IF($AJ332=Constants!$B$7,IF(AB332="",Constants!$B$13,AB332),"")</f>
        <v/>
      </c>
      <c r="AN332" s="59" t="str">
        <f aca="false">IF($AJ332=Constants!$B$7,IF(AD332="",Constants!$B$13,AD332),"")</f>
        <v/>
      </c>
      <c r="AO332" s="59" t="str">
        <f aca="false">IF($AJ332=Constants!$B$7,IF(AF332="",Constants!$B$13,AF332),"")</f>
        <v/>
      </c>
      <c r="AP332" s="59" t="str">
        <f aca="false">IF($AJ332=Constants!$B$7,IF(AH332="",Constants!$B$13,AH332),"")</f>
        <v/>
      </c>
      <c r="AQ332" s="59" t="str">
        <f aca="false">IF($AJ332=Constants!$B$7,IF(SUMPRODUCT(--($AL332:$AP332&gt;AL332))+SUMPRODUCT(--($AL332:AL332=AL332))=1,1,IF(SUMPRODUCT(--($AL332:$AP332&gt;AM332))+SUMPRODUCT(--($AL332:AM332=AM332))=1,2,IF(SUMPRODUCT(--($AL332:$AP332&gt;AN332))+SUMPRODUCT(--($AL332:AN332=AN332))=1,3,IF(SUMPRODUCT(--($AL332:$AP332&gt;AO332))+SUMPRODUCT(--($AL332:AO332=AO332))=1,4,5)))),"")</f>
        <v/>
      </c>
      <c r="AR332" s="59" t="str">
        <f aca="false">IF($AJ332=Constants!$B$7,IF(SUMPRODUCT(--($AL332:$AP332&gt;AL332))+SUMPRODUCT(--($AL332:AL332=AL332))=2,1,IF(SUMPRODUCT(--($AL332:$AP332&gt;AM332))+SUMPRODUCT(--($AL332:AM332=AM332))=2,2,IF(SUMPRODUCT(--($AL332:$AP332&gt;AN332))+SUMPRODUCT(--($AL332:AN332=AN332))=2,3,IF(SUMPRODUCT(--($AL332:$AP332&gt;AO332))+SUMPRODUCT(--($AL332:AO332=AO332))=2,4,5)))),"")</f>
        <v/>
      </c>
      <c r="AS332" s="59" t="str">
        <f aca="false">IF($AJ332=Constants!$B$7,IF(SUMPRODUCT(--($AL332:$AP332&gt;AL332))+SUMPRODUCT(--($AL332:AL332=AL332))=3,1,IF(SUMPRODUCT(--($AL332:$AP332&gt;AM332))+SUMPRODUCT(--($AL332:AM332=AM332))=3,2,IF(SUMPRODUCT(--($AL332:$AP332&gt;AN332))+SUMPRODUCT(--($AL332:AN332=AN332))=3,3,IF(SUMPRODUCT(--($AL332:$AP332&gt;AO332))+SUMPRODUCT(--($AL332:AO332=AO332))=3,4,5)))),"")</f>
        <v/>
      </c>
      <c r="AT332" s="59" t="str">
        <f aca="false">IF($AJ332=Constants!$B$7,LARGE(AL332:AP332,1)+LARGE(AL332:AP332,2)+LARGE(AL332:AP332,3),"")</f>
        <v/>
      </c>
      <c r="AU332" s="59" t="str">
        <f aca="false">IF(ISBLANK($C332),"",IF($AJ332&lt;&gt;Constants!$B$7,$AJ332,AT332*W332))</f>
        <v/>
      </c>
      <c r="AV332" s="59" t="str">
        <f aca="false">IF(ISBLANK($C332),"",IF($AJ332=Constants!$B$7,IF(ISNUMBER(AU332),RANK(AU332,$AU$8:$AU$507),Constants!$B$14),$AJ332))</f>
        <v/>
      </c>
      <c r="AW332" s="59" t="str">
        <f aca="false">IF(ISBLANK($C332),"",IF($AJ332=Constants!$B$7,IF(ISNUMBER(AV332),COUNTIFS($AK$8:$AK$507,"&lt;"&amp;$AK332)+COUNTIFS($AK$8:$AK$507,$AK332,$AV$8:$AV$507,"&lt;"&amp;$AV332)+1,Constants!$B$14),$AJ332))</f>
        <v/>
      </c>
      <c r="AX332" s="59" t="str">
        <f aca="false">IF(ISBLANK($C332),"",IF($AJ332=Constants!$B$7,LARGE(AL332:AP332,4)*W332,""))</f>
        <v/>
      </c>
      <c r="AY332" s="59" t="str">
        <f aca="false">IF(ISBLANK($C332),"",IF($AJ332=Constants!$B$7,RANK(AX332,$AX$8:$AX$507),$AJ332))</f>
        <v/>
      </c>
      <c r="AZ332" s="59" t="str">
        <f aca="false">IF(ISBLANK($C332),"",IF($AJ332=Constants!$B$7,IF(ISNUMBER(AV332),COUNTIFS($AK$8:$AK$507,"&lt;"&amp;$AK332)+COUNTIFS($AK$8:$AK$507,$AK332,$AV$8:$AV$507,"&lt;"&amp;$AV332)+COUNTIFS($AK$8:$AK$507,$AK332,$AV$8:$AV$507,$AV332,$AY$8:$AY$507,"&lt;"&amp;$AY332)+1,Constants!$B$14),$AJ332))</f>
        <v/>
      </c>
      <c r="BA332" s="59" t="str">
        <f aca="false">IF(ISBLANK($C332),"",IF($AJ332=Constants!$B$7,IF(ISNUMBER(AW332),AW332-AZ332,Constants!$B$14),$AJ332))</f>
        <v/>
      </c>
      <c r="BB332" s="61"/>
      <c r="BC332" s="62" t="str">
        <f aca="false">IF(ISBLANK($C332),"",IF($AJ332&lt;&gt;Constants!$B$7,$AJ332,SMALL(AQ332:AS332,1)&amp;", "&amp;SMALL(AQ332:AS332,2)&amp;", "&amp;SMALL(AQ332:AS332,3)))</f>
        <v/>
      </c>
      <c r="BD332" s="63" t="str">
        <f aca="false">IF(ISBLANK($C332),"",IF($AJ332&lt;&gt;Constants!$B$7,$AJ332,W332))</f>
        <v/>
      </c>
      <c r="BE332" s="64" t="str">
        <f aca="false">IF(ISBLANK($C332),"",IF($AJ332&lt;&gt;Constants!$B$7,$AJ332,AU332))</f>
        <v/>
      </c>
      <c r="BF332" s="65" t="str">
        <f aca="false">IF(ISBLANK($C332),"",IF($AJ332&lt;&gt;Constants!$B$7,$AJ332,AK332))</f>
        <v/>
      </c>
      <c r="BG332" s="63" t="str">
        <f aca="false">IF(ISBLANK($C332),"",BA332)</f>
        <v/>
      </c>
      <c r="BH332" s="63" t="str">
        <f aca="false">IF(ISBLANK($C332),"",AZ332)</f>
        <v/>
      </c>
      <c r="BI332" s="66" t="str">
        <f aca="false">IF(ISBLANK($C332),"",IF(BH332=Constants!$B$4,COUNTA($C$8:$C$507)+2,IF(BH332=Constants!$B$5,COUNTA($C$8:$C$507)+1,IF(BH332=Constants!$B$6,COUNTA($C$8:$C$507),BH332))))</f>
        <v/>
      </c>
      <c r="BJ332" s="5"/>
      <c r="BK332" s="67" t="n">
        <f aca="false">IF(OR(ISNUMBER(BH332),BH332=Constants!$B$4,BH332=Constants!$B$6,BH332=Constants!$B$5),1,0)</f>
        <v>0</v>
      </c>
      <c r="BL332" s="67" t="n">
        <v>325</v>
      </c>
      <c r="BM332" s="67" t="str">
        <f aca="false">IF(ISBLANK($C332),"",IF(ISNUMBER(BI332),BI332+ROW($B332)/1000,""))</f>
        <v/>
      </c>
      <c r="BN332" s="67" t="str">
        <f aca="false">IF(ISNUMBER(BM332),RANK(BM332,$BM$8:$BM$507,1),"")</f>
        <v/>
      </c>
      <c r="BO332" s="67" t="str">
        <f aca="false">IF(ISBLANK($C332),"",$B332)</f>
        <v/>
      </c>
      <c r="BP332" s="67" t="str">
        <f aca="false">IF(ISBLANK($C332),"",$C332)</f>
        <v/>
      </c>
      <c r="BQ332" s="67" t="str">
        <f aca="false">IF(ISBLANK($C332),"",$D332)</f>
        <v/>
      </c>
      <c r="BR332" s="68" t="str">
        <f aca="false">BF332</f>
        <v/>
      </c>
      <c r="BS332" s="69" t="str">
        <f aca="false">BE332</f>
        <v/>
      </c>
      <c r="BT332" s="67" t="str">
        <f aca="false">IF(ISBLANK($C332),"",BH332)</f>
        <v/>
      </c>
      <c r="BU332" s="70" t="str">
        <f aca="false">IF($BL332&gt;$BK$7,"",VLOOKUP($BL332,$BN$8:$BT$507,7,FALSE()))</f>
        <v/>
      </c>
      <c r="BV332" s="71" t="str">
        <f aca="false">IF($BL332&gt;$BK$7,"",VLOOKUP($BL332,$BN$8:$BT$507,2,FALSE()))</f>
        <v/>
      </c>
      <c r="BW332" s="71" t="str">
        <f aca="false">IF($BL332&gt;$BK$7,"",VLOOKUP($BL332,$BN$8:$BT$507,3,FALSE()))</f>
        <v/>
      </c>
      <c r="BX332" s="71" t="str">
        <f aca="false">IF($BL332&gt;$BK$7,"",VLOOKUP($BL332,$BN$8:$BT$507,4,FALSE()))</f>
        <v/>
      </c>
      <c r="BY332" s="71" t="str">
        <f aca="false">IF($BL332&gt;$BK$7,"",VLOOKUP($BL332,$BN$8:$BT$507,5,FALSE()))</f>
        <v/>
      </c>
      <c r="BZ332" s="72" t="str">
        <f aca="false">IF($BL332&gt;$BK$7,"",VLOOKUP($BL332,$BN$8:$BT$507,6,FALSE()))</f>
        <v/>
      </c>
      <c r="CA332" s="48"/>
    </row>
    <row r="333" customFormat="false" ht="15.75" hidden="false" customHeight="false" outlineLevel="0" collapsed="false">
      <c r="A333" s="5"/>
      <c r="B333" s="121"/>
      <c r="C333" s="50"/>
      <c r="D333" s="51"/>
      <c r="E333" s="74"/>
      <c r="F333" s="122"/>
      <c r="G333" s="54"/>
      <c r="H333" s="123"/>
      <c r="I333" s="124"/>
      <c r="J333" s="54"/>
      <c r="K333" s="123"/>
      <c r="L333" s="54"/>
      <c r="M333" s="123"/>
      <c r="N333" s="54"/>
      <c r="O333" s="123"/>
      <c r="P333" s="54"/>
      <c r="Q333" s="123"/>
      <c r="R333" s="54"/>
      <c r="S333" s="74"/>
      <c r="T333" s="58"/>
      <c r="U333" s="59" t="str">
        <f aca="false">IF(ISBLANK($C333),"",IF(E333=Constants!$B$2, TRUE(), IF(E333=Constants!$B$3, FALSE(), TRUE())))</f>
        <v/>
      </c>
      <c r="V333" s="59" t="str">
        <f aca="false">IF(ISBLANK($C333),"",IF(F333=Constants!$B$2, TRUE(), IF(F333=Constants!$B$3, FALSE(), TRUE())))</f>
        <v/>
      </c>
      <c r="W333" s="59" t="str">
        <f aca="false">IF(ISBLANK($C333),"",IF(G333=Constants!$B$15,Constants!$B$8,IF(G333=Constants!$B$16,Constants!$B$9,Constants!$B$10)))</f>
        <v/>
      </c>
      <c r="X333" s="59" t="str">
        <f aca="false">IF(ISBLANK($C333),"",IF(H333=Constants!$B$2, TRUE(), IF(H333=Constants!$B$3, FALSE(), TRUE())))</f>
        <v/>
      </c>
      <c r="Y333" s="59" t="str">
        <f aca="false">IF(ISBLANK($C333),"",IF(I333=Constants!$B$19,Constants!$B$19,Constants!$B$18))</f>
        <v/>
      </c>
      <c r="Z333" s="59" t="str">
        <f aca="false">IF(ISBLANK($C333),"",IF(ISNUMBER(J333),IF(J333&gt;=0,J333,""),""))</f>
        <v/>
      </c>
      <c r="AA333" s="59" t="str">
        <f aca="false">IF(ISBLANK($C333),"",IF(K333=Constants!$B$19,Constants!$B$19,Constants!$B$18))</f>
        <v/>
      </c>
      <c r="AB333" s="59" t="str">
        <f aca="false">IF(ISBLANK($C333),"",IF(ISNUMBER(L333),IF(L333&gt;=0,L333,""),""))</f>
        <v/>
      </c>
      <c r="AC333" s="59" t="str">
        <f aca="false">IF(ISBLANK($C333),"",IF(M333=Constants!$B$19,Constants!$B$19,Constants!$B$18))</f>
        <v/>
      </c>
      <c r="AD333" s="59" t="str">
        <f aca="false">IF(ISBLANK($C333),"",IF(ISNUMBER(N333),IF(N333&gt;=0,N333,""),""))</f>
        <v/>
      </c>
      <c r="AE333" s="59" t="str">
        <f aca="false">IF(ISBLANK($C333),"",IF(O333=Constants!$B$19,Constants!$B$19,Constants!$B$18))</f>
        <v/>
      </c>
      <c r="AF333" s="59" t="str">
        <f aca="false">IF(ISBLANK($C333),"",IF(ISNUMBER(P333),IF(P333&gt;=0,P333,""),""))</f>
        <v/>
      </c>
      <c r="AG333" s="59" t="str">
        <f aca="false">IF(ISBLANK($C333),"",IF(Q333=Constants!$B$19,Constants!$B$19,Constants!$B$18))</f>
        <v/>
      </c>
      <c r="AH333" s="59" t="str">
        <f aca="false">IF(ISBLANK($C333),"",IF(ISNUMBER(R333),IF(R333&gt;=0,R333,""),""))</f>
        <v/>
      </c>
      <c r="AI333" s="59" t="str">
        <f aca="false">IF(ISBLANK($C333),"",IF(S333=Constants!$B$2, TRUE(), IF(S333=Constants!$B$3, FALSE(), FALSE())))</f>
        <v/>
      </c>
      <c r="AJ333" s="59" t="str">
        <f aca="false">IF(ISBLANK($C333),"",IF(AI333,Constants!$B$4,IF(COUNTA(E333:R333)=0,Constants!$B$5,IF(COUNTA(J333,L333,N333,P333,R333)=0,Constants!$B$6,Constants!$B$7))))</f>
        <v/>
      </c>
      <c r="AK333" s="59" t="str">
        <f aca="false">IF(ISBLANK($C333),"",IF($AJ333&lt;&gt;Constants!$B$7,$AJ333,IF(OR(NOT(X333),AND(NOT(U333),COUNTIFS(Y333:AG333,Constants!$B$18,Z333:AH333,"&gt;=0")&gt;0),AND(NOT(V333),COUNTIFS(Y333:AG333,Constants!$B$19,Z333:AH333,"&gt;=0")&gt;0)),Constants!$B$12,Constants!$B$11)))</f>
        <v/>
      </c>
      <c r="AL333" s="59" t="str">
        <f aca="false">IF($AJ333=Constants!$B$7,IF(Z333="",Constants!$B$13,Z333),"")</f>
        <v/>
      </c>
      <c r="AM333" s="59" t="str">
        <f aca="false">IF($AJ333=Constants!$B$7,IF(AB333="",Constants!$B$13,AB333),"")</f>
        <v/>
      </c>
      <c r="AN333" s="59" t="str">
        <f aca="false">IF($AJ333=Constants!$B$7,IF(AD333="",Constants!$B$13,AD333),"")</f>
        <v/>
      </c>
      <c r="AO333" s="59" t="str">
        <f aca="false">IF($AJ333=Constants!$B$7,IF(AF333="",Constants!$B$13,AF333),"")</f>
        <v/>
      </c>
      <c r="AP333" s="59" t="str">
        <f aca="false">IF($AJ333=Constants!$B$7,IF(AH333="",Constants!$B$13,AH333),"")</f>
        <v/>
      </c>
      <c r="AQ333" s="59" t="str">
        <f aca="false">IF($AJ333=Constants!$B$7,IF(SUMPRODUCT(--($AL333:$AP333&gt;AL333))+SUMPRODUCT(--($AL333:AL333=AL333))=1,1,IF(SUMPRODUCT(--($AL333:$AP333&gt;AM333))+SUMPRODUCT(--($AL333:AM333=AM333))=1,2,IF(SUMPRODUCT(--($AL333:$AP333&gt;AN333))+SUMPRODUCT(--($AL333:AN333=AN333))=1,3,IF(SUMPRODUCT(--($AL333:$AP333&gt;AO333))+SUMPRODUCT(--($AL333:AO333=AO333))=1,4,5)))),"")</f>
        <v/>
      </c>
      <c r="AR333" s="59" t="str">
        <f aca="false">IF($AJ333=Constants!$B$7,IF(SUMPRODUCT(--($AL333:$AP333&gt;AL333))+SUMPRODUCT(--($AL333:AL333=AL333))=2,1,IF(SUMPRODUCT(--($AL333:$AP333&gt;AM333))+SUMPRODUCT(--($AL333:AM333=AM333))=2,2,IF(SUMPRODUCT(--($AL333:$AP333&gt;AN333))+SUMPRODUCT(--($AL333:AN333=AN333))=2,3,IF(SUMPRODUCT(--($AL333:$AP333&gt;AO333))+SUMPRODUCT(--($AL333:AO333=AO333))=2,4,5)))),"")</f>
        <v/>
      </c>
      <c r="AS333" s="59" t="str">
        <f aca="false">IF($AJ333=Constants!$B$7,IF(SUMPRODUCT(--($AL333:$AP333&gt;AL333))+SUMPRODUCT(--($AL333:AL333=AL333))=3,1,IF(SUMPRODUCT(--($AL333:$AP333&gt;AM333))+SUMPRODUCT(--($AL333:AM333=AM333))=3,2,IF(SUMPRODUCT(--($AL333:$AP333&gt;AN333))+SUMPRODUCT(--($AL333:AN333=AN333))=3,3,IF(SUMPRODUCT(--($AL333:$AP333&gt;AO333))+SUMPRODUCT(--($AL333:AO333=AO333))=3,4,5)))),"")</f>
        <v/>
      </c>
      <c r="AT333" s="59" t="str">
        <f aca="false">IF($AJ333=Constants!$B$7,LARGE(AL333:AP333,1)+LARGE(AL333:AP333,2)+LARGE(AL333:AP333,3),"")</f>
        <v/>
      </c>
      <c r="AU333" s="59" t="str">
        <f aca="false">IF(ISBLANK($C333),"",IF($AJ333&lt;&gt;Constants!$B$7,$AJ333,AT333*W333))</f>
        <v/>
      </c>
      <c r="AV333" s="59" t="str">
        <f aca="false">IF(ISBLANK($C333),"",IF($AJ333=Constants!$B$7,IF(ISNUMBER(AU333),RANK(AU333,$AU$8:$AU$507),Constants!$B$14),$AJ333))</f>
        <v/>
      </c>
      <c r="AW333" s="59" t="str">
        <f aca="false">IF(ISBLANK($C333),"",IF($AJ333=Constants!$B$7,IF(ISNUMBER(AV333),COUNTIFS($AK$8:$AK$507,"&lt;"&amp;$AK333)+COUNTIFS($AK$8:$AK$507,$AK333,$AV$8:$AV$507,"&lt;"&amp;$AV333)+1,Constants!$B$14),$AJ333))</f>
        <v/>
      </c>
      <c r="AX333" s="59" t="str">
        <f aca="false">IF(ISBLANK($C333),"",IF($AJ333=Constants!$B$7,LARGE(AL333:AP333,4)*W333,""))</f>
        <v/>
      </c>
      <c r="AY333" s="59" t="str">
        <f aca="false">IF(ISBLANK($C333),"",IF($AJ333=Constants!$B$7,RANK(AX333,$AX$8:$AX$507),$AJ333))</f>
        <v/>
      </c>
      <c r="AZ333" s="59" t="str">
        <f aca="false">IF(ISBLANK($C333),"",IF($AJ333=Constants!$B$7,IF(ISNUMBER(AV333),COUNTIFS($AK$8:$AK$507,"&lt;"&amp;$AK333)+COUNTIFS($AK$8:$AK$507,$AK333,$AV$8:$AV$507,"&lt;"&amp;$AV333)+COUNTIFS($AK$8:$AK$507,$AK333,$AV$8:$AV$507,$AV333,$AY$8:$AY$507,"&lt;"&amp;$AY333)+1,Constants!$B$14),$AJ333))</f>
        <v/>
      </c>
      <c r="BA333" s="59" t="str">
        <f aca="false">IF(ISBLANK($C333),"",IF($AJ333=Constants!$B$7,IF(ISNUMBER(AW333),AW333-AZ333,Constants!$B$14),$AJ333))</f>
        <v/>
      </c>
      <c r="BB333" s="61"/>
      <c r="BC333" s="62" t="str">
        <f aca="false">IF(ISBLANK($C333),"",IF($AJ333&lt;&gt;Constants!$B$7,$AJ333,SMALL(AQ333:AS333,1)&amp;", "&amp;SMALL(AQ333:AS333,2)&amp;", "&amp;SMALL(AQ333:AS333,3)))</f>
        <v/>
      </c>
      <c r="BD333" s="63" t="str">
        <f aca="false">IF(ISBLANK($C333),"",IF($AJ333&lt;&gt;Constants!$B$7,$AJ333,W333))</f>
        <v/>
      </c>
      <c r="BE333" s="64" t="str">
        <f aca="false">IF(ISBLANK($C333),"",IF($AJ333&lt;&gt;Constants!$B$7,$AJ333,AU333))</f>
        <v/>
      </c>
      <c r="BF333" s="65" t="str">
        <f aca="false">IF(ISBLANK($C333),"",IF($AJ333&lt;&gt;Constants!$B$7,$AJ333,AK333))</f>
        <v/>
      </c>
      <c r="BG333" s="63" t="str">
        <f aca="false">IF(ISBLANK($C333),"",BA333)</f>
        <v/>
      </c>
      <c r="BH333" s="63" t="str">
        <f aca="false">IF(ISBLANK($C333),"",AZ333)</f>
        <v/>
      </c>
      <c r="BI333" s="66" t="str">
        <f aca="false">IF(ISBLANK($C333),"",IF(BH333=Constants!$B$4,COUNTA($C$8:$C$507)+2,IF(BH333=Constants!$B$5,COUNTA($C$8:$C$507)+1,IF(BH333=Constants!$B$6,COUNTA($C$8:$C$507),BH333))))</f>
        <v/>
      </c>
      <c r="BJ333" s="5"/>
      <c r="BK333" s="67" t="n">
        <f aca="false">IF(OR(ISNUMBER(BH333),BH333=Constants!$B$4,BH333=Constants!$B$6,BH333=Constants!$B$5),1,0)</f>
        <v>0</v>
      </c>
      <c r="BL333" s="67" t="n">
        <v>326</v>
      </c>
      <c r="BM333" s="67" t="str">
        <f aca="false">IF(ISBLANK($C333),"",IF(ISNUMBER(BI333),BI333+ROW($B333)/1000,""))</f>
        <v/>
      </c>
      <c r="BN333" s="67" t="str">
        <f aca="false">IF(ISNUMBER(BM333),RANK(BM333,$BM$8:$BM$507,1),"")</f>
        <v/>
      </c>
      <c r="BO333" s="67" t="str">
        <f aca="false">IF(ISBLANK($C333),"",$B333)</f>
        <v/>
      </c>
      <c r="BP333" s="67" t="str">
        <f aca="false">IF(ISBLANK($C333),"",$C333)</f>
        <v/>
      </c>
      <c r="BQ333" s="67" t="str">
        <f aca="false">IF(ISBLANK($C333),"",$D333)</f>
        <v/>
      </c>
      <c r="BR333" s="68" t="str">
        <f aca="false">BF333</f>
        <v/>
      </c>
      <c r="BS333" s="69" t="str">
        <f aca="false">BE333</f>
        <v/>
      </c>
      <c r="BT333" s="67" t="str">
        <f aca="false">IF(ISBLANK($C333),"",BH333)</f>
        <v/>
      </c>
      <c r="BU333" s="70" t="str">
        <f aca="false">IF($BL333&gt;$BK$7,"",VLOOKUP($BL333,$BN$8:$BT$507,7,FALSE()))</f>
        <v/>
      </c>
      <c r="BV333" s="71" t="str">
        <f aca="false">IF($BL333&gt;$BK$7,"",VLOOKUP($BL333,$BN$8:$BT$507,2,FALSE()))</f>
        <v/>
      </c>
      <c r="BW333" s="71" t="str">
        <f aca="false">IF($BL333&gt;$BK$7,"",VLOOKUP($BL333,$BN$8:$BT$507,3,FALSE()))</f>
        <v/>
      </c>
      <c r="BX333" s="71" t="str">
        <f aca="false">IF($BL333&gt;$BK$7,"",VLOOKUP($BL333,$BN$8:$BT$507,4,FALSE()))</f>
        <v/>
      </c>
      <c r="BY333" s="71" t="str">
        <f aca="false">IF($BL333&gt;$BK$7,"",VLOOKUP($BL333,$BN$8:$BT$507,5,FALSE()))</f>
        <v/>
      </c>
      <c r="BZ333" s="72" t="str">
        <f aca="false">IF($BL333&gt;$BK$7,"",VLOOKUP($BL333,$BN$8:$BT$507,6,FALSE()))</f>
        <v/>
      </c>
      <c r="CA333" s="48"/>
    </row>
    <row r="334" customFormat="false" ht="15.75" hidden="false" customHeight="false" outlineLevel="0" collapsed="false">
      <c r="A334" s="5"/>
      <c r="B334" s="121"/>
      <c r="C334" s="50"/>
      <c r="D334" s="51"/>
      <c r="E334" s="74"/>
      <c r="F334" s="122"/>
      <c r="G334" s="54"/>
      <c r="H334" s="123"/>
      <c r="I334" s="124"/>
      <c r="J334" s="54"/>
      <c r="K334" s="123"/>
      <c r="L334" s="54"/>
      <c r="M334" s="123"/>
      <c r="N334" s="54"/>
      <c r="O334" s="123"/>
      <c r="P334" s="54"/>
      <c r="Q334" s="123"/>
      <c r="R334" s="54"/>
      <c r="S334" s="74"/>
      <c r="T334" s="58"/>
      <c r="U334" s="59" t="str">
        <f aca="false">IF(ISBLANK($C334),"",IF(E334=Constants!$B$2, TRUE(), IF(E334=Constants!$B$3, FALSE(), TRUE())))</f>
        <v/>
      </c>
      <c r="V334" s="59" t="str">
        <f aca="false">IF(ISBLANK($C334),"",IF(F334=Constants!$B$2, TRUE(), IF(F334=Constants!$B$3, FALSE(), TRUE())))</f>
        <v/>
      </c>
      <c r="W334" s="59" t="str">
        <f aca="false">IF(ISBLANK($C334),"",IF(G334=Constants!$B$15,Constants!$B$8,IF(G334=Constants!$B$16,Constants!$B$9,Constants!$B$10)))</f>
        <v/>
      </c>
      <c r="X334" s="59" t="str">
        <f aca="false">IF(ISBLANK($C334),"",IF(H334=Constants!$B$2, TRUE(), IF(H334=Constants!$B$3, FALSE(), TRUE())))</f>
        <v/>
      </c>
      <c r="Y334" s="59" t="str">
        <f aca="false">IF(ISBLANK($C334),"",IF(I334=Constants!$B$19,Constants!$B$19,Constants!$B$18))</f>
        <v/>
      </c>
      <c r="Z334" s="59" t="str">
        <f aca="false">IF(ISBLANK($C334),"",IF(ISNUMBER(J334),IF(J334&gt;=0,J334,""),""))</f>
        <v/>
      </c>
      <c r="AA334" s="59" t="str">
        <f aca="false">IF(ISBLANK($C334),"",IF(K334=Constants!$B$19,Constants!$B$19,Constants!$B$18))</f>
        <v/>
      </c>
      <c r="AB334" s="59" t="str">
        <f aca="false">IF(ISBLANK($C334),"",IF(ISNUMBER(L334),IF(L334&gt;=0,L334,""),""))</f>
        <v/>
      </c>
      <c r="AC334" s="59" t="str">
        <f aca="false">IF(ISBLANK($C334),"",IF(M334=Constants!$B$19,Constants!$B$19,Constants!$B$18))</f>
        <v/>
      </c>
      <c r="AD334" s="59" t="str">
        <f aca="false">IF(ISBLANK($C334),"",IF(ISNUMBER(N334),IF(N334&gt;=0,N334,""),""))</f>
        <v/>
      </c>
      <c r="AE334" s="59" t="str">
        <f aca="false">IF(ISBLANK($C334),"",IF(O334=Constants!$B$19,Constants!$B$19,Constants!$B$18))</f>
        <v/>
      </c>
      <c r="AF334" s="59" t="str">
        <f aca="false">IF(ISBLANK($C334),"",IF(ISNUMBER(P334),IF(P334&gt;=0,P334,""),""))</f>
        <v/>
      </c>
      <c r="AG334" s="59" t="str">
        <f aca="false">IF(ISBLANK($C334),"",IF(Q334=Constants!$B$19,Constants!$B$19,Constants!$B$18))</f>
        <v/>
      </c>
      <c r="AH334" s="59" t="str">
        <f aca="false">IF(ISBLANK($C334),"",IF(ISNUMBER(R334),IF(R334&gt;=0,R334,""),""))</f>
        <v/>
      </c>
      <c r="AI334" s="59" t="str">
        <f aca="false">IF(ISBLANK($C334),"",IF(S334=Constants!$B$2, TRUE(), IF(S334=Constants!$B$3, FALSE(), FALSE())))</f>
        <v/>
      </c>
      <c r="AJ334" s="59" t="str">
        <f aca="false">IF(ISBLANK($C334),"",IF(AI334,Constants!$B$4,IF(COUNTA(E334:R334)=0,Constants!$B$5,IF(COUNTA(J334,L334,N334,P334,R334)=0,Constants!$B$6,Constants!$B$7))))</f>
        <v/>
      </c>
      <c r="AK334" s="59" t="str">
        <f aca="false">IF(ISBLANK($C334),"",IF($AJ334&lt;&gt;Constants!$B$7,$AJ334,IF(OR(NOT(X334),AND(NOT(U334),COUNTIFS(Y334:AG334,Constants!$B$18,Z334:AH334,"&gt;=0")&gt;0),AND(NOT(V334),COUNTIFS(Y334:AG334,Constants!$B$19,Z334:AH334,"&gt;=0")&gt;0)),Constants!$B$12,Constants!$B$11)))</f>
        <v/>
      </c>
      <c r="AL334" s="59" t="str">
        <f aca="false">IF($AJ334=Constants!$B$7,IF(Z334="",Constants!$B$13,Z334),"")</f>
        <v/>
      </c>
      <c r="AM334" s="59" t="str">
        <f aca="false">IF($AJ334=Constants!$B$7,IF(AB334="",Constants!$B$13,AB334),"")</f>
        <v/>
      </c>
      <c r="AN334" s="59" t="str">
        <f aca="false">IF($AJ334=Constants!$B$7,IF(AD334="",Constants!$B$13,AD334),"")</f>
        <v/>
      </c>
      <c r="AO334" s="59" t="str">
        <f aca="false">IF($AJ334=Constants!$B$7,IF(AF334="",Constants!$B$13,AF334),"")</f>
        <v/>
      </c>
      <c r="AP334" s="59" t="str">
        <f aca="false">IF($AJ334=Constants!$B$7,IF(AH334="",Constants!$B$13,AH334),"")</f>
        <v/>
      </c>
      <c r="AQ334" s="59" t="str">
        <f aca="false">IF($AJ334=Constants!$B$7,IF(SUMPRODUCT(--($AL334:$AP334&gt;AL334))+SUMPRODUCT(--($AL334:AL334=AL334))=1,1,IF(SUMPRODUCT(--($AL334:$AP334&gt;AM334))+SUMPRODUCT(--($AL334:AM334=AM334))=1,2,IF(SUMPRODUCT(--($AL334:$AP334&gt;AN334))+SUMPRODUCT(--($AL334:AN334=AN334))=1,3,IF(SUMPRODUCT(--($AL334:$AP334&gt;AO334))+SUMPRODUCT(--($AL334:AO334=AO334))=1,4,5)))),"")</f>
        <v/>
      </c>
      <c r="AR334" s="59" t="str">
        <f aca="false">IF($AJ334=Constants!$B$7,IF(SUMPRODUCT(--($AL334:$AP334&gt;AL334))+SUMPRODUCT(--($AL334:AL334=AL334))=2,1,IF(SUMPRODUCT(--($AL334:$AP334&gt;AM334))+SUMPRODUCT(--($AL334:AM334=AM334))=2,2,IF(SUMPRODUCT(--($AL334:$AP334&gt;AN334))+SUMPRODUCT(--($AL334:AN334=AN334))=2,3,IF(SUMPRODUCT(--($AL334:$AP334&gt;AO334))+SUMPRODUCT(--($AL334:AO334=AO334))=2,4,5)))),"")</f>
        <v/>
      </c>
      <c r="AS334" s="59" t="str">
        <f aca="false">IF($AJ334=Constants!$B$7,IF(SUMPRODUCT(--($AL334:$AP334&gt;AL334))+SUMPRODUCT(--($AL334:AL334=AL334))=3,1,IF(SUMPRODUCT(--($AL334:$AP334&gt;AM334))+SUMPRODUCT(--($AL334:AM334=AM334))=3,2,IF(SUMPRODUCT(--($AL334:$AP334&gt;AN334))+SUMPRODUCT(--($AL334:AN334=AN334))=3,3,IF(SUMPRODUCT(--($AL334:$AP334&gt;AO334))+SUMPRODUCT(--($AL334:AO334=AO334))=3,4,5)))),"")</f>
        <v/>
      </c>
      <c r="AT334" s="59" t="str">
        <f aca="false">IF($AJ334=Constants!$B$7,LARGE(AL334:AP334,1)+LARGE(AL334:AP334,2)+LARGE(AL334:AP334,3),"")</f>
        <v/>
      </c>
      <c r="AU334" s="59" t="str">
        <f aca="false">IF(ISBLANK($C334),"",IF($AJ334&lt;&gt;Constants!$B$7,$AJ334,AT334*W334))</f>
        <v/>
      </c>
      <c r="AV334" s="59" t="str">
        <f aca="false">IF(ISBLANK($C334),"",IF($AJ334=Constants!$B$7,IF(ISNUMBER(AU334),RANK(AU334,$AU$8:$AU$507),Constants!$B$14),$AJ334))</f>
        <v/>
      </c>
      <c r="AW334" s="59" t="str">
        <f aca="false">IF(ISBLANK($C334),"",IF($AJ334=Constants!$B$7,IF(ISNUMBER(AV334),COUNTIFS($AK$8:$AK$507,"&lt;"&amp;$AK334)+COUNTIFS($AK$8:$AK$507,$AK334,$AV$8:$AV$507,"&lt;"&amp;$AV334)+1,Constants!$B$14),$AJ334))</f>
        <v/>
      </c>
      <c r="AX334" s="59" t="str">
        <f aca="false">IF(ISBLANK($C334),"",IF($AJ334=Constants!$B$7,LARGE(AL334:AP334,4)*W334,""))</f>
        <v/>
      </c>
      <c r="AY334" s="59" t="str">
        <f aca="false">IF(ISBLANK($C334),"",IF($AJ334=Constants!$B$7,RANK(AX334,$AX$8:$AX$507),$AJ334))</f>
        <v/>
      </c>
      <c r="AZ334" s="59" t="str">
        <f aca="false">IF(ISBLANK($C334),"",IF($AJ334=Constants!$B$7,IF(ISNUMBER(AV334),COUNTIFS($AK$8:$AK$507,"&lt;"&amp;$AK334)+COUNTIFS($AK$8:$AK$507,$AK334,$AV$8:$AV$507,"&lt;"&amp;$AV334)+COUNTIFS($AK$8:$AK$507,$AK334,$AV$8:$AV$507,$AV334,$AY$8:$AY$507,"&lt;"&amp;$AY334)+1,Constants!$B$14),$AJ334))</f>
        <v/>
      </c>
      <c r="BA334" s="59" t="str">
        <f aca="false">IF(ISBLANK($C334),"",IF($AJ334=Constants!$B$7,IF(ISNUMBER(AW334),AW334-AZ334,Constants!$B$14),$AJ334))</f>
        <v/>
      </c>
      <c r="BB334" s="61"/>
      <c r="BC334" s="62" t="str">
        <f aca="false">IF(ISBLANK($C334),"",IF($AJ334&lt;&gt;Constants!$B$7,$AJ334,SMALL(AQ334:AS334,1)&amp;", "&amp;SMALL(AQ334:AS334,2)&amp;", "&amp;SMALL(AQ334:AS334,3)))</f>
        <v/>
      </c>
      <c r="BD334" s="63" t="str">
        <f aca="false">IF(ISBLANK($C334),"",IF($AJ334&lt;&gt;Constants!$B$7,$AJ334,W334))</f>
        <v/>
      </c>
      <c r="BE334" s="64" t="str">
        <f aca="false">IF(ISBLANK($C334),"",IF($AJ334&lt;&gt;Constants!$B$7,$AJ334,AU334))</f>
        <v/>
      </c>
      <c r="BF334" s="65" t="str">
        <f aca="false">IF(ISBLANK($C334),"",IF($AJ334&lt;&gt;Constants!$B$7,$AJ334,AK334))</f>
        <v/>
      </c>
      <c r="BG334" s="63" t="str">
        <f aca="false">IF(ISBLANK($C334),"",BA334)</f>
        <v/>
      </c>
      <c r="BH334" s="63" t="str">
        <f aca="false">IF(ISBLANK($C334),"",AZ334)</f>
        <v/>
      </c>
      <c r="BI334" s="66" t="str">
        <f aca="false">IF(ISBLANK($C334),"",IF(BH334=Constants!$B$4,COUNTA($C$8:$C$507)+2,IF(BH334=Constants!$B$5,COUNTA($C$8:$C$507)+1,IF(BH334=Constants!$B$6,COUNTA($C$8:$C$507),BH334))))</f>
        <v/>
      </c>
      <c r="BJ334" s="5"/>
      <c r="BK334" s="67" t="n">
        <f aca="false">IF(OR(ISNUMBER(BH334),BH334=Constants!$B$4,BH334=Constants!$B$6,BH334=Constants!$B$5),1,0)</f>
        <v>0</v>
      </c>
      <c r="BL334" s="67" t="n">
        <v>327</v>
      </c>
      <c r="BM334" s="67" t="str">
        <f aca="false">IF(ISBLANK($C334),"",IF(ISNUMBER(BI334),BI334+ROW($B334)/1000,""))</f>
        <v/>
      </c>
      <c r="BN334" s="67" t="str">
        <f aca="false">IF(ISNUMBER(BM334),RANK(BM334,$BM$8:$BM$507,1),"")</f>
        <v/>
      </c>
      <c r="BO334" s="67" t="str">
        <f aca="false">IF(ISBLANK($C334),"",$B334)</f>
        <v/>
      </c>
      <c r="BP334" s="67" t="str">
        <f aca="false">IF(ISBLANK($C334),"",$C334)</f>
        <v/>
      </c>
      <c r="BQ334" s="67" t="str">
        <f aca="false">IF(ISBLANK($C334),"",$D334)</f>
        <v/>
      </c>
      <c r="BR334" s="68" t="str">
        <f aca="false">BF334</f>
        <v/>
      </c>
      <c r="BS334" s="69" t="str">
        <f aca="false">BE334</f>
        <v/>
      </c>
      <c r="BT334" s="67" t="str">
        <f aca="false">IF(ISBLANK($C334),"",BH334)</f>
        <v/>
      </c>
      <c r="BU334" s="70" t="str">
        <f aca="false">IF($BL334&gt;$BK$7,"",VLOOKUP($BL334,$BN$8:$BT$507,7,FALSE()))</f>
        <v/>
      </c>
      <c r="BV334" s="71" t="str">
        <f aca="false">IF($BL334&gt;$BK$7,"",VLOOKUP($BL334,$BN$8:$BT$507,2,FALSE()))</f>
        <v/>
      </c>
      <c r="BW334" s="71" t="str">
        <f aca="false">IF($BL334&gt;$BK$7,"",VLOOKUP($BL334,$BN$8:$BT$507,3,FALSE()))</f>
        <v/>
      </c>
      <c r="BX334" s="71" t="str">
        <f aca="false">IF($BL334&gt;$BK$7,"",VLOOKUP($BL334,$BN$8:$BT$507,4,FALSE()))</f>
        <v/>
      </c>
      <c r="BY334" s="71" t="str">
        <f aca="false">IF($BL334&gt;$BK$7,"",VLOOKUP($BL334,$BN$8:$BT$507,5,FALSE()))</f>
        <v/>
      </c>
      <c r="BZ334" s="72" t="str">
        <f aca="false">IF($BL334&gt;$BK$7,"",VLOOKUP($BL334,$BN$8:$BT$507,6,FALSE()))</f>
        <v/>
      </c>
      <c r="CA334" s="48"/>
    </row>
    <row r="335" customFormat="false" ht="15.75" hidden="false" customHeight="false" outlineLevel="0" collapsed="false">
      <c r="A335" s="5"/>
      <c r="B335" s="114"/>
      <c r="C335" s="115"/>
      <c r="D335" s="100"/>
      <c r="E335" s="120"/>
      <c r="F335" s="125"/>
      <c r="G335" s="82"/>
      <c r="H335" s="126"/>
      <c r="I335" s="127"/>
      <c r="J335" s="82"/>
      <c r="K335" s="126"/>
      <c r="L335" s="82"/>
      <c r="M335" s="126"/>
      <c r="N335" s="82"/>
      <c r="O335" s="126"/>
      <c r="P335" s="82"/>
      <c r="Q335" s="126"/>
      <c r="R335" s="82"/>
      <c r="S335" s="120"/>
      <c r="T335" s="86"/>
      <c r="U335" s="87" t="str">
        <f aca="false">IF(ISBLANK($C335),"",IF(E335=Constants!$B$2, TRUE(), IF(E335=Constants!$B$3, FALSE(), TRUE())))</f>
        <v/>
      </c>
      <c r="V335" s="87" t="str">
        <f aca="false">IF(ISBLANK($C335),"",IF(F335=Constants!$B$2, TRUE(), IF(F335=Constants!$B$3, FALSE(), TRUE())))</f>
        <v/>
      </c>
      <c r="W335" s="87" t="str">
        <f aca="false">IF(ISBLANK($C335),"",IF(G335=Constants!$B$15,Constants!$B$8,IF(G335=Constants!$B$16,Constants!$B$9,Constants!$B$10)))</f>
        <v/>
      </c>
      <c r="X335" s="87" t="str">
        <f aca="false">IF(ISBLANK($C335),"",IF(H335=Constants!$B$2, TRUE(), IF(H335=Constants!$B$3, FALSE(), TRUE())))</f>
        <v/>
      </c>
      <c r="Y335" s="87" t="str">
        <f aca="false">IF(ISBLANK($C335),"",IF(I335=Constants!$B$19,Constants!$B$19,Constants!$B$18))</f>
        <v/>
      </c>
      <c r="Z335" s="87" t="str">
        <f aca="false">IF(ISBLANK($C335),"",IF(ISNUMBER(J335),IF(J335&gt;=0,J335,""),""))</f>
        <v/>
      </c>
      <c r="AA335" s="87" t="str">
        <f aca="false">IF(ISBLANK($C335),"",IF(K335=Constants!$B$19,Constants!$B$19,Constants!$B$18))</f>
        <v/>
      </c>
      <c r="AB335" s="87" t="str">
        <f aca="false">IF(ISBLANK($C335),"",IF(ISNUMBER(L335),IF(L335&gt;=0,L335,""),""))</f>
        <v/>
      </c>
      <c r="AC335" s="87" t="str">
        <f aca="false">IF(ISBLANK($C335),"",IF(M335=Constants!$B$19,Constants!$B$19,Constants!$B$18))</f>
        <v/>
      </c>
      <c r="AD335" s="87" t="str">
        <f aca="false">IF(ISBLANK($C335),"",IF(ISNUMBER(N335),IF(N335&gt;=0,N335,""),""))</f>
        <v/>
      </c>
      <c r="AE335" s="87" t="str">
        <f aca="false">IF(ISBLANK($C335),"",IF(O335=Constants!$B$19,Constants!$B$19,Constants!$B$18))</f>
        <v/>
      </c>
      <c r="AF335" s="87" t="str">
        <f aca="false">IF(ISBLANK($C335),"",IF(ISNUMBER(P335),IF(P335&gt;=0,P335,""),""))</f>
        <v/>
      </c>
      <c r="AG335" s="87" t="str">
        <f aca="false">IF(ISBLANK($C335),"",IF(Q335=Constants!$B$19,Constants!$B$19,Constants!$B$18))</f>
        <v/>
      </c>
      <c r="AH335" s="87" t="str">
        <f aca="false">IF(ISBLANK($C335),"",IF(ISNUMBER(R335),IF(R335&gt;=0,R335,""),""))</f>
        <v/>
      </c>
      <c r="AI335" s="87" t="str">
        <f aca="false">IF(ISBLANK($C335),"",IF(S335=Constants!$B$2, TRUE(), IF(S335=Constants!$B$3, FALSE(), FALSE())))</f>
        <v/>
      </c>
      <c r="AJ335" s="87" t="str">
        <f aca="false">IF(ISBLANK($C335),"",IF(AI335,Constants!$B$4,IF(COUNTA(E335:R335)=0,Constants!$B$5,IF(COUNTA(J335,L335,N335,P335,R335)=0,Constants!$B$6,Constants!$B$7))))</f>
        <v/>
      </c>
      <c r="AK335" s="87" t="str">
        <f aca="false">IF(ISBLANK($C335),"",IF($AJ335&lt;&gt;Constants!$B$7,$AJ335,IF(OR(NOT(X335),AND(NOT(U335),COUNTIFS(Y335:AG335,Constants!$B$18,Z335:AH335,"&gt;=0")&gt;0),AND(NOT(V335),COUNTIFS(Y335:AG335,Constants!$B$19,Z335:AH335,"&gt;=0")&gt;0)),Constants!$B$12,Constants!$B$11)))</f>
        <v/>
      </c>
      <c r="AL335" s="87" t="str">
        <f aca="false">IF($AJ335=Constants!$B$7,IF(Z335="",Constants!$B$13,Z335),"")</f>
        <v/>
      </c>
      <c r="AM335" s="87" t="str">
        <f aca="false">IF($AJ335=Constants!$B$7,IF(AB335="",Constants!$B$13,AB335),"")</f>
        <v/>
      </c>
      <c r="AN335" s="87" t="str">
        <f aca="false">IF($AJ335=Constants!$B$7,IF(AD335="",Constants!$B$13,AD335),"")</f>
        <v/>
      </c>
      <c r="AO335" s="87" t="str">
        <f aca="false">IF($AJ335=Constants!$B$7,IF(AF335="",Constants!$B$13,AF335),"")</f>
        <v/>
      </c>
      <c r="AP335" s="87" t="str">
        <f aca="false">IF($AJ335=Constants!$B$7,IF(AH335="",Constants!$B$13,AH335),"")</f>
        <v/>
      </c>
      <c r="AQ335" s="87" t="str">
        <f aca="false">IF($AJ335=Constants!$B$7,IF(SUMPRODUCT(--($AL335:$AP335&gt;AL335))+SUMPRODUCT(--($AL335:AL335=AL335))=1,1,IF(SUMPRODUCT(--($AL335:$AP335&gt;AM335))+SUMPRODUCT(--($AL335:AM335=AM335))=1,2,IF(SUMPRODUCT(--($AL335:$AP335&gt;AN335))+SUMPRODUCT(--($AL335:AN335=AN335))=1,3,IF(SUMPRODUCT(--($AL335:$AP335&gt;AO335))+SUMPRODUCT(--($AL335:AO335=AO335))=1,4,5)))),"")</f>
        <v/>
      </c>
      <c r="AR335" s="87" t="str">
        <f aca="false">IF($AJ335=Constants!$B$7,IF(SUMPRODUCT(--($AL335:$AP335&gt;AL335))+SUMPRODUCT(--($AL335:AL335=AL335))=2,1,IF(SUMPRODUCT(--($AL335:$AP335&gt;AM335))+SUMPRODUCT(--($AL335:AM335=AM335))=2,2,IF(SUMPRODUCT(--($AL335:$AP335&gt;AN335))+SUMPRODUCT(--($AL335:AN335=AN335))=2,3,IF(SUMPRODUCT(--($AL335:$AP335&gt;AO335))+SUMPRODUCT(--($AL335:AO335=AO335))=2,4,5)))),"")</f>
        <v/>
      </c>
      <c r="AS335" s="87" t="str">
        <f aca="false">IF($AJ335=Constants!$B$7,IF(SUMPRODUCT(--($AL335:$AP335&gt;AL335))+SUMPRODUCT(--($AL335:AL335=AL335))=3,1,IF(SUMPRODUCT(--($AL335:$AP335&gt;AM335))+SUMPRODUCT(--($AL335:AM335=AM335))=3,2,IF(SUMPRODUCT(--($AL335:$AP335&gt;AN335))+SUMPRODUCT(--($AL335:AN335=AN335))=3,3,IF(SUMPRODUCT(--($AL335:$AP335&gt;AO335))+SUMPRODUCT(--($AL335:AO335=AO335))=3,4,5)))),"")</f>
        <v/>
      </c>
      <c r="AT335" s="87" t="str">
        <f aca="false">IF($AJ335=Constants!$B$7,LARGE(AL335:AP335,1)+LARGE(AL335:AP335,2)+LARGE(AL335:AP335,3),"")</f>
        <v/>
      </c>
      <c r="AU335" s="87" t="str">
        <f aca="false">IF(ISBLANK($C335),"",IF($AJ335&lt;&gt;Constants!$B$7,$AJ335,AT335*W335))</f>
        <v/>
      </c>
      <c r="AV335" s="87" t="str">
        <f aca="false">IF(ISBLANK($C335),"",IF($AJ335=Constants!$B$7,IF(ISNUMBER(AU335),RANK(AU335,$AU$8:$AU$507),Constants!$B$14),$AJ335))</f>
        <v/>
      </c>
      <c r="AW335" s="87" t="str">
        <f aca="false">IF(ISBLANK($C335),"",IF($AJ335=Constants!$B$7,IF(ISNUMBER(AV335),COUNTIFS($AK$8:$AK$507,"&lt;"&amp;$AK335)+COUNTIFS($AK$8:$AK$507,$AK335,$AV$8:$AV$507,"&lt;"&amp;$AV335)+1,Constants!$B$14),$AJ335))</f>
        <v/>
      </c>
      <c r="AX335" s="87" t="str">
        <f aca="false">IF(ISBLANK($C335),"",IF($AJ335=Constants!$B$7,LARGE(AL335:AP335,4)*W335,""))</f>
        <v/>
      </c>
      <c r="AY335" s="87" t="str">
        <f aca="false">IF(ISBLANK($C335),"",IF($AJ335=Constants!$B$7,RANK(AX335,$AX$8:$AX$507),$AJ335))</f>
        <v/>
      </c>
      <c r="AZ335" s="87" t="str">
        <f aca="false">IF(ISBLANK($C335),"",IF($AJ335=Constants!$B$7,IF(ISNUMBER(AV335),COUNTIFS($AK$8:$AK$507,"&lt;"&amp;$AK335)+COUNTIFS($AK$8:$AK$507,$AK335,$AV$8:$AV$507,"&lt;"&amp;$AV335)+COUNTIFS($AK$8:$AK$507,$AK335,$AV$8:$AV$507,$AV335,$AY$8:$AY$507,"&lt;"&amp;$AY335)+1,Constants!$B$14),$AJ335))</f>
        <v/>
      </c>
      <c r="BA335" s="87" t="str">
        <f aca="false">IF(ISBLANK($C335),"",IF($AJ335=Constants!$B$7,IF(ISNUMBER(AW335),AW335-AZ335,Constants!$B$14),$AJ335))</f>
        <v/>
      </c>
      <c r="BB335" s="88"/>
      <c r="BC335" s="89" t="str">
        <f aca="false">IF(ISBLANK($C335),"",IF($AJ335&lt;&gt;Constants!$B$7,$AJ335,SMALL(AQ335:AS335,1)&amp;", "&amp;SMALL(AQ335:AS335,2)&amp;", "&amp;SMALL(AQ335:AS335,3)))</f>
        <v/>
      </c>
      <c r="BD335" s="90" t="str">
        <f aca="false">IF(ISBLANK($C335),"",IF($AJ335&lt;&gt;Constants!$B$7,$AJ335,W335))</f>
        <v/>
      </c>
      <c r="BE335" s="91" t="str">
        <f aca="false">IF(ISBLANK($C335),"",IF($AJ335&lt;&gt;Constants!$B$7,$AJ335,AU335))</f>
        <v/>
      </c>
      <c r="BF335" s="92" t="str">
        <f aca="false">IF(ISBLANK($C335),"",IF($AJ335&lt;&gt;Constants!$B$7,$AJ335,AK335))</f>
        <v/>
      </c>
      <c r="BG335" s="90" t="str">
        <f aca="false">IF(ISBLANK($C335),"",BA335)</f>
        <v/>
      </c>
      <c r="BH335" s="90" t="str">
        <f aca="false">IF(ISBLANK($C335),"",AZ335)</f>
        <v/>
      </c>
      <c r="BI335" s="93" t="str">
        <f aca="false">IF(ISBLANK($C335),"",IF(BH335=Constants!$B$4,COUNTA($C$8:$C$507)+2,IF(BH335=Constants!$B$5,COUNTA($C$8:$C$507)+1,IF(BH335=Constants!$B$6,COUNTA($C$8:$C$507),BH335))))</f>
        <v/>
      </c>
      <c r="BJ335" s="5"/>
      <c r="BK335" s="94" t="n">
        <f aca="false">IF(OR(ISNUMBER(BH335),BH335=Constants!$B$4,BH335=Constants!$B$6,BH335=Constants!$B$5),1,0)</f>
        <v>0</v>
      </c>
      <c r="BL335" s="94" t="n">
        <v>328</v>
      </c>
      <c r="BM335" s="94" t="str">
        <f aca="false">IF(ISBLANK($C335),"",IF(ISNUMBER(BI335),BI335+ROW($B335)/1000,""))</f>
        <v/>
      </c>
      <c r="BN335" s="94" t="str">
        <f aca="false">IF(ISNUMBER(BM335),RANK(BM335,$BM$8:$BM$507,1),"")</f>
        <v/>
      </c>
      <c r="BO335" s="94" t="str">
        <f aca="false">IF(ISBLANK($C335),"",$B335)</f>
        <v/>
      </c>
      <c r="BP335" s="94" t="str">
        <f aca="false">IF(ISBLANK($C335),"",$C335)</f>
        <v/>
      </c>
      <c r="BQ335" s="94" t="str">
        <f aca="false">IF(ISBLANK($C335),"",$D335)</f>
        <v/>
      </c>
      <c r="BR335" s="95" t="str">
        <f aca="false">BF335</f>
        <v/>
      </c>
      <c r="BS335" s="96" t="str">
        <f aca="false">BE335</f>
        <v/>
      </c>
      <c r="BT335" s="94" t="str">
        <f aca="false">IF(ISBLANK($C335),"",BH335)</f>
        <v/>
      </c>
      <c r="BU335" s="97" t="str">
        <f aca="false">IF($BL335&gt;$BK$7,"",VLOOKUP($BL335,$BN$8:$BT$507,7,FALSE()))</f>
        <v/>
      </c>
      <c r="BV335" s="98" t="str">
        <f aca="false">IF($BL335&gt;$BK$7,"",VLOOKUP($BL335,$BN$8:$BT$507,2,FALSE()))</f>
        <v/>
      </c>
      <c r="BW335" s="98" t="str">
        <f aca="false">IF($BL335&gt;$BK$7,"",VLOOKUP($BL335,$BN$8:$BT$507,3,FALSE()))</f>
        <v/>
      </c>
      <c r="BX335" s="98" t="str">
        <f aca="false">IF($BL335&gt;$BK$7,"",VLOOKUP($BL335,$BN$8:$BT$507,4,FALSE()))</f>
        <v/>
      </c>
      <c r="BY335" s="98" t="str">
        <f aca="false">IF($BL335&gt;$BK$7,"",VLOOKUP($BL335,$BN$8:$BT$507,5,FALSE()))</f>
        <v/>
      </c>
      <c r="BZ335" s="99" t="str">
        <f aca="false">IF($BL335&gt;$BK$7,"",VLOOKUP($BL335,$BN$8:$BT$507,6,FALSE()))</f>
        <v/>
      </c>
      <c r="CA335" s="48"/>
    </row>
    <row r="336" customFormat="false" ht="15.75" hidden="false" customHeight="false" outlineLevel="0" collapsed="false">
      <c r="A336" s="5"/>
      <c r="B336" s="114"/>
      <c r="C336" s="115"/>
      <c r="D336" s="100"/>
      <c r="E336" s="120"/>
      <c r="F336" s="125"/>
      <c r="G336" s="82"/>
      <c r="H336" s="126"/>
      <c r="I336" s="127"/>
      <c r="J336" s="82"/>
      <c r="K336" s="126"/>
      <c r="L336" s="82"/>
      <c r="M336" s="126"/>
      <c r="N336" s="82"/>
      <c r="O336" s="126"/>
      <c r="P336" s="82"/>
      <c r="Q336" s="126"/>
      <c r="R336" s="82"/>
      <c r="S336" s="120"/>
      <c r="T336" s="86"/>
      <c r="U336" s="87" t="str">
        <f aca="false">IF(ISBLANK($C336),"",IF(E336=Constants!$B$2, TRUE(), IF(E336=Constants!$B$3, FALSE(), TRUE())))</f>
        <v/>
      </c>
      <c r="V336" s="87" t="str">
        <f aca="false">IF(ISBLANK($C336),"",IF(F336=Constants!$B$2, TRUE(), IF(F336=Constants!$B$3, FALSE(), TRUE())))</f>
        <v/>
      </c>
      <c r="W336" s="87" t="str">
        <f aca="false">IF(ISBLANK($C336),"",IF(G336=Constants!$B$15,Constants!$B$8,IF(G336=Constants!$B$16,Constants!$B$9,Constants!$B$10)))</f>
        <v/>
      </c>
      <c r="X336" s="87" t="str">
        <f aca="false">IF(ISBLANK($C336),"",IF(H336=Constants!$B$2, TRUE(), IF(H336=Constants!$B$3, FALSE(), TRUE())))</f>
        <v/>
      </c>
      <c r="Y336" s="87" t="str">
        <f aca="false">IF(ISBLANK($C336),"",IF(I336=Constants!$B$19,Constants!$B$19,Constants!$B$18))</f>
        <v/>
      </c>
      <c r="Z336" s="87" t="str">
        <f aca="false">IF(ISBLANK($C336),"",IF(ISNUMBER(J336),IF(J336&gt;=0,J336,""),""))</f>
        <v/>
      </c>
      <c r="AA336" s="87" t="str">
        <f aca="false">IF(ISBLANK($C336),"",IF(K336=Constants!$B$19,Constants!$B$19,Constants!$B$18))</f>
        <v/>
      </c>
      <c r="AB336" s="87" t="str">
        <f aca="false">IF(ISBLANK($C336),"",IF(ISNUMBER(L336),IF(L336&gt;=0,L336,""),""))</f>
        <v/>
      </c>
      <c r="AC336" s="87" t="str">
        <f aca="false">IF(ISBLANK($C336),"",IF(M336=Constants!$B$19,Constants!$B$19,Constants!$B$18))</f>
        <v/>
      </c>
      <c r="AD336" s="87" t="str">
        <f aca="false">IF(ISBLANK($C336),"",IF(ISNUMBER(N336),IF(N336&gt;=0,N336,""),""))</f>
        <v/>
      </c>
      <c r="AE336" s="87" t="str">
        <f aca="false">IF(ISBLANK($C336),"",IF(O336=Constants!$B$19,Constants!$B$19,Constants!$B$18))</f>
        <v/>
      </c>
      <c r="AF336" s="87" t="str">
        <f aca="false">IF(ISBLANK($C336),"",IF(ISNUMBER(P336),IF(P336&gt;=0,P336,""),""))</f>
        <v/>
      </c>
      <c r="AG336" s="87" t="str">
        <f aca="false">IF(ISBLANK($C336),"",IF(Q336=Constants!$B$19,Constants!$B$19,Constants!$B$18))</f>
        <v/>
      </c>
      <c r="AH336" s="87" t="str">
        <f aca="false">IF(ISBLANK($C336),"",IF(ISNUMBER(R336),IF(R336&gt;=0,R336,""),""))</f>
        <v/>
      </c>
      <c r="AI336" s="87" t="str">
        <f aca="false">IF(ISBLANK($C336),"",IF(S336=Constants!$B$2, TRUE(), IF(S336=Constants!$B$3, FALSE(), FALSE())))</f>
        <v/>
      </c>
      <c r="AJ336" s="87" t="str">
        <f aca="false">IF(ISBLANK($C336),"",IF(AI336,Constants!$B$4,IF(COUNTA(E336:R336)=0,Constants!$B$5,IF(COUNTA(J336,L336,N336,P336,R336)=0,Constants!$B$6,Constants!$B$7))))</f>
        <v/>
      </c>
      <c r="AK336" s="87" t="str">
        <f aca="false">IF(ISBLANK($C336),"",IF($AJ336&lt;&gt;Constants!$B$7,$AJ336,IF(OR(NOT(X336),AND(NOT(U336),COUNTIFS(Y336:AG336,Constants!$B$18,Z336:AH336,"&gt;=0")&gt;0),AND(NOT(V336),COUNTIFS(Y336:AG336,Constants!$B$19,Z336:AH336,"&gt;=0")&gt;0)),Constants!$B$12,Constants!$B$11)))</f>
        <v/>
      </c>
      <c r="AL336" s="87" t="str">
        <f aca="false">IF($AJ336=Constants!$B$7,IF(Z336="",Constants!$B$13,Z336),"")</f>
        <v/>
      </c>
      <c r="AM336" s="87" t="str">
        <f aca="false">IF($AJ336=Constants!$B$7,IF(AB336="",Constants!$B$13,AB336),"")</f>
        <v/>
      </c>
      <c r="AN336" s="87" t="str">
        <f aca="false">IF($AJ336=Constants!$B$7,IF(AD336="",Constants!$B$13,AD336),"")</f>
        <v/>
      </c>
      <c r="AO336" s="87" t="str">
        <f aca="false">IF($AJ336=Constants!$B$7,IF(AF336="",Constants!$B$13,AF336),"")</f>
        <v/>
      </c>
      <c r="AP336" s="87" t="str">
        <f aca="false">IF($AJ336=Constants!$B$7,IF(AH336="",Constants!$B$13,AH336),"")</f>
        <v/>
      </c>
      <c r="AQ336" s="87" t="str">
        <f aca="false">IF($AJ336=Constants!$B$7,IF(SUMPRODUCT(--($AL336:$AP336&gt;AL336))+SUMPRODUCT(--($AL336:AL336=AL336))=1,1,IF(SUMPRODUCT(--($AL336:$AP336&gt;AM336))+SUMPRODUCT(--($AL336:AM336=AM336))=1,2,IF(SUMPRODUCT(--($AL336:$AP336&gt;AN336))+SUMPRODUCT(--($AL336:AN336=AN336))=1,3,IF(SUMPRODUCT(--($AL336:$AP336&gt;AO336))+SUMPRODUCT(--($AL336:AO336=AO336))=1,4,5)))),"")</f>
        <v/>
      </c>
      <c r="AR336" s="87" t="str">
        <f aca="false">IF($AJ336=Constants!$B$7,IF(SUMPRODUCT(--($AL336:$AP336&gt;AL336))+SUMPRODUCT(--($AL336:AL336=AL336))=2,1,IF(SUMPRODUCT(--($AL336:$AP336&gt;AM336))+SUMPRODUCT(--($AL336:AM336=AM336))=2,2,IF(SUMPRODUCT(--($AL336:$AP336&gt;AN336))+SUMPRODUCT(--($AL336:AN336=AN336))=2,3,IF(SUMPRODUCT(--($AL336:$AP336&gt;AO336))+SUMPRODUCT(--($AL336:AO336=AO336))=2,4,5)))),"")</f>
        <v/>
      </c>
      <c r="AS336" s="87" t="str">
        <f aca="false">IF($AJ336=Constants!$B$7,IF(SUMPRODUCT(--($AL336:$AP336&gt;AL336))+SUMPRODUCT(--($AL336:AL336=AL336))=3,1,IF(SUMPRODUCT(--($AL336:$AP336&gt;AM336))+SUMPRODUCT(--($AL336:AM336=AM336))=3,2,IF(SUMPRODUCT(--($AL336:$AP336&gt;AN336))+SUMPRODUCT(--($AL336:AN336=AN336))=3,3,IF(SUMPRODUCT(--($AL336:$AP336&gt;AO336))+SUMPRODUCT(--($AL336:AO336=AO336))=3,4,5)))),"")</f>
        <v/>
      </c>
      <c r="AT336" s="87" t="str">
        <f aca="false">IF($AJ336=Constants!$B$7,LARGE(AL336:AP336,1)+LARGE(AL336:AP336,2)+LARGE(AL336:AP336,3),"")</f>
        <v/>
      </c>
      <c r="AU336" s="87" t="str">
        <f aca="false">IF(ISBLANK($C336),"",IF($AJ336&lt;&gt;Constants!$B$7,$AJ336,AT336*W336))</f>
        <v/>
      </c>
      <c r="AV336" s="87" t="str">
        <f aca="false">IF(ISBLANK($C336),"",IF($AJ336=Constants!$B$7,IF(ISNUMBER(AU336),RANK(AU336,$AU$8:$AU$507),Constants!$B$14),$AJ336))</f>
        <v/>
      </c>
      <c r="AW336" s="87" t="str">
        <f aca="false">IF(ISBLANK($C336),"",IF($AJ336=Constants!$B$7,IF(ISNUMBER(AV336),COUNTIFS($AK$8:$AK$507,"&lt;"&amp;$AK336)+COUNTIFS($AK$8:$AK$507,$AK336,$AV$8:$AV$507,"&lt;"&amp;$AV336)+1,Constants!$B$14),$AJ336))</f>
        <v/>
      </c>
      <c r="AX336" s="87" t="str">
        <f aca="false">IF(ISBLANK($C336),"",IF($AJ336=Constants!$B$7,LARGE(AL336:AP336,4)*W336,""))</f>
        <v/>
      </c>
      <c r="AY336" s="87" t="str">
        <f aca="false">IF(ISBLANK($C336),"",IF($AJ336=Constants!$B$7,RANK(AX336,$AX$8:$AX$507),$AJ336))</f>
        <v/>
      </c>
      <c r="AZ336" s="87" t="str">
        <f aca="false">IF(ISBLANK($C336),"",IF($AJ336=Constants!$B$7,IF(ISNUMBER(AV336),COUNTIFS($AK$8:$AK$507,"&lt;"&amp;$AK336)+COUNTIFS($AK$8:$AK$507,$AK336,$AV$8:$AV$507,"&lt;"&amp;$AV336)+COUNTIFS($AK$8:$AK$507,$AK336,$AV$8:$AV$507,$AV336,$AY$8:$AY$507,"&lt;"&amp;$AY336)+1,Constants!$B$14),$AJ336))</f>
        <v/>
      </c>
      <c r="BA336" s="87" t="str">
        <f aca="false">IF(ISBLANK($C336),"",IF($AJ336=Constants!$B$7,IF(ISNUMBER(AW336),AW336-AZ336,Constants!$B$14),$AJ336))</f>
        <v/>
      </c>
      <c r="BB336" s="88"/>
      <c r="BC336" s="89" t="str">
        <f aca="false">IF(ISBLANK($C336),"",IF($AJ336&lt;&gt;Constants!$B$7,$AJ336,SMALL(AQ336:AS336,1)&amp;", "&amp;SMALL(AQ336:AS336,2)&amp;", "&amp;SMALL(AQ336:AS336,3)))</f>
        <v/>
      </c>
      <c r="BD336" s="90" t="str">
        <f aca="false">IF(ISBLANK($C336),"",IF($AJ336&lt;&gt;Constants!$B$7,$AJ336,W336))</f>
        <v/>
      </c>
      <c r="BE336" s="91" t="str">
        <f aca="false">IF(ISBLANK($C336),"",IF($AJ336&lt;&gt;Constants!$B$7,$AJ336,AU336))</f>
        <v/>
      </c>
      <c r="BF336" s="92" t="str">
        <f aca="false">IF(ISBLANK($C336),"",IF($AJ336&lt;&gt;Constants!$B$7,$AJ336,AK336))</f>
        <v/>
      </c>
      <c r="BG336" s="90" t="str">
        <f aca="false">IF(ISBLANK($C336),"",BA336)</f>
        <v/>
      </c>
      <c r="BH336" s="90" t="str">
        <f aca="false">IF(ISBLANK($C336),"",AZ336)</f>
        <v/>
      </c>
      <c r="BI336" s="93" t="str">
        <f aca="false">IF(ISBLANK($C336),"",IF(BH336=Constants!$B$4,COUNTA($C$8:$C$507)+2,IF(BH336=Constants!$B$5,COUNTA($C$8:$C$507)+1,IF(BH336=Constants!$B$6,COUNTA($C$8:$C$507),BH336))))</f>
        <v/>
      </c>
      <c r="BJ336" s="5"/>
      <c r="BK336" s="94" t="n">
        <f aca="false">IF(OR(ISNUMBER(BH336),BH336=Constants!$B$4,BH336=Constants!$B$6,BH336=Constants!$B$5),1,0)</f>
        <v>0</v>
      </c>
      <c r="BL336" s="94" t="n">
        <v>329</v>
      </c>
      <c r="BM336" s="94" t="str">
        <f aca="false">IF(ISBLANK($C336),"",IF(ISNUMBER(BI336),BI336+ROW($B336)/1000,""))</f>
        <v/>
      </c>
      <c r="BN336" s="94" t="str">
        <f aca="false">IF(ISNUMBER(BM336),RANK(BM336,$BM$8:$BM$507,1),"")</f>
        <v/>
      </c>
      <c r="BO336" s="94" t="str">
        <f aca="false">IF(ISBLANK($C336),"",$B336)</f>
        <v/>
      </c>
      <c r="BP336" s="94" t="str">
        <f aca="false">IF(ISBLANK($C336),"",$C336)</f>
        <v/>
      </c>
      <c r="BQ336" s="94" t="str">
        <f aca="false">IF(ISBLANK($C336),"",$D336)</f>
        <v/>
      </c>
      <c r="BR336" s="95" t="str">
        <f aca="false">BF336</f>
        <v/>
      </c>
      <c r="BS336" s="96" t="str">
        <f aca="false">BE336</f>
        <v/>
      </c>
      <c r="BT336" s="94" t="str">
        <f aca="false">IF(ISBLANK($C336),"",BH336)</f>
        <v/>
      </c>
      <c r="BU336" s="97" t="str">
        <f aca="false">IF($BL336&gt;$BK$7,"",VLOOKUP($BL336,$BN$8:$BT$507,7,FALSE()))</f>
        <v/>
      </c>
      <c r="BV336" s="98" t="str">
        <f aca="false">IF($BL336&gt;$BK$7,"",VLOOKUP($BL336,$BN$8:$BT$507,2,FALSE()))</f>
        <v/>
      </c>
      <c r="BW336" s="98" t="str">
        <f aca="false">IF($BL336&gt;$BK$7,"",VLOOKUP($BL336,$BN$8:$BT$507,3,FALSE()))</f>
        <v/>
      </c>
      <c r="BX336" s="98" t="str">
        <f aca="false">IF($BL336&gt;$BK$7,"",VLOOKUP($BL336,$BN$8:$BT$507,4,FALSE()))</f>
        <v/>
      </c>
      <c r="BY336" s="98" t="str">
        <f aca="false">IF($BL336&gt;$BK$7,"",VLOOKUP($BL336,$BN$8:$BT$507,5,FALSE()))</f>
        <v/>
      </c>
      <c r="BZ336" s="99" t="str">
        <f aca="false">IF($BL336&gt;$BK$7,"",VLOOKUP($BL336,$BN$8:$BT$507,6,FALSE()))</f>
        <v/>
      </c>
      <c r="CA336" s="48"/>
    </row>
    <row r="337" customFormat="false" ht="15.75" hidden="false" customHeight="false" outlineLevel="0" collapsed="false">
      <c r="A337" s="5"/>
      <c r="B337" s="114"/>
      <c r="C337" s="115"/>
      <c r="D337" s="100"/>
      <c r="E337" s="120"/>
      <c r="F337" s="125"/>
      <c r="G337" s="82"/>
      <c r="H337" s="126"/>
      <c r="I337" s="127"/>
      <c r="J337" s="82"/>
      <c r="K337" s="126"/>
      <c r="L337" s="82"/>
      <c r="M337" s="126"/>
      <c r="N337" s="82"/>
      <c r="O337" s="126"/>
      <c r="P337" s="82"/>
      <c r="Q337" s="126"/>
      <c r="R337" s="82"/>
      <c r="S337" s="120"/>
      <c r="T337" s="86"/>
      <c r="U337" s="87" t="str">
        <f aca="false">IF(ISBLANK($C337),"",IF(E337=Constants!$B$2, TRUE(), IF(E337=Constants!$B$3, FALSE(), TRUE())))</f>
        <v/>
      </c>
      <c r="V337" s="87" t="str">
        <f aca="false">IF(ISBLANK($C337),"",IF(F337=Constants!$B$2, TRUE(), IF(F337=Constants!$B$3, FALSE(), TRUE())))</f>
        <v/>
      </c>
      <c r="W337" s="87" t="str">
        <f aca="false">IF(ISBLANK($C337),"",IF(G337=Constants!$B$15,Constants!$B$8,IF(G337=Constants!$B$16,Constants!$B$9,Constants!$B$10)))</f>
        <v/>
      </c>
      <c r="X337" s="87" t="str">
        <f aca="false">IF(ISBLANK($C337),"",IF(H337=Constants!$B$2, TRUE(), IF(H337=Constants!$B$3, FALSE(), TRUE())))</f>
        <v/>
      </c>
      <c r="Y337" s="87" t="str">
        <f aca="false">IF(ISBLANK($C337),"",IF(I337=Constants!$B$19,Constants!$B$19,Constants!$B$18))</f>
        <v/>
      </c>
      <c r="Z337" s="87" t="str">
        <f aca="false">IF(ISBLANK($C337),"",IF(ISNUMBER(J337),IF(J337&gt;=0,J337,""),""))</f>
        <v/>
      </c>
      <c r="AA337" s="87" t="str">
        <f aca="false">IF(ISBLANK($C337),"",IF(K337=Constants!$B$19,Constants!$B$19,Constants!$B$18))</f>
        <v/>
      </c>
      <c r="AB337" s="87" t="str">
        <f aca="false">IF(ISBLANK($C337),"",IF(ISNUMBER(L337),IF(L337&gt;=0,L337,""),""))</f>
        <v/>
      </c>
      <c r="AC337" s="87" t="str">
        <f aca="false">IF(ISBLANK($C337),"",IF(M337=Constants!$B$19,Constants!$B$19,Constants!$B$18))</f>
        <v/>
      </c>
      <c r="AD337" s="87" t="str">
        <f aca="false">IF(ISBLANK($C337),"",IF(ISNUMBER(N337),IF(N337&gt;=0,N337,""),""))</f>
        <v/>
      </c>
      <c r="AE337" s="87" t="str">
        <f aca="false">IF(ISBLANK($C337),"",IF(O337=Constants!$B$19,Constants!$B$19,Constants!$B$18))</f>
        <v/>
      </c>
      <c r="AF337" s="87" t="str">
        <f aca="false">IF(ISBLANK($C337),"",IF(ISNUMBER(P337),IF(P337&gt;=0,P337,""),""))</f>
        <v/>
      </c>
      <c r="AG337" s="87" t="str">
        <f aca="false">IF(ISBLANK($C337),"",IF(Q337=Constants!$B$19,Constants!$B$19,Constants!$B$18))</f>
        <v/>
      </c>
      <c r="AH337" s="87" t="str">
        <f aca="false">IF(ISBLANK($C337),"",IF(ISNUMBER(R337),IF(R337&gt;=0,R337,""),""))</f>
        <v/>
      </c>
      <c r="AI337" s="87" t="str">
        <f aca="false">IF(ISBLANK($C337),"",IF(S337=Constants!$B$2, TRUE(), IF(S337=Constants!$B$3, FALSE(), FALSE())))</f>
        <v/>
      </c>
      <c r="AJ337" s="87" t="str">
        <f aca="false">IF(ISBLANK($C337),"",IF(AI337,Constants!$B$4,IF(COUNTA(E337:R337)=0,Constants!$B$5,IF(COUNTA(J337,L337,N337,P337,R337)=0,Constants!$B$6,Constants!$B$7))))</f>
        <v/>
      </c>
      <c r="AK337" s="87" t="str">
        <f aca="false">IF(ISBLANK($C337),"",IF($AJ337&lt;&gt;Constants!$B$7,$AJ337,IF(OR(NOT(X337),AND(NOT(U337),COUNTIFS(Y337:AG337,Constants!$B$18,Z337:AH337,"&gt;=0")&gt;0),AND(NOT(V337),COUNTIFS(Y337:AG337,Constants!$B$19,Z337:AH337,"&gt;=0")&gt;0)),Constants!$B$12,Constants!$B$11)))</f>
        <v/>
      </c>
      <c r="AL337" s="87" t="str">
        <f aca="false">IF($AJ337=Constants!$B$7,IF(Z337="",Constants!$B$13,Z337),"")</f>
        <v/>
      </c>
      <c r="AM337" s="87" t="str">
        <f aca="false">IF($AJ337=Constants!$B$7,IF(AB337="",Constants!$B$13,AB337),"")</f>
        <v/>
      </c>
      <c r="AN337" s="87" t="str">
        <f aca="false">IF($AJ337=Constants!$B$7,IF(AD337="",Constants!$B$13,AD337),"")</f>
        <v/>
      </c>
      <c r="AO337" s="87" t="str">
        <f aca="false">IF($AJ337=Constants!$B$7,IF(AF337="",Constants!$B$13,AF337),"")</f>
        <v/>
      </c>
      <c r="AP337" s="87" t="str">
        <f aca="false">IF($AJ337=Constants!$B$7,IF(AH337="",Constants!$B$13,AH337),"")</f>
        <v/>
      </c>
      <c r="AQ337" s="87" t="str">
        <f aca="false">IF($AJ337=Constants!$B$7,IF(SUMPRODUCT(--($AL337:$AP337&gt;AL337))+SUMPRODUCT(--($AL337:AL337=AL337))=1,1,IF(SUMPRODUCT(--($AL337:$AP337&gt;AM337))+SUMPRODUCT(--($AL337:AM337=AM337))=1,2,IF(SUMPRODUCT(--($AL337:$AP337&gt;AN337))+SUMPRODUCT(--($AL337:AN337=AN337))=1,3,IF(SUMPRODUCT(--($AL337:$AP337&gt;AO337))+SUMPRODUCT(--($AL337:AO337=AO337))=1,4,5)))),"")</f>
        <v/>
      </c>
      <c r="AR337" s="87" t="str">
        <f aca="false">IF($AJ337=Constants!$B$7,IF(SUMPRODUCT(--($AL337:$AP337&gt;AL337))+SUMPRODUCT(--($AL337:AL337=AL337))=2,1,IF(SUMPRODUCT(--($AL337:$AP337&gt;AM337))+SUMPRODUCT(--($AL337:AM337=AM337))=2,2,IF(SUMPRODUCT(--($AL337:$AP337&gt;AN337))+SUMPRODUCT(--($AL337:AN337=AN337))=2,3,IF(SUMPRODUCT(--($AL337:$AP337&gt;AO337))+SUMPRODUCT(--($AL337:AO337=AO337))=2,4,5)))),"")</f>
        <v/>
      </c>
      <c r="AS337" s="87" t="str">
        <f aca="false">IF($AJ337=Constants!$B$7,IF(SUMPRODUCT(--($AL337:$AP337&gt;AL337))+SUMPRODUCT(--($AL337:AL337=AL337))=3,1,IF(SUMPRODUCT(--($AL337:$AP337&gt;AM337))+SUMPRODUCT(--($AL337:AM337=AM337))=3,2,IF(SUMPRODUCT(--($AL337:$AP337&gt;AN337))+SUMPRODUCT(--($AL337:AN337=AN337))=3,3,IF(SUMPRODUCT(--($AL337:$AP337&gt;AO337))+SUMPRODUCT(--($AL337:AO337=AO337))=3,4,5)))),"")</f>
        <v/>
      </c>
      <c r="AT337" s="87" t="str">
        <f aca="false">IF($AJ337=Constants!$B$7,LARGE(AL337:AP337,1)+LARGE(AL337:AP337,2)+LARGE(AL337:AP337,3),"")</f>
        <v/>
      </c>
      <c r="AU337" s="87" t="str">
        <f aca="false">IF(ISBLANK($C337),"",IF($AJ337&lt;&gt;Constants!$B$7,$AJ337,AT337*W337))</f>
        <v/>
      </c>
      <c r="AV337" s="87" t="str">
        <f aca="false">IF(ISBLANK($C337),"",IF($AJ337=Constants!$B$7,IF(ISNUMBER(AU337),RANK(AU337,$AU$8:$AU$507),Constants!$B$14),$AJ337))</f>
        <v/>
      </c>
      <c r="AW337" s="87" t="str">
        <f aca="false">IF(ISBLANK($C337),"",IF($AJ337=Constants!$B$7,IF(ISNUMBER(AV337),COUNTIFS($AK$8:$AK$507,"&lt;"&amp;$AK337)+COUNTIFS($AK$8:$AK$507,$AK337,$AV$8:$AV$507,"&lt;"&amp;$AV337)+1,Constants!$B$14),$AJ337))</f>
        <v/>
      </c>
      <c r="AX337" s="87" t="str">
        <f aca="false">IF(ISBLANK($C337),"",IF($AJ337=Constants!$B$7,LARGE(AL337:AP337,4)*W337,""))</f>
        <v/>
      </c>
      <c r="AY337" s="87" t="str">
        <f aca="false">IF(ISBLANK($C337),"",IF($AJ337=Constants!$B$7,RANK(AX337,$AX$8:$AX$507),$AJ337))</f>
        <v/>
      </c>
      <c r="AZ337" s="87" t="str">
        <f aca="false">IF(ISBLANK($C337),"",IF($AJ337=Constants!$B$7,IF(ISNUMBER(AV337),COUNTIFS($AK$8:$AK$507,"&lt;"&amp;$AK337)+COUNTIFS($AK$8:$AK$507,$AK337,$AV$8:$AV$507,"&lt;"&amp;$AV337)+COUNTIFS($AK$8:$AK$507,$AK337,$AV$8:$AV$507,$AV337,$AY$8:$AY$507,"&lt;"&amp;$AY337)+1,Constants!$B$14),$AJ337))</f>
        <v/>
      </c>
      <c r="BA337" s="87" t="str">
        <f aca="false">IF(ISBLANK($C337),"",IF($AJ337=Constants!$B$7,IF(ISNUMBER(AW337),AW337-AZ337,Constants!$B$14),$AJ337))</f>
        <v/>
      </c>
      <c r="BB337" s="88"/>
      <c r="BC337" s="89" t="str">
        <f aca="false">IF(ISBLANK($C337),"",IF($AJ337&lt;&gt;Constants!$B$7,$AJ337,SMALL(AQ337:AS337,1)&amp;", "&amp;SMALL(AQ337:AS337,2)&amp;", "&amp;SMALL(AQ337:AS337,3)))</f>
        <v/>
      </c>
      <c r="BD337" s="90" t="str">
        <f aca="false">IF(ISBLANK($C337),"",IF($AJ337&lt;&gt;Constants!$B$7,$AJ337,W337))</f>
        <v/>
      </c>
      <c r="BE337" s="91" t="str">
        <f aca="false">IF(ISBLANK($C337),"",IF($AJ337&lt;&gt;Constants!$B$7,$AJ337,AU337))</f>
        <v/>
      </c>
      <c r="BF337" s="92" t="str">
        <f aca="false">IF(ISBLANK($C337),"",IF($AJ337&lt;&gt;Constants!$B$7,$AJ337,AK337))</f>
        <v/>
      </c>
      <c r="BG337" s="90" t="str">
        <f aca="false">IF(ISBLANK($C337),"",BA337)</f>
        <v/>
      </c>
      <c r="BH337" s="90" t="str">
        <f aca="false">IF(ISBLANK($C337),"",AZ337)</f>
        <v/>
      </c>
      <c r="BI337" s="93" t="str">
        <f aca="false">IF(ISBLANK($C337),"",IF(BH337=Constants!$B$4,COUNTA($C$8:$C$507)+2,IF(BH337=Constants!$B$5,COUNTA($C$8:$C$507)+1,IF(BH337=Constants!$B$6,COUNTA($C$8:$C$507),BH337))))</f>
        <v/>
      </c>
      <c r="BJ337" s="5"/>
      <c r="BK337" s="94" t="n">
        <f aca="false">IF(OR(ISNUMBER(BH337),BH337=Constants!$B$4,BH337=Constants!$B$6,BH337=Constants!$B$5),1,0)</f>
        <v>0</v>
      </c>
      <c r="BL337" s="94" t="n">
        <v>330</v>
      </c>
      <c r="BM337" s="94" t="str">
        <f aca="false">IF(ISBLANK($C337),"",IF(ISNUMBER(BI337),BI337+ROW($B337)/1000,""))</f>
        <v/>
      </c>
      <c r="BN337" s="94" t="str">
        <f aca="false">IF(ISNUMBER(BM337),RANK(BM337,$BM$8:$BM$507,1),"")</f>
        <v/>
      </c>
      <c r="BO337" s="94" t="str">
        <f aca="false">IF(ISBLANK($C337),"",$B337)</f>
        <v/>
      </c>
      <c r="BP337" s="94" t="str">
        <f aca="false">IF(ISBLANK($C337),"",$C337)</f>
        <v/>
      </c>
      <c r="BQ337" s="94" t="str">
        <f aca="false">IF(ISBLANK($C337),"",$D337)</f>
        <v/>
      </c>
      <c r="BR337" s="95" t="str">
        <f aca="false">BF337</f>
        <v/>
      </c>
      <c r="BS337" s="96" t="str">
        <f aca="false">BE337</f>
        <v/>
      </c>
      <c r="BT337" s="94" t="str">
        <f aca="false">IF(ISBLANK($C337),"",BH337)</f>
        <v/>
      </c>
      <c r="BU337" s="97" t="str">
        <f aca="false">IF($BL337&gt;$BK$7,"",VLOOKUP($BL337,$BN$8:$BT$507,7,FALSE()))</f>
        <v/>
      </c>
      <c r="BV337" s="98" t="str">
        <f aca="false">IF($BL337&gt;$BK$7,"",VLOOKUP($BL337,$BN$8:$BT$507,2,FALSE()))</f>
        <v/>
      </c>
      <c r="BW337" s="98" t="str">
        <f aca="false">IF($BL337&gt;$BK$7,"",VLOOKUP($BL337,$BN$8:$BT$507,3,FALSE()))</f>
        <v/>
      </c>
      <c r="BX337" s="98" t="str">
        <f aca="false">IF($BL337&gt;$BK$7,"",VLOOKUP($BL337,$BN$8:$BT$507,4,FALSE()))</f>
        <v/>
      </c>
      <c r="BY337" s="98" t="str">
        <f aca="false">IF($BL337&gt;$BK$7,"",VLOOKUP($BL337,$BN$8:$BT$507,5,FALSE()))</f>
        <v/>
      </c>
      <c r="BZ337" s="99" t="str">
        <f aca="false">IF($BL337&gt;$BK$7,"",VLOOKUP($BL337,$BN$8:$BT$507,6,FALSE()))</f>
        <v/>
      </c>
      <c r="CA337" s="48"/>
    </row>
    <row r="338" customFormat="false" ht="15.75" hidden="false" customHeight="false" outlineLevel="0" collapsed="false">
      <c r="A338" s="5"/>
      <c r="B338" s="121"/>
      <c r="C338" s="50"/>
      <c r="D338" s="51"/>
      <c r="E338" s="74"/>
      <c r="F338" s="122"/>
      <c r="G338" s="54"/>
      <c r="H338" s="123"/>
      <c r="I338" s="124"/>
      <c r="J338" s="54"/>
      <c r="K338" s="123"/>
      <c r="L338" s="54"/>
      <c r="M338" s="123"/>
      <c r="N338" s="54"/>
      <c r="O338" s="123"/>
      <c r="P338" s="54"/>
      <c r="Q338" s="123"/>
      <c r="R338" s="54"/>
      <c r="S338" s="74"/>
      <c r="T338" s="58"/>
      <c r="U338" s="59" t="str">
        <f aca="false">IF(ISBLANK($C338),"",IF(E338=Constants!$B$2, TRUE(), IF(E338=Constants!$B$3, FALSE(), TRUE())))</f>
        <v/>
      </c>
      <c r="V338" s="59" t="str">
        <f aca="false">IF(ISBLANK($C338),"",IF(F338=Constants!$B$2, TRUE(), IF(F338=Constants!$B$3, FALSE(), TRUE())))</f>
        <v/>
      </c>
      <c r="W338" s="59" t="str">
        <f aca="false">IF(ISBLANK($C338),"",IF(G338=Constants!$B$15,Constants!$B$8,IF(G338=Constants!$B$16,Constants!$B$9,Constants!$B$10)))</f>
        <v/>
      </c>
      <c r="X338" s="59" t="str">
        <f aca="false">IF(ISBLANK($C338),"",IF(H338=Constants!$B$2, TRUE(), IF(H338=Constants!$B$3, FALSE(), TRUE())))</f>
        <v/>
      </c>
      <c r="Y338" s="59" t="str">
        <f aca="false">IF(ISBLANK($C338),"",IF(I338=Constants!$B$19,Constants!$B$19,Constants!$B$18))</f>
        <v/>
      </c>
      <c r="Z338" s="59" t="str">
        <f aca="false">IF(ISBLANK($C338),"",IF(ISNUMBER(J338),IF(J338&gt;=0,J338,""),""))</f>
        <v/>
      </c>
      <c r="AA338" s="59" t="str">
        <f aca="false">IF(ISBLANK($C338),"",IF(K338=Constants!$B$19,Constants!$B$19,Constants!$B$18))</f>
        <v/>
      </c>
      <c r="AB338" s="59" t="str">
        <f aca="false">IF(ISBLANK($C338),"",IF(ISNUMBER(L338),IF(L338&gt;=0,L338,""),""))</f>
        <v/>
      </c>
      <c r="AC338" s="59" t="str">
        <f aca="false">IF(ISBLANK($C338),"",IF(M338=Constants!$B$19,Constants!$B$19,Constants!$B$18))</f>
        <v/>
      </c>
      <c r="AD338" s="59" t="str">
        <f aca="false">IF(ISBLANK($C338),"",IF(ISNUMBER(N338),IF(N338&gt;=0,N338,""),""))</f>
        <v/>
      </c>
      <c r="AE338" s="59" t="str">
        <f aca="false">IF(ISBLANK($C338),"",IF(O338=Constants!$B$19,Constants!$B$19,Constants!$B$18))</f>
        <v/>
      </c>
      <c r="AF338" s="59" t="str">
        <f aca="false">IF(ISBLANK($C338),"",IF(ISNUMBER(P338),IF(P338&gt;=0,P338,""),""))</f>
        <v/>
      </c>
      <c r="AG338" s="59" t="str">
        <f aca="false">IF(ISBLANK($C338),"",IF(Q338=Constants!$B$19,Constants!$B$19,Constants!$B$18))</f>
        <v/>
      </c>
      <c r="AH338" s="59" t="str">
        <f aca="false">IF(ISBLANK($C338),"",IF(ISNUMBER(R338),IF(R338&gt;=0,R338,""),""))</f>
        <v/>
      </c>
      <c r="AI338" s="59" t="str">
        <f aca="false">IF(ISBLANK($C338),"",IF(S338=Constants!$B$2, TRUE(), IF(S338=Constants!$B$3, FALSE(), FALSE())))</f>
        <v/>
      </c>
      <c r="AJ338" s="59" t="str">
        <f aca="false">IF(ISBLANK($C338),"",IF(AI338,Constants!$B$4,IF(COUNTA(E338:R338)=0,Constants!$B$5,IF(COUNTA(J338,L338,N338,P338,R338)=0,Constants!$B$6,Constants!$B$7))))</f>
        <v/>
      </c>
      <c r="AK338" s="59" t="str">
        <f aca="false">IF(ISBLANK($C338),"",IF($AJ338&lt;&gt;Constants!$B$7,$AJ338,IF(OR(NOT(X338),AND(NOT(U338),COUNTIFS(Y338:AG338,Constants!$B$18,Z338:AH338,"&gt;=0")&gt;0),AND(NOT(V338),COUNTIFS(Y338:AG338,Constants!$B$19,Z338:AH338,"&gt;=0")&gt;0)),Constants!$B$12,Constants!$B$11)))</f>
        <v/>
      </c>
      <c r="AL338" s="59" t="str">
        <f aca="false">IF($AJ338=Constants!$B$7,IF(Z338="",Constants!$B$13,Z338),"")</f>
        <v/>
      </c>
      <c r="AM338" s="59" t="str">
        <f aca="false">IF($AJ338=Constants!$B$7,IF(AB338="",Constants!$B$13,AB338),"")</f>
        <v/>
      </c>
      <c r="AN338" s="59" t="str">
        <f aca="false">IF($AJ338=Constants!$B$7,IF(AD338="",Constants!$B$13,AD338),"")</f>
        <v/>
      </c>
      <c r="AO338" s="59" t="str">
        <f aca="false">IF($AJ338=Constants!$B$7,IF(AF338="",Constants!$B$13,AF338),"")</f>
        <v/>
      </c>
      <c r="AP338" s="59" t="str">
        <f aca="false">IF($AJ338=Constants!$B$7,IF(AH338="",Constants!$B$13,AH338),"")</f>
        <v/>
      </c>
      <c r="AQ338" s="59" t="str">
        <f aca="false">IF($AJ338=Constants!$B$7,IF(SUMPRODUCT(--($AL338:$AP338&gt;AL338))+SUMPRODUCT(--($AL338:AL338=AL338))=1,1,IF(SUMPRODUCT(--($AL338:$AP338&gt;AM338))+SUMPRODUCT(--($AL338:AM338=AM338))=1,2,IF(SUMPRODUCT(--($AL338:$AP338&gt;AN338))+SUMPRODUCT(--($AL338:AN338=AN338))=1,3,IF(SUMPRODUCT(--($AL338:$AP338&gt;AO338))+SUMPRODUCT(--($AL338:AO338=AO338))=1,4,5)))),"")</f>
        <v/>
      </c>
      <c r="AR338" s="59" t="str">
        <f aca="false">IF($AJ338=Constants!$B$7,IF(SUMPRODUCT(--($AL338:$AP338&gt;AL338))+SUMPRODUCT(--($AL338:AL338=AL338))=2,1,IF(SUMPRODUCT(--($AL338:$AP338&gt;AM338))+SUMPRODUCT(--($AL338:AM338=AM338))=2,2,IF(SUMPRODUCT(--($AL338:$AP338&gt;AN338))+SUMPRODUCT(--($AL338:AN338=AN338))=2,3,IF(SUMPRODUCT(--($AL338:$AP338&gt;AO338))+SUMPRODUCT(--($AL338:AO338=AO338))=2,4,5)))),"")</f>
        <v/>
      </c>
      <c r="AS338" s="59" t="str">
        <f aca="false">IF($AJ338=Constants!$B$7,IF(SUMPRODUCT(--($AL338:$AP338&gt;AL338))+SUMPRODUCT(--($AL338:AL338=AL338))=3,1,IF(SUMPRODUCT(--($AL338:$AP338&gt;AM338))+SUMPRODUCT(--($AL338:AM338=AM338))=3,2,IF(SUMPRODUCT(--($AL338:$AP338&gt;AN338))+SUMPRODUCT(--($AL338:AN338=AN338))=3,3,IF(SUMPRODUCT(--($AL338:$AP338&gt;AO338))+SUMPRODUCT(--($AL338:AO338=AO338))=3,4,5)))),"")</f>
        <v/>
      </c>
      <c r="AT338" s="59" t="str">
        <f aca="false">IF($AJ338=Constants!$B$7,LARGE(AL338:AP338,1)+LARGE(AL338:AP338,2)+LARGE(AL338:AP338,3),"")</f>
        <v/>
      </c>
      <c r="AU338" s="59" t="str">
        <f aca="false">IF(ISBLANK($C338),"",IF($AJ338&lt;&gt;Constants!$B$7,$AJ338,AT338*W338))</f>
        <v/>
      </c>
      <c r="AV338" s="59" t="str">
        <f aca="false">IF(ISBLANK($C338),"",IF($AJ338=Constants!$B$7,IF(ISNUMBER(AU338),RANK(AU338,$AU$8:$AU$507),Constants!$B$14),$AJ338))</f>
        <v/>
      </c>
      <c r="AW338" s="59" t="str">
        <f aca="false">IF(ISBLANK($C338),"",IF($AJ338=Constants!$B$7,IF(ISNUMBER(AV338),COUNTIFS($AK$8:$AK$507,"&lt;"&amp;$AK338)+COUNTIFS($AK$8:$AK$507,$AK338,$AV$8:$AV$507,"&lt;"&amp;$AV338)+1,Constants!$B$14),$AJ338))</f>
        <v/>
      </c>
      <c r="AX338" s="59" t="str">
        <f aca="false">IF(ISBLANK($C338),"",IF($AJ338=Constants!$B$7,LARGE(AL338:AP338,4)*W338,""))</f>
        <v/>
      </c>
      <c r="AY338" s="59" t="str">
        <f aca="false">IF(ISBLANK($C338),"",IF($AJ338=Constants!$B$7,RANK(AX338,$AX$8:$AX$507),$AJ338))</f>
        <v/>
      </c>
      <c r="AZ338" s="59" t="str">
        <f aca="false">IF(ISBLANK($C338),"",IF($AJ338=Constants!$B$7,IF(ISNUMBER(AV338),COUNTIFS($AK$8:$AK$507,"&lt;"&amp;$AK338)+COUNTIFS($AK$8:$AK$507,$AK338,$AV$8:$AV$507,"&lt;"&amp;$AV338)+COUNTIFS($AK$8:$AK$507,$AK338,$AV$8:$AV$507,$AV338,$AY$8:$AY$507,"&lt;"&amp;$AY338)+1,Constants!$B$14),$AJ338))</f>
        <v/>
      </c>
      <c r="BA338" s="59" t="str">
        <f aca="false">IF(ISBLANK($C338),"",IF($AJ338=Constants!$B$7,IF(ISNUMBER(AW338),AW338-AZ338,Constants!$B$14),$AJ338))</f>
        <v/>
      </c>
      <c r="BB338" s="61"/>
      <c r="BC338" s="62" t="str">
        <f aca="false">IF(ISBLANK($C338),"",IF($AJ338&lt;&gt;Constants!$B$7,$AJ338,SMALL(AQ338:AS338,1)&amp;", "&amp;SMALL(AQ338:AS338,2)&amp;", "&amp;SMALL(AQ338:AS338,3)))</f>
        <v/>
      </c>
      <c r="BD338" s="63" t="str">
        <f aca="false">IF(ISBLANK($C338),"",IF($AJ338&lt;&gt;Constants!$B$7,$AJ338,W338))</f>
        <v/>
      </c>
      <c r="BE338" s="64" t="str">
        <f aca="false">IF(ISBLANK($C338),"",IF($AJ338&lt;&gt;Constants!$B$7,$AJ338,AU338))</f>
        <v/>
      </c>
      <c r="BF338" s="65" t="str">
        <f aca="false">IF(ISBLANK($C338),"",IF($AJ338&lt;&gt;Constants!$B$7,$AJ338,AK338))</f>
        <v/>
      </c>
      <c r="BG338" s="63" t="str">
        <f aca="false">IF(ISBLANK($C338),"",BA338)</f>
        <v/>
      </c>
      <c r="BH338" s="63" t="str">
        <f aca="false">IF(ISBLANK($C338),"",AZ338)</f>
        <v/>
      </c>
      <c r="BI338" s="66" t="str">
        <f aca="false">IF(ISBLANK($C338),"",IF(BH338=Constants!$B$4,COUNTA($C$8:$C$507)+2,IF(BH338=Constants!$B$5,COUNTA($C$8:$C$507)+1,IF(BH338=Constants!$B$6,COUNTA($C$8:$C$507),BH338))))</f>
        <v/>
      </c>
      <c r="BJ338" s="5"/>
      <c r="BK338" s="67" t="n">
        <f aca="false">IF(OR(ISNUMBER(BH338),BH338=Constants!$B$4,BH338=Constants!$B$6,BH338=Constants!$B$5),1,0)</f>
        <v>0</v>
      </c>
      <c r="BL338" s="67" t="n">
        <v>331</v>
      </c>
      <c r="BM338" s="67" t="str">
        <f aca="false">IF(ISBLANK($C338),"",IF(ISNUMBER(BI338),BI338+ROW($B338)/1000,""))</f>
        <v/>
      </c>
      <c r="BN338" s="67" t="str">
        <f aca="false">IF(ISNUMBER(BM338),RANK(BM338,$BM$8:$BM$507,1),"")</f>
        <v/>
      </c>
      <c r="BO338" s="67" t="str">
        <f aca="false">IF(ISBLANK($C338),"",$B338)</f>
        <v/>
      </c>
      <c r="BP338" s="67" t="str">
        <f aca="false">IF(ISBLANK($C338),"",$C338)</f>
        <v/>
      </c>
      <c r="BQ338" s="67" t="str">
        <f aca="false">IF(ISBLANK($C338),"",$D338)</f>
        <v/>
      </c>
      <c r="BR338" s="68" t="str">
        <f aca="false">BF338</f>
        <v/>
      </c>
      <c r="BS338" s="69" t="str">
        <f aca="false">BE338</f>
        <v/>
      </c>
      <c r="BT338" s="67" t="str">
        <f aca="false">IF(ISBLANK($C338),"",BH338)</f>
        <v/>
      </c>
      <c r="BU338" s="70" t="str">
        <f aca="false">IF($BL338&gt;$BK$7,"",VLOOKUP($BL338,$BN$8:$BT$507,7,FALSE()))</f>
        <v/>
      </c>
      <c r="BV338" s="71" t="str">
        <f aca="false">IF($BL338&gt;$BK$7,"",VLOOKUP($BL338,$BN$8:$BT$507,2,FALSE()))</f>
        <v/>
      </c>
      <c r="BW338" s="71" t="str">
        <f aca="false">IF($BL338&gt;$BK$7,"",VLOOKUP($BL338,$BN$8:$BT$507,3,FALSE()))</f>
        <v/>
      </c>
      <c r="BX338" s="71" t="str">
        <f aca="false">IF($BL338&gt;$BK$7,"",VLOOKUP($BL338,$BN$8:$BT$507,4,FALSE()))</f>
        <v/>
      </c>
      <c r="BY338" s="71" t="str">
        <f aca="false">IF($BL338&gt;$BK$7,"",VLOOKUP($BL338,$BN$8:$BT$507,5,FALSE()))</f>
        <v/>
      </c>
      <c r="BZ338" s="72" t="str">
        <f aca="false">IF($BL338&gt;$BK$7,"",VLOOKUP($BL338,$BN$8:$BT$507,6,FALSE()))</f>
        <v/>
      </c>
      <c r="CA338" s="48"/>
    </row>
    <row r="339" customFormat="false" ht="15.75" hidden="false" customHeight="false" outlineLevel="0" collapsed="false">
      <c r="A339" s="5"/>
      <c r="B339" s="121"/>
      <c r="C339" s="50"/>
      <c r="D339" s="51"/>
      <c r="E339" s="74"/>
      <c r="F339" s="122"/>
      <c r="G339" s="54"/>
      <c r="H339" s="123"/>
      <c r="I339" s="124"/>
      <c r="J339" s="54"/>
      <c r="K339" s="123"/>
      <c r="L339" s="54"/>
      <c r="M339" s="123"/>
      <c r="N339" s="54"/>
      <c r="O339" s="123"/>
      <c r="P339" s="54"/>
      <c r="Q339" s="123"/>
      <c r="R339" s="54"/>
      <c r="S339" s="74"/>
      <c r="T339" s="58"/>
      <c r="U339" s="59" t="str">
        <f aca="false">IF(ISBLANK($C339),"",IF(E339=Constants!$B$2, TRUE(), IF(E339=Constants!$B$3, FALSE(), TRUE())))</f>
        <v/>
      </c>
      <c r="V339" s="59" t="str">
        <f aca="false">IF(ISBLANK($C339),"",IF(F339=Constants!$B$2, TRUE(), IF(F339=Constants!$B$3, FALSE(), TRUE())))</f>
        <v/>
      </c>
      <c r="W339" s="59" t="str">
        <f aca="false">IF(ISBLANK($C339),"",IF(G339=Constants!$B$15,Constants!$B$8,IF(G339=Constants!$B$16,Constants!$B$9,Constants!$B$10)))</f>
        <v/>
      </c>
      <c r="X339" s="59" t="str">
        <f aca="false">IF(ISBLANK($C339),"",IF(H339=Constants!$B$2, TRUE(), IF(H339=Constants!$B$3, FALSE(), TRUE())))</f>
        <v/>
      </c>
      <c r="Y339" s="59" t="str">
        <f aca="false">IF(ISBLANK($C339),"",IF(I339=Constants!$B$19,Constants!$B$19,Constants!$B$18))</f>
        <v/>
      </c>
      <c r="Z339" s="59" t="str">
        <f aca="false">IF(ISBLANK($C339),"",IF(ISNUMBER(J339),IF(J339&gt;=0,J339,""),""))</f>
        <v/>
      </c>
      <c r="AA339" s="59" t="str">
        <f aca="false">IF(ISBLANK($C339),"",IF(K339=Constants!$B$19,Constants!$B$19,Constants!$B$18))</f>
        <v/>
      </c>
      <c r="AB339" s="59" t="str">
        <f aca="false">IF(ISBLANK($C339),"",IF(ISNUMBER(L339),IF(L339&gt;=0,L339,""),""))</f>
        <v/>
      </c>
      <c r="AC339" s="59" t="str">
        <f aca="false">IF(ISBLANK($C339),"",IF(M339=Constants!$B$19,Constants!$B$19,Constants!$B$18))</f>
        <v/>
      </c>
      <c r="AD339" s="59" t="str">
        <f aca="false">IF(ISBLANK($C339),"",IF(ISNUMBER(N339),IF(N339&gt;=0,N339,""),""))</f>
        <v/>
      </c>
      <c r="AE339" s="59" t="str">
        <f aca="false">IF(ISBLANK($C339),"",IF(O339=Constants!$B$19,Constants!$B$19,Constants!$B$18))</f>
        <v/>
      </c>
      <c r="AF339" s="59" t="str">
        <f aca="false">IF(ISBLANK($C339),"",IF(ISNUMBER(P339),IF(P339&gt;=0,P339,""),""))</f>
        <v/>
      </c>
      <c r="AG339" s="59" t="str">
        <f aca="false">IF(ISBLANK($C339),"",IF(Q339=Constants!$B$19,Constants!$B$19,Constants!$B$18))</f>
        <v/>
      </c>
      <c r="AH339" s="59" t="str">
        <f aca="false">IF(ISBLANK($C339),"",IF(ISNUMBER(R339),IF(R339&gt;=0,R339,""),""))</f>
        <v/>
      </c>
      <c r="AI339" s="59" t="str">
        <f aca="false">IF(ISBLANK($C339),"",IF(S339=Constants!$B$2, TRUE(), IF(S339=Constants!$B$3, FALSE(), FALSE())))</f>
        <v/>
      </c>
      <c r="AJ339" s="59" t="str">
        <f aca="false">IF(ISBLANK($C339),"",IF(AI339,Constants!$B$4,IF(COUNTA(E339:R339)=0,Constants!$B$5,IF(COUNTA(J339,L339,N339,P339,R339)=0,Constants!$B$6,Constants!$B$7))))</f>
        <v/>
      </c>
      <c r="AK339" s="59" t="str">
        <f aca="false">IF(ISBLANK($C339),"",IF($AJ339&lt;&gt;Constants!$B$7,$AJ339,IF(OR(NOT(X339),AND(NOT(U339),COUNTIFS(Y339:AG339,Constants!$B$18,Z339:AH339,"&gt;=0")&gt;0),AND(NOT(V339),COUNTIFS(Y339:AG339,Constants!$B$19,Z339:AH339,"&gt;=0")&gt;0)),Constants!$B$12,Constants!$B$11)))</f>
        <v/>
      </c>
      <c r="AL339" s="59" t="str">
        <f aca="false">IF($AJ339=Constants!$B$7,IF(Z339="",Constants!$B$13,Z339),"")</f>
        <v/>
      </c>
      <c r="AM339" s="59" t="str">
        <f aca="false">IF($AJ339=Constants!$B$7,IF(AB339="",Constants!$B$13,AB339),"")</f>
        <v/>
      </c>
      <c r="AN339" s="59" t="str">
        <f aca="false">IF($AJ339=Constants!$B$7,IF(AD339="",Constants!$B$13,AD339),"")</f>
        <v/>
      </c>
      <c r="AO339" s="59" t="str">
        <f aca="false">IF($AJ339=Constants!$B$7,IF(AF339="",Constants!$B$13,AF339),"")</f>
        <v/>
      </c>
      <c r="AP339" s="59" t="str">
        <f aca="false">IF($AJ339=Constants!$B$7,IF(AH339="",Constants!$B$13,AH339),"")</f>
        <v/>
      </c>
      <c r="AQ339" s="59" t="str">
        <f aca="false">IF($AJ339=Constants!$B$7,IF(SUMPRODUCT(--($AL339:$AP339&gt;AL339))+SUMPRODUCT(--($AL339:AL339=AL339))=1,1,IF(SUMPRODUCT(--($AL339:$AP339&gt;AM339))+SUMPRODUCT(--($AL339:AM339=AM339))=1,2,IF(SUMPRODUCT(--($AL339:$AP339&gt;AN339))+SUMPRODUCT(--($AL339:AN339=AN339))=1,3,IF(SUMPRODUCT(--($AL339:$AP339&gt;AO339))+SUMPRODUCT(--($AL339:AO339=AO339))=1,4,5)))),"")</f>
        <v/>
      </c>
      <c r="AR339" s="59" t="str">
        <f aca="false">IF($AJ339=Constants!$B$7,IF(SUMPRODUCT(--($AL339:$AP339&gt;AL339))+SUMPRODUCT(--($AL339:AL339=AL339))=2,1,IF(SUMPRODUCT(--($AL339:$AP339&gt;AM339))+SUMPRODUCT(--($AL339:AM339=AM339))=2,2,IF(SUMPRODUCT(--($AL339:$AP339&gt;AN339))+SUMPRODUCT(--($AL339:AN339=AN339))=2,3,IF(SUMPRODUCT(--($AL339:$AP339&gt;AO339))+SUMPRODUCT(--($AL339:AO339=AO339))=2,4,5)))),"")</f>
        <v/>
      </c>
      <c r="AS339" s="59" t="str">
        <f aca="false">IF($AJ339=Constants!$B$7,IF(SUMPRODUCT(--($AL339:$AP339&gt;AL339))+SUMPRODUCT(--($AL339:AL339=AL339))=3,1,IF(SUMPRODUCT(--($AL339:$AP339&gt;AM339))+SUMPRODUCT(--($AL339:AM339=AM339))=3,2,IF(SUMPRODUCT(--($AL339:$AP339&gt;AN339))+SUMPRODUCT(--($AL339:AN339=AN339))=3,3,IF(SUMPRODUCT(--($AL339:$AP339&gt;AO339))+SUMPRODUCT(--($AL339:AO339=AO339))=3,4,5)))),"")</f>
        <v/>
      </c>
      <c r="AT339" s="59" t="str">
        <f aca="false">IF($AJ339=Constants!$B$7,LARGE(AL339:AP339,1)+LARGE(AL339:AP339,2)+LARGE(AL339:AP339,3),"")</f>
        <v/>
      </c>
      <c r="AU339" s="59" t="str">
        <f aca="false">IF(ISBLANK($C339),"",IF($AJ339&lt;&gt;Constants!$B$7,$AJ339,AT339*W339))</f>
        <v/>
      </c>
      <c r="AV339" s="59" t="str">
        <f aca="false">IF(ISBLANK($C339),"",IF($AJ339=Constants!$B$7,IF(ISNUMBER(AU339),RANK(AU339,$AU$8:$AU$507),Constants!$B$14),$AJ339))</f>
        <v/>
      </c>
      <c r="AW339" s="59" t="str">
        <f aca="false">IF(ISBLANK($C339),"",IF($AJ339=Constants!$B$7,IF(ISNUMBER(AV339),COUNTIFS($AK$8:$AK$507,"&lt;"&amp;$AK339)+COUNTIFS($AK$8:$AK$507,$AK339,$AV$8:$AV$507,"&lt;"&amp;$AV339)+1,Constants!$B$14),$AJ339))</f>
        <v/>
      </c>
      <c r="AX339" s="59" t="str">
        <f aca="false">IF(ISBLANK($C339),"",IF($AJ339=Constants!$B$7,LARGE(AL339:AP339,4)*W339,""))</f>
        <v/>
      </c>
      <c r="AY339" s="59" t="str">
        <f aca="false">IF(ISBLANK($C339),"",IF($AJ339=Constants!$B$7,RANK(AX339,$AX$8:$AX$507),$AJ339))</f>
        <v/>
      </c>
      <c r="AZ339" s="59" t="str">
        <f aca="false">IF(ISBLANK($C339),"",IF($AJ339=Constants!$B$7,IF(ISNUMBER(AV339),COUNTIFS($AK$8:$AK$507,"&lt;"&amp;$AK339)+COUNTIFS($AK$8:$AK$507,$AK339,$AV$8:$AV$507,"&lt;"&amp;$AV339)+COUNTIFS($AK$8:$AK$507,$AK339,$AV$8:$AV$507,$AV339,$AY$8:$AY$507,"&lt;"&amp;$AY339)+1,Constants!$B$14),$AJ339))</f>
        <v/>
      </c>
      <c r="BA339" s="59" t="str">
        <f aca="false">IF(ISBLANK($C339),"",IF($AJ339=Constants!$B$7,IF(ISNUMBER(AW339),AW339-AZ339,Constants!$B$14),$AJ339))</f>
        <v/>
      </c>
      <c r="BB339" s="61"/>
      <c r="BC339" s="62" t="str">
        <f aca="false">IF(ISBLANK($C339),"",IF($AJ339&lt;&gt;Constants!$B$7,$AJ339,SMALL(AQ339:AS339,1)&amp;", "&amp;SMALL(AQ339:AS339,2)&amp;", "&amp;SMALL(AQ339:AS339,3)))</f>
        <v/>
      </c>
      <c r="BD339" s="63" t="str">
        <f aca="false">IF(ISBLANK($C339),"",IF($AJ339&lt;&gt;Constants!$B$7,$AJ339,W339))</f>
        <v/>
      </c>
      <c r="BE339" s="64" t="str">
        <f aca="false">IF(ISBLANK($C339),"",IF($AJ339&lt;&gt;Constants!$B$7,$AJ339,AU339))</f>
        <v/>
      </c>
      <c r="BF339" s="65" t="str">
        <f aca="false">IF(ISBLANK($C339),"",IF($AJ339&lt;&gt;Constants!$B$7,$AJ339,AK339))</f>
        <v/>
      </c>
      <c r="BG339" s="63" t="str">
        <f aca="false">IF(ISBLANK($C339),"",BA339)</f>
        <v/>
      </c>
      <c r="BH339" s="63" t="str">
        <f aca="false">IF(ISBLANK($C339),"",AZ339)</f>
        <v/>
      </c>
      <c r="BI339" s="66" t="str">
        <f aca="false">IF(ISBLANK($C339),"",IF(BH339=Constants!$B$4,COUNTA($C$8:$C$507)+2,IF(BH339=Constants!$B$5,COUNTA($C$8:$C$507)+1,IF(BH339=Constants!$B$6,COUNTA($C$8:$C$507),BH339))))</f>
        <v/>
      </c>
      <c r="BJ339" s="5"/>
      <c r="BK339" s="67" t="n">
        <f aca="false">IF(OR(ISNUMBER(BH339),BH339=Constants!$B$4,BH339=Constants!$B$6,BH339=Constants!$B$5),1,0)</f>
        <v>0</v>
      </c>
      <c r="BL339" s="67" t="n">
        <v>332</v>
      </c>
      <c r="BM339" s="67" t="str">
        <f aca="false">IF(ISBLANK($C339),"",IF(ISNUMBER(BI339),BI339+ROW($B339)/1000,""))</f>
        <v/>
      </c>
      <c r="BN339" s="67" t="str">
        <f aca="false">IF(ISNUMBER(BM339),RANK(BM339,$BM$8:$BM$507,1),"")</f>
        <v/>
      </c>
      <c r="BO339" s="67" t="str">
        <f aca="false">IF(ISBLANK($C339),"",$B339)</f>
        <v/>
      </c>
      <c r="BP339" s="67" t="str">
        <f aca="false">IF(ISBLANK($C339),"",$C339)</f>
        <v/>
      </c>
      <c r="BQ339" s="67" t="str">
        <f aca="false">IF(ISBLANK($C339),"",$D339)</f>
        <v/>
      </c>
      <c r="BR339" s="68" t="str">
        <f aca="false">BF339</f>
        <v/>
      </c>
      <c r="BS339" s="69" t="str">
        <f aca="false">BE339</f>
        <v/>
      </c>
      <c r="BT339" s="67" t="str">
        <f aca="false">IF(ISBLANK($C339),"",BH339)</f>
        <v/>
      </c>
      <c r="BU339" s="70" t="str">
        <f aca="false">IF($BL339&gt;$BK$7,"",VLOOKUP($BL339,$BN$8:$BT$507,7,FALSE()))</f>
        <v/>
      </c>
      <c r="BV339" s="71" t="str">
        <f aca="false">IF($BL339&gt;$BK$7,"",VLOOKUP($BL339,$BN$8:$BT$507,2,FALSE()))</f>
        <v/>
      </c>
      <c r="BW339" s="71" t="str">
        <f aca="false">IF($BL339&gt;$BK$7,"",VLOOKUP($BL339,$BN$8:$BT$507,3,FALSE()))</f>
        <v/>
      </c>
      <c r="BX339" s="71" t="str">
        <f aca="false">IF($BL339&gt;$BK$7,"",VLOOKUP($BL339,$BN$8:$BT$507,4,FALSE()))</f>
        <v/>
      </c>
      <c r="BY339" s="71" t="str">
        <f aca="false">IF($BL339&gt;$BK$7,"",VLOOKUP($BL339,$BN$8:$BT$507,5,FALSE()))</f>
        <v/>
      </c>
      <c r="BZ339" s="72" t="str">
        <f aca="false">IF($BL339&gt;$BK$7,"",VLOOKUP($BL339,$BN$8:$BT$507,6,FALSE()))</f>
        <v/>
      </c>
      <c r="CA339" s="48"/>
    </row>
    <row r="340" customFormat="false" ht="15.75" hidden="false" customHeight="false" outlineLevel="0" collapsed="false">
      <c r="A340" s="5"/>
      <c r="B340" s="121"/>
      <c r="C340" s="50"/>
      <c r="D340" s="51"/>
      <c r="E340" s="74"/>
      <c r="F340" s="122"/>
      <c r="G340" s="54"/>
      <c r="H340" s="123"/>
      <c r="I340" s="124"/>
      <c r="J340" s="54"/>
      <c r="K340" s="123"/>
      <c r="L340" s="54"/>
      <c r="M340" s="123"/>
      <c r="N340" s="54"/>
      <c r="O340" s="123"/>
      <c r="P340" s="54"/>
      <c r="Q340" s="123"/>
      <c r="R340" s="54"/>
      <c r="S340" s="74"/>
      <c r="T340" s="58"/>
      <c r="U340" s="59" t="str">
        <f aca="false">IF(ISBLANK($C340),"",IF(E340=Constants!$B$2, TRUE(), IF(E340=Constants!$B$3, FALSE(), TRUE())))</f>
        <v/>
      </c>
      <c r="V340" s="59" t="str">
        <f aca="false">IF(ISBLANK($C340),"",IF(F340=Constants!$B$2, TRUE(), IF(F340=Constants!$B$3, FALSE(), TRUE())))</f>
        <v/>
      </c>
      <c r="W340" s="59" t="str">
        <f aca="false">IF(ISBLANK($C340),"",IF(G340=Constants!$B$15,Constants!$B$8,IF(G340=Constants!$B$16,Constants!$B$9,Constants!$B$10)))</f>
        <v/>
      </c>
      <c r="X340" s="59" t="str">
        <f aca="false">IF(ISBLANK($C340),"",IF(H340=Constants!$B$2, TRUE(), IF(H340=Constants!$B$3, FALSE(), TRUE())))</f>
        <v/>
      </c>
      <c r="Y340" s="59" t="str">
        <f aca="false">IF(ISBLANK($C340),"",IF(I340=Constants!$B$19,Constants!$B$19,Constants!$B$18))</f>
        <v/>
      </c>
      <c r="Z340" s="59" t="str">
        <f aca="false">IF(ISBLANK($C340),"",IF(ISNUMBER(J340),IF(J340&gt;=0,J340,""),""))</f>
        <v/>
      </c>
      <c r="AA340" s="59" t="str">
        <f aca="false">IF(ISBLANK($C340),"",IF(K340=Constants!$B$19,Constants!$B$19,Constants!$B$18))</f>
        <v/>
      </c>
      <c r="AB340" s="59" t="str">
        <f aca="false">IF(ISBLANK($C340),"",IF(ISNUMBER(L340),IF(L340&gt;=0,L340,""),""))</f>
        <v/>
      </c>
      <c r="AC340" s="59" t="str">
        <f aca="false">IF(ISBLANK($C340),"",IF(M340=Constants!$B$19,Constants!$B$19,Constants!$B$18))</f>
        <v/>
      </c>
      <c r="AD340" s="59" t="str">
        <f aca="false">IF(ISBLANK($C340),"",IF(ISNUMBER(N340),IF(N340&gt;=0,N340,""),""))</f>
        <v/>
      </c>
      <c r="AE340" s="59" t="str">
        <f aca="false">IF(ISBLANK($C340),"",IF(O340=Constants!$B$19,Constants!$B$19,Constants!$B$18))</f>
        <v/>
      </c>
      <c r="AF340" s="59" t="str">
        <f aca="false">IF(ISBLANK($C340),"",IF(ISNUMBER(P340),IF(P340&gt;=0,P340,""),""))</f>
        <v/>
      </c>
      <c r="AG340" s="59" t="str">
        <f aca="false">IF(ISBLANK($C340),"",IF(Q340=Constants!$B$19,Constants!$B$19,Constants!$B$18))</f>
        <v/>
      </c>
      <c r="AH340" s="59" t="str">
        <f aca="false">IF(ISBLANK($C340),"",IF(ISNUMBER(R340),IF(R340&gt;=0,R340,""),""))</f>
        <v/>
      </c>
      <c r="AI340" s="59" t="str">
        <f aca="false">IF(ISBLANK($C340),"",IF(S340=Constants!$B$2, TRUE(), IF(S340=Constants!$B$3, FALSE(), FALSE())))</f>
        <v/>
      </c>
      <c r="AJ340" s="59" t="str">
        <f aca="false">IF(ISBLANK($C340),"",IF(AI340,Constants!$B$4,IF(COUNTA(E340:R340)=0,Constants!$B$5,IF(COUNTA(J340,L340,N340,P340,R340)=0,Constants!$B$6,Constants!$B$7))))</f>
        <v/>
      </c>
      <c r="AK340" s="59" t="str">
        <f aca="false">IF(ISBLANK($C340),"",IF($AJ340&lt;&gt;Constants!$B$7,$AJ340,IF(OR(NOT(X340),AND(NOT(U340),COUNTIFS(Y340:AG340,Constants!$B$18,Z340:AH340,"&gt;=0")&gt;0),AND(NOT(V340),COUNTIFS(Y340:AG340,Constants!$B$19,Z340:AH340,"&gt;=0")&gt;0)),Constants!$B$12,Constants!$B$11)))</f>
        <v/>
      </c>
      <c r="AL340" s="59" t="str">
        <f aca="false">IF($AJ340=Constants!$B$7,IF(Z340="",Constants!$B$13,Z340),"")</f>
        <v/>
      </c>
      <c r="AM340" s="59" t="str">
        <f aca="false">IF($AJ340=Constants!$B$7,IF(AB340="",Constants!$B$13,AB340),"")</f>
        <v/>
      </c>
      <c r="AN340" s="59" t="str">
        <f aca="false">IF($AJ340=Constants!$B$7,IF(AD340="",Constants!$B$13,AD340),"")</f>
        <v/>
      </c>
      <c r="AO340" s="59" t="str">
        <f aca="false">IF($AJ340=Constants!$B$7,IF(AF340="",Constants!$B$13,AF340),"")</f>
        <v/>
      </c>
      <c r="AP340" s="59" t="str">
        <f aca="false">IF($AJ340=Constants!$B$7,IF(AH340="",Constants!$B$13,AH340),"")</f>
        <v/>
      </c>
      <c r="AQ340" s="59" t="str">
        <f aca="false">IF($AJ340=Constants!$B$7,IF(SUMPRODUCT(--($AL340:$AP340&gt;AL340))+SUMPRODUCT(--($AL340:AL340=AL340))=1,1,IF(SUMPRODUCT(--($AL340:$AP340&gt;AM340))+SUMPRODUCT(--($AL340:AM340=AM340))=1,2,IF(SUMPRODUCT(--($AL340:$AP340&gt;AN340))+SUMPRODUCT(--($AL340:AN340=AN340))=1,3,IF(SUMPRODUCT(--($AL340:$AP340&gt;AO340))+SUMPRODUCT(--($AL340:AO340=AO340))=1,4,5)))),"")</f>
        <v/>
      </c>
      <c r="AR340" s="59" t="str">
        <f aca="false">IF($AJ340=Constants!$B$7,IF(SUMPRODUCT(--($AL340:$AP340&gt;AL340))+SUMPRODUCT(--($AL340:AL340=AL340))=2,1,IF(SUMPRODUCT(--($AL340:$AP340&gt;AM340))+SUMPRODUCT(--($AL340:AM340=AM340))=2,2,IF(SUMPRODUCT(--($AL340:$AP340&gt;AN340))+SUMPRODUCT(--($AL340:AN340=AN340))=2,3,IF(SUMPRODUCT(--($AL340:$AP340&gt;AO340))+SUMPRODUCT(--($AL340:AO340=AO340))=2,4,5)))),"")</f>
        <v/>
      </c>
      <c r="AS340" s="59" t="str">
        <f aca="false">IF($AJ340=Constants!$B$7,IF(SUMPRODUCT(--($AL340:$AP340&gt;AL340))+SUMPRODUCT(--($AL340:AL340=AL340))=3,1,IF(SUMPRODUCT(--($AL340:$AP340&gt;AM340))+SUMPRODUCT(--($AL340:AM340=AM340))=3,2,IF(SUMPRODUCT(--($AL340:$AP340&gt;AN340))+SUMPRODUCT(--($AL340:AN340=AN340))=3,3,IF(SUMPRODUCT(--($AL340:$AP340&gt;AO340))+SUMPRODUCT(--($AL340:AO340=AO340))=3,4,5)))),"")</f>
        <v/>
      </c>
      <c r="AT340" s="59" t="str">
        <f aca="false">IF($AJ340=Constants!$B$7,LARGE(AL340:AP340,1)+LARGE(AL340:AP340,2)+LARGE(AL340:AP340,3),"")</f>
        <v/>
      </c>
      <c r="AU340" s="59" t="str">
        <f aca="false">IF(ISBLANK($C340),"",IF($AJ340&lt;&gt;Constants!$B$7,$AJ340,AT340*W340))</f>
        <v/>
      </c>
      <c r="AV340" s="59" t="str">
        <f aca="false">IF(ISBLANK($C340),"",IF($AJ340=Constants!$B$7,IF(ISNUMBER(AU340),RANK(AU340,$AU$8:$AU$507),Constants!$B$14),$AJ340))</f>
        <v/>
      </c>
      <c r="AW340" s="59" t="str">
        <f aca="false">IF(ISBLANK($C340),"",IF($AJ340=Constants!$B$7,IF(ISNUMBER(AV340),COUNTIFS($AK$8:$AK$507,"&lt;"&amp;$AK340)+COUNTIFS($AK$8:$AK$507,$AK340,$AV$8:$AV$507,"&lt;"&amp;$AV340)+1,Constants!$B$14),$AJ340))</f>
        <v/>
      </c>
      <c r="AX340" s="59" t="str">
        <f aca="false">IF(ISBLANK($C340),"",IF($AJ340=Constants!$B$7,LARGE(AL340:AP340,4)*W340,""))</f>
        <v/>
      </c>
      <c r="AY340" s="59" t="str">
        <f aca="false">IF(ISBLANK($C340),"",IF($AJ340=Constants!$B$7,RANK(AX340,$AX$8:$AX$507),$AJ340))</f>
        <v/>
      </c>
      <c r="AZ340" s="59" t="str">
        <f aca="false">IF(ISBLANK($C340),"",IF($AJ340=Constants!$B$7,IF(ISNUMBER(AV340),COUNTIFS($AK$8:$AK$507,"&lt;"&amp;$AK340)+COUNTIFS($AK$8:$AK$507,$AK340,$AV$8:$AV$507,"&lt;"&amp;$AV340)+COUNTIFS($AK$8:$AK$507,$AK340,$AV$8:$AV$507,$AV340,$AY$8:$AY$507,"&lt;"&amp;$AY340)+1,Constants!$B$14),$AJ340))</f>
        <v/>
      </c>
      <c r="BA340" s="59" t="str">
        <f aca="false">IF(ISBLANK($C340),"",IF($AJ340=Constants!$B$7,IF(ISNUMBER(AW340),AW340-AZ340,Constants!$B$14),$AJ340))</f>
        <v/>
      </c>
      <c r="BB340" s="61"/>
      <c r="BC340" s="62" t="str">
        <f aca="false">IF(ISBLANK($C340),"",IF($AJ340&lt;&gt;Constants!$B$7,$AJ340,SMALL(AQ340:AS340,1)&amp;", "&amp;SMALL(AQ340:AS340,2)&amp;", "&amp;SMALL(AQ340:AS340,3)))</f>
        <v/>
      </c>
      <c r="BD340" s="63" t="str">
        <f aca="false">IF(ISBLANK($C340),"",IF($AJ340&lt;&gt;Constants!$B$7,$AJ340,W340))</f>
        <v/>
      </c>
      <c r="BE340" s="64" t="str">
        <f aca="false">IF(ISBLANK($C340),"",IF($AJ340&lt;&gt;Constants!$B$7,$AJ340,AU340))</f>
        <v/>
      </c>
      <c r="BF340" s="65" t="str">
        <f aca="false">IF(ISBLANK($C340),"",IF($AJ340&lt;&gt;Constants!$B$7,$AJ340,AK340))</f>
        <v/>
      </c>
      <c r="BG340" s="63" t="str">
        <f aca="false">IF(ISBLANK($C340),"",BA340)</f>
        <v/>
      </c>
      <c r="BH340" s="63" t="str">
        <f aca="false">IF(ISBLANK($C340),"",AZ340)</f>
        <v/>
      </c>
      <c r="BI340" s="66" t="str">
        <f aca="false">IF(ISBLANK($C340),"",IF(BH340=Constants!$B$4,COUNTA($C$8:$C$507)+2,IF(BH340=Constants!$B$5,COUNTA($C$8:$C$507)+1,IF(BH340=Constants!$B$6,COUNTA($C$8:$C$507),BH340))))</f>
        <v/>
      </c>
      <c r="BJ340" s="5"/>
      <c r="BK340" s="67" t="n">
        <f aca="false">IF(OR(ISNUMBER(BH340),BH340=Constants!$B$4,BH340=Constants!$B$6,BH340=Constants!$B$5),1,0)</f>
        <v>0</v>
      </c>
      <c r="BL340" s="67" t="n">
        <v>333</v>
      </c>
      <c r="BM340" s="67" t="str">
        <f aca="false">IF(ISBLANK($C340),"",IF(ISNUMBER(BI340),BI340+ROW($B340)/1000,""))</f>
        <v/>
      </c>
      <c r="BN340" s="67" t="str">
        <f aca="false">IF(ISNUMBER(BM340),RANK(BM340,$BM$8:$BM$507,1),"")</f>
        <v/>
      </c>
      <c r="BO340" s="67" t="str">
        <f aca="false">IF(ISBLANK($C340),"",$B340)</f>
        <v/>
      </c>
      <c r="BP340" s="67" t="str">
        <f aca="false">IF(ISBLANK($C340),"",$C340)</f>
        <v/>
      </c>
      <c r="BQ340" s="67" t="str">
        <f aca="false">IF(ISBLANK($C340),"",$D340)</f>
        <v/>
      </c>
      <c r="BR340" s="68" t="str">
        <f aca="false">BF340</f>
        <v/>
      </c>
      <c r="BS340" s="69" t="str">
        <f aca="false">BE340</f>
        <v/>
      </c>
      <c r="BT340" s="67" t="str">
        <f aca="false">IF(ISBLANK($C340),"",BH340)</f>
        <v/>
      </c>
      <c r="BU340" s="70" t="str">
        <f aca="false">IF($BL340&gt;$BK$7,"",VLOOKUP($BL340,$BN$8:$BT$507,7,FALSE()))</f>
        <v/>
      </c>
      <c r="BV340" s="71" t="str">
        <f aca="false">IF($BL340&gt;$BK$7,"",VLOOKUP($BL340,$BN$8:$BT$507,2,FALSE()))</f>
        <v/>
      </c>
      <c r="BW340" s="71" t="str">
        <f aca="false">IF($BL340&gt;$BK$7,"",VLOOKUP($BL340,$BN$8:$BT$507,3,FALSE()))</f>
        <v/>
      </c>
      <c r="BX340" s="71" t="str">
        <f aca="false">IF($BL340&gt;$BK$7,"",VLOOKUP($BL340,$BN$8:$BT$507,4,FALSE()))</f>
        <v/>
      </c>
      <c r="BY340" s="71" t="str">
        <f aca="false">IF($BL340&gt;$BK$7,"",VLOOKUP($BL340,$BN$8:$BT$507,5,FALSE()))</f>
        <v/>
      </c>
      <c r="BZ340" s="72" t="str">
        <f aca="false">IF($BL340&gt;$BK$7,"",VLOOKUP($BL340,$BN$8:$BT$507,6,FALSE()))</f>
        <v/>
      </c>
      <c r="CA340" s="48"/>
    </row>
    <row r="341" customFormat="false" ht="15.75" hidden="false" customHeight="false" outlineLevel="0" collapsed="false">
      <c r="A341" s="5"/>
      <c r="B341" s="114"/>
      <c r="C341" s="115"/>
      <c r="D341" s="100"/>
      <c r="E341" s="120"/>
      <c r="F341" s="125"/>
      <c r="G341" s="82"/>
      <c r="H341" s="126"/>
      <c r="I341" s="127"/>
      <c r="J341" s="82"/>
      <c r="K341" s="126"/>
      <c r="L341" s="82"/>
      <c r="M341" s="126"/>
      <c r="N341" s="82"/>
      <c r="O341" s="126"/>
      <c r="P341" s="82"/>
      <c r="Q341" s="126"/>
      <c r="R341" s="82"/>
      <c r="S341" s="120"/>
      <c r="T341" s="86"/>
      <c r="U341" s="87" t="str">
        <f aca="false">IF(ISBLANK($C341),"",IF(E341=Constants!$B$2, TRUE(), IF(E341=Constants!$B$3, FALSE(), TRUE())))</f>
        <v/>
      </c>
      <c r="V341" s="87" t="str">
        <f aca="false">IF(ISBLANK($C341),"",IF(F341=Constants!$B$2, TRUE(), IF(F341=Constants!$B$3, FALSE(), TRUE())))</f>
        <v/>
      </c>
      <c r="W341" s="87" t="str">
        <f aca="false">IF(ISBLANK($C341),"",IF(G341=Constants!$B$15,Constants!$B$8,IF(G341=Constants!$B$16,Constants!$B$9,Constants!$B$10)))</f>
        <v/>
      </c>
      <c r="X341" s="87" t="str">
        <f aca="false">IF(ISBLANK($C341),"",IF(H341=Constants!$B$2, TRUE(), IF(H341=Constants!$B$3, FALSE(), TRUE())))</f>
        <v/>
      </c>
      <c r="Y341" s="87" t="str">
        <f aca="false">IF(ISBLANK($C341),"",IF(I341=Constants!$B$19,Constants!$B$19,Constants!$B$18))</f>
        <v/>
      </c>
      <c r="Z341" s="87" t="str">
        <f aca="false">IF(ISBLANK($C341),"",IF(ISNUMBER(J341),IF(J341&gt;=0,J341,""),""))</f>
        <v/>
      </c>
      <c r="AA341" s="87" t="str">
        <f aca="false">IF(ISBLANK($C341),"",IF(K341=Constants!$B$19,Constants!$B$19,Constants!$B$18))</f>
        <v/>
      </c>
      <c r="AB341" s="87" t="str">
        <f aca="false">IF(ISBLANK($C341),"",IF(ISNUMBER(L341),IF(L341&gt;=0,L341,""),""))</f>
        <v/>
      </c>
      <c r="AC341" s="87" t="str">
        <f aca="false">IF(ISBLANK($C341),"",IF(M341=Constants!$B$19,Constants!$B$19,Constants!$B$18))</f>
        <v/>
      </c>
      <c r="AD341" s="87" t="str">
        <f aca="false">IF(ISBLANK($C341),"",IF(ISNUMBER(N341),IF(N341&gt;=0,N341,""),""))</f>
        <v/>
      </c>
      <c r="AE341" s="87" t="str">
        <f aca="false">IF(ISBLANK($C341),"",IF(O341=Constants!$B$19,Constants!$B$19,Constants!$B$18))</f>
        <v/>
      </c>
      <c r="AF341" s="87" t="str">
        <f aca="false">IF(ISBLANK($C341),"",IF(ISNUMBER(P341),IF(P341&gt;=0,P341,""),""))</f>
        <v/>
      </c>
      <c r="AG341" s="87" t="str">
        <f aca="false">IF(ISBLANK($C341),"",IF(Q341=Constants!$B$19,Constants!$B$19,Constants!$B$18))</f>
        <v/>
      </c>
      <c r="AH341" s="87" t="str">
        <f aca="false">IF(ISBLANK($C341),"",IF(ISNUMBER(R341),IF(R341&gt;=0,R341,""),""))</f>
        <v/>
      </c>
      <c r="AI341" s="87" t="str">
        <f aca="false">IF(ISBLANK($C341),"",IF(S341=Constants!$B$2, TRUE(), IF(S341=Constants!$B$3, FALSE(), FALSE())))</f>
        <v/>
      </c>
      <c r="AJ341" s="87" t="str">
        <f aca="false">IF(ISBLANK($C341),"",IF(AI341,Constants!$B$4,IF(COUNTA(E341:R341)=0,Constants!$B$5,IF(COUNTA(J341,L341,N341,P341,R341)=0,Constants!$B$6,Constants!$B$7))))</f>
        <v/>
      </c>
      <c r="AK341" s="87" t="str">
        <f aca="false">IF(ISBLANK($C341),"",IF($AJ341&lt;&gt;Constants!$B$7,$AJ341,IF(OR(NOT(X341),AND(NOT(U341),COUNTIFS(Y341:AG341,Constants!$B$18,Z341:AH341,"&gt;=0")&gt;0),AND(NOT(V341),COUNTIFS(Y341:AG341,Constants!$B$19,Z341:AH341,"&gt;=0")&gt;0)),Constants!$B$12,Constants!$B$11)))</f>
        <v/>
      </c>
      <c r="AL341" s="87" t="str">
        <f aca="false">IF($AJ341=Constants!$B$7,IF(Z341="",Constants!$B$13,Z341),"")</f>
        <v/>
      </c>
      <c r="AM341" s="87" t="str">
        <f aca="false">IF($AJ341=Constants!$B$7,IF(AB341="",Constants!$B$13,AB341),"")</f>
        <v/>
      </c>
      <c r="AN341" s="87" t="str">
        <f aca="false">IF($AJ341=Constants!$B$7,IF(AD341="",Constants!$B$13,AD341),"")</f>
        <v/>
      </c>
      <c r="AO341" s="87" t="str">
        <f aca="false">IF($AJ341=Constants!$B$7,IF(AF341="",Constants!$B$13,AF341),"")</f>
        <v/>
      </c>
      <c r="AP341" s="87" t="str">
        <f aca="false">IF($AJ341=Constants!$B$7,IF(AH341="",Constants!$B$13,AH341),"")</f>
        <v/>
      </c>
      <c r="AQ341" s="87" t="str">
        <f aca="false">IF($AJ341=Constants!$B$7,IF(SUMPRODUCT(--($AL341:$AP341&gt;AL341))+SUMPRODUCT(--($AL341:AL341=AL341))=1,1,IF(SUMPRODUCT(--($AL341:$AP341&gt;AM341))+SUMPRODUCT(--($AL341:AM341=AM341))=1,2,IF(SUMPRODUCT(--($AL341:$AP341&gt;AN341))+SUMPRODUCT(--($AL341:AN341=AN341))=1,3,IF(SUMPRODUCT(--($AL341:$AP341&gt;AO341))+SUMPRODUCT(--($AL341:AO341=AO341))=1,4,5)))),"")</f>
        <v/>
      </c>
      <c r="AR341" s="87" t="str">
        <f aca="false">IF($AJ341=Constants!$B$7,IF(SUMPRODUCT(--($AL341:$AP341&gt;AL341))+SUMPRODUCT(--($AL341:AL341=AL341))=2,1,IF(SUMPRODUCT(--($AL341:$AP341&gt;AM341))+SUMPRODUCT(--($AL341:AM341=AM341))=2,2,IF(SUMPRODUCT(--($AL341:$AP341&gt;AN341))+SUMPRODUCT(--($AL341:AN341=AN341))=2,3,IF(SUMPRODUCT(--($AL341:$AP341&gt;AO341))+SUMPRODUCT(--($AL341:AO341=AO341))=2,4,5)))),"")</f>
        <v/>
      </c>
      <c r="AS341" s="87" t="str">
        <f aca="false">IF($AJ341=Constants!$B$7,IF(SUMPRODUCT(--($AL341:$AP341&gt;AL341))+SUMPRODUCT(--($AL341:AL341=AL341))=3,1,IF(SUMPRODUCT(--($AL341:$AP341&gt;AM341))+SUMPRODUCT(--($AL341:AM341=AM341))=3,2,IF(SUMPRODUCT(--($AL341:$AP341&gt;AN341))+SUMPRODUCT(--($AL341:AN341=AN341))=3,3,IF(SUMPRODUCT(--($AL341:$AP341&gt;AO341))+SUMPRODUCT(--($AL341:AO341=AO341))=3,4,5)))),"")</f>
        <v/>
      </c>
      <c r="AT341" s="87" t="str">
        <f aca="false">IF($AJ341=Constants!$B$7,LARGE(AL341:AP341,1)+LARGE(AL341:AP341,2)+LARGE(AL341:AP341,3),"")</f>
        <v/>
      </c>
      <c r="AU341" s="87" t="str">
        <f aca="false">IF(ISBLANK($C341),"",IF($AJ341&lt;&gt;Constants!$B$7,$AJ341,AT341*W341))</f>
        <v/>
      </c>
      <c r="AV341" s="87" t="str">
        <f aca="false">IF(ISBLANK($C341),"",IF($AJ341=Constants!$B$7,IF(ISNUMBER(AU341),RANK(AU341,$AU$8:$AU$507),Constants!$B$14),$AJ341))</f>
        <v/>
      </c>
      <c r="AW341" s="87" t="str">
        <f aca="false">IF(ISBLANK($C341),"",IF($AJ341=Constants!$B$7,IF(ISNUMBER(AV341),COUNTIFS($AK$8:$AK$507,"&lt;"&amp;$AK341)+COUNTIFS($AK$8:$AK$507,$AK341,$AV$8:$AV$507,"&lt;"&amp;$AV341)+1,Constants!$B$14),$AJ341))</f>
        <v/>
      </c>
      <c r="AX341" s="87" t="str">
        <f aca="false">IF(ISBLANK($C341),"",IF($AJ341=Constants!$B$7,LARGE(AL341:AP341,4)*W341,""))</f>
        <v/>
      </c>
      <c r="AY341" s="87" t="str">
        <f aca="false">IF(ISBLANK($C341),"",IF($AJ341=Constants!$B$7,RANK(AX341,$AX$8:$AX$507),$AJ341))</f>
        <v/>
      </c>
      <c r="AZ341" s="87" t="str">
        <f aca="false">IF(ISBLANK($C341),"",IF($AJ341=Constants!$B$7,IF(ISNUMBER(AV341),COUNTIFS($AK$8:$AK$507,"&lt;"&amp;$AK341)+COUNTIFS($AK$8:$AK$507,$AK341,$AV$8:$AV$507,"&lt;"&amp;$AV341)+COUNTIFS($AK$8:$AK$507,$AK341,$AV$8:$AV$507,$AV341,$AY$8:$AY$507,"&lt;"&amp;$AY341)+1,Constants!$B$14),$AJ341))</f>
        <v/>
      </c>
      <c r="BA341" s="87" t="str">
        <f aca="false">IF(ISBLANK($C341),"",IF($AJ341=Constants!$B$7,IF(ISNUMBER(AW341),AW341-AZ341,Constants!$B$14),$AJ341))</f>
        <v/>
      </c>
      <c r="BB341" s="88"/>
      <c r="BC341" s="89" t="str">
        <f aca="false">IF(ISBLANK($C341),"",IF($AJ341&lt;&gt;Constants!$B$7,$AJ341,SMALL(AQ341:AS341,1)&amp;", "&amp;SMALL(AQ341:AS341,2)&amp;", "&amp;SMALL(AQ341:AS341,3)))</f>
        <v/>
      </c>
      <c r="BD341" s="90" t="str">
        <f aca="false">IF(ISBLANK($C341),"",IF($AJ341&lt;&gt;Constants!$B$7,$AJ341,W341))</f>
        <v/>
      </c>
      <c r="BE341" s="91" t="str">
        <f aca="false">IF(ISBLANK($C341),"",IF($AJ341&lt;&gt;Constants!$B$7,$AJ341,AU341))</f>
        <v/>
      </c>
      <c r="BF341" s="92" t="str">
        <f aca="false">IF(ISBLANK($C341),"",IF($AJ341&lt;&gt;Constants!$B$7,$AJ341,AK341))</f>
        <v/>
      </c>
      <c r="BG341" s="90" t="str">
        <f aca="false">IF(ISBLANK($C341),"",BA341)</f>
        <v/>
      </c>
      <c r="BH341" s="90" t="str">
        <f aca="false">IF(ISBLANK($C341),"",AZ341)</f>
        <v/>
      </c>
      <c r="BI341" s="93" t="str">
        <f aca="false">IF(ISBLANK($C341),"",IF(BH341=Constants!$B$4,COUNTA($C$8:$C$507)+2,IF(BH341=Constants!$B$5,COUNTA($C$8:$C$507)+1,IF(BH341=Constants!$B$6,COUNTA($C$8:$C$507),BH341))))</f>
        <v/>
      </c>
      <c r="BJ341" s="5"/>
      <c r="BK341" s="94" t="n">
        <f aca="false">IF(OR(ISNUMBER(BH341),BH341=Constants!$B$4,BH341=Constants!$B$6,BH341=Constants!$B$5),1,0)</f>
        <v>0</v>
      </c>
      <c r="BL341" s="94" t="n">
        <v>334</v>
      </c>
      <c r="BM341" s="94" t="str">
        <f aca="false">IF(ISBLANK($C341),"",IF(ISNUMBER(BI341),BI341+ROW($B341)/1000,""))</f>
        <v/>
      </c>
      <c r="BN341" s="94" t="str">
        <f aca="false">IF(ISNUMBER(BM341),RANK(BM341,$BM$8:$BM$507,1),"")</f>
        <v/>
      </c>
      <c r="BO341" s="94" t="str">
        <f aca="false">IF(ISBLANK($C341),"",$B341)</f>
        <v/>
      </c>
      <c r="BP341" s="94" t="str">
        <f aca="false">IF(ISBLANK($C341),"",$C341)</f>
        <v/>
      </c>
      <c r="BQ341" s="94" t="str">
        <f aca="false">IF(ISBLANK($C341),"",$D341)</f>
        <v/>
      </c>
      <c r="BR341" s="95" t="str">
        <f aca="false">BF341</f>
        <v/>
      </c>
      <c r="BS341" s="96" t="str">
        <f aca="false">BE341</f>
        <v/>
      </c>
      <c r="BT341" s="94" t="str">
        <f aca="false">IF(ISBLANK($C341),"",BH341)</f>
        <v/>
      </c>
      <c r="BU341" s="97" t="str">
        <f aca="false">IF($BL341&gt;$BK$7,"",VLOOKUP($BL341,$BN$8:$BT$507,7,FALSE()))</f>
        <v/>
      </c>
      <c r="BV341" s="98" t="str">
        <f aca="false">IF($BL341&gt;$BK$7,"",VLOOKUP($BL341,$BN$8:$BT$507,2,FALSE()))</f>
        <v/>
      </c>
      <c r="BW341" s="98" t="str">
        <f aca="false">IF($BL341&gt;$BK$7,"",VLOOKUP($BL341,$BN$8:$BT$507,3,FALSE()))</f>
        <v/>
      </c>
      <c r="BX341" s="98" t="str">
        <f aca="false">IF($BL341&gt;$BK$7,"",VLOOKUP($BL341,$BN$8:$BT$507,4,FALSE()))</f>
        <v/>
      </c>
      <c r="BY341" s="98" t="str">
        <f aca="false">IF($BL341&gt;$BK$7,"",VLOOKUP($BL341,$BN$8:$BT$507,5,FALSE()))</f>
        <v/>
      </c>
      <c r="BZ341" s="99" t="str">
        <f aca="false">IF($BL341&gt;$BK$7,"",VLOOKUP($BL341,$BN$8:$BT$507,6,FALSE()))</f>
        <v/>
      </c>
      <c r="CA341" s="48"/>
    </row>
    <row r="342" customFormat="false" ht="15.75" hidden="false" customHeight="false" outlineLevel="0" collapsed="false">
      <c r="A342" s="5"/>
      <c r="B342" s="114"/>
      <c r="C342" s="115"/>
      <c r="D342" s="100"/>
      <c r="E342" s="120"/>
      <c r="F342" s="125"/>
      <c r="G342" s="82"/>
      <c r="H342" s="126"/>
      <c r="I342" s="127"/>
      <c r="J342" s="82"/>
      <c r="K342" s="126"/>
      <c r="L342" s="82"/>
      <c r="M342" s="126"/>
      <c r="N342" s="82"/>
      <c r="O342" s="126"/>
      <c r="P342" s="82"/>
      <c r="Q342" s="126"/>
      <c r="R342" s="82"/>
      <c r="S342" s="120"/>
      <c r="T342" s="86"/>
      <c r="U342" s="87" t="str">
        <f aca="false">IF(ISBLANK($C342),"",IF(E342=Constants!$B$2, TRUE(), IF(E342=Constants!$B$3, FALSE(), TRUE())))</f>
        <v/>
      </c>
      <c r="V342" s="87" t="str">
        <f aca="false">IF(ISBLANK($C342),"",IF(F342=Constants!$B$2, TRUE(), IF(F342=Constants!$B$3, FALSE(), TRUE())))</f>
        <v/>
      </c>
      <c r="W342" s="87" t="str">
        <f aca="false">IF(ISBLANK($C342),"",IF(G342=Constants!$B$15,Constants!$B$8,IF(G342=Constants!$B$16,Constants!$B$9,Constants!$B$10)))</f>
        <v/>
      </c>
      <c r="X342" s="87" t="str">
        <f aca="false">IF(ISBLANK($C342),"",IF(H342=Constants!$B$2, TRUE(), IF(H342=Constants!$B$3, FALSE(), TRUE())))</f>
        <v/>
      </c>
      <c r="Y342" s="87" t="str">
        <f aca="false">IF(ISBLANK($C342),"",IF(I342=Constants!$B$19,Constants!$B$19,Constants!$B$18))</f>
        <v/>
      </c>
      <c r="Z342" s="87" t="str">
        <f aca="false">IF(ISBLANK($C342),"",IF(ISNUMBER(J342),IF(J342&gt;=0,J342,""),""))</f>
        <v/>
      </c>
      <c r="AA342" s="87" t="str">
        <f aca="false">IF(ISBLANK($C342),"",IF(K342=Constants!$B$19,Constants!$B$19,Constants!$B$18))</f>
        <v/>
      </c>
      <c r="AB342" s="87" t="str">
        <f aca="false">IF(ISBLANK($C342),"",IF(ISNUMBER(L342),IF(L342&gt;=0,L342,""),""))</f>
        <v/>
      </c>
      <c r="AC342" s="87" t="str">
        <f aca="false">IF(ISBLANK($C342),"",IF(M342=Constants!$B$19,Constants!$B$19,Constants!$B$18))</f>
        <v/>
      </c>
      <c r="AD342" s="87" t="str">
        <f aca="false">IF(ISBLANK($C342),"",IF(ISNUMBER(N342),IF(N342&gt;=0,N342,""),""))</f>
        <v/>
      </c>
      <c r="AE342" s="87" t="str">
        <f aca="false">IF(ISBLANK($C342),"",IF(O342=Constants!$B$19,Constants!$B$19,Constants!$B$18))</f>
        <v/>
      </c>
      <c r="AF342" s="87" t="str">
        <f aca="false">IF(ISBLANK($C342),"",IF(ISNUMBER(P342),IF(P342&gt;=0,P342,""),""))</f>
        <v/>
      </c>
      <c r="AG342" s="87" t="str">
        <f aca="false">IF(ISBLANK($C342),"",IF(Q342=Constants!$B$19,Constants!$B$19,Constants!$B$18))</f>
        <v/>
      </c>
      <c r="AH342" s="87" t="str">
        <f aca="false">IF(ISBLANK($C342),"",IF(ISNUMBER(R342),IF(R342&gt;=0,R342,""),""))</f>
        <v/>
      </c>
      <c r="AI342" s="87" t="str">
        <f aca="false">IF(ISBLANK($C342),"",IF(S342=Constants!$B$2, TRUE(), IF(S342=Constants!$B$3, FALSE(), FALSE())))</f>
        <v/>
      </c>
      <c r="AJ342" s="87" t="str">
        <f aca="false">IF(ISBLANK($C342),"",IF(AI342,Constants!$B$4,IF(COUNTA(E342:R342)=0,Constants!$B$5,IF(COUNTA(J342,L342,N342,P342,R342)=0,Constants!$B$6,Constants!$B$7))))</f>
        <v/>
      </c>
      <c r="AK342" s="87" t="str">
        <f aca="false">IF(ISBLANK($C342),"",IF($AJ342&lt;&gt;Constants!$B$7,$AJ342,IF(OR(NOT(X342),AND(NOT(U342),COUNTIFS(Y342:AG342,Constants!$B$18,Z342:AH342,"&gt;=0")&gt;0),AND(NOT(V342),COUNTIFS(Y342:AG342,Constants!$B$19,Z342:AH342,"&gt;=0")&gt;0)),Constants!$B$12,Constants!$B$11)))</f>
        <v/>
      </c>
      <c r="AL342" s="87" t="str">
        <f aca="false">IF($AJ342=Constants!$B$7,IF(Z342="",Constants!$B$13,Z342),"")</f>
        <v/>
      </c>
      <c r="AM342" s="87" t="str">
        <f aca="false">IF($AJ342=Constants!$B$7,IF(AB342="",Constants!$B$13,AB342),"")</f>
        <v/>
      </c>
      <c r="AN342" s="87" t="str">
        <f aca="false">IF($AJ342=Constants!$B$7,IF(AD342="",Constants!$B$13,AD342),"")</f>
        <v/>
      </c>
      <c r="AO342" s="87" t="str">
        <f aca="false">IF($AJ342=Constants!$B$7,IF(AF342="",Constants!$B$13,AF342),"")</f>
        <v/>
      </c>
      <c r="AP342" s="87" t="str">
        <f aca="false">IF($AJ342=Constants!$B$7,IF(AH342="",Constants!$B$13,AH342),"")</f>
        <v/>
      </c>
      <c r="AQ342" s="87" t="str">
        <f aca="false">IF($AJ342=Constants!$B$7,IF(SUMPRODUCT(--($AL342:$AP342&gt;AL342))+SUMPRODUCT(--($AL342:AL342=AL342))=1,1,IF(SUMPRODUCT(--($AL342:$AP342&gt;AM342))+SUMPRODUCT(--($AL342:AM342=AM342))=1,2,IF(SUMPRODUCT(--($AL342:$AP342&gt;AN342))+SUMPRODUCT(--($AL342:AN342=AN342))=1,3,IF(SUMPRODUCT(--($AL342:$AP342&gt;AO342))+SUMPRODUCT(--($AL342:AO342=AO342))=1,4,5)))),"")</f>
        <v/>
      </c>
      <c r="AR342" s="87" t="str">
        <f aca="false">IF($AJ342=Constants!$B$7,IF(SUMPRODUCT(--($AL342:$AP342&gt;AL342))+SUMPRODUCT(--($AL342:AL342=AL342))=2,1,IF(SUMPRODUCT(--($AL342:$AP342&gt;AM342))+SUMPRODUCT(--($AL342:AM342=AM342))=2,2,IF(SUMPRODUCT(--($AL342:$AP342&gt;AN342))+SUMPRODUCT(--($AL342:AN342=AN342))=2,3,IF(SUMPRODUCT(--($AL342:$AP342&gt;AO342))+SUMPRODUCT(--($AL342:AO342=AO342))=2,4,5)))),"")</f>
        <v/>
      </c>
      <c r="AS342" s="87" t="str">
        <f aca="false">IF($AJ342=Constants!$B$7,IF(SUMPRODUCT(--($AL342:$AP342&gt;AL342))+SUMPRODUCT(--($AL342:AL342=AL342))=3,1,IF(SUMPRODUCT(--($AL342:$AP342&gt;AM342))+SUMPRODUCT(--($AL342:AM342=AM342))=3,2,IF(SUMPRODUCT(--($AL342:$AP342&gt;AN342))+SUMPRODUCT(--($AL342:AN342=AN342))=3,3,IF(SUMPRODUCT(--($AL342:$AP342&gt;AO342))+SUMPRODUCT(--($AL342:AO342=AO342))=3,4,5)))),"")</f>
        <v/>
      </c>
      <c r="AT342" s="87" t="str">
        <f aca="false">IF($AJ342=Constants!$B$7,LARGE(AL342:AP342,1)+LARGE(AL342:AP342,2)+LARGE(AL342:AP342,3),"")</f>
        <v/>
      </c>
      <c r="AU342" s="87" t="str">
        <f aca="false">IF(ISBLANK($C342),"",IF($AJ342&lt;&gt;Constants!$B$7,$AJ342,AT342*W342))</f>
        <v/>
      </c>
      <c r="AV342" s="87" t="str">
        <f aca="false">IF(ISBLANK($C342),"",IF($AJ342=Constants!$B$7,IF(ISNUMBER(AU342),RANK(AU342,$AU$8:$AU$507),Constants!$B$14),$AJ342))</f>
        <v/>
      </c>
      <c r="AW342" s="87" t="str">
        <f aca="false">IF(ISBLANK($C342),"",IF($AJ342=Constants!$B$7,IF(ISNUMBER(AV342),COUNTIFS($AK$8:$AK$507,"&lt;"&amp;$AK342)+COUNTIFS($AK$8:$AK$507,$AK342,$AV$8:$AV$507,"&lt;"&amp;$AV342)+1,Constants!$B$14),$AJ342))</f>
        <v/>
      </c>
      <c r="AX342" s="87" t="str">
        <f aca="false">IF(ISBLANK($C342),"",IF($AJ342=Constants!$B$7,LARGE(AL342:AP342,4)*W342,""))</f>
        <v/>
      </c>
      <c r="AY342" s="87" t="str">
        <f aca="false">IF(ISBLANK($C342),"",IF($AJ342=Constants!$B$7,RANK(AX342,$AX$8:$AX$507),$AJ342))</f>
        <v/>
      </c>
      <c r="AZ342" s="87" t="str">
        <f aca="false">IF(ISBLANK($C342),"",IF($AJ342=Constants!$B$7,IF(ISNUMBER(AV342),COUNTIFS($AK$8:$AK$507,"&lt;"&amp;$AK342)+COUNTIFS($AK$8:$AK$507,$AK342,$AV$8:$AV$507,"&lt;"&amp;$AV342)+COUNTIFS($AK$8:$AK$507,$AK342,$AV$8:$AV$507,$AV342,$AY$8:$AY$507,"&lt;"&amp;$AY342)+1,Constants!$B$14),$AJ342))</f>
        <v/>
      </c>
      <c r="BA342" s="87" t="str">
        <f aca="false">IF(ISBLANK($C342),"",IF($AJ342=Constants!$B$7,IF(ISNUMBER(AW342),AW342-AZ342,Constants!$B$14),$AJ342))</f>
        <v/>
      </c>
      <c r="BB342" s="88"/>
      <c r="BC342" s="89" t="str">
        <f aca="false">IF(ISBLANK($C342),"",IF($AJ342&lt;&gt;Constants!$B$7,$AJ342,SMALL(AQ342:AS342,1)&amp;", "&amp;SMALL(AQ342:AS342,2)&amp;", "&amp;SMALL(AQ342:AS342,3)))</f>
        <v/>
      </c>
      <c r="BD342" s="90" t="str">
        <f aca="false">IF(ISBLANK($C342),"",IF($AJ342&lt;&gt;Constants!$B$7,$AJ342,W342))</f>
        <v/>
      </c>
      <c r="BE342" s="91" t="str">
        <f aca="false">IF(ISBLANK($C342),"",IF($AJ342&lt;&gt;Constants!$B$7,$AJ342,AU342))</f>
        <v/>
      </c>
      <c r="BF342" s="92" t="str">
        <f aca="false">IF(ISBLANK($C342),"",IF($AJ342&lt;&gt;Constants!$B$7,$AJ342,AK342))</f>
        <v/>
      </c>
      <c r="BG342" s="90" t="str">
        <f aca="false">IF(ISBLANK($C342),"",BA342)</f>
        <v/>
      </c>
      <c r="BH342" s="90" t="str">
        <f aca="false">IF(ISBLANK($C342),"",AZ342)</f>
        <v/>
      </c>
      <c r="BI342" s="93" t="str">
        <f aca="false">IF(ISBLANK($C342),"",IF(BH342=Constants!$B$4,COUNTA($C$8:$C$507)+2,IF(BH342=Constants!$B$5,COUNTA($C$8:$C$507)+1,IF(BH342=Constants!$B$6,COUNTA($C$8:$C$507),BH342))))</f>
        <v/>
      </c>
      <c r="BJ342" s="5"/>
      <c r="BK342" s="94" t="n">
        <f aca="false">IF(OR(ISNUMBER(BH342),BH342=Constants!$B$4,BH342=Constants!$B$6,BH342=Constants!$B$5),1,0)</f>
        <v>0</v>
      </c>
      <c r="BL342" s="94" t="n">
        <v>335</v>
      </c>
      <c r="BM342" s="94" t="str">
        <f aca="false">IF(ISBLANK($C342),"",IF(ISNUMBER(BI342),BI342+ROW($B342)/1000,""))</f>
        <v/>
      </c>
      <c r="BN342" s="94" t="str">
        <f aca="false">IF(ISNUMBER(BM342),RANK(BM342,$BM$8:$BM$507,1),"")</f>
        <v/>
      </c>
      <c r="BO342" s="94" t="str">
        <f aca="false">IF(ISBLANK($C342),"",$B342)</f>
        <v/>
      </c>
      <c r="BP342" s="94" t="str">
        <f aca="false">IF(ISBLANK($C342),"",$C342)</f>
        <v/>
      </c>
      <c r="BQ342" s="94" t="str">
        <f aca="false">IF(ISBLANK($C342),"",$D342)</f>
        <v/>
      </c>
      <c r="BR342" s="95" t="str">
        <f aca="false">BF342</f>
        <v/>
      </c>
      <c r="BS342" s="96" t="str">
        <f aca="false">BE342</f>
        <v/>
      </c>
      <c r="BT342" s="94" t="str">
        <f aca="false">IF(ISBLANK($C342),"",BH342)</f>
        <v/>
      </c>
      <c r="BU342" s="97" t="str">
        <f aca="false">IF($BL342&gt;$BK$7,"",VLOOKUP($BL342,$BN$8:$BT$507,7,FALSE()))</f>
        <v/>
      </c>
      <c r="BV342" s="98" t="str">
        <f aca="false">IF($BL342&gt;$BK$7,"",VLOOKUP($BL342,$BN$8:$BT$507,2,FALSE()))</f>
        <v/>
      </c>
      <c r="BW342" s="98" t="str">
        <f aca="false">IF($BL342&gt;$BK$7,"",VLOOKUP($BL342,$BN$8:$BT$507,3,FALSE()))</f>
        <v/>
      </c>
      <c r="BX342" s="98" t="str">
        <f aca="false">IF($BL342&gt;$BK$7,"",VLOOKUP($BL342,$BN$8:$BT$507,4,FALSE()))</f>
        <v/>
      </c>
      <c r="BY342" s="98" t="str">
        <f aca="false">IF($BL342&gt;$BK$7,"",VLOOKUP($BL342,$BN$8:$BT$507,5,FALSE()))</f>
        <v/>
      </c>
      <c r="BZ342" s="99" t="str">
        <f aca="false">IF($BL342&gt;$BK$7,"",VLOOKUP($BL342,$BN$8:$BT$507,6,FALSE()))</f>
        <v/>
      </c>
      <c r="CA342" s="48"/>
    </row>
    <row r="343" customFormat="false" ht="15.75" hidden="false" customHeight="false" outlineLevel="0" collapsed="false">
      <c r="A343" s="5"/>
      <c r="B343" s="114"/>
      <c r="C343" s="115"/>
      <c r="D343" s="100"/>
      <c r="E343" s="120"/>
      <c r="F343" s="125"/>
      <c r="G343" s="82"/>
      <c r="H343" s="126"/>
      <c r="I343" s="127"/>
      <c r="J343" s="82"/>
      <c r="K343" s="126"/>
      <c r="L343" s="82"/>
      <c r="M343" s="126"/>
      <c r="N343" s="82"/>
      <c r="O343" s="126"/>
      <c r="P343" s="82"/>
      <c r="Q343" s="126"/>
      <c r="R343" s="82"/>
      <c r="S343" s="120"/>
      <c r="T343" s="86"/>
      <c r="U343" s="87" t="str">
        <f aca="false">IF(ISBLANK($C343),"",IF(E343=Constants!$B$2, TRUE(), IF(E343=Constants!$B$3, FALSE(), TRUE())))</f>
        <v/>
      </c>
      <c r="V343" s="87" t="str">
        <f aca="false">IF(ISBLANK($C343),"",IF(F343=Constants!$B$2, TRUE(), IF(F343=Constants!$B$3, FALSE(), TRUE())))</f>
        <v/>
      </c>
      <c r="W343" s="87" t="str">
        <f aca="false">IF(ISBLANK($C343),"",IF(G343=Constants!$B$15,Constants!$B$8,IF(G343=Constants!$B$16,Constants!$B$9,Constants!$B$10)))</f>
        <v/>
      </c>
      <c r="X343" s="87" t="str">
        <f aca="false">IF(ISBLANK($C343),"",IF(H343=Constants!$B$2, TRUE(), IF(H343=Constants!$B$3, FALSE(), TRUE())))</f>
        <v/>
      </c>
      <c r="Y343" s="87" t="str">
        <f aca="false">IF(ISBLANK($C343),"",IF(I343=Constants!$B$19,Constants!$B$19,Constants!$B$18))</f>
        <v/>
      </c>
      <c r="Z343" s="87" t="str">
        <f aca="false">IF(ISBLANK($C343),"",IF(ISNUMBER(J343),IF(J343&gt;=0,J343,""),""))</f>
        <v/>
      </c>
      <c r="AA343" s="87" t="str">
        <f aca="false">IF(ISBLANK($C343),"",IF(K343=Constants!$B$19,Constants!$B$19,Constants!$B$18))</f>
        <v/>
      </c>
      <c r="AB343" s="87" t="str">
        <f aca="false">IF(ISBLANK($C343),"",IF(ISNUMBER(L343),IF(L343&gt;=0,L343,""),""))</f>
        <v/>
      </c>
      <c r="AC343" s="87" t="str">
        <f aca="false">IF(ISBLANK($C343),"",IF(M343=Constants!$B$19,Constants!$B$19,Constants!$B$18))</f>
        <v/>
      </c>
      <c r="AD343" s="87" t="str">
        <f aca="false">IF(ISBLANK($C343),"",IF(ISNUMBER(N343),IF(N343&gt;=0,N343,""),""))</f>
        <v/>
      </c>
      <c r="AE343" s="87" t="str">
        <f aca="false">IF(ISBLANK($C343),"",IF(O343=Constants!$B$19,Constants!$B$19,Constants!$B$18))</f>
        <v/>
      </c>
      <c r="AF343" s="87" t="str">
        <f aca="false">IF(ISBLANK($C343),"",IF(ISNUMBER(P343),IF(P343&gt;=0,P343,""),""))</f>
        <v/>
      </c>
      <c r="AG343" s="87" t="str">
        <f aca="false">IF(ISBLANK($C343),"",IF(Q343=Constants!$B$19,Constants!$B$19,Constants!$B$18))</f>
        <v/>
      </c>
      <c r="AH343" s="87" t="str">
        <f aca="false">IF(ISBLANK($C343),"",IF(ISNUMBER(R343),IF(R343&gt;=0,R343,""),""))</f>
        <v/>
      </c>
      <c r="AI343" s="87" t="str">
        <f aca="false">IF(ISBLANK($C343),"",IF(S343=Constants!$B$2, TRUE(), IF(S343=Constants!$B$3, FALSE(), FALSE())))</f>
        <v/>
      </c>
      <c r="AJ343" s="87" t="str">
        <f aca="false">IF(ISBLANK($C343),"",IF(AI343,Constants!$B$4,IF(COUNTA(E343:R343)=0,Constants!$B$5,IF(COUNTA(J343,L343,N343,P343,R343)=0,Constants!$B$6,Constants!$B$7))))</f>
        <v/>
      </c>
      <c r="AK343" s="87" t="str">
        <f aca="false">IF(ISBLANK($C343),"",IF($AJ343&lt;&gt;Constants!$B$7,$AJ343,IF(OR(NOT(X343),AND(NOT(U343),COUNTIFS(Y343:AG343,Constants!$B$18,Z343:AH343,"&gt;=0")&gt;0),AND(NOT(V343),COUNTIFS(Y343:AG343,Constants!$B$19,Z343:AH343,"&gt;=0")&gt;0)),Constants!$B$12,Constants!$B$11)))</f>
        <v/>
      </c>
      <c r="AL343" s="87" t="str">
        <f aca="false">IF($AJ343=Constants!$B$7,IF(Z343="",Constants!$B$13,Z343),"")</f>
        <v/>
      </c>
      <c r="AM343" s="87" t="str">
        <f aca="false">IF($AJ343=Constants!$B$7,IF(AB343="",Constants!$B$13,AB343),"")</f>
        <v/>
      </c>
      <c r="AN343" s="87" t="str">
        <f aca="false">IF($AJ343=Constants!$B$7,IF(AD343="",Constants!$B$13,AD343),"")</f>
        <v/>
      </c>
      <c r="AO343" s="87" t="str">
        <f aca="false">IF($AJ343=Constants!$B$7,IF(AF343="",Constants!$B$13,AF343),"")</f>
        <v/>
      </c>
      <c r="AP343" s="87" t="str">
        <f aca="false">IF($AJ343=Constants!$B$7,IF(AH343="",Constants!$B$13,AH343),"")</f>
        <v/>
      </c>
      <c r="AQ343" s="87" t="str">
        <f aca="false">IF($AJ343=Constants!$B$7,IF(SUMPRODUCT(--($AL343:$AP343&gt;AL343))+SUMPRODUCT(--($AL343:AL343=AL343))=1,1,IF(SUMPRODUCT(--($AL343:$AP343&gt;AM343))+SUMPRODUCT(--($AL343:AM343=AM343))=1,2,IF(SUMPRODUCT(--($AL343:$AP343&gt;AN343))+SUMPRODUCT(--($AL343:AN343=AN343))=1,3,IF(SUMPRODUCT(--($AL343:$AP343&gt;AO343))+SUMPRODUCT(--($AL343:AO343=AO343))=1,4,5)))),"")</f>
        <v/>
      </c>
      <c r="AR343" s="87" t="str">
        <f aca="false">IF($AJ343=Constants!$B$7,IF(SUMPRODUCT(--($AL343:$AP343&gt;AL343))+SUMPRODUCT(--($AL343:AL343=AL343))=2,1,IF(SUMPRODUCT(--($AL343:$AP343&gt;AM343))+SUMPRODUCT(--($AL343:AM343=AM343))=2,2,IF(SUMPRODUCT(--($AL343:$AP343&gt;AN343))+SUMPRODUCT(--($AL343:AN343=AN343))=2,3,IF(SUMPRODUCT(--($AL343:$AP343&gt;AO343))+SUMPRODUCT(--($AL343:AO343=AO343))=2,4,5)))),"")</f>
        <v/>
      </c>
      <c r="AS343" s="87" t="str">
        <f aca="false">IF($AJ343=Constants!$B$7,IF(SUMPRODUCT(--($AL343:$AP343&gt;AL343))+SUMPRODUCT(--($AL343:AL343=AL343))=3,1,IF(SUMPRODUCT(--($AL343:$AP343&gt;AM343))+SUMPRODUCT(--($AL343:AM343=AM343))=3,2,IF(SUMPRODUCT(--($AL343:$AP343&gt;AN343))+SUMPRODUCT(--($AL343:AN343=AN343))=3,3,IF(SUMPRODUCT(--($AL343:$AP343&gt;AO343))+SUMPRODUCT(--($AL343:AO343=AO343))=3,4,5)))),"")</f>
        <v/>
      </c>
      <c r="AT343" s="87" t="str">
        <f aca="false">IF($AJ343=Constants!$B$7,LARGE(AL343:AP343,1)+LARGE(AL343:AP343,2)+LARGE(AL343:AP343,3),"")</f>
        <v/>
      </c>
      <c r="AU343" s="87" t="str">
        <f aca="false">IF(ISBLANK($C343),"",IF($AJ343&lt;&gt;Constants!$B$7,$AJ343,AT343*W343))</f>
        <v/>
      </c>
      <c r="AV343" s="87" t="str">
        <f aca="false">IF(ISBLANK($C343),"",IF($AJ343=Constants!$B$7,IF(ISNUMBER(AU343),RANK(AU343,$AU$8:$AU$507),Constants!$B$14),$AJ343))</f>
        <v/>
      </c>
      <c r="AW343" s="87" t="str">
        <f aca="false">IF(ISBLANK($C343),"",IF($AJ343=Constants!$B$7,IF(ISNUMBER(AV343),COUNTIFS($AK$8:$AK$507,"&lt;"&amp;$AK343)+COUNTIFS($AK$8:$AK$507,$AK343,$AV$8:$AV$507,"&lt;"&amp;$AV343)+1,Constants!$B$14),$AJ343))</f>
        <v/>
      </c>
      <c r="AX343" s="87" t="str">
        <f aca="false">IF(ISBLANK($C343),"",IF($AJ343=Constants!$B$7,LARGE(AL343:AP343,4)*W343,""))</f>
        <v/>
      </c>
      <c r="AY343" s="87" t="str">
        <f aca="false">IF(ISBLANK($C343),"",IF($AJ343=Constants!$B$7,RANK(AX343,$AX$8:$AX$507),$AJ343))</f>
        <v/>
      </c>
      <c r="AZ343" s="87" t="str">
        <f aca="false">IF(ISBLANK($C343),"",IF($AJ343=Constants!$B$7,IF(ISNUMBER(AV343),COUNTIFS($AK$8:$AK$507,"&lt;"&amp;$AK343)+COUNTIFS($AK$8:$AK$507,$AK343,$AV$8:$AV$507,"&lt;"&amp;$AV343)+COUNTIFS($AK$8:$AK$507,$AK343,$AV$8:$AV$507,$AV343,$AY$8:$AY$507,"&lt;"&amp;$AY343)+1,Constants!$B$14),$AJ343))</f>
        <v/>
      </c>
      <c r="BA343" s="87" t="str">
        <f aca="false">IF(ISBLANK($C343),"",IF($AJ343=Constants!$B$7,IF(ISNUMBER(AW343),AW343-AZ343,Constants!$B$14),$AJ343))</f>
        <v/>
      </c>
      <c r="BB343" s="88"/>
      <c r="BC343" s="89" t="str">
        <f aca="false">IF(ISBLANK($C343),"",IF($AJ343&lt;&gt;Constants!$B$7,$AJ343,SMALL(AQ343:AS343,1)&amp;", "&amp;SMALL(AQ343:AS343,2)&amp;", "&amp;SMALL(AQ343:AS343,3)))</f>
        <v/>
      </c>
      <c r="BD343" s="90" t="str">
        <f aca="false">IF(ISBLANK($C343),"",IF($AJ343&lt;&gt;Constants!$B$7,$AJ343,W343))</f>
        <v/>
      </c>
      <c r="BE343" s="91" t="str">
        <f aca="false">IF(ISBLANK($C343),"",IF($AJ343&lt;&gt;Constants!$B$7,$AJ343,AU343))</f>
        <v/>
      </c>
      <c r="BF343" s="92" t="str">
        <f aca="false">IF(ISBLANK($C343),"",IF($AJ343&lt;&gt;Constants!$B$7,$AJ343,AK343))</f>
        <v/>
      </c>
      <c r="BG343" s="90" t="str">
        <f aca="false">IF(ISBLANK($C343),"",BA343)</f>
        <v/>
      </c>
      <c r="BH343" s="90" t="str">
        <f aca="false">IF(ISBLANK($C343),"",AZ343)</f>
        <v/>
      </c>
      <c r="BI343" s="93" t="str">
        <f aca="false">IF(ISBLANK($C343),"",IF(BH343=Constants!$B$4,COUNTA($C$8:$C$507)+2,IF(BH343=Constants!$B$5,COUNTA($C$8:$C$507)+1,IF(BH343=Constants!$B$6,COUNTA($C$8:$C$507),BH343))))</f>
        <v/>
      </c>
      <c r="BJ343" s="5"/>
      <c r="BK343" s="94" t="n">
        <f aca="false">IF(OR(ISNUMBER(BH343),BH343=Constants!$B$4,BH343=Constants!$B$6,BH343=Constants!$B$5),1,0)</f>
        <v>0</v>
      </c>
      <c r="BL343" s="94" t="n">
        <v>336</v>
      </c>
      <c r="BM343" s="94" t="str">
        <f aca="false">IF(ISBLANK($C343),"",IF(ISNUMBER(BI343),BI343+ROW($B343)/1000,""))</f>
        <v/>
      </c>
      <c r="BN343" s="94" t="str">
        <f aca="false">IF(ISNUMBER(BM343),RANK(BM343,$BM$8:$BM$507,1),"")</f>
        <v/>
      </c>
      <c r="BO343" s="94" t="str">
        <f aca="false">IF(ISBLANK($C343),"",$B343)</f>
        <v/>
      </c>
      <c r="BP343" s="94" t="str">
        <f aca="false">IF(ISBLANK($C343),"",$C343)</f>
        <v/>
      </c>
      <c r="BQ343" s="94" t="str">
        <f aca="false">IF(ISBLANK($C343),"",$D343)</f>
        <v/>
      </c>
      <c r="BR343" s="95" t="str">
        <f aca="false">BF343</f>
        <v/>
      </c>
      <c r="BS343" s="96" t="str">
        <f aca="false">BE343</f>
        <v/>
      </c>
      <c r="BT343" s="94" t="str">
        <f aca="false">IF(ISBLANK($C343),"",BH343)</f>
        <v/>
      </c>
      <c r="BU343" s="97" t="str">
        <f aca="false">IF($BL343&gt;$BK$7,"",VLOOKUP($BL343,$BN$8:$BT$507,7,FALSE()))</f>
        <v/>
      </c>
      <c r="BV343" s="98" t="str">
        <f aca="false">IF($BL343&gt;$BK$7,"",VLOOKUP($BL343,$BN$8:$BT$507,2,FALSE()))</f>
        <v/>
      </c>
      <c r="BW343" s="98" t="str">
        <f aca="false">IF($BL343&gt;$BK$7,"",VLOOKUP($BL343,$BN$8:$BT$507,3,FALSE()))</f>
        <v/>
      </c>
      <c r="BX343" s="98" t="str">
        <f aca="false">IF($BL343&gt;$BK$7,"",VLOOKUP($BL343,$BN$8:$BT$507,4,FALSE()))</f>
        <v/>
      </c>
      <c r="BY343" s="98" t="str">
        <f aca="false">IF($BL343&gt;$BK$7,"",VLOOKUP($BL343,$BN$8:$BT$507,5,FALSE()))</f>
        <v/>
      </c>
      <c r="BZ343" s="99" t="str">
        <f aca="false">IF($BL343&gt;$BK$7,"",VLOOKUP($BL343,$BN$8:$BT$507,6,FALSE()))</f>
        <v/>
      </c>
      <c r="CA343" s="48"/>
    </row>
    <row r="344" customFormat="false" ht="15.75" hidden="false" customHeight="false" outlineLevel="0" collapsed="false">
      <c r="A344" s="5"/>
      <c r="B344" s="121"/>
      <c r="C344" s="50"/>
      <c r="D344" s="51"/>
      <c r="E344" s="74"/>
      <c r="F344" s="122"/>
      <c r="G344" s="54"/>
      <c r="H344" s="123"/>
      <c r="I344" s="124"/>
      <c r="J344" s="54"/>
      <c r="K344" s="123"/>
      <c r="L344" s="54"/>
      <c r="M344" s="123"/>
      <c r="N344" s="54"/>
      <c r="O344" s="123"/>
      <c r="P344" s="54"/>
      <c r="Q344" s="123"/>
      <c r="R344" s="54"/>
      <c r="S344" s="74"/>
      <c r="T344" s="58"/>
      <c r="U344" s="59" t="str">
        <f aca="false">IF(ISBLANK($C344),"",IF(E344=Constants!$B$2, TRUE(), IF(E344=Constants!$B$3, FALSE(), TRUE())))</f>
        <v/>
      </c>
      <c r="V344" s="59" t="str">
        <f aca="false">IF(ISBLANK($C344),"",IF(F344=Constants!$B$2, TRUE(), IF(F344=Constants!$B$3, FALSE(), TRUE())))</f>
        <v/>
      </c>
      <c r="W344" s="59" t="str">
        <f aca="false">IF(ISBLANK($C344),"",IF(G344=Constants!$B$15,Constants!$B$8,IF(G344=Constants!$B$16,Constants!$B$9,Constants!$B$10)))</f>
        <v/>
      </c>
      <c r="X344" s="59" t="str">
        <f aca="false">IF(ISBLANK($C344),"",IF(H344=Constants!$B$2, TRUE(), IF(H344=Constants!$B$3, FALSE(), TRUE())))</f>
        <v/>
      </c>
      <c r="Y344" s="59" t="str">
        <f aca="false">IF(ISBLANK($C344),"",IF(I344=Constants!$B$19,Constants!$B$19,Constants!$B$18))</f>
        <v/>
      </c>
      <c r="Z344" s="59" t="str">
        <f aca="false">IF(ISBLANK($C344),"",IF(ISNUMBER(J344),IF(J344&gt;=0,J344,""),""))</f>
        <v/>
      </c>
      <c r="AA344" s="59" t="str">
        <f aca="false">IF(ISBLANK($C344),"",IF(K344=Constants!$B$19,Constants!$B$19,Constants!$B$18))</f>
        <v/>
      </c>
      <c r="AB344" s="59" t="str">
        <f aca="false">IF(ISBLANK($C344),"",IF(ISNUMBER(L344),IF(L344&gt;=0,L344,""),""))</f>
        <v/>
      </c>
      <c r="AC344" s="59" t="str">
        <f aca="false">IF(ISBLANK($C344),"",IF(M344=Constants!$B$19,Constants!$B$19,Constants!$B$18))</f>
        <v/>
      </c>
      <c r="AD344" s="59" t="str">
        <f aca="false">IF(ISBLANK($C344),"",IF(ISNUMBER(N344),IF(N344&gt;=0,N344,""),""))</f>
        <v/>
      </c>
      <c r="AE344" s="59" t="str">
        <f aca="false">IF(ISBLANK($C344),"",IF(O344=Constants!$B$19,Constants!$B$19,Constants!$B$18))</f>
        <v/>
      </c>
      <c r="AF344" s="59" t="str">
        <f aca="false">IF(ISBLANK($C344),"",IF(ISNUMBER(P344),IF(P344&gt;=0,P344,""),""))</f>
        <v/>
      </c>
      <c r="AG344" s="59" t="str">
        <f aca="false">IF(ISBLANK($C344),"",IF(Q344=Constants!$B$19,Constants!$B$19,Constants!$B$18))</f>
        <v/>
      </c>
      <c r="AH344" s="59" t="str">
        <f aca="false">IF(ISBLANK($C344),"",IF(ISNUMBER(R344),IF(R344&gt;=0,R344,""),""))</f>
        <v/>
      </c>
      <c r="AI344" s="59" t="str">
        <f aca="false">IF(ISBLANK($C344),"",IF(S344=Constants!$B$2, TRUE(), IF(S344=Constants!$B$3, FALSE(), FALSE())))</f>
        <v/>
      </c>
      <c r="AJ344" s="59" t="str">
        <f aca="false">IF(ISBLANK($C344),"",IF(AI344,Constants!$B$4,IF(COUNTA(E344:R344)=0,Constants!$B$5,IF(COUNTA(J344,L344,N344,P344,R344)=0,Constants!$B$6,Constants!$B$7))))</f>
        <v/>
      </c>
      <c r="AK344" s="59" t="str">
        <f aca="false">IF(ISBLANK($C344),"",IF($AJ344&lt;&gt;Constants!$B$7,$AJ344,IF(OR(NOT(X344),AND(NOT(U344),COUNTIFS(Y344:AG344,Constants!$B$18,Z344:AH344,"&gt;=0")&gt;0),AND(NOT(V344),COUNTIFS(Y344:AG344,Constants!$B$19,Z344:AH344,"&gt;=0")&gt;0)),Constants!$B$12,Constants!$B$11)))</f>
        <v/>
      </c>
      <c r="AL344" s="59" t="str">
        <f aca="false">IF($AJ344=Constants!$B$7,IF(Z344="",Constants!$B$13,Z344),"")</f>
        <v/>
      </c>
      <c r="AM344" s="59" t="str">
        <f aca="false">IF($AJ344=Constants!$B$7,IF(AB344="",Constants!$B$13,AB344),"")</f>
        <v/>
      </c>
      <c r="AN344" s="59" t="str">
        <f aca="false">IF($AJ344=Constants!$B$7,IF(AD344="",Constants!$B$13,AD344),"")</f>
        <v/>
      </c>
      <c r="AO344" s="59" t="str">
        <f aca="false">IF($AJ344=Constants!$B$7,IF(AF344="",Constants!$B$13,AF344),"")</f>
        <v/>
      </c>
      <c r="AP344" s="59" t="str">
        <f aca="false">IF($AJ344=Constants!$B$7,IF(AH344="",Constants!$B$13,AH344),"")</f>
        <v/>
      </c>
      <c r="AQ344" s="59" t="str">
        <f aca="false">IF($AJ344=Constants!$B$7,IF(SUMPRODUCT(--($AL344:$AP344&gt;AL344))+SUMPRODUCT(--($AL344:AL344=AL344))=1,1,IF(SUMPRODUCT(--($AL344:$AP344&gt;AM344))+SUMPRODUCT(--($AL344:AM344=AM344))=1,2,IF(SUMPRODUCT(--($AL344:$AP344&gt;AN344))+SUMPRODUCT(--($AL344:AN344=AN344))=1,3,IF(SUMPRODUCT(--($AL344:$AP344&gt;AO344))+SUMPRODUCT(--($AL344:AO344=AO344))=1,4,5)))),"")</f>
        <v/>
      </c>
      <c r="AR344" s="59" t="str">
        <f aca="false">IF($AJ344=Constants!$B$7,IF(SUMPRODUCT(--($AL344:$AP344&gt;AL344))+SUMPRODUCT(--($AL344:AL344=AL344))=2,1,IF(SUMPRODUCT(--($AL344:$AP344&gt;AM344))+SUMPRODUCT(--($AL344:AM344=AM344))=2,2,IF(SUMPRODUCT(--($AL344:$AP344&gt;AN344))+SUMPRODUCT(--($AL344:AN344=AN344))=2,3,IF(SUMPRODUCT(--($AL344:$AP344&gt;AO344))+SUMPRODUCT(--($AL344:AO344=AO344))=2,4,5)))),"")</f>
        <v/>
      </c>
      <c r="AS344" s="59" t="str">
        <f aca="false">IF($AJ344=Constants!$B$7,IF(SUMPRODUCT(--($AL344:$AP344&gt;AL344))+SUMPRODUCT(--($AL344:AL344=AL344))=3,1,IF(SUMPRODUCT(--($AL344:$AP344&gt;AM344))+SUMPRODUCT(--($AL344:AM344=AM344))=3,2,IF(SUMPRODUCT(--($AL344:$AP344&gt;AN344))+SUMPRODUCT(--($AL344:AN344=AN344))=3,3,IF(SUMPRODUCT(--($AL344:$AP344&gt;AO344))+SUMPRODUCT(--($AL344:AO344=AO344))=3,4,5)))),"")</f>
        <v/>
      </c>
      <c r="AT344" s="59" t="str">
        <f aca="false">IF($AJ344=Constants!$B$7,LARGE(AL344:AP344,1)+LARGE(AL344:AP344,2)+LARGE(AL344:AP344,3),"")</f>
        <v/>
      </c>
      <c r="AU344" s="59" t="str">
        <f aca="false">IF(ISBLANK($C344),"",IF($AJ344&lt;&gt;Constants!$B$7,$AJ344,AT344*W344))</f>
        <v/>
      </c>
      <c r="AV344" s="59" t="str">
        <f aca="false">IF(ISBLANK($C344),"",IF($AJ344=Constants!$B$7,IF(ISNUMBER(AU344),RANK(AU344,$AU$8:$AU$507),Constants!$B$14),$AJ344))</f>
        <v/>
      </c>
      <c r="AW344" s="59" t="str">
        <f aca="false">IF(ISBLANK($C344),"",IF($AJ344=Constants!$B$7,IF(ISNUMBER(AV344),COUNTIFS($AK$8:$AK$507,"&lt;"&amp;$AK344)+COUNTIFS($AK$8:$AK$507,$AK344,$AV$8:$AV$507,"&lt;"&amp;$AV344)+1,Constants!$B$14),$AJ344))</f>
        <v/>
      </c>
      <c r="AX344" s="59" t="str">
        <f aca="false">IF(ISBLANK($C344),"",IF($AJ344=Constants!$B$7,LARGE(AL344:AP344,4)*W344,""))</f>
        <v/>
      </c>
      <c r="AY344" s="59" t="str">
        <f aca="false">IF(ISBLANK($C344),"",IF($AJ344=Constants!$B$7,RANK(AX344,$AX$8:$AX$507),$AJ344))</f>
        <v/>
      </c>
      <c r="AZ344" s="59" t="str">
        <f aca="false">IF(ISBLANK($C344),"",IF($AJ344=Constants!$B$7,IF(ISNUMBER(AV344),COUNTIFS($AK$8:$AK$507,"&lt;"&amp;$AK344)+COUNTIFS($AK$8:$AK$507,$AK344,$AV$8:$AV$507,"&lt;"&amp;$AV344)+COUNTIFS($AK$8:$AK$507,$AK344,$AV$8:$AV$507,$AV344,$AY$8:$AY$507,"&lt;"&amp;$AY344)+1,Constants!$B$14),$AJ344))</f>
        <v/>
      </c>
      <c r="BA344" s="59" t="str">
        <f aca="false">IF(ISBLANK($C344),"",IF($AJ344=Constants!$B$7,IF(ISNUMBER(AW344),AW344-AZ344,Constants!$B$14),$AJ344))</f>
        <v/>
      </c>
      <c r="BB344" s="61"/>
      <c r="BC344" s="62" t="str">
        <f aca="false">IF(ISBLANK($C344),"",IF($AJ344&lt;&gt;Constants!$B$7,$AJ344,SMALL(AQ344:AS344,1)&amp;", "&amp;SMALL(AQ344:AS344,2)&amp;", "&amp;SMALL(AQ344:AS344,3)))</f>
        <v/>
      </c>
      <c r="BD344" s="63" t="str">
        <f aca="false">IF(ISBLANK($C344),"",IF($AJ344&lt;&gt;Constants!$B$7,$AJ344,W344))</f>
        <v/>
      </c>
      <c r="BE344" s="64" t="str">
        <f aca="false">IF(ISBLANK($C344),"",IF($AJ344&lt;&gt;Constants!$B$7,$AJ344,AU344))</f>
        <v/>
      </c>
      <c r="BF344" s="65" t="str">
        <f aca="false">IF(ISBLANK($C344),"",IF($AJ344&lt;&gt;Constants!$B$7,$AJ344,AK344))</f>
        <v/>
      </c>
      <c r="BG344" s="63" t="str">
        <f aca="false">IF(ISBLANK($C344),"",BA344)</f>
        <v/>
      </c>
      <c r="BH344" s="63" t="str">
        <f aca="false">IF(ISBLANK($C344),"",AZ344)</f>
        <v/>
      </c>
      <c r="BI344" s="66" t="str">
        <f aca="false">IF(ISBLANK($C344),"",IF(BH344=Constants!$B$4,COUNTA($C$8:$C$507)+2,IF(BH344=Constants!$B$5,COUNTA($C$8:$C$507)+1,IF(BH344=Constants!$B$6,COUNTA($C$8:$C$507),BH344))))</f>
        <v/>
      </c>
      <c r="BJ344" s="5"/>
      <c r="BK344" s="67" t="n">
        <f aca="false">IF(OR(ISNUMBER(BH344),BH344=Constants!$B$4,BH344=Constants!$B$6,BH344=Constants!$B$5),1,0)</f>
        <v>0</v>
      </c>
      <c r="BL344" s="67" t="n">
        <v>337</v>
      </c>
      <c r="BM344" s="67" t="str">
        <f aca="false">IF(ISBLANK($C344),"",IF(ISNUMBER(BI344),BI344+ROW($B344)/1000,""))</f>
        <v/>
      </c>
      <c r="BN344" s="67" t="str">
        <f aca="false">IF(ISNUMBER(BM344),RANK(BM344,$BM$8:$BM$507,1),"")</f>
        <v/>
      </c>
      <c r="BO344" s="67" t="str">
        <f aca="false">IF(ISBLANK($C344),"",$B344)</f>
        <v/>
      </c>
      <c r="BP344" s="67" t="str">
        <f aca="false">IF(ISBLANK($C344),"",$C344)</f>
        <v/>
      </c>
      <c r="BQ344" s="67" t="str">
        <f aca="false">IF(ISBLANK($C344),"",$D344)</f>
        <v/>
      </c>
      <c r="BR344" s="68" t="str">
        <f aca="false">BF344</f>
        <v/>
      </c>
      <c r="BS344" s="69" t="str">
        <f aca="false">BE344</f>
        <v/>
      </c>
      <c r="BT344" s="67" t="str">
        <f aca="false">IF(ISBLANK($C344),"",BH344)</f>
        <v/>
      </c>
      <c r="BU344" s="70" t="str">
        <f aca="false">IF($BL344&gt;$BK$7,"",VLOOKUP($BL344,$BN$8:$BT$507,7,FALSE()))</f>
        <v/>
      </c>
      <c r="BV344" s="71" t="str">
        <f aca="false">IF($BL344&gt;$BK$7,"",VLOOKUP($BL344,$BN$8:$BT$507,2,FALSE()))</f>
        <v/>
      </c>
      <c r="BW344" s="71" t="str">
        <f aca="false">IF($BL344&gt;$BK$7,"",VLOOKUP($BL344,$BN$8:$BT$507,3,FALSE()))</f>
        <v/>
      </c>
      <c r="BX344" s="71" t="str">
        <f aca="false">IF($BL344&gt;$BK$7,"",VLOOKUP($BL344,$BN$8:$BT$507,4,FALSE()))</f>
        <v/>
      </c>
      <c r="BY344" s="71" t="str">
        <f aca="false">IF($BL344&gt;$BK$7,"",VLOOKUP($BL344,$BN$8:$BT$507,5,FALSE()))</f>
        <v/>
      </c>
      <c r="BZ344" s="72" t="str">
        <f aca="false">IF($BL344&gt;$BK$7,"",VLOOKUP($BL344,$BN$8:$BT$507,6,FALSE()))</f>
        <v/>
      </c>
      <c r="CA344" s="48"/>
    </row>
    <row r="345" customFormat="false" ht="15.75" hidden="false" customHeight="false" outlineLevel="0" collapsed="false">
      <c r="A345" s="5"/>
      <c r="B345" s="121"/>
      <c r="C345" s="50"/>
      <c r="D345" s="51"/>
      <c r="E345" s="74"/>
      <c r="F345" s="122"/>
      <c r="G345" s="54"/>
      <c r="H345" s="123"/>
      <c r="I345" s="124"/>
      <c r="J345" s="54"/>
      <c r="K345" s="123"/>
      <c r="L345" s="54"/>
      <c r="M345" s="123"/>
      <c r="N345" s="54"/>
      <c r="O345" s="123"/>
      <c r="P345" s="54"/>
      <c r="Q345" s="123"/>
      <c r="R345" s="54"/>
      <c r="S345" s="74"/>
      <c r="T345" s="58"/>
      <c r="U345" s="59" t="str">
        <f aca="false">IF(ISBLANK($C345),"",IF(E345=Constants!$B$2, TRUE(), IF(E345=Constants!$B$3, FALSE(), TRUE())))</f>
        <v/>
      </c>
      <c r="V345" s="59" t="str">
        <f aca="false">IF(ISBLANK($C345),"",IF(F345=Constants!$B$2, TRUE(), IF(F345=Constants!$B$3, FALSE(), TRUE())))</f>
        <v/>
      </c>
      <c r="W345" s="59" t="str">
        <f aca="false">IF(ISBLANK($C345),"",IF(G345=Constants!$B$15,Constants!$B$8,IF(G345=Constants!$B$16,Constants!$B$9,Constants!$B$10)))</f>
        <v/>
      </c>
      <c r="X345" s="59" t="str">
        <f aca="false">IF(ISBLANK($C345),"",IF(H345=Constants!$B$2, TRUE(), IF(H345=Constants!$B$3, FALSE(), TRUE())))</f>
        <v/>
      </c>
      <c r="Y345" s="59" t="str">
        <f aca="false">IF(ISBLANK($C345),"",IF(I345=Constants!$B$19,Constants!$B$19,Constants!$B$18))</f>
        <v/>
      </c>
      <c r="Z345" s="59" t="str">
        <f aca="false">IF(ISBLANK($C345),"",IF(ISNUMBER(J345),IF(J345&gt;=0,J345,""),""))</f>
        <v/>
      </c>
      <c r="AA345" s="59" t="str">
        <f aca="false">IF(ISBLANK($C345),"",IF(K345=Constants!$B$19,Constants!$B$19,Constants!$B$18))</f>
        <v/>
      </c>
      <c r="AB345" s="59" t="str">
        <f aca="false">IF(ISBLANK($C345),"",IF(ISNUMBER(L345),IF(L345&gt;=0,L345,""),""))</f>
        <v/>
      </c>
      <c r="AC345" s="59" t="str">
        <f aca="false">IF(ISBLANK($C345),"",IF(M345=Constants!$B$19,Constants!$B$19,Constants!$B$18))</f>
        <v/>
      </c>
      <c r="AD345" s="59" t="str">
        <f aca="false">IF(ISBLANK($C345),"",IF(ISNUMBER(N345),IF(N345&gt;=0,N345,""),""))</f>
        <v/>
      </c>
      <c r="AE345" s="59" t="str">
        <f aca="false">IF(ISBLANK($C345),"",IF(O345=Constants!$B$19,Constants!$B$19,Constants!$B$18))</f>
        <v/>
      </c>
      <c r="AF345" s="59" t="str">
        <f aca="false">IF(ISBLANK($C345),"",IF(ISNUMBER(P345),IF(P345&gt;=0,P345,""),""))</f>
        <v/>
      </c>
      <c r="AG345" s="59" t="str">
        <f aca="false">IF(ISBLANK($C345),"",IF(Q345=Constants!$B$19,Constants!$B$19,Constants!$B$18))</f>
        <v/>
      </c>
      <c r="AH345" s="59" t="str">
        <f aca="false">IF(ISBLANK($C345),"",IF(ISNUMBER(R345),IF(R345&gt;=0,R345,""),""))</f>
        <v/>
      </c>
      <c r="AI345" s="59" t="str">
        <f aca="false">IF(ISBLANK($C345),"",IF(S345=Constants!$B$2, TRUE(), IF(S345=Constants!$B$3, FALSE(), FALSE())))</f>
        <v/>
      </c>
      <c r="AJ345" s="59" t="str">
        <f aca="false">IF(ISBLANK($C345),"",IF(AI345,Constants!$B$4,IF(COUNTA(E345:R345)=0,Constants!$B$5,IF(COUNTA(J345,L345,N345,P345,R345)=0,Constants!$B$6,Constants!$B$7))))</f>
        <v/>
      </c>
      <c r="AK345" s="59" t="str">
        <f aca="false">IF(ISBLANK($C345),"",IF($AJ345&lt;&gt;Constants!$B$7,$AJ345,IF(OR(NOT(X345),AND(NOT(U345),COUNTIFS(Y345:AG345,Constants!$B$18,Z345:AH345,"&gt;=0")&gt;0),AND(NOT(V345),COUNTIFS(Y345:AG345,Constants!$B$19,Z345:AH345,"&gt;=0")&gt;0)),Constants!$B$12,Constants!$B$11)))</f>
        <v/>
      </c>
      <c r="AL345" s="59" t="str">
        <f aca="false">IF($AJ345=Constants!$B$7,IF(Z345="",Constants!$B$13,Z345),"")</f>
        <v/>
      </c>
      <c r="AM345" s="59" t="str">
        <f aca="false">IF($AJ345=Constants!$B$7,IF(AB345="",Constants!$B$13,AB345),"")</f>
        <v/>
      </c>
      <c r="AN345" s="59" t="str">
        <f aca="false">IF($AJ345=Constants!$B$7,IF(AD345="",Constants!$B$13,AD345),"")</f>
        <v/>
      </c>
      <c r="AO345" s="59" t="str">
        <f aca="false">IF($AJ345=Constants!$B$7,IF(AF345="",Constants!$B$13,AF345),"")</f>
        <v/>
      </c>
      <c r="AP345" s="59" t="str">
        <f aca="false">IF($AJ345=Constants!$B$7,IF(AH345="",Constants!$B$13,AH345),"")</f>
        <v/>
      </c>
      <c r="AQ345" s="59" t="str">
        <f aca="false">IF($AJ345=Constants!$B$7,IF(SUMPRODUCT(--($AL345:$AP345&gt;AL345))+SUMPRODUCT(--($AL345:AL345=AL345))=1,1,IF(SUMPRODUCT(--($AL345:$AP345&gt;AM345))+SUMPRODUCT(--($AL345:AM345=AM345))=1,2,IF(SUMPRODUCT(--($AL345:$AP345&gt;AN345))+SUMPRODUCT(--($AL345:AN345=AN345))=1,3,IF(SUMPRODUCT(--($AL345:$AP345&gt;AO345))+SUMPRODUCT(--($AL345:AO345=AO345))=1,4,5)))),"")</f>
        <v/>
      </c>
      <c r="AR345" s="59" t="str">
        <f aca="false">IF($AJ345=Constants!$B$7,IF(SUMPRODUCT(--($AL345:$AP345&gt;AL345))+SUMPRODUCT(--($AL345:AL345=AL345))=2,1,IF(SUMPRODUCT(--($AL345:$AP345&gt;AM345))+SUMPRODUCT(--($AL345:AM345=AM345))=2,2,IF(SUMPRODUCT(--($AL345:$AP345&gt;AN345))+SUMPRODUCT(--($AL345:AN345=AN345))=2,3,IF(SUMPRODUCT(--($AL345:$AP345&gt;AO345))+SUMPRODUCT(--($AL345:AO345=AO345))=2,4,5)))),"")</f>
        <v/>
      </c>
      <c r="AS345" s="59" t="str">
        <f aca="false">IF($AJ345=Constants!$B$7,IF(SUMPRODUCT(--($AL345:$AP345&gt;AL345))+SUMPRODUCT(--($AL345:AL345=AL345))=3,1,IF(SUMPRODUCT(--($AL345:$AP345&gt;AM345))+SUMPRODUCT(--($AL345:AM345=AM345))=3,2,IF(SUMPRODUCT(--($AL345:$AP345&gt;AN345))+SUMPRODUCT(--($AL345:AN345=AN345))=3,3,IF(SUMPRODUCT(--($AL345:$AP345&gt;AO345))+SUMPRODUCT(--($AL345:AO345=AO345))=3,4,5)))),"")</f>
        <v/>
      </c>
      <c r="AT345" s="59" t="str">
        <f aca="false">IF($AJ345=Constants!$B$7,LARGE(AL345:AP345,1)+LARGE(AL345:AP345,2)+LARGE(AL345:AP345,3),"")</f>
        <v/>
      </c>
      <c r="AU345" s="59" t="str">
        <f aca="false">IF(ISBLANK($C345),"",IF($AJ345&lt;&gt;Constants!$B$7,$AJ345,AT345*W345))</f>
        <v/>
      </c>
      <c r="AV345" s="59" t="str">
        <f aca="false">IF(ISBLANK($C345),"",IF($AJ345=Constants!$B$7,IF(ISNUMBER(AU345),RANK(AU345,$AU$8:$AU$507),Constants!$B$14),$AJ345))</f>
        <v/>
      </c>
      <c r="AW345" s="59" t="str">
        <f aca="false">IF(ISBLANK($C345),"",IF($AJ345=Constants!$B$7,IF(ISNUMBER(AV345),COUNTIFS($AK$8:$AK$507,"&lt;"&amp;$AK345)+COUNTIFS($AK$8:$AK$507,$AK345,$AV$8:$AV$507,"&lt;"&amp;$AV345)+1,Constants!$B$14),$AJ345))</f>
        <v/>
      </c>
      <c r="AX345" s="59" t="str">
        <f aca="false">IF(ISBLANK($C345),"",IF($AJ345=Constants!$B$7,LARGE(AL345:AP345,4)*W345,""))</f>
        <v/>
      </c>
      <c r="AY345" s="59" t="str">
        <f aca="false">IF(ISBLANK($C345),"",IF($AJ345=Constants!$B$7,RANK(AX345,$AX$8:$AX$507),$AJ345))</f>
        <v/>
      </c>
      <c r="AZ345" s="59" t="str">
        <f aca="false">IF(ISBLANK($C345),"",IF($AJ345=Constants!$B$7,IF(ISNUMBER(AV345),COUNTIFS($AK$8:$AK$507,"&lt;"&amp;$AK345)+COUNTIFS($AK$8:$AK$507,$AK345,$AV$8:$AV$507,"&lt;"&amp;$AV345)+COUNTIFS($AK$8:$AK$507,$AK345,$AV$8:$AV$507,$AV345,$AY$8:$AY$507,"&lt;"&amp;$AY345)+1,Constants!$B$14),$AJ345))</f>
        <v/>
      </c>
      <c r="BA345" s="59" t="str">
        <f aca="false">IF(ISBLANK($C345),"",IF($AJ345=Constants!$B$7,IF(ISNUMBER(AW345),AW345-AZ345,Constants!$B$14),$AJ345))</f>
        <v/>
      </c>
      <c r="BB345" s="61"/>
      <c r="BC345" s="62" t="str">
        <f aca="false">IF(ISBLANK($C345),"",IF($AJ345&lt;&gt;Constants!$B$7,$AJ345,SMALL(AQ345:AS345,1)&amp;", "&amp;SMALL(AQ345:AS345,2)&amp;", "&amp;SMALL(AQ345:AS345,3)))</f>
        <v/>
      </c>
      <c r="BD345" s="63" t="str">
        <f aca="false">IF(ISBLANK($C345),"",IF($AJ345&lt;&gt;Constants!$B$7,$AJ345,W345))</f>
        <v/>
      </c>
      <c r="BE345" s="64" t="str">
        <f aca="false">IF(ISBLANK($C345),"",IF($AJ345&lt;&gt;Constants!$B$7,$AJ345,AU345))</f>
        <v/>
      </c>
      <c r="BF345" s="65" t="str">
        <f aca="false">IF(ISBLANK($C345),"",IF($AJ345&lt;&gt;Constants!$B$7,$AJ345,AK345))</f>
        <v/>
      </c>
      <c r="BG345" s="63" t="str">
        <f aca="false">IF(ISBLANK($C345),"",BA345)</f>
        <v/>
      </c>
      <c r="BH345" s="63" t="str">
        <f aca="false">IF(ISBLANK($C345),"",AZ345)</f>
        <v/>
      </c>
      <c r="BI345" s="66" t="str">
        <f aca="false">IF(ISBLANK($C345),"",IF(BH345=Constants!$B$4,COUNTA($C$8:$C$507)+2,IF(BH345=Constants!$B$5,COUNTA($C$8:$C$507)+1,IF(BH345=Constants!$B$6,COUNTA($C$8:$C$507),BH345))))</f>
        <v/>
      </c>
      <c r="BJ345" s="5"/>
      <c r="BK345" s="67" t="n">
        <f aca="false">IF(OR(ISNUMBER(BH345),BH345=Constants!$B$4,BH345=Constants!$B$6,BH345=Constants!$B$5),1,0)</f>
        <v>0</v>
      </c>
      <c r="BL345" s="67" t="n">
        <v>338</v>
      </c>
      <c r="BM345" s="67" t="str">
        <f aca="false">IF(ISBLANK($C345),"",IF(ISNUMBER(BI345),BI345+ROW($B345)/1000,""))</f>
        <v/>
      </c>
      <c r="BN345" s="67" t="str">
        <f aca="false">IF(ISNUMBER(BM345),RANK(BM345,$BM$8:$BM$507,1),"")</f>
        <v/>
      </c>
      <c r="BO345" s="67" t="str">
        <f aca="false">IF(ISBLANK($C345),"",$B345)</f>
        <v/>
      </c>
      <c r="BP345" s="67" t="str">
        <f aca="false">IF(ISBLANK($C345),"",$C345)</f>
        <v/>
      </c>
      <c r="BQ345" s="67" t="str">
        <f aca="false">IF(ISBLANK($C345),"",$D345)</f>
        <v/>
      </c>
      <c r="BR345" s="68" t="str">
        <f aca="false">BF345</f>
        <v/>
      </c>
      <c r="BS345" s="69" t="str">
        <f aca="false">BE345</f>
        <v/>
      </c>
      <c r="BT345" s="67" t="str">
        <f aca="false">IF(ISBLANK($C345),"",BH345)</f>
        <v/>
      </c>
      <c r="BU345" s="70" t="str">
        <f aca="false">IF($BL345&gt;$BK$7,"",VLOOKUP($BL345,$BN$8:$BT$507,7,FALSE()))</f>
        <v/>
      </c>
      <c r="BV345" s="71" t="str">
        <f aca="false">IF($BL345&gt;$BK$7,"",VLOOKUP($BL345,$BN$8:$BT$507,2,FALSE()))</f>
        <v/>
      </c>
      <c r="BW345" s="71" t="str">
        <f aca="false">IF($BL345&gt;$BK$7,"",VLOOKUP($BL345,$BN$8:$BT$507,3,FALSE()))</f>
        <v/>
      </c>
      <c r="BX345" s="71" t="str">
        <f aca="false">IF($BL345&gt;$BK$7,"",VLOOKUP($BL345,$BN$8:$BT$507,4,FALSE()))</f>
        <v/>
      </c>
      <c r="BY345" s="71" t="str">
        <f aca="false">IF($BL345&gt;$BK$7,"",VLOOKUP($BL345,$BN$8:$BT$507,5,FALSE()))</f>
        <v/>
      </c>
      <c r="BZ345" s="72" t="str">
        <f aca="false">IF($BL345&gt;$BK$7,"",VLOOKUP($BL345,$BN$8:$BT$507,6,FALSE()))</f>
        <v/>
      </c>
      <c r="CA345" s="48"/>
    </row>
    <row r="346" customFormat="false" ht="15.75" hidden="false" customHeight="false" outlineLevel="0" collapsed="false">
      <c r="A346" s="5"/>
      <c r="B346" s="121"/>
      <c r="C346" s="50"/>
      <c r="D346" s="51"/>
      <c r="E346" s="74"/>
      <c r="F346" s="122"/>
      <c r="G346" s="54"/>
      <c r="H346" s="123"/>
      <c r="I346" s="124"/>
      <c r="J346" s="54"/>
      <c r="K346" s="123"/>
      <c r="L346" s="54"/>
      <c r="M346" s="123"/>
      <c r="N346" s="54"/>
      <c r="O346" s="123"/>
      <c r="P346" s="54"/>
      <c r="Q346" s="123"/>
      <c r="R346" s="54"/>
      <c r="S346" s="74"/>
      <c r="T346" s="58"/>
      <c r="U346" s="59" t="str">
        <f aca="false">IF(ISBLANK($C346),"",IF(E346=Constants!$B$2, TRUE(), IF(E346=Constants!$B$3, FALSE(), TRUE())))</f>
        <v/>
      </c>
      <c r="V346" s="59" t="str">
        <f aca="false">IF(ISBLANK($C346),"",IF(F346=Constants!$B$2, TRUE(), IF(F346=Constants!$B$3, FALSE(), TRUE())))</f>
        <v/>
      </c>
      <c r="W346" s="59" t="str">
        <f aca="false">IF(ISBLANK($C346),"",IF(G346=Constants!$B$15,Constants!$B$8,IF(G346=Constants!$B$16,Constants!$B$9,Constants!$B$10)))</f>
        <v/>
      </c>
      <c r="X346" s="59" t="str">
        <f aca="false">IF(ISBLANK($C346),"",IF(H346=Constants!$B$2, TRUE(), IF(H346=Constants!$B$3, FALSE(), TRUE())))</f>
        <v/>
      </c>
      <c r="Y346" s="59" t="str">
        <f aca="false">IF(ISBLANK($C346),"",IF(I346=Constants!$B$19,Constants!$B$19,Constants!$B$18))</f>
        <v/>
      </c>
      <c r="Z346" s="59" t="str">
        <f aca="false">IF(ISBLANK($C346),"",IF(ISNUMBER(J346),IF(J346&gt;=0,J346,""),""))</f>
        <v/>
      </c>
      <c r="AA346" s="59" t="str">
        <f aca="false">IF(ISBLANK($C346),"",IF(K346=Constants!$B$19,Constants!$B$19,Constants!$B$18))</f>
        <v/>
      </c>
      <c r="AB346" s="59" t="str">
        <f aca="false">IF(ISBLANK($C346),"",IF(ISNUMBER(L346),IF(L346&gt;=0,L346,""),""))</f>
        <v/>
      </c>
      <c r="AC346" s="59" t="str">
        <f aca="false">IF(ISBLANK($C346),"",IF(M346=Constants!$B$19,Constants!$B$19,Constants!$B$18))</f>
        <v/>
      </c>
      <c r="AD346" s="59" t="str">
        <f aca="false">IF(ISBLANK($C346),"",IF(ISNUMBER(N346),IF(N346&gt;=0,N346,""),""))</f>
        <v/>
      </c>
      <c r="AE346" s="59" t="str">
        <f aca="false">IF(ISBLANK($C346),"",IF(O346=Constants!$B$19,Constants!$B$19,Constants!$B$18))</f>
        <v/>
      </c>
      <c r="AF346" s="59" t="str">
        <f aca="false">IF(ISBLANK($C346),"",IF(ISNUMBER(P346),IF(P346&gt;=0,P346,""),""))</f>
        <v/>
      </c>
      <c r="AG346" s="59" t="str">
        <f aca="false">IF(ISBLANK($C346),"",IF(Q346=Constants!$B$19,Constants!$B$19,Constants!$B$18))</f>
        <v/>
      </c>
      <c r="AH346" s="59" t="str">
        <f aca="false">IF(ISBLANK($C346),"",IF(ISNUMBER(R346),IF(R346&gt;=0,R346,""),""))</f>
        <v/>
      </c>
      <c r="AI346" s="59" t="str">
        <f aca="false">IF(ISBLANK($C346),"",IF(S346=Constants!$B$2, TRUE(), IF(S346=Constants!$B$3, FALSE(), FALSE())))</f>
        <v/>
      </c>
      <c r="AJ346" s="59" t="str">
        <f aca="false">IF(ISBLANK($C346),"",IF(AI346,Constants!$B$4,IF(COUNTA(E346:R346)=0,Constants!$B$5,IF(COUNTA(J346,L346,N346,P346,R346)=0,Constants!$B$6,Constants!$B$7))))</f>
        <v/>
      </c>
      <c r="AK346" s="59" t="str">
        <f aca="false">IF(ISBLANK($C346),"",IF($AJ346&lt;&gt;Constants!$B$7,$AJ346,IF(OR(NOT(X346),AND(NOT(U346),COUNTIFS(Y346:AG346,Constants!$B$18,Z346:AH346,"&gt;=0")&gt;0),AND(NOT(V346),COUNTIFS(Y346:AG346,Constants!$B$19,Z346:AH346,"&gt;=0")&gt;0)),Constants!$B$12,Constants!$B$11)))</f>
        <v/>
      </c>
      <c r="AL346" s="59" t="str">
        <f aca="false">IF($AJ346=Constants!$B$7,IF(Z346="",Constants!$B$13,Z346),"")</f>
        <v/>
      </c>
      <c r="AM346" s="59" t="str">
        <f aca="false">IF($AJ346=Constants!$B$7,IF(AB346="",Constants!$B$13,AB346),"")</f>
        <v/>
      </c>
      <c r="AN346" s="59" t="str">
        <f aca="false">IF($AJ346=Constants!$B$7,IF(AD346="",Constants!$B$13,AD346),"")</f>
        <v/>
      </c>
      <c r="AO346" s="59" t="str">
        <f aca="false">IF($AJ346=Constants!$B$7,IF(AF346="",Constants!$B$13,AF346),"")</f>
        <v/>
      </c>
      <c r="AP346" s="59" t="str">
        <f aca="false">IF($AJ346=Constants!$B$7,IF(AH346="",Constants!$B$13,AH346),"")</f>
        <v/>
      </c>
      <c r="AQ346" s="59" t="str">
        <f aca="false">IF($AJ346=Constants!$B$7,IF(SUMPRODUCT(--($AL346:$AP346&gt;AL346))+SUMPRODUCT(--($AL346:AL346=AL346))=1,1,IF(SUMPRODUCT(--($AL346:$AP346&gt;AM346))+SUMPRODUCT(--($AL346:AM346=AM346))=1,2,IF(SUMPRODUCT(--($AL346:$AP346&gt;AN346))+SUMPRODUCT(--($AL346:AN346=AN346))=1,3,IF(SUMPRODUCT(--($AL346:$AP346&gt;AO346))+SUMPRODUCT(--($AL346:AO346=AO346))=1,4,5)))),"")</f>
        <v/>
      </c>
      <c r="AR346" s="59" t="str">
        <f aca="false">IF($AJ346=Constants!$B$7,IF(SUMPRODUCT(--($AL346:$AP346&gt;AL346))+SUMPRODUCT(--($AL346:AL346=AL346))=2,1,IF(SUMPRODUCT(--($AL346:$AP346&gt;AM346))+SUMPRODUCT(--($AL346:AM346=AM346))=2,2,IF(SUMPRODUCT(--($AL346:$AP346&gt;AN346))+SUMPRODUCT(--($AL346:AN346=AN346))=2,3,IF(SUMPRODUCT(--($AL346:$AP346&gt;AO346))+SUMPRODUCT(--($AL346:AO346=AO346))=2,4,5)))),"")</f>
        <v/>
      </c>
      <c r="AS346" s="59" t="str">
        <f aca="false">IF($AJ346=Constants!$B$7,IF(SUMPRODUCT(--($AL346:$AP346&gt;AL346))+SUMPRODUCT(--($AL346:AL346=AL346))=3,1,IF(SUMPRODUCT(--($AL346:$AP346&gt;AM346))+SUMPRODUCT(--($AL346:AM346=AM346))=3,2,IF(SUMPRODUCT(--($AL346:$AP346&gt;AN346))+SUMPRODUCT(--($AL346:AN346=AN346))=3,3,IF(SUMPRODUCT(--($AL346:$AP346&gt;AO346))+SUMPRODUCT(--($AL346:AO346=AO346))=3,4,5)))),"")</f>
        <v/>
      </c>
      <c r="AT346" s="59" t="str">
        <f aca="false">IF($AJ346=Constants!$B$7,LARGE(AL346:AP346,1)+LARGE(AL346:AP346,2)+LARGE(AL346:AP346,3),"")</f>
        <v/>
      </c>
      <c r="AU346" s="59" t="str">
        <f aca="false">IF(ISBLANK($C346),"",IF($AJ346&lt;&gt;Constants!$B$7,$AJ346,AT346*W346))</f>
        <v/>
      </c>
      <c r="AV346" s="59" t="str">
        <f aca="false">IF(ISBLANK($C346),"",IF($AJ346=Constants!$B$7,IF(ISNUMBER(AU346),RANK(AU346,$AU$8:$AU$507),Constants!$B$14),$AJ346))</f>
        <v/>
      </c>
      <c r="AW346" s="59" t="str">
        <f aca="false">IF(ISBLANK($C346),"",IF($AJ346=Constants!$B$7,IF(ISNUMBER(AV346),COUNTIFS($AK$8:$AK$507,"&lt;"&amp;$AK346)+COUNTIFS($AK$8:$AK$507,$AK346,$AV$8:$AV$507,"&lt;"&amp;$AV346)+1,Constants!$B$14),$AJ346))</f>
        <v/>
      </c>
      <c r="AX346" s="59" t="str">
        <f aca="false">IF(ISBLANK($C346),"",IF($AJ346=Constants!$B$7,LARGE(AL346:AP346,4)*W346,""))</f>
        <v/>
      </c>
      <c r="AY346" s="59" t="str">
        <f aca="false">IF(ISBLANK($C346),"",IF($AJ346=Constants!$B$7,RANK(AX346,$AX$8:$AX$507),$AJ346))</f>
        <v/>
      </c>
      <c r="AZ346" s="59" t="str">
        <f aca="false">IF(ISBLANK($C346),"",IF($AJ346=Constants!$B$7,IF(ISNUMBER(AV346),COUNTIFS($AK$8:$AK$507,"&lt;"&amp;$AK346)+COUNTIFS($AK$8:$AK$507,$AK346,$AV$8:$AV$507,"&lt;"&amp;$AV346)+COUNTIFS($AK$8:$AK$507,$AK346,$AV$8:$AV$507,$AV346,$AY$8:$AY$507,"&lt;"&amp;$AY346)+1,Constants!$B$14),$AJ346))</f>
        <v/>
      </c>
      <c r="BA346" s="59" t="str">
        <f aca="false">IF(ISBLANK($C346),"",IF($AJ346=Constants!$B$7,IF(ISNUMBER(AW346),AW346-AZ346,Constants!$B$14),$AJ346))</f>
        <v/>
      </c>
      <c r="BB346" s="61"/>
      <c r="BC346" s="62" t="str">
        <f aca="false">IF(ISBLANK($C346),"",IF($AJ346&lt;&gt;Constants!$B$7,$AJ346,SMALL(AQ346:AS346,1)&amp;", "&amp;SMALL(AQ346:AS346,2)&amp;", "&amp;SMALL(AQ346:AS346,3)))</f>
        <v/>
      </c>
      <c r="BD346" s="63" t="str">
        <f aca="false">IF(ISBLANK($C346),"",IF($AJ346&lt;&gt;Constants!$B$7,$AJ346,W346))</f>
        <v/>
      </c>
      <c r="BE346" s="64" t="str">
        <f aca="false">IF(ISBLANK($C346),"",IF($AJ346&lt;&gt;Constants!$B$7,$AJ346,AU346))</f>
        <v/>
      </c>
      <c r="BF346" s="65" t="str">
        <f aca="false">IF(ISBLANK($C346),"",IF($AJ346&lt;&gt;Constants!$B$7,$AJ346,AK346))</f>
        <v/>
      </c>
      <c r="BG346" s="63" t="str">
        <f aca="false">IF(ISBLANK($C346),"",BA346)</f>
        <v/>
      </c>
      <c r="BH346" s="63" t="str">
        <f aca="false">IF(ISBLANK($C346),"",AZ346)</f>
        <v/>
      </c>
      <c r="BI346" s="66" t="str">
        <f aca="false">IF(ISBLANK($C346),"",IF(BH346=Constants!$B$4,COUNTA($C$8:$C$507)+2,IF(BH346=Constants!$B$5,COUNTA($C$8:$C$507)+1,IF(BH346=Constants!$B$6,COUNTA($C$8:$C$507),BH346))))</f>
        <v/>
      </c>
      <c r="BJ346" s="5"/>
      <c r="BK346" s="67" t="n">
        <f aca="false">IF(OR(ISNUMBER(BH346),BH346=Constants!$B$4,BH346=Constants!$B$6,BH346=Constants!$B$5),1,0)</f>
        <v>0</v>
      </c>
      <c r="BL346" s="67" t="n">
        <v>339</v>
      </c>
      <c r="BM346" s="67" t="str">
        <f aca="false">IF(ISBLANK($C346),"",IF(ISNUMBER(BI346),BI346+ROW($B346)/1000,""))</f>
        <v/>
      </c>
      <c r="BN346" s="67" t="str">
        <f aca="false">IF(ISNUMBER(BM346),RANK(BM346,$BM$8:$BM$507,1),"")</f>
        <v/>
      </c>
      <c r="BO346" s="67" t="str">
        <f aca="false">IF(ISBLANK($C346),"",$B346)</f>
        <v/>
      </c>
      <c r="BP346" s="67" t="str">
        <f aca="false">IF(ISBLANK($C346),"",$C346)</f>
        <v/>
      </c>
      <c r="BQ346" s="67" t="str">
        <f aca="false">IF(ISBLANK($C346),"",$D346)</f>
        <v/>
      </c>
      <c r="BR346" s="68" t="str">
        <f aca="false">BF346</f>
        <v/>
      </c>
      <c r="BS346" s="69" t="str">
        <f aca="false">BE346</f>
        <v/>
      </c>
      <c r="BT346" s="67" t="str">
        <f aca="false">IF(ISBLANK($C346),"",BH346)</f>
        <v/>
      </c>
      <c r="BU346" s="70" t="str">
        <f aca="false">IF($BL346&gt;$BK$7,"",VLOOKUP($BL346,$BN$8:$BT$507,7,FALSE()))</f>
        <v/>
      </c>
      <c r="BV346" s="71" t="str">
        <f aca="false">IF($BL346&gt;$BK$7,"",VLOOKUP($BL346,$BN$8:$BT$507,2,FALSE()))</f>
        <v/>
      </c>
      <c r="BW346" s="71" t="str">
        <f aca="false">IF($BL346&gt;$BK$7,"",VLOOKUP($BL346,$BN$8:$BT$507,3,FALSE()))</f>
        <v/>
      </c>
      <c r="BX346" s="71" t="str">
        <f aca="false">IF($BL346&gt;$BK$7,"",VLOOKUP($BL346,$BN$8:$BT$507,4,FALSE()))</f>
        <v/>
      </c>
      <c r="BY346" s="71" t="str">
        <f aca="false">IF($BL346&gt;$BK$7,"",VLOOKUP($BL346,$BN$8:$BT$507,5,FALSE()))</f>
        <v/>
      </c>
      <c r="BZ346" s="72" t="str">
        <f aca="false">IF($BL346&gt;$BK$7,"",VLOOKUP($BL346,$BN$8:$BT$507,6,FALSE()))</f>
        <v/>
      </c>
      <c r="CA346" s="48"/>
    </row>
    <row r="347" customFormat="false" ht="15.75" hidden="false" customHeight="false" outlineLevel="0" collapsed="false">
      <c r="A347" s="5"/>
      <c r="B347" s="114"/>
      <c r="C347" s="115"/>
      <c r="D347" s="100"/>
      <c r="E347" s="120"/>
      <c r="F347" s="125"/>
      <c r="G347" s="82"/>
      <c r="H347" s="126"/>
      <c r="I347" s="127"/>
      <c r="J347" s="82"/>
      <c r="K347" s="126"/>
      <c r="L347" s="82"/>
      <c r="M347" s="126"/>
      <c r="N347" s="82"/>
      <c r="O347" s="126"/>
      <c r="P347" s="82"/>
      <c r="Q347" s="126"/>
      <c r="R347" s="82"/>
      <c r="S347" s="120"/>
      <c r="T347" s="86"/>
      <c r="U347" s="87" t="str">
        <f aca="false">IF(ISBLANK($C347),"",IF(E347=Constants!$B$2, TRUE(), IF(E347=Constants!$B$3, FALSE(), TRUE())))</f>
        <v/>
      </c>
      <c r="V347" s="87" t="str">
        <f aca="false">IF(ISBLANK($C347),"",IF(F347=Constants!$B$2, TRUE(), IF(F347=Constants!$B$3, FALSE(), TRUE())))</f>
        <v/>
      </c>
      <c r="W347" s="87" t="str">
        <f aca="false">IF(ISBLANK($C347),"",IF(G347=Constants!$B$15,Constants!$B$8,IF(G347=Constants!$B$16,Constants!$B$9,Constants!$B$10)))</f>
        <v/>
      </c>
      <c r="X347" s="87" t="str">
        <f aca="false">IF(ISBLANK($C347),"",IF(H347=Constants!$B$2, TRUE(), IF(H347=Constants!$B$3, FALSE(), TRUE())))</f>
        <v/>
      </c>
      <c r="Y347" s="87" t="str">
        <f aca="false">IF(ISBLANK($C347),"",IF(I347=Constants!$B$19,Constants!$B$19,Constants!$B$18))</f>
        <v/>
      </c>
      <c r="Z347" s="87" t="str">
        <f aca="false">IF(ISBLANK($C347),"",IF(ISNUMBER(J347),IF(J347&gt;=0,J347,""),""))</f>
        <v/>
      </c>
      <c r="AA347" s="87" t="str">
        <f aca="false">IF(ISBLANK($C347),"",IF(K347=Constants!$B$19,Constants!$B$19,Constants!$B$18))</f>
        <v/>
      </c>
      <c r="AB347" s="87" t="str">
        <f aca="false">IF(ISBLANK($C347),"",IF(ISNUMBER(L347),IF(L347&gt;=0,L347,""),""))</f>
        <v/>
      </c>
      <c r="AC347" s="87" t="str">
        <f aca="false">IF(ISBLANK($C347),"",IF(M347=Constants!$B$19,Constants!$B$19,Constants!$B$18))</f>
        <v/>
      </c>
      <c r="AD347" s="87" t="str">
        <f aca="false">IF(ISBLANK($C347),"",IF(ISNUMBER(N347),IF(N347&gt;=0,N347,""),""))</f>
        <v/>
      </c>
      <c r="AE347" s="87" t="str">
        <f aca="false">IF(ISBLANK($C347),"",IF(O347=Constants!$B$19,Constants!$B$19,Constants!$B$18))</f>
        <v/>
      </c>
      <c r="AF347" s="87" t="str">
        <f aca="false">IF(ISBLANK($C347),"",IF(ISNUMBER(P347),IF(P347&gt;=0,P347,""),""))</f>
        <v/>
      </c>
      <c r="AG347" s="87" t="str">
        <f aca="false">IF(ISBLANK($C347),"",IF(Q347=Constants!$B$19,Constants!$B$19,Constants!$B$18))</f>
        <v/>
      </c>
      <c r="AH347" s="87" t="str">
        <f aca="false">IF(ISBLANK($C347),"",IF(ISNUMBER(R347),IF(R347&gt;=0,R347,""),""))</f>
        <v/>
      </c>
      <c r="AI347" s="87" t="str">
        <f aca="false">IF(ISBLANK($C347),"",IF(S347=Constants!$B$2, TRUE(), IF(S347=Constants!$B$3, FALSE(), FALSE())))</f>
        <v/>
      </c>
      <c r="AJ347" s="87" t="str">
        <f aca="false">IF(ISBLANK($C347),"",IF(AI347,Constants!$B$4,IF(COUNTA(E347:R347)=0,Constants!$B$5,IF(COUNTA(J347,L347,N347,P347,R347)=0,Constants!$B$6,Constants!$B$7))))</f>
        <v/>
      </c>
      <c r="AK347" s="87" t="str">
        <f aca="false">IF(ISBLANK($C347),"",IF($AJ347&lt;&gt;Constants!$B$7,$AJ347,IF(OR(NOT(X347),AND(NOT(U347),COUNTIFS(Y347:AG347,Constants!$B$18,Z347:AH347,"&gt;=0")&gt;0),AND(NOT(V347),COUNTIFS(Y347:AG347,Constants!$B$19,Z347:AH347,"&gt;=0")&gt;0)),Constants!$B$12,Constants!$B$11)))</f>
        <v/>
      </c>
      <c r="AL347" s="87" t="str">
        <f aca="false">IF($AJ347=Constants!$B$7,IF(Z347="",Constants!$B$13,Z347),"")</f>
        <v/>
      </c>
      <c r="AM347" s="87" t="str">
        <f aca="false">IF($AJ347=Constants!$B$7,IF(AB347="",Constants!$B$13,AB347),"")</f>
        <v/>
      </c>
      <c r="AN347" s="87" t="str">
        <f aca="false">IF($AJ347=Constants!$B$7,IF(AD347="",Constants!$B$13,AD347),"")</f>
        <v/>
      </c>
      <c r="AO347" s="87" t="str">
        <f aca="false">IF($AJ347=Constants!$B$7,IF(AF347="",Constants!$B$13,AF347),"")</f>
        <v/>
      </c>
      <c r="AP347" s="87" t="str">
        <f aca="false">IF($AJ347=Constants!$B$7,IF(AH347="",Constants!$B$13,AH347),"")</f>
        <v/>
      </c>
      <c r="AQ347" s="87" t="str">
        <f aca="false">IF($AJ347=Constants!$B$7,IF(SUMPRODUCT(--($AL347:$AP347&gt;AL347))+SUMPRODUCT(--($AL347:AL347=AL347))=1,1,IF(SUMPRODUCT(--($AL347:$AP347&gt;AM347))+SUMPRODUCT(--($AL347:AM347=AM347))=1,2,IF(SUMPRODUCT(--($AL347:$AP347&gt;AN347))+SUMPRODUCT(--($AL347:AN347=AN347))=1,3,IF(SUMPRODUCT(--($AL347:$AP347&gt;AO347))+SUMPRODUCT(--($AL347:AO347=AO347))=1,4,5)))),"")</f>
        <v/>
      </c>
      <c r="AR347" s="87" t="str">
        <f aca="false">IF($AJ347=Constants!$B$7,IF(SUMPRODUCT(--($AL347:$AP347&gt;AL347))+SUMPRODUCT(--($AL347:AL347=AL347))=2,1,IF(SUMPRODUCT(--($AL347:$AP347&gt;AM347))+SUMPRODUCT(--($AL347:AM347=AM347))=2,2,IF(SUMPRODUCT(--($AL347:$AP347&gt;AN347))+SUMPRODUCT(--($AL347:AN347=AN347))=2,3,IF(SUMPRODUCT(--($AL347:$AP347&gt;AO347))+SUMPRODUCT(--($AL347:AO347=AO347))=2,4,5)))),"")</f>
        <v/>
      </c>
      <c r="AS347" s="87" t="str">
        <f aca="false">IF($AJ347=Constants!$B$7,IF(SUMPRODUCT(--($AL347:$AP347&gt;AL347))+SUMPRODUCT(--($AL347:AL347=AL347))=3,1,IF(SUMPRODUCT(--($AL347:$AP347&gt;AM347))+SUMPRODUCT(--($AL347:AM347=AM347))=3,2,IF(SUMPRODUCT(--($AL347:$AP347&gt;AN347))+SUMPRODUCT(--($AL347:AN347=AN347))=3,3,IF(SUMPRODUCT(--($AL347:$AP347&gt;AO347))+SUMPRODUCT(--($AL347:AO347=AO347))=3,4,5)))),"")</f>
        <v/>
      </c>
      <c r="AT347" s="87" t="str">
        <f aca="false">IF($AJ347=Constants!$B$7,LARGE(AL347:AP347,1)+LARGE(AL347:AP347,2)+LARGE(AL347:AP347,3),"")</f>
        <v/>
      </c>
      <c r="AU347" s="87" t="str">
        <f aca="false">IF(ISBLANK($C347),"",IF($AJ347&lt;&gt;Constants!$B$7,$AJ347,AT347*W347))</f>
        <v/>
      </c>
      <c r="AV347" s="87" t="str">
        <f aca="false">IF(ISBLANK($C347),"",IF($AJ347=Constants!$B$7,IF(ISNUMBER(AU347),RANK(AU347,$AU$8:$AU$507),Constants!$B$14),$AJ347))</f>
        <v/>
      </c>
      <c r="AW347" s="87" t="str">
        <f aca="false">IF(ISBLANK($C347),"",IF($AJ347=Constants!$B$7,IF(ISNUMBER(AV347),COUNTIFS($AK$8:$AK$507,"&lt;"&amp;$AK347)+COUNTIFS($AK$8:$AK$507,$AK347,$AV$8:$AV$507,"&lt;"&amp;$AV347)+1,Constants!$B$14),$AJ347))</f>
        <v/>
      </c>
      <c r="AX347" s="87" t="str">
        <f aca="false">IF(ISBLANK($C347),"",IF($AJ347=Constants!$B$7,LARGE(AL347:AP347,4)*W347,""))</f>
        <v/>
      </c>
      <c r="AY347" s="87" t="str">
        <f aca="false">IF(ISBLANK($C347),"",IF($AJ347=Constants!$B$7,RANK(AX347,$AX$8:$AX$507),$AJ347))</f>
        <v/>
      </c>
      <c r="AZ347" s="87" t="str">
        <f aca="false">IF(ISBLANK($C347),"",IF($AJ347=Constants!$B$7,IF(ISNUMBER(AV347),COUNTIFS($AK$8:$AK$507,"&lt;"&amp;$AK347)+COUNTIFS($AK$8:$AK$507,$AK347,$AV$8:$AV$507,"&lt;"&amp;$AV347)+COUNTIFS($AK$8:$AK$507,$AK347,$AV$8:$AV$507,$AV347,$AY$8:$AY$507,"&lt;"&amp;$AY347)+1,Constants!$B$14),$AJ347))</f>
        <v/>
      </c>
      <c r="BA347" s="87" t="str">
        <f aca="false">IF(ISBLANK($C347),"",IF($AJ347=Constants!$B$7,IF(ISNUMBER(AW347),AW347-AZ347,Constants!$B$14),$AJ347))</f>
        <v/>
      </c>
      <c r="BB347" s="88"/>
      <c r="BC347" s="89" t="str">
        <f aca="false">IF(ISBLANK($C347),"",IF($AJ347&lt;&gt;Constants!$B$7,$AJ347,SMALL(AQ347:AS347,1)&amp;", "&amp;SMALL(AQ347:AS347,2)&amp;", "&amp;SMALL(AQ347:AS347,3)))</f>
        <v/>
      </c>
      <c r="BD347" s="90" t="str">
        <f aca="false">IF(ISBLANK($C347),"",IF($AJ347&lt;&gt;Constants!$B$7,$AJ347,W347))</f>
        <v/>
      </c>
      <c r="BE347" s="91" t="str">
        <f aca="false">IF(ISBLANK($C347),"",IF($AJ347&lt;&gt;Constants!$B$7,$AJ347,AU347))</f>
        <v/>
      </c>
      <c r="BF347" s="92" t="str">
        <f aca="false">IF(ISBLANK($C347),"",IF($AJ347&lt;&gt;Constants!$B$7,$AJ347,AK347))</f>
        <v/>
      </c>
      <c r="BG347" s="90" t="str">
        <f aca="false">IF(ISBLANK($C347),"",BA347)</f>
        <v/>
      </c>
      <c r="BH347" s="90" t="str">
        <f aca="false">IF(ISBLANK($C347),"",AZ347)</f>
        <v/>
      </c>
      <c r="BI347" s="93" t="str">
        <f aca="false">IF(ISBLANK($C347),"",IF(BH347=Constants!$B$4,COUNTA($C$8:$C$507)+2,IF(BH347=Constants!$B$5,COUNTA($C$8:$C$507)+1,IF(BH347=Constants!$B$6,COUNTA($C$8:$C$507),BH347))))</f>
        <v/>
      </c>
      <c r="BJ347" s="5"/>
      <c r="BK347" s="94" t="n">
        <f aca="false">IF(OR(ISNUMBER(BH347),BH347=Constants!$B$4,BH347=Constants!$B$6,BH347=Constants!$B$5),1,0)</f>
        <v>0</v>
      </c>
      <c r="BL347" s="94" t="n">
        <v>340</v>
      </c>
      <c r="BM347" s="94" t="str">
        <f aca="false">IF(ISBLANK($C347),"",IF(ISNUMBER(BI347),BI347+ROW($B347)/1000,""))</f>
        <v/>
      </c>
      <c r="BN347" s="94" t="str">
        <f aca="false">IF(ISNUMBER(BM347),RANK(BM347,$BM$8:$BM$507,1),"")</f>
        <v/>
      </c>
      <c r="BO347" s="94" t="str">
        <f aca="false">IF(ISBLANK($C347),"",$B347)</f>
        <v/>
      </c>
      <c r="BP347" s="94" t="str">
        <f aca="false">IF(ISBLANK($C347),"",$C347)</f>
        <v/>
      </c>
      <c r="BQ347" s="94" t="str">
        <f aca="false">IF(ISBLANK($C347),"",$D347)</f>
        <v/>
      </c>
      <c r="BR347" s="95" t="str">
        <f aca="false">BF347</f>
        <v/>
      </c>
      <c r="BS347" s="96" t="str">
        <f aca="false">BE347</f>
        <v/>
      </c>
      <c r="BT347" s="94" t="str">
        <f aca="false">IF(ISBLANK($C347),"",BH347)</f>
        <v/>
      </c>
      <c r="BU347" s="97" t="str">
        <f aca="false">IF($BL347&gt;$BK$7,"",VLOOKUP($BL347,$BN$8:$BT$507,7,FALSE()))</f>
        <v/>
      </c>
      <c r="BV347" s="98" t="str">
        <f aca="false">IF($BL347&gt;$BK$7,"",VLOOKUP($BL347,$BN$8:$BT$507,2,FALSE()))</f>
        <v/>
      </c>
      <c r="BW347" s="98" t="str">
        <f aca="false">IF($BL347&gt;$BK$7,"",VLOOKUP($BL347,$BN$8:$BT$507,3,FALSE()))</f>
        <v/>
      </c>
      <c r="BX347" s="98" t="str">
        <f aca="false">IF($BL347&gt;$BK$7,"",VLOOKUP($BL347,$BN$8:$BT$507,4,FALSE()))</f>
        <v/>
      </c>
      <c r="BY347" s="98" t="str">
        <f aca="false">IF($BL347&gt;$BK$7,"",VLOOKUP($BL347,$BN$8:$BT$507,5,FALSE()))</f>
        <v/>
      </c>
      <c r="BZ347" s="99" t="str">
        <f aca="false">IF($BL347&gt;$BK$7,"",VLOOKUP($BL347,$BN$8:$BT$507,6,FALSE()))</f>
        <v/>
      </c>
      <c r="CA347" s="48"/>
    </row>
    <row r="348" customFormat="false" ht="15.75" hidden="false" customHeight="false" outlineLevel="0" collapsed="false">
      <c r="A348" s="5"/>
      <c r="B348" s="114"/>
      <c r="C348" s="115"/>
      <c r="D348" s="100"/>
      <c r="E348" s="120"/>
      <c r="F348" s="125"/>
      <c r="G348" s="82"/>
      <c r="H348" s="126"/>
      <c r="I348" s="127"/>
      <c r="J348" s="82"/>
      <c r="K348" s="126"/>
      <c r="L348" s="82"/>
      <c r="M348" s="126"/>
      <c r="N348" s="82"/>
      <c r="O348" s="126"/>
      <c r="P348" s="82"/>
      <c r="Q348" s="126"/>
      <c r="R348" s="82"/>
      <c r="S348" s="120"/>
      <c r="T348" s="86"/>
      <c r="U348" s="87" t="str">
        <f aca="false">IF(ISBLANK($C348),"",IF(E348=Constants!$B$2, TRUE(), IF(E348=Constants!$B$3, FALSE(), TRUE())))</f>
        <v/>
      </c>
      <c r="V348" s="87" t="str">
        <f aca="false">IF(ISBLANK($C348),"",IF(F348=Constants!$B$2, TRUE(), IF(F348=Constants!$B$3, FALSE(), TRUE())))</f>
        <v/>
      </c>
      <c r="W348" s="87" t="str">
        <f aca="false">IF(ISBLANK($C348),"",IF(G348=Constants!$B$15,Constants!$B$8,IF(G348=Constants!$B$16,Constants!$B$9,Constants!$B$10)))</f>
        <v/>
      </c>
      <c r="X348" s="87" t="str">
        <f aca="false">IF(ISBLANK($C348),"",IF(H348=Constants!$B$2, TRUE(), IF(H348=Constants!$B$3, FALSE(), TRUE())))</f>
        <v/>
      </c>
      <c r="Y348" s="87" t="str">
        <f aca="false">IF(ISBLANK($C348),"",IF(I348=Constants!$B$19,Constants!$B$19,Constants!$B$18))</f>
        <v/>
      </c>
      <c r="Z348" s="87" t="str">
        <f aca="false">IF(ISBLANK($C348),"",IF(ISNUMBER(J348),IF(J348&gt;=0,J348,""),""))</f>
        <v/>
      </c>
      <c r="AA348" s="87" t="str">
        <f aca="false">IF(ISBLANK($C348),"",IF(K348=Constants!$B$19,Constants!$B$19,Constants!$B$18))</f>
        <v/>
      </c>
      <c r="AB348" s="87" t="str">
        <f aca="false">IF(ISBLANK($C348),"",IF(ISNUMBER(L348),IF(L348&gt;=0,L348,""),""))</f>
        <v/>
      </c>
      <c r="AC348" s="87" t="str">
        <f aca="false">IF(ISBLANK($C348),"",IF(M348=Constants!$B$19,Constants!$B$19,Constants!$B$18))</f>
        <v/>
      </c>
      <c r="AD348" s="87" t="str">
        <f aca="false">IF(ISBLANK($C348),"",IF(ISNUMBER(N348),IF(N348&gt;=0,N348,""),""))</f>
        <v/>
      </c>
      <c r="AE348" s="87" t="str">
        <f aca="false">IF(ISBLANK($C348),"",IF(O348=Constants!$B$19,Constants!$B$19,Constants!$B$18))</f>
        <v/>
      </c>
      <c r="AF348" s="87" t="str">
        <f aca="false">IF(ISBLANK($C348),"",IF(ISNUMBER(P348),IF(P348&gt;=0,P348,""),""))</f>
        <v/>
      </c>
      <c r="AG348" s="87" t="str">
        <f aca="false">IF(ISBLANK($C348),"",IF(Q348=Constants!$B$19,Constants!$B$19,Constants!$B$18))</f>
        <v/>
      </c>
      <c r="AH348" s="87" t="str">
        <f aca="false">IF(ISBLANK($C348),"",IF(ISNUMBER(R348),IF(R348&gt;=0,R348,""),""))</f>
        <v/>
      </c>
      <c r="AI348" s="87" t="str">
        <f aca="false">IF(ISBLANK($C348),"",IF(S348=Constants!$B$2, TRUE(), IF(S348=Constants!$B$3, FALSE(), FALSE())))</f>
        <v/>
      </c>
      <c r="AJ348" s="87" t="str">
        <f aca="false">IF(ISBLANK($C348),"",IF(AI348,Constants!$B$4,IF(COUNTA(E348:R348)=0,Constants!$B$5,IF(COUNTA(J348,L348,N348,P348,R348)=0,Constants!$B$6,Constants!$B$7))))</f>
        <v/>
      </c>
      <c r="AK348" s="87" t="str">
        <f aca="false">IF(ISBLANK($C348),"",IF($AJ348&lt;&gt;Constants!$B$7,$AJ348,IF(OR(NOT(X348),AND(NOT(U348),COUNTIFS(Y348:AG348,Constants!$B$18,Z348:AH348,"&gt;=0")&gt;0),AND(NOT(V348),COUNTIFS(Y348:AG348,Constants!$B$19,Z348:AH348,"&gt;=0")&gt;0)),Constants!$B$12,Constants!$B$11)))</f>
        <v/>
      </c>
      <c r="AL348" s="87" t="str">
        <f aca="false">IF($AJ348=Constants!$B$7,IF(Z348="",Constants!$B$13,Z348),"")</f>
        <v/>
      </c>
      <c r="AM348" s="87" t="str">
        <f aca="false">IF($AJ348=Constants!$B$7,IF(AB348="",Constants!$B$13,AB348),"")</f>
        <v/>
      </c>
      <c r="AN348" s="87" t="str">
        <f aca="false">IF($AJ348=Constants!$B$7,IF(AD348="",Constants!$B$13,AD348),"")</f>
        <v/>
      </c>
      <c r="AO348" s="87" t="str">
        <f aca="false">IF($AJ348=Constants!$B$7,IF(AF348="",Constants!$B$13,AF348),"")</f>
        <v/>
      </c>
      <c r="AP348" s="87" t="str">
        <f aca="false">IF($AJ348=Constants!$B$7,IF(AH348="",Constants!$B$13,AH348),"")</f>
        <v/>
      </c>
      <c r="AQ348" s="87" t="str">
        <f aca="false">IF($AJ348=Constants!$B$7,IF(SUMPRODUCT(--($AL348:$AP348&gt;AL348))+SUMPRODUCT(--($AL348:AL348=AL348))=1,1,IF(SUMPRODUCT(--($AL348:$AP348&gt;AM348))+SUMPRODUCT(--($AL348:AM348=AM348))=1,2,IF(SUMPRODUCT(--($AL348:$AP348&gt;AN348))+SUMPRODUCT(--($AL348:AN348=AN348))=1,3,IF(SUMPRODUCT(--($AL348:$AP348&gt;AO348))+SUMPRODUCT(--($AL348:AO348=AO348))=1,4,5)))),"")</f>
        <v/>
      </c>
      <c r="AR348" s="87" t="str">
        <f aca="false">IF($AJ348=Constants!$B$7,IF(SUMPRODUCT(--($AL348:$AP348&gt;AL348))+SUMPRODUCT(--($AL348:AL348=AL348))=2,1,IF(SUMPRODUCT(--($AL348:$AP348&gt;AM348))+SUMPRODUCT(--($AL348:AM348=AM348))=2,2,IF(SUMPRODUCT(--($AL348:$AP348&gt;AN348))+SUMPRODUCT(--($AL348:AN348=AN348))=2,3,IF(SUMPRODUCT(--($AL348:$AP348&gt;AO348))+SUMPRODUCT(--($AL348:AO348=AO348))=2,4,5)))),"")</f>
        <v/>
      </c>
      <c r="AS348" s="87" t="str">
        <f aca="false">IF($AJ348=Constants!$B$7,IF(SUMPRODUCT(--($AL348:$AP348&gt;AL348))+SUMPRODUCT(--($AL348:AL348=AL348))=3,1,IF(SUMPRODUCT(--($AL348:$AP348&gt;AM348))+SUMPRODUCT(--($AL348:AM348=AM348))=3,2,IF(SUMPRODUCT(--($AL348:$AP348&gt;AN348))+SUMPRODUCT(--($AL348:AN348=AN348))=3,3,IF(SUMPRODUCT(--($AL348:$AP348&gt;AO348))+SUMPRODUCT(--($AL348:AO348=AO348))=3,4,5)))),"")</f>
        <v/>
      </c>
      <c r="AT348" s="87" t="str">
        <f aca="false">IF($AJ348=Constants!$B$7,LARGE(AL348:AP348,1)+LARGE(AL348:AP348,2)+LARGE(AL348:AP348,3),"")</f>
        <v/>
      </c>
      <c r="AU348" s="87" t="str">
        <f aca="false">IF(ISBLANK($C348),"",IF($AJ348&lt;&gt;Constants!$B$7,$AJ348,AT348*W348))</f>
        <v/>
      </c>
      <c r="AV348" s="87" t="str">
        <f aca="false">IF(ISBLANK($C348),"",IF($AJ348=Constants!$B$7,IF(ISNUMBER(AU348),RANK(AU348,$AU$8:$AU$507),Constants!$B$14),$AJ348))</f>
        <v/>
      </c>
      <c r="AW348" s="87" t="str">
        <f aca="false">IF(ISBLANK($C348),"",IF($AJ348=Constants!$B$7,IF(ISNUMBER(AV348),COUNTIFS($AK$8:$AK$507,"&lt;"&amp;$AK348)+COUNTIFS($AK$8:$AK$507,$AK348,$AV$8:$AV$507,"&lt;"&amp;$AV348)+1,Constants!$B$14),$AJ348))</f>
        <v/>
      </c>
      <c r="AX348" s="87" t="str">
        <f aca="false">IF(ISBLANK($C348),"",IF($AJ348=Constants!$B$7,LARGE(AL348:AP348,4)*W348,""))</f>
        <v/>
      </c>
      <c r="AY348" s="87" t="str">
        <f aca="false">IF(ISBLANK($C348),"",IF($AJ348=Constants!$B$7,RANK(AX348,$AX$8:$AX$507),$AJ348))</f>
        <v/>
      </c>
      <c r="AZ348" s="87" t="str">
        <f aca="false">IF(ISBLANK($C348),"",IF($AJ348=Constants!$B$7,IF(ISNUMBER(AV348),COUNTIFS($AK$8:$AK$507,"&lt;"&amp;$AK348)+COUNTIFS($AK$8:$AK$507,$AK348,$AV$8:$AV$507,"&lt;"&amp;$AV348)+COUNTIFS($AK$8:$AK$507,$AK348,$AV$8:$AV$507,$AV348,$AY$8:$AY$507,"&lt;"&amp;$AY348)+1,Constants!$B$14),$AJ348))</f>
        <v/>
      </c>
      <c r="BA348" s="87" t="str">
        <f aca="false">IF(ISBLANK($C348),"",IF($AJ348=Constants!$B$7,IF(ISNUMBER(AW348),AW348-AZ348,Constants!$B$14),$AJ348))</f>
        <v/>
      </c>
      <c r="BB348" s="88"/>
      <c r="BC348" s="89" t="str">
        <f aca="false">IF(ISBLANK($C348),"",IF($AJ348&lt;&gt;Constants!$B$7,$AJ348,SMALL(AQ348:AS348,1)&amp;", "&amp;SMALL(AQ348:AS348,2)&amp;", "&amp;SMALL(AQ348:AS348,3)))</f>
        <v/>
      </c>
      <c r="BD348" s="90" t="str">
        <f aca="false">IF(ISBLANK($C348),"",IF($AJ348&lt;&gt;Constants!$B$7,$AJ348,W348))</f>
        <v/>
      </c>
      <c r="BE348" s="91" t="str">
        <f aca="false">IF(ISBLANK($C348),"",IF($AJ348&lt;&gt;Constants!$B$7,$AJ348,AU348))</f>
        <v/>
      </c>
      <c r="BF348" s="92" t="str">
        <f aca="false">IF(ISBLANK($C348),"",IF($AJ348&lt;&gt;Constants!$B$7,$AJ348,AK348))</f>
        <v/>
      </c>
      <c r="BG348" s="90" t="str">
        <f aca="false">IF(ISBLANK($C348),"",BA348)</f>
        <v/>
      </c>
      <c r="BH348" s="90" t="str">
        <f aca="false">IF(ISBLANK($C348),"",AZ348)</f>
        <v/>
      </c>
      <c r="BI348" s="93" t="str">
        <f aca="false">IF(ISBLANK($C348),"",IF(BH348=Constants!$B$4,COUNTA($C$8:$C$507)+2,IF(BH348=Constants!$B$5,COUNTA($C$8:$C$507)+1,IF(BH348=Constants!$B$6,COUNTA($C$8:$C$507),BH348))))</f>
        <v/>
      </c>
      <c r="BJ348" s="5"/>
      <c r="BK348" s="94" t="n">
        <f aca="false">IF(OR(ISNUMBER(BH348),BH348=Constants!$B$4,BH348=Constants!$B$6,BH348=Constants!$B$5),1,0)</f>
        <v>0</v>
      </c>
      <c r="BL348" s="94" t="n">
        <v>341</v>
      </c>
      <c r="BM348" s="94" t="str">
        <f aca="false">IF(ISBLANK($C348),"",IF(ISNUMBER(BI348),BI348+ROW($B348)/1000,""))</f>
        <v/>
      </c>
      <c r="BN348" s="94" t="str">
        <f aca="false">IF(ISNUMBER(BM348),RANK(BM348,$BM$8:$BM$507,1),"")</f>
        <v/>
      </c>
      <c r="BO348" s="94" t="str">
        <f aca="false">IF(ISBLANK($C348),"",$B348)</f>
        <v/>
      </c>
      <c r="BP348" s="94" t="str">
        <f aca="false">IF(ISBLANK($C348),"",$C348)</f>
        <v/>
      </c>
      <c r="BQ348" s="94" t="str">
        <f aca="false">IF(ISBLANK($C348),"",$D348)</f>
        <v/>
      </c>
      <c r="BR348" s="95" t="str">
        <f aca="false">BF348</f>
        <v/>
      </c>
      <c r="BS348" s="96" t="str">
        <f aca="false">BE348</f>
        <v/>
      </c>
      <c r="BT348" s="94" t="str">
        <f aca="false">IF(ISBLANK($C348),"",BH348)</f>
        <v/>
      </c>
      <c r="BU348" s="97" t="str">
        <f aca="false">IF($BL348&gt;$BK$7,"",VLOOKUP($BL348,$BN$8:$BT$507,7,FALSE()))</f>
        <v/>
      </c>
      <c r="BV348" s="98" t="str">
        <f aca="false">IF($BL348&gt;$BK$7,"",VLOOKUP($BL348,$BN$8:$BT$507,2,FALSE()))</f>
        <v/>
      </c>
      <c r="BW348" s="98" t="str">
        <f aca="false">IF($BL348&gt;$BK$7,"",VLOOKUP($BL348,$BN$8:$BT$507,3,FALSE()))</f>
        <v/>
      </c>
      <c r="BX348" s="98" t="str">
        <f aca="false">IF($BL348&gt;$BK$7,"",VLOOKUP($BL348,$BN$8:$BT$507,4,FALSE()))</f>
        <v/>
      </c>
      <c r="BY348" s="98" t="str">
        <f aca="false">IF($BL348&gt;$BK$7,"",VLOOKUP($BL348,$BN$8:$BT$507,5,FALSE()))</f>
        <v/>
      </c>
      <c r="BZ348" s="99" t="str">
        <f aca="false">IF($BL348&gt;$BK$7,"",VLOOKUP($BL348,$BN$8:$BT$507,6,FALSE()))</f>
        <v/>
      </c>
      <c r="CA348" s="48"/>
    </row>
    <row r="349" customFormat="false" ht="15.75" hidden="false" customHeight="false" outlineLevel="0" collapsed="false">
      <c r="A349" s="5"/>
      <c r="B349" s="114"/>
      <c r="C349" s="115"/>
      <c r="D349" s="100"/>
      <c r="E349" s="120"/>
      <c r="F349" s="125"/>
      <c r="G349" s="82"/>
      <c r="H349" s="126"/>
      <c r="I349" s="127"/>
      <c r="J349" s="82"/>
      <c r="K349" s="126"/>
      <c r="L349" s="82"/>
      <c r="M349" s="126"/>
      <c r="N349" s="82"/>
      <c r="O349" s="126"/>
      <c r="P349" s="82"/>
      <c r="Q349" s="126"/>
      <c r="R349" s="82"/>
      <c r="S349" s="120"/>
      <c r="T349" s="86"/>
      <c r="U349" s="87" t="str">
        <f aca="false">IF(ISBLANK($C349),"",IF(E349=Constants!$B$2, TRUE(), IF(E349=Constants!$B$3, FALSE(), TRUE())))</f>
        <v/>
      </c>
      <c r="V349" s="87" t="str">
        <f aca="false">IF(ISBLANK($C349),"",IF(F349=Constants!$B$2, TRUE(), IF(F349=Constants!$B$3, FALSE(), TRUE())))</f>
        <v/>
      </c>
      <c r="W349" s="87" t="str">
        <f aca="false">IF(ISBLANK($C349),"",IF(G349=Constants!$B$15,Constants!$B$8,IF(G349=Constants!$B$16,Constants!$B$9,Constants!$B$10)))</f>
        <v/>
      </c>
      <c r="X349" s="87" t="str">
        <f aca="false">IF(ISBLANK($C349),"",IF(H349=Constants!$B$2, TRUE(), IF(H349=Constants!$B$3, FALSE(), TRUE())))</f>
        <v/>
      </c>
      <c r="Y349" s="87" t="str">
        <f aca="false">IF(ISBLANK($C349),"",IF(I349=Constants!$B$19,Constants!$B$19,Constants!$B$18))</f>
        <v/>
      </c>
      <c r="Z349" s="87" t="str">
        <f aca="false">IF(ISBLANK($C349),"",IF(ISNUMBER(J349),IF(J349&gt;=0,J349,""),""))</f>
        <v/>
      </c>
      <c r="AA349" s="87" t="str">
        <f aca="false">IF(ISBLANK($C349),"",IF(K349=Constants!$B$19,Constants!$B$19,Constants!$B$18))</f>
        <v/>
      </c>
      <c r="AB349" s="87" t="str">
        <f aca="false">IF(ISBLANK($C349),"",IF(ISNUMBER(L349),IF(L349&gt;=0,L349,""),""))</f>
        <v/>
      </c>
      <c r="AC349" s="87" t="str">
        <f aca="false">IF(ISBLANK($C349),"",IF(M349=Constants!$B$19,Constants!$B$19,Constants!$B$18))</f>
        <v/>
      </c>
      <c r="AD349" s="87" t="str">
        <f aca="false">IF(ISBLANK($C349),"",IF(ISNUMBER(N349),IF(N349&gt;=0,N349,""),""))</f>
        <v/>
      </c>
      <c r="AE349" s="87" t="str">
        <f aca="false">IF(ISBLANK($C349),"",IF(O349=Constants!$B$19,Constants!$B$19,Constants!$B$18))</f>
        <v/>
      </c>
      <c r="AF349" s="87" t="str">
        <f aca="false">IF(ISBLANK($C349),"",IF(ISNUMBER(P349),IF(P349&gt;=0,P349,""),""))</f>
        <v/>
      </c>
      <c r="AG349" s="87" t="str">
        <f aca="false">IF(ISBLANK($C349),"",IF(Q349=Constants!$B$19,Constants!$B$19,Constants!$B$18))</f>
        <v/>
      </c>
      <c r="AH349" s="87" t="str">
        <f aca="false">IF(ISBLANK($C349),"",IF(ISNUMBER(R349),IF(R349&gt;=0,R349,""),""))</f>
        <v/>
      </c>
      <c r="AI349" s="87" t="str">
        <f aca="false">IF(ISBLANK($C349),"",IF(S349=Constants!$B$2, TRUE(), IF(S349=Constants!$B$3, FALSE(), FALSE())))</f>
        <v/>
      </c>
      <c r="AJ349" s="87" t="str">
        <f aca="false">IF(ISBLANK($C349),"",IF(AI349,Constants!$B$4,IF(COUNTA(E349:R349)=0,Constants!$B$5,IF(COUNTA(J349,L349,N349,P349,R349)=0,Constants!$B$6,Constants!$B$7))))</f>
        <v/>
      </c>
      <c r="AK349" s="87" t="str">
        <f aca="false">IF(ISBLANK($C349),"",IF($AJ349&lt;&gt;Constants!$B$7,$AJ349,IF(OR(NOT(X349),AND(NOT(U349),COUNTIFS(Y349:AG349,Constants!$B$18,Z349:AH349,"&gt;=0")&gt;0),AND(NOT(V349),COUNTIFS(Y349:AG349,Constants!$B$19,Z349:AH349,"&gt;=0")&gt;0)),Constants!$B$12,Constants!$B$11)))</f>
        <v/>
      </c>
      <c r="AL349" s="87" t="str">
        <f aca="false">IF($AJ349=Constants!$B$7,IF(Z349="",Constants!$B$13,Z349),"")</f>
        <v/>
      </c>
      <c r="AM349" s="87" t="str">
        <f aca="false">IF($AJ349=Constants!$B$7,IF(AB349="",Constants!$B$13,AB349),"")</f>
        <v/>
      </c>
      <c r="AN349" s="87" t="str">
        <f aca="false">IF($AJ349=Constants!$B$7,IF(AD349="",Constants!$B$13,AD349),"")</f>
        <v/>
      </c>
      <c r="AO349" s="87" t="str">
        <f aca="false">IF($AJ349=Constants!$B$7,IF(AF349="",Constants!$B$13,AF349),"")</f>
        <v/>
      </c>
      <c r="AP349" s="87" t="str">
        <f aca="false">IF($AJ349=Constants!$B$7,IF(AH349="",Constants!$B$13,AH349),"")</f>
        <v/>
      </c>
      <c r="AQ349" s="87" t="str">
        <f aca="false">IF($AJ349=Constants!$B$7,IF(SUMPRODUCT(--($AL349:$AP349&gt;AL349))+SUMPRODUCT(--($AL349:AL349=AL349))=1,1,IF(SUMPRODUCT(--($AL349:$AP349&gt;AM349))+SUMPRODUCT(--($AL349:AM349=AM349))=1,2,IF(SUMPRODUCT(--($AL349:$AP349&gt;AN349))+SUMPRODUCT(--($AL349:AN349=AN349))=1,3,IF(SUMPRODUCT(--($AL349:$AP349&gt;AO349))+SUMPRODUCT(--($AL349:AO349=AO349))=1,4,5)))),"")</f>
        <v/>
      </c>
      <c r="AR349" s="87" t="str">
        <f aca="false">IF($AJ349=Constants!$B$7,IF(SUMPRODUCT(--($AL349:$AP349&gt;AL349))+SUMPRODUCT(--($AL349:AL349=AL349))=2,1,IF(SUMPRODUCT(--($AL349:$AP349&gt;AM349))+SUMPRODUCT(--($AL349:AM349=AM349))=2,2,IF(SUMPRODUCT(--($AL349:$AP349&gt;AN349))+SUMPRODUCT(--($AL349:AN349=AN349))=2,3,IF(SUMPRODUCT(--($AL349:$AP349&gt;AO349))+SUMPRODUCT(--($AL349:AO349=AO349))=2,4,5)))),"")</f>
        <v/>
      </c>
      <c r="AS349" s="87" t="str">
        <f aca="false">IF($AJ349=Constants!$B$7,IF(SUMPRODUCT(--($AL349:$AP349&gt;AL349))+SUMPRODUCT(--($AL349:AL349=AL349))=3,1,IF(SUMPRODUCT(--($AL349:$AP349&gt;AM349))+SUMPRODUCT(--($AL349:AM349=AM349))=3,2,IF(SUMPRODUCT(--($AL349:$AP349&gt;AN349))+SUMPRODUCT(--($AL349:AN349=AN349))=3,3,IF(SUMPRODUCT(--($AL349:$AP349&gt;AO349))+SUMPRODUCT(--($AL349:AO349=AO349))=3,4,5)))),"")</f>
        <v/>
      </c>
      <c r="AT349" s="87" t="str">
        <f aca="false">IF($AJ349=Constants!$B$7,LARGE(AL349:AP349,1)+LARGE(AL349:AP349,2)+LARGE(AL349:AP349,3),"")</f>
        <v/>
      </c>
      <c r="AU349" s="87" t="str">
        <f aca="false">IF(ISBLANK($C349),"",IF($AJ349&lt;&gt;Constants!$B$7,$AJ349,AT349*W349))</f>
        <v/>
      </c>
      <c r="AV349" s="87" t="str">
        <f aca="false">IF(ISBLANK($C349),"",IF($AJ349=Constants!$B$7,IF(ISNUMBER(AU349),RANK(AU349,$AU$8:$AU$507),Constants!$B$14),$AJ349))</f>
        <v/>
      </c>
      <c r="AW349" s="87" t="str">
        <f aca="false">IF(ISBLANK($C349),"",IF($AJ349=Constants!$B$7,IF(ISNUMBER(AV349),COUNTIFS($AK$8:$AK$507,"&lt;"&amp;$AK349)+COUNTIFS($AK$8:$AK$507,$AK349,$AV$8:$AV$507,"&lt;"&amp;$AV349)+1,Constants!$B$14),$AJ349))</f>
        <v/>
      </c>
      <c r="AX349" s="87" t="str">
        <f aca="false">IF(ISBLANK($C349),"",IF($AJ349=Constants!$B$7,LARGE(AL349:AP349,4)*W349,""))</f>
        <v/>
      </c>
      <c r="AY349" s="87" t="str">
        <f aca="false">IF(ISBLANK($C349),"",IF($AJ349=Constants!$B$7,RANK(AX349,$AX$8:$AX$507),$AJ349))</f>
        <v/>
      </c>
      <c r="AZ349" s="87" t="str">
        <f aca="false">IF(ISBLANK($C349),"",IF($AJ349=Constants!$B$7,IF(ISNUMBER(AV349),COUNTIFS($AK$8:$AK$507,"&lt;"&amp;$AK349)+COUNTIFS($AK$8:$AK$507,$AK349,$AV$8:$AV$507,"&lt;"&amp;$AV349)+COUNTIFS($AK$8:$AK$507,$AK349,$AV$8:$AV$507,$AV349,$AY$8:$AY$507,"&lt;"&amp;$AY349)+1,Constants!$B$14),$AJ349))</f>
        <v/>
      </c>
      <c r="BA349" s="87" t="str">
        <f aca="false">IF(ISBLANK($C349),"",IF($AJ349=Constants!$B$7,IF(ISNUMBER(AW349),AW349-AZ349,Constants!$B$14),$AJ349))</f>
        <v/>
      </c>
      <c r="BB349" s="88"/>
      <c r="BC349" s="89" t="str">
        <f aca="false">IF(ISBLANK($C349),"",IF($AJ349&lt;&gt;Constants!$B$7,$AJ349,SMALL(AQ349:AS349,1)&amp;", "&amp;SMALL(AQ349:AS349,2)&amp;", "&amp;SMALL(AQ349:AS349,3)))</f>
        <v/>
      </c>
      <c r="BD349" s="90" t="str">
        <f aca="false">IF(ISBLANK($C349),"",IF($AJ349&lt;&gt;Constants!$B$7,$AJ349,W349))</f>
        <v/>
      </c>
      <c r="BE349" s="91" t="str">
        <f aca="false">IF(ISBLANK($C349),"",IF($AJ349&lt;&gt;Constants!$B$7,$AJ349,AU349))</f>
        <v/>
      </c>
      <c r="BF349" s="92" t="str">
        <f aca="false">IF(ISBLANK($C349),"",IF($AJ349&lt;&gt;Constants!$B$7,$AJ349,AK349))</f>
        <v/>
      </c>
      <c r="BG349" s="90" t="str">
        <f aca="false">IF(ISBLANK($C349),"",BA349)</f>
        <v/>
      </c>
      <c r="BH349" s="90" t="str">
        <f aca="false">IF(ISBLANK($C349),"",AZ349)</f>
        <v/>
      </c>
      <c r="BI349" s="93" t="str">
        <f aca="false">IF(ISBLANK($C349),"",IF(BH349=Constants!$B$4,COUNTA($C$8:$C$507)+2,IF(BH349=Constants!$B$5,COUNTA($C$8:$C$507)+1,IF(BH349=Constants!$B$6,COUNTA($C$8:$C$507),BH349))))</f>
        <v/>
      </c>
      <c r="BJ349" s="5"/>
      <c r="BK349" s="94" t="n">
        <f aca="false">IF(OR(ISNUMBER(BH349),BH349=Constants!$B$4,BH349=Constants!$B$6,BH349=Constants!$B$5),1,0)</f>
        <v>0</v>
      </c>
      <c r="BL349" s="94" t="n">
        <v>342</v>
      </c>
      <c r="BM349" s="94" t="str">
        <f aca="false">IF(ISBLANK($C349),"",IF(ISNUMBER(BI349),BI349+ROW($B349)/1000,""))</f>
        <v/>
      </c>
      <c r="BN349" s="94" t="str">
        <f aca="false">IF(ISNUMBER(BM349),RANK(BM349,$BM$8:$BM$507,1),"")</f>
        <v/>
      </c>
      <c r="BO349" s="94" t="str">
        <f aca="false">IF(ISBLANK($C349),"",$B349)</f>
        <v/>
      </c>
      <c r="BP349" s="94" t="str">
        <f aca="false">IF(ISBLANK($C349),"",$C349)</f>
        <v/>
      </c>
      <c r="BQ349" s="94" t="str">
        <f aca="false">IF(ISBLANK($C349),"",$D349)</f>
        <v/>
      </c>
      <c r="BR349" s="95" t="str">
        <f aca="false">BF349</f>
        <v/>
      </c>
      <c r="BS349" s="96" t="str">
        <f aca="false">BE349</f>
        <v/>
      </c>
      <c r="BT349" s="94" t="str">
        <f aca="false">IF(ISBLANK($C349),"",BH349)</f>
        <v/>
      </c>
      <c r="BU349" s="97" t="str">
        <f aca="false">IF($BL349&gt;$BK$7,"",VLOOKUP($BL349,$BN$8:$BT$507,7,FALSE()))</f>
        <v/>
      </c>
      <c r="BV349" s="98" t="str">
        <f aca="false">IF($BL349&gt;$BK$7,"",VLOOKUP($BL349,$BN$8:$BT$507,2,FALSE()))</f>
        <v/>
      </c>
      <c r="BW349" s="98" t="str">
        <f aca="false">IF($BL349&gt;$BK$7,"",VLOOKUP($BL349,$BN$8:$BT$507,3,FALSE()))</f>
        <v/>
      </c>
      <c r="BX349" s="98" t="str">
        <f aca="false">IF($BL349&gt;$BK$7,"",VLOOKUP($BL349,$BN$8:$BT$507,4,FALSE()))</f>
        <v/>
      </c>
      <c r="BY349" s="98" t="str">
        <f aca="false">IF($BL349&gt;$BK$7,"",VLOOKUP($BL349,$BN$8:$BT$507,5,FALSE()))</f>
        <v/>
      </c>
      <c r="BZ349" s="99" t="str">
        <f aca="false">IF($BL349&gt;$BK$7,"",VLOOKUP($BL349,$BN$8:$BT$507,6,FALSE()))</f>
        <v/>
      </c>
      <c r="CA349" s="48"/>
    </row>
    <row r="350" customFormat="false" ht="15.75" hidden="false" customHeight="false" outlineLevel="0" collapsed="false">
      <c r="A350" s="5"/>
      <c r="B350" s="121"/>
      <c r="C350" s="50"/>
      <c r="D350" s="51"/>
      <c r="E350" s="74"/>
      <c r="F350" s="122"/>
      <c r="G350" s="54"/>
      <c r="H350" s="123"/>
      <c r="I350" s="124"/>
      <c r="J350" s="54"/>
      <c r="K350" s="123"/>
      <c r="L350" s="54"/>
      <c r="M350" s="123"/>
      <c r="N350" s="54"/>
      <c r="O350" s="123"/>
      <c r="P350" s="54"/>
      <c r="Q350" s="123"/>
      <c r="R350" s="54"/>
      <c r="S350" s="74"/>
      <c r="T350" s="58"/>
      <c r="U350" s="59" t="str">
        <f aca="false">IF(ISBLANK($C350),"",IF(E350=Constants!$B$2, TRUE(), IF(E350=Constants!$B$3, FALSE(), TRUE())))</f>
        <v/>
      </c>
      <c r="V350" s="59" t="str">
        <f aca="false">IF(ISBLANK($C350),"",IF(F350=Constants!$B$2, TRUE(), IF(F350=Constants!$B$3, FALSE(), TRUE())))</f>
        <v/>
      </c>
      <c r="W350" s="59" t="str">
        <f aca="false">IF(ISBLANK($C350),"",IF(G350=Constants!$B$15,Constants!$B$8,IF(G350=Constants!$B$16,Constants!$B$9,Constants!$B$10)))</f>
        <v/>
      </c>
      <c r="X350" s="59" t="str">
        <f aca="false">IF(ISBLANK($C350),"",IF(H350=Constants!$B$2, TRUE(), IF(H350=Constants!$B$3, FALSE(), TRUE())))</f>
        <v/>
      </c>
      <c r="Y350" s="59" t="str">
        <f aca="false">IF(ISBLANK($C350),"",IF(I350=Constants!$B$19,Constants!$B$19,Constants!$B$18))</f>
        <v/>
      </c>
      <c r="Z350" s="59" t="str">
        <f aca="false">IF(ISBLANK($C350),"",IF(ISNUMBER(J350),IF(J350&gt;=0,J350,""),""))</f>
        <v/>
      </c>
      <c r="AA350" s="59" t="str">
        <f aca="false">IF(ISBLANK($C350),"",IF(K350=Constants!$B$19,Constants!$B$19,Constants!$B$18))</f>
        <v/>
      </c>
      <c r="AB350" s="59" t="str">
        <f aca="false">IF(ISBLANK($C350),"",IF(ISNUMBER(L350),IF(L350&gt;=0,L350,""),""))</f>
        <v/>
      </c>
      <c r="AC350" s="59" t="str">
        <f aca="false">IF(ISBLANK($C350),"",IF(M350=Constants!$B$19,Constants!$B$19,Constants!$B$18))</f>
        <v/>
      </c>
      <c r="AD350" s="59" t="str">
        <f aca="false">IF(ISBLANK($C350),"",IF(ISNUMBER(N350),IF(N350&gt;=0,N350,""),""))</f>
        <v/>
      </c>
      <c r="AE350" s="59" t="str">
        <f aca="false">IF(ISBLANK($C350),"",IF(O350=Constants!$B$19,Constants!$B$19,Constants!$B$18))</f>
        <v/>
      </c>
      <c r="AF350" s="59" t="str">
        <f aca="false">IF(ISBLANK($C350),"",IF(ISNUMBER(P350),IF(P350&gt;=0,P350,""),""))</f>
        <v/>
      </c>
      <c r="AG350" s="59" t="str">
        <f aca="false">IF(ISBLANK($C350),"",IF(Q350=Constants!$B$19,Constants!$B$19,Constants!$B$18))</f>
        <v/>
      </c>
      <c r="AH350" s="59" t="str">
        <f aca="false">IF(ISBLANK($C350),"",IF(ISNUMBER(R350),IF(R350&gt;=0,R350,""),""))</f>
        <v/>
      </c>
      <c r="AI350" s="59" t="str">
        <f aca="false">IF(ISBLANK($C350),"",IF(S350=Constants!$B$2, TRUE(), IF(S350=Constants!$B$3, FALSE(), FALSE())))</f>
        <v/>
      </c>
      <c r="AJ350" s="59" t="str">
        <f aca="false">IF(ISBLANK($C350),"",IF(AI350,Constants!$B$4,IF(COUNTA(E350:R350)=0,Constants!$B$5,IF(COUNTA(J350,L350,N350,P350,R350)=0,Constants!$B$6,Constants!$B$7))))</f>
        <v/>
      </c>
      <c r="AK350" s="59" t="str">
        <f aca="false">IF(ISBLANK($C350),"",IF($AJ350&lt;&gt;Constants!$B$7,$AJ350,IF(OR(NOT(X350),AND(NOT(U350),COUNTIFS(Y350:AG350,Constants!$B$18,Z350:AH350,"&gt;=0")&gt;0),AND(NOT(V350),COUNTIFS(Y350:AG350,Constants!$B$19,Z350:AH350,"&gt;=0")&gt;0)),Constants!$B$12,Constants!$B$11)))</f>
        <v/>
      </c>
      <c r="AL350" s="59" t="str">
        <f aca="false">IF($AJ350=Constants!$B$7,IF(Z350="",Constants!$B$13,Z350),"")</f>
        <v/>
      </c>
      <c r="AM350" s="59" t="str">
        <f aca="false">IF($AJ350=Constants!$B$7,IF(AB350="",Constants!$B$13,AB350),"")</f>
        <v/>
      </c>
      <c r="AN350" s="59" t="str">
        <f aca="false">IF($AJ350=Constants!$B$7,IF(AD350="",Constants!$B$13,AD350),"")</f>
        <v/>
      </c>
      <c r="AO350" s="59" t="str">
        <f aca="false">IF($AJ350=Constants!$B$7,IF(AF350="",Constants!$B$13,AF350),"")</f>
        <v/>
      </c>
      <c r="AP350" s="59" t="str">
        <f aca="false">IF($AJ350=Constants!$B$7,IF(AH350="",Constants!$B$13,AH350),"")</f>
        <v/>
      </c>
      <c r="AQ350" s="59" t="str">
        <f aca="false">IF($AJ350=Constants!$B$7,IF(SUMPRODUCT(--($AL350:$AP350&gt;AL350))+SUMPRODUCT(--($AL350:AL350=AL350))=1,1,IF(SUMPRODUCT(--($AL350:$AP350&gt;AM350))+SUMPRODUCT(--($AL350:AM350=AM350))=1,2,IF(SUMPRODUCT(--($AL350:$AP350&gt;AN350))+SUMPRODUCT(--($AL350:AN350=AN350))=1,3,IF(SUMPRODUCT(--($AL350:$AP350&gt;AO350))+SUMPRODUCT(--($AL350:AO350=AO350))=1,4,5)))),"")</f>
        <v/>
      </c>
      <c r="AR350" s="59" t="str">
        <f aca="false">IF($AJ350=Constants!$B$7,IF(SUMPRODUCT(--($AL350:$AP350&gt;AL350))+SUMPRODUCT(--($AL350:AL350=AL350))=2,1,IF(SUMPRODUCT(--($AL350:$AP350&gt;AM350))+SUMPRODUCT(--($AL350:AM350=AM350))=2,2,IF(SUMPRODUCT(--($AL350:$AP350&gt;AN350))+SUMPRODUCT(--($AL350:AN350=AN350))=2,3,IF(SUMPRODUCT(--($AL350:$AP350&gt;AO350))+SUMPRODUCT(--($AL350:AO350=AO350))=2,4,5)))),"")</f>
        <v/>
      </c>
      <c r="AS350" s="59" t="str">
        <f aca="false">IF($AJ350=Constants!$B$7,IF(SUMPRODUCT(--($AL350:$AP350&gt;AL350))+SUMPRODUCT(--($AL350:AL350=AL350))=3,1,IF(SUMPRODUCT(--($AL350:$AP350&gt;AM350))+SUMPRODUCT(--($AL350:AM350=AM350))=3,2,IF(SUMPRODUCT(--($AL350:$AP350&gt;AN350))+SUMPRODUCT(--($AL350:AN350=AN350))=3,3,IF(SUMPRODUCT(--($AL350:$AP350&gt;AO350))+SUMPRODUCT(--($AL350:AO350=AO350))=3,4,5)))),"")</f>
        <v/>
      </c>
      <c r="AT350" s="59" t="str">
        <f aca="false">IF($AJ350=Constants!$B$7,LARGE(AL350:AP350,1)+LARGE(AL350:AP350,2)+LARGE(AL350:AP350,3),"")</f>
        <v/>
      </c>
      <c r="AU350" s="59" t="str">
        <f aca="false">IF(ISBLANK($C350),"",IF($AJ350&lt;&gt;Constants!$B$7,$AJ350,AT350*W350))</f>
        <v/>
      </c>
      <c r="AV350" s="59" t="str">
        <f aca="false">IF(ISBLANK($C350),"",IF($AJ350=Constants!$B$7,IF(ISNUMBER(AU350),RANK(AU350,$AU$8:$AU$507),Constants!$B$14),$AJ350))</f>
        <v/>
      </c>
      <c r="AW350" s="59" t="str">
        <f aca="false">IF(ISBLANK($C350),"",IF($AJ350=Constants!$B$7,IF(ISNUMBER(AV350),COUNTIFS($AK$8:$AK$507,"&lt;"&amp;$AK350)+COUNTIFS($AK$8:$AK$507,$AK350,$AV$8:$AV$507,"&lt;"&amp;$AV350)+1,Constants!$B$14),$AJ350))</f>
        <v/>
      </c>
      <c r="AX350" s="59" t="str">
        <f aca="false">IF(ISBLANK($C350),"",IF($AJ350=Constants!$B$7,LARGE(AL350:AP350,4)*W350,""))</f>
        <v/>
      </c>
      <c r="AY350" s="59" t="str">
        <f aca="false">IF(ISBLANK($C350),"",IF($AJ350=Constants!$B$7,RANK(AX350,$AX$8:$AX$507),$AJ350))</f>
        <v/>
      </c>
      <c r="AZ350" s="59" t="str">
        <f aca="false">IF(ISBLANK($C350),"",IF($AJ350=Constants!$B$7,IF(ISNUMBER(AV350),COUNTIFS($AK$8:$AK$507,"&lt;"&amp;$AK350)+COUNTIFS($AK$8:$AK$507,$AK350,$AV$8:$AV$507,"&lt;"&amp;$AV350)+COUNTIFS($AK$8:$AK$507,$AK350,$AV$8:$AV$507,$AV350,$AY$8:$AY$507,"&lt;"&amp;$AY350)+1,Constants!$B$14),$AJ350))</f>
        <v/>
      </c>
      <c r="BA350" s="59" t="str">
        <f aca="false">IF(ISBLANK($C350),"",IF($AJ350=Constants!$B$7,IF(ISNUMBER(AW350),AW350-AZ350,Constants!$B$14),$AJ350))</f>
        <v/>
      </c>
      <c r="BB350" s="61"/>
      <c r="BC350" s="62" t="str">
        <f aca="false">IF(ISBLANK($C350),"",IF($AJ350&lt;&gt;Constants!$B$7,$AJ350,SMALL(AQ350:AS350,1)&amp;", "&amp;SMALL(AQ350:AS350,2)&amp;", "&amp;SMALL(AQ350:AS350,3)))</f>
        <v/>
      </c>
      <c r="BD350" s="63" t="str">
        <f aca="false">IF(ISBLANK($C350),"",IF($AJ350&lt;&gt;Constants!$B$7,$AJ350,W350))</f>
        <v/>
      </c>
      <c r="BE350" s="64" t="str">
        <f aca="false">IF(ISBLANK($C350),"",IF($AJ350&lt;&gt;Constants!$B$7,$AJ350,AU350))</f>
        <v/>
      </c>
      <c r="BF350" s="65" t="str">
        <f aca="false">IF(ISBLANK($C350),"",IF($AJ350&lt;&gt;Constants!$B$7,$AJ350,AK350))</f>
        <v/>
      </c>
      <c r="BG350" s="63" t="str">
        <f aca="false">IF(ISBLANK($C350),"",BA350)</f>
        <v/>
      </c>
      <c r="BH350" s="63" t="str">
        <f aca="false">IF(ISBLANK($C350),"",AZ350)</f>
        <v/>
      </c>
      <c r="BI350" s="66" t="str">
        <f aca="false">IF(ISBLANK($C350),"",IF(BH350=Constants!$B$4,COUNTA($C$8:$C$507)+2,IF(BH350=Constants!$B$5,COUNTA($C$8:$C$507)+1,IF(BH350=Constants!$B$6,COUNTA($C$8:$C$507),BH350))))</f>
        <v/>
      </c>
      <c r="BJ350" s="5"/>
      <c r="BK350" s="67" t="n">
        <f aca="false">IF(OR(ISNUMBER(BH350),BH350=Constants!$B$4,BH350=Constants!$B$6,BH350=Constants!$B$5),1,0)</f>
        <v>0</v>
      </c>
      <c r="BL350" s="67" t="n">
        <v>343</v>
      </c>
      <c r="BM350" s="67" t="str">
        <f aca="false">IF(ISBLANK($C350),"",IF(ISNUMBER(BI350),BI350+ROW($B350)/1000,""))</f>
        <v/>
      </c>
      <c r="BN350" s="67" t="str">
        <f aca="false">IF(ISNUMBER(BM350),RANK(BM350,$BM$8:$BM$507,1),"")</f>
        <v/>
      </c>
      <c r="BO350" s="67" t="str">
        <f aca="false">IF(ISBLANK($C350),"",$B350)</f>
        <v/>
      </c>
      <c r="BP350" s="67" t="str">
        <f aca="false">IF(ISBLANK($C350),"",$C350)</f>
        <v/>
      </c>
      <c r="BQ350" s="67" t="str">
        <f aca="false">IF(ISBLANK($C350),"",$D350)</f>
        <v/>
      </c>
      <c r="BR350" s="68" t="str">
        <f aca="false">BF350</f>
        <v/>
      </c>
      <c r="BS350" s="69" t="str">
        <f aca="false">BE350</f>
        <v/>
      </c>
      <c r="BT350" s="67" t="str">
        <f aca="false">IF(ISBLANK($C350),"",BH350)</f>
        <v/>
      </c>
      <c r="BU350" s="70" t="str">
        <f aca="false">IF($BL350&gt;$BK$7,"",VLOOKUP($BL350,$BN$8:$BT$507,7,FALSE()))</f>
        <v/>
      </c>
      <c r="BV350" s="71" t="str">
        <f aca="false">IF($BL350&gt;$BK$7,"",VLOOKUP($BL350,$BN$8:$BT$507,2,FALSE()))</f>
        <v/>
      </c>
      <c r="BW350" s="71" t="str">
        <f aca="false">IF($BL350&gt;$BK$7,"",VLOOKUP($BL350,$BN$8:$BT$507,3,FALSE()))</f>
        <v/>
      </c>
      <c r="BX350" s="71" t="str">
        <f aca="false">IF($BL350&gt;$BK$7,"",VLOOKUP($BL350,$BN$8:$BT$507,4,FALSE()))</f>
        <v/>
      </c>
      <c r="BY350" s="71" t="str">
        <f aca="false">IF($BL350&gt;$BK$7,"",VLOOKUP($BL350,$BN$8:$BT$507,5,FALSE()))</f>
        <v/>
      </c>
      <c r="BZ350" s="72" t="str">
        <f aca="false">IF($BL350&gt;$BK$7,"",VLOOKUP($BL350,$BN$8:$BT$507,6,FALSE()))</f>
        <v/>
      </c>
      <c r="CA350" s="48"/>
    </row>
    <row r="351" customFormat="false" ht="15.75" hidden="false" customHeight="false" outlineLevel="0" collapsed="false">
      <c r="A351" s="5"/>
      <c r="B351" s="121"/>
      <c r="C351" s="50"/>
      <c r="D351" s="51"/>
      <c r="E351" s="74"/>
      <c r="F351" s="122"/>
      <c r="G351" s="54"/>
      <c r="H351" s="123"/>
      <c r="I351" s="124"/>
      <c r="J351" s="54"/>
      <c r="K351" s="123"/>
      <c r="L351" s="54"/>
      <c r="M351" s="123"/>
      <c r="N351" s="54"/>
      <c r="O351" s="123"/>
      <c r="P351" s="54"/>
      <c r="Q351" s="123"/>
      <c r="R351" s="54"/>
      <c r="S351" s="74"/>
      <c r="T351" s="58"/>
      <c r="U351" s="59" t="str">
        <f aca="false">IF(ISBLANK($C351),"",IF(E351=Constants!$B$2, TRUE(), IF(E351=Constants!$B$3, FALSE(), TRUE())))</f>
        <v/>
      </c>
      <c r="V351" s="59" t="str">
        <f aca="false">IF(ISBLANK($C351),"",IF(F351=Constants!$B$2, TRUE(), IF(F351=Constants!$B$3, FALSE(), TRUE())))</f>
        <v/>
      </c>
      <c r="W351" s="59" t="str">
        <f aca="false">IF(ISBLANK($C351),"",IF(G351=Constants!$B$15,Constants!$B$8,IF(G351=Constants!$B$16,Constants!$B$9,Constants!$B$10)))</f>
        <v/>
      </c>
      <c r="X351" s="59" t="str">
        <f aca="false">IF(ISBLANK($C351),"",IF(H351=Constants!$B$2, TRUE(), IF(H351=Constants!$B$3, FALSE(), TRUE())))</f>
        <v/>
      </c>
      <c r="Y351" s="59" t="str">
        <f aca="false">IF(ISBLANK($C351),"",IF(I351=Constants!$B$19,Constants!$B$19,Constants!$B$18))</f>
        <v/>
      </c>
      <c r="Z351" s="59" t="str">
        <f aca="false">IF(ISBLANK($C351),"",IF(ISNUMBER(J351),IF(J351&gt;=0,J351,""),""))</f>
        <v/>
      </c>
      <c r="AA351" s="59" t="str">
        <f aca="false">IF(ISBLANK($C351),"",IF(K351=Constants!$B$19,Constants!$B$19,Constants!$B$18))</f>
        <v/>
      </c>
      <c r="AB351" s="59" t="str">
        <f aca="false">IF(ISBLANK($C351),"",IF(ISNUMBER(L351),IF(L351&gt;=0,L351,""),""))</f>
        <v/>
      </c>
      <c r="AC351" s="59" t="str">
        <f aca="false">IF(ISBLANK($C351),"",IF(M351=Constants!$B$19,Constants!$B$19,Constants!$B$18))</f>
        <v/>
      </c>
      <c r="AD351" s="59" t="str">
        <f aca="false">IF(ISBLANK($C351),"",IF(ISNUMBER(N351),IF(N351&gt;=0,N351,""),""))</f>
        <v/>
      </c>
      <c r="AE351" s="59" t="str">
        <f aca="false">IF(ISBLANK($C351),"",IF(O351=Constants!$B$19,Constants!$B$19,Constants!$B$18))</f>
        <v/>
      </c>
      <c r="AF351" s="59" t="str">
        <f aca="false">IF(ISBLANK($C351),"",IF(ISNUMBER(P351),IF(P351&gt;=0,P351,""),""))</f>
        <v/>
      </c>
      <c r="AG351" s="59" t="str">
        <f aca="false">IF(ISBLANK($C351),"",IF(Q351=Constants!$B$19,Constants!$B$19,Constants!$B$18))</f>
        <v/>
      </c>
      <c r="AH351" s="59" t="str">
        <f aca="false">IF(ISBLANK($C351),"",IF(ISNUMBER(R351),IF(R351&gt;=0,R351,""),""))</f>
        <v/>
      </c>
      <c r="AI351" s="59" t="str">
        <f aca="false">IF(ISBLANK($C351),"",IF(S351=Constants!$B$2, TRUE(), IF(S351=Constants!$B$3, FALSE(), FALSE())))</f>
        <v/>
      </c>
      <c r="AJ351" s="59" t="str">
        <f aca="false">IF(ISBLANK($C351),"",IF(AI351,Constants!$B$4,IF(COUNTA(E351:R351)=0,Constants!$B$5,IF(COUNTA(J351,L351,N351,P351,R351)=0,Constants!$B$6,Constants!$B$7))))</f>
        <v/>
      </c>
      <c r="AK351" s="59" t="str">
        <f aca="false">IF(ISBLANK($C351),"",IF($AJ351&lt;&gt;Constants!$B$7,$AJ351,IF(OR(NOT(X351),AND(NOT(U351),COUNTIFS(Y351:AG351,Constants!$B$18,Z351:AH351,"&gt;=0")&gt;0),AND(NOT(V351),COUNTIFS(Y351:AG351,Constants!$B$19,Z351:AH351,"&gt;=0")&gt;0)),Constants!$B$12,Constants!$B$11)))</f>
        <v/>
      </c>
      <c r="AL351" s="59" t="str">
        <f aca="false">IF($AJ351=Constants!$B$7,IF(Z351="",Constants!$B$13,Z351),"")</f>
        <v/>
      </c>
      <c r="AM351" s="59" t="str">
        <f aca="false">IF($AJ351=Constants!$B$7,IF(AB351="",Constants!$B$13,AB351),"")</f>
        <v/>
      </c>
      <c r="AN351" s="59" t="str">
        <f aca="false">IF($AJ351=Constants!$B$7,IF(AD351="",Constants!$B$13,AD351),"")</f>
        <v/>
      </c>
      <c r="AO351" s="59" t="str">
        <f aca="false">IF($AJ351=Constants!$B$7,IF(AF351="",Constants!$B$13,AF351),"")</f>
        <v/>
      </c>
      <c r="AP351" s="59" t="str">
        <f aca="false">IF($AJ351=Constants!$B$7,IF(AH351="",Constants!$B$13,AH351),"")</f>
        <v/>
      </c>
      <c r="AQ351" s="59" t="str">
        <f aca="false">IF($AJ351=Constants!$B$7,IF(SUMPRODUCT(--($AL351:$AP351&gt;AL351))+SUMPRODUCT(--($AL351:AL351=AL351))=1,1,IF(SUMPRODUCT(--($AL351:$AP351&gt;AM351))+SUMPRODUCT(--($AL351:AM351=AM351))=1,2,IF(SUMPRODUCT(--($AL351:$AP351&gt;AN351))+SUMPRODUCT(--($AL351:AN351=AN351))=1,3,IF(SUMPRODUCT(--($AL351:$AP351&gt;AO351))+SUMPRODUCT(--($AL351:AO351=AO351))=1,4,5)))),"")</f>
        <v/>
      </c>
      <c r="AR351" s="59" t="str">
        <f aca="false">IF($AJ351=Constants!$B$7,IF(SUMPRODUCT(--($AL351:$AP351&gt;AL351))+SUMPRODUCT(--($AL351:AL351=AL351))=2,1,IF(SUMPRODUCT(--($AL351:$AP351&gt;AM351))+SUMPRODUCT(--($AL351:AM351=AM351))=2,2,IF(SUMPRODUCT(--($AL351:$AP351&gt;AN351))+SUMPRODUCT(--($AL351:AN351=AN351))=2,3,IF(SUMPRODUCT(--($AL351:$AP351&gt;AO351))+SUMPRODUCT(--($AL351:AO351=AO351))=2,4,5)))),"")</f>
        <v/>
      </c>
      <c r="AS351" s="59" t="str">
        <f aca="false">IF($AJ351=Constants!$B$7,IF(SUMPRODUCT(--($AL351:$AP351&gt;AL351))+SUMPRODUCT(--($AL351:AL351=AL351))=3,1,IF(SUMPRODUCT(--($AL351:$AP351&gt;AM351))+SUMPRODUCT(--($AL351:AM351=AM351))=3,2,IF(SUMPRODUCT(--($AL351:$AP351&gt;AN351))+SUMPRODUCT(--($AL351:AN351=AN351))=3,3,IF(SUMPRODUCT(--($AL351:$AP351&gt;AO351))+SUMPRODUCT(--($AL351:AO351=AO351))=3,4,5)))),"")</f>
        <v/>
      </c>
      <c r="AT351" s="59" t="str">
        <f aca="false">IF($AJ351=Constants!$B$7,LARGE(AL351:AP351,1)+LARGE(AL351:AP351,2)+LARGE(AL351:AP351,3),"")</f>
        <v/>
      </c>
      <c r="AU351" s="59" t="str">
        <f aca="false">IF(ISBLANK($C351),"",IF($AJ351&lt;&gt;Constants!$B$7,$AJ351,AT351*W351))</f>
        <v/>
      </c>
      <c r="AV351" s="59" t="str">
        <f aca="false">IF(ISBLANK($C351),"",IF($AJ351=Constants!$B$7,IF(ISNUMBER(AU351),RANK(AU351,$AU$8:$AU$507),Constants!$B$14),$AJ351))</f>
        <v/>
      </c>
      <c r="AW351" s="59" t="str">
        <f aca="false">IF(ISBLANK($C351),"",IF($AJ351=Constants!$B$7,IF(ISNUMBER(AV351),COUNTIFS($AK$8:$AK$507,"&lt;"&amp;$AK351)+COUNTIFS($AK$8:$AK$507,$AK351,$AV$8:$AV$507,"&lt;"&amp;$AV351)+1,Constants!$B$14),$AJ351))</f>
        <v/>
      </c>
      <c r="AX351" s="59" t="str">
        <f aca="false">IF(ISBLANK($C351),"",IF($AJ351=Constants!$B$7,LARGE(AL351:AP351,4)*W351,""))</f>
        <v/>
      </c>
      <c r="AY351" s="59" t="str">
        <f aca="false">IF(ISBLANK($C351),"",IF($AJ351=Constants!$B$7,RANK(AX351,$AX$8:$AX$507),$AJ351))</f>
        <v/>
      </c>
      <c r="AZ351" s="59" t="str">
        <f aca="false">IF(ISBLANK($C351),"",IF($AJ351=Constants!$B$7,IF(ISNUMBER(AV351),COUNTIFS($AK$8:$AK$507,"&lt;"&amp;$AK351)+COUNTIFS($AK$8:$AK$507,$AK351,$AV$8:$AV$507,"&lt;"&amp;$AV351)+COUNTIFS($AK$8:$AK$507,$AK351,$AV$8:$AV$507,$AV351,$AY$8:$AY$507,"&lt;"&amp;$AY351)+1,Constants!$B$14),$AJ351))</f>
        <v/>
      </c>
      <c r="BA351" s="59" t="str">
        <f aca="false">IF(ISBLANK($C351),"",IF($AJ351=Constants!$B$7,IF(ISNUMBER(AW351),AW351-AZ351,Constants!$B$14),$AJ351))</f>
        <v/>
      </c>
      <c r="BB351" s="61"/>
      <c r="BC351" s="62" t="str">
        <f aca="false">IF(ISBLANK($C351),"",IF($AJ351&lt;&gt;Constants!$B$7,$AJ351,SMALL(AQ351:AS351,1)&amp;", "&amp;SMALL(AQ351:AS351,2)&amp;", "&amp;SMALL(AQ351:AS351,3)))</f>
        <v/>
      </c>
      <c r="BD351" s="63" t="str">
        <f aca="false">IF(ISBLANK($C351),"",IF($AJ351&lt;&gt;Constants!$B$7,$AJ351,W351))</f>
        <v/>
      </c>
      <c r="BE351" s="64" t="str">
        <f aca="false">IF(ISBLANK($C351),"",IF($AJ351&lt;&gt;Constants!$B$7,$AJ351,AU351))</f>
        <v/>
      </c>
      <c r="BF351" s="65" t="str">
        <f aca="false">IF(ISBLANK($C351),"",IF($AJ351&lt;&gt;Constants!$B$7,$AJ351,AK351))</f>
        <v/>
      </c>
      <c r="BG351" s="63" t="str">
        <f aca="false">IF(ISBLANK($C351),"",BA351)</f>
        <v/>
      </c>
      <c r="BH351" s="63" t="str">
        <f aca="false">IF(ISBLANK($C351),"",AZ351)</f>
        <v/>
      </c>
      <c r="BI351" s="66" t="str">
        <f aca="false">IF(ISBLANK($C351),"",IF(BH351=Constants!$B$4,COUNTA($C$8:$C$507)+2,IF(BH351=Constants!$B$5,COUNTA($C$8:$C$507)+1,IF(BH351=Constants!$B$6,COUNTA($C$8:$C$507),BH351))))</f>
        <v/>
      </c>
      <c r="BJ351" s="5"/>
      <c r="BK351" s="67" t="n">
        <f aca="false">IF(OR(ISNUMBER(BH351),BH351=Constants!$B$4,BH351=Constants!$B$6,BH351=Constants!$B$5),1,0)</f>
        <v>0</v>
      </c>
      <c r="BL351" s="67" t="n">
        <v>344</v>
      </c>
      <c r="BM351" s="67" t="str">
        <f aca="false">IF(ISBLANK($C351),"",IF(ISNUMBER(BI351),BI351+ROW($B351)/1000,""))</f>
        <v/>
      </c>
      <c r="BN351" s="67" t="str">
        <f aca="false">IF(ISNUMBER(BM351),RANK(BM351,$BM$8:$BM$507,1),"")</f>
        <v/>
      </c>
      <c r="BO351" s="67" t="str">
        <f aca="false">IF(ISBLANK($C351),"",$B351)</f>
        <v/>
      </c>
      <c r="BP351" s="67" t="str">
        <f aca="false">IF(ISBLANK($C351),"",$C351)</f>
        <v/>
      </c>
      <c r="BQ351" s="67" t="str">
        <f aca="false">IF(ISBLANK($C351),"",$D351)</f>
        <v/>
      </c>
      <c r="BR351" s="68" t="str">
        <f aca="false">BF351</f>
        <v/>
      </c>
      <c r="BS351" s="69" t="str">
        <f aca="false">BE351</f>
        <v/>
      </c>
      <c r="BT351" s="67" t="str">
        <f aca="false">IF(ISBLANK($C351),"",BH351)</f>
        <v/>
      </c>
      <c r="BU351" s="70" t="str">
        <f aca="false">IF($BL351&gt;$BK$7,"",VLOOKUP($BL351,$BN$8:$BT$507,7,FALSE()))</f>
        <v/>
      </c>
      <c r="BV351" s="71" t="str">
        <f aca="false">IF($BL351&gt;$BK$7,"",VLOOKUP($BL351,$BN$8:$BT$507,2,FALSE()))</f>
        <v/>
      </c>
      <c r="BW351" s="71" t="str">
        <f aca="false">IF($BL351&gt;$BK$7,"",VLOOKUP($BL351,$BN$8:$BT$507,3,FALSE()))</f>
        <v/>
      </c>
      <c r="BX351" s="71" t="str">
        <f aca="false">IF($BL351&gt;$BK$7,"",VLOOKUP($BL351,$BN$8:$BT$507,4,FALSE()))</f>
        <v/>
      </c>
      <c r="BY351" s="71" t="str">
        <f aca="false">IF($BL351&gt;$BK$7,"",VLOOKUP($BL351,$BN$8:$BT$507,5,FALSE()))</f>
        <v/>
      </c>
      <c r="BZ351" s="72" t="str">
        <f aca="false">IF($BL351&gt;$BK$7,"",VLOOKUP($BL351,$BN$8:$BT$507,6,FALSE()))</f>
        <v/>
      </c>
      <c r="CA351" s="48"/>
    </row>
    <row r="352" customFormat="false" ht="15.75" hidden="false" customHeight="false" outlineLevel="0" collapsed="false">
      <c r="A352" s="5"/>
      <c r="B352" s="121"/>
      <c r="C352" s="50"/>
      <c r="D352" s="51"/>
      <c r="E352" s="74"/>
      <c r="F352" s="122"/>
      <c r="G352" s="54"/>
      <c r="H352" s="123"/>
      <c r="I352" s="124"/>
      <c r="J352" s="54"/>
      <c r="K352" s="123"/>
      <c r="L352" s="54"/>
      <c r="M352" s="123"/>
      <c r="N352" s="54"/>
      <c r="O352" s="123"/>
      <c r="P352" s="54"/>
      <c r="Q352" s="123"/>
      <c r="R352" s="54"/>
      <c r="S352" s="74"/>
      <c r="T352" s="58"/>
      <c r="U352" s="59" t="str">
        <f aca="false">IF(ISBLANK($C352),"",IF(E352=Constants!$B$2, TRUE(), IF(E352=Constants!$B$3, FALSE(), TRUE())))</f>
        <v/>
      </c>
      <c r="V352" s="59" t="str">
        <f aca="false">IF(ISBLANK($C352),"",IF(F352=Constants!$B$2, TRUE(), IF(F352=Constants!$B$3, FALSE(), TRUE())))</f>
        <v/>
      </c>
      <c r="W352" s="59" t="str">
        <f aca="false">IF(ISBLANK($C352),"",IF(G352=Constants!$B$15,Constants!$B$8,IF(G352=Constants!$B$16,Constants!$B$9,Constants!$B$10)))</f>
        <v/>
      </c>
      <c r="X352" s="59" t="str">
        <f aca="false">IF(ISBLANK($C352),"",IF(H352=Constants!$B$2, TRUE(), IF(H352=Constants!$B$3, FALSE(), TRUE())))</f>
        <v/>
      </c>
      <c r="Y352" s="59" t="str">
        <f aca="false">IF(ISBLANK($C352),"",IF(I352=Constants!$B$19,Constants!$B$19,Constants!$B$18))</f>
        <v/>
      </c>
      <c r="Z352" s="59" t="str">
        <f aca="false">IF(ISBLANK($C352),"",IF(ISNUMBER(J352),IF(J352&gt;=0,J352,""),""))</f>
        <v/>
      </c>
      <c r="AA352" s="59" t="str">
        <f aca="false">IF(ISBLANK($C352),"",IF(K352=Constants!$B$19,Constants!$B$19,Constants!$B$18))</f>
        <v/>
      </c>
      <c r="AB352" s="59" t="str">
        <f aca="false">IF(ISBLANK($C352),"",IF(ISNUMBER(L352),IF(L352&gt;=0,L352,""),""))</f>
        <v/>
      </c>
      <c r="AC352" s="59" t="str">
        <f aca="false">IF(ISBLANK($C352),"",IF(M352=Constants!$B$19,Constants!$B$19,Constants!$B$18))</f>
        <v/>
      </c>
      <c r="AD352" s="59" t="str">
        <f aca="false">IF(ISBLANK($C352),"",IF(ISNUMBER(N352),IF(N352&gt;=0,N352,""),""))</f>
        <v/>
      </c>
      <c r="AE352" s="59" t="str">
        <f aca="false">IF(ISBLANK($C352),"",IF(O352=Constants!$B$19,Constants!$B$19,Constants!$B$18))</f>
        <v/>
      </c>
      <c r="AF352" s="59" t="str">
        <f aca="false">IF(ISBLANK($C352),"",IF(ISNUMBER(P352),IF(P352&gt;=0,P352,""),""))</f>
        <v/>
      </c>
      <c r="AG352" s="59" t="str">
        <f aca="false">IF(ISBLANK($C352),"",IF(Q352=Constants!$B$19,Constants!$B$19,Constants!$B$18))</f>
        <v/>
      </c>
      <c r="AH352" s="59" t="str">
        <f aca="false">IF(ISBLANK($C352),"",IF(ISNUMBER(R352),IF(R352&gt;=0,R352,""),""))</f>
        <v/>
      </c>
      <c r="AI352" s="59" t="str">
        <f aca="false">IF(ISBLANK($C352),"",IF(S352=Constants!$B$2, TRUE(), IF(S352=Constants!$B$3, FALSE(), FALSE())))</f>
        <v/>
      </c>
      <c r="AJ352" s="59" t="str">
        <f aca="false">IF(ISBLANK($C352),"",IF(AI352,Constants!$B$4,IF(COUNTA(E352:R352)=0,Constants!$B$5,IF(COUNTA(J352,L352,N352,P352,R352)=0,Constants!$B$6,Constants!$B$7))))</f>
        <v/>
      </c>
      <c r="AK352" s="59" t="str">
        <f aca="false">IF(ISBLANK($C352),"",IF($AJ352&lt;&gt;Constants!$B$7,$AJ352,IF(OR(NOT(X352),AND(NOT(U352),COUNTIFS(Y352:AG352,Constants!$B$18,Z352:AH352,"&gt;=0")&gt;0),AND(NOT(V352),COUNTIFS(Y352:AG352,Constants!$B$19,Z352:AH352,"&gt;=0")&gt;0)),Constants!$B$12,Constants!$B$11)))</f>
        <v/>
      </c>
      <c r="AL352" s="59" t="str">
        <f aca="false">IF($AJ352=Constants!$B$7,IF(Z352="",Constants!$B$13,Z352),"")</f>
        <v/>
      </c>
      <c r="AM352" s="59" t="str">
        <f aca="false">IF($AJ352=Constants!$B$7,IF(AB352="",Constants!$B$13,AB352),"")</f>
        <v/>
      </c>
      <c r="AN352" s="59" t="str">
        <f aca="false">IF($AJ352=Constants!$B$7,IF(AD352="",Constants!$B$13,AD352),"")</f>
        <v/>
      </c>
      <c r="AO352" s="59" t="str">
        <f aca="false">IF($AJ352=Constants!$B$7,IF(AF352="",Constants!$B$13,AF352),"")</f>
        <v/>
      </c>
      <c r="AP352" s="59" t="str">
        <f aca="false">IF($AJ352=Constants!$B$7,IF(AH352="",Constants!$B$13,AH352),"")</f>
        <v/>
      </c>
      <c r="AQ352" s="59" t="str">
        <f aca="false">IF($AJ352=Constants!$B$7,IF(SUMPRODUCT(--($AL352:$AP352&gt;AL352))+SUMPRODUCT(--($AL352:AL352=AL352))=1,1,IF(SUMPRODUCT(--($AL352:$AP352&gt;AM352))+SUMPRODUCT(--($AL352:AM352=AM352))=1,2,IF(SUMPRODUCT(--($AL352:$AP352&gt;AN352))+SUMPRODUCT(--($AL352:AN352=AN352))=1,3,IF(SUMPRODUCT(--($AL352:$AP352&gt;AO352))+SUMPRODUCT(--($AL352:AO352=AO352))=1,4,5)))),"")</f>
        <v/>
      </c>
      <c r="AR352" s="59" t="str">
        <f aca="false">IF($AJ352=Constants!$B$7,IF(SUMPRODUCT(--($AL352:$AP352&gt;AL352))+SUMPRODUCT(--($AL352:AL352=AL352))=2,1,IF(SUMPRODUCT(--($AL352:$AP352&gt;AM352))+SUMPRODUCT(--($AL352:AM352=AM352))=2,2,IF(SUMPRODUCT(--($AL352:$AP352&gt;AN352))+SUMPRODUCT(--($AL352:AN352=AN352))=2,3,IF(SUMPRODUCT(--($AL352:$AP352&gt;AO352))+SUMPRODUCT(--($AL352:AO352=AO352))=2,4,5)))),"")</f>
        <v/>
      </c>
      <c r="AS352" s="59" t="str">
        <f aca="false">IF($AJ352=Constants!$B$7,IF(SUMPRODUCT(--($AL352:$AP352&gt;AL352))+SUMPRODUCT(--($AL352:AL352=AL352))=3,1,IF(SUMPRODUCT(--($AL352:$AP352&gt;AM352))+SUMPRODUCT(--($AL352:AM352=AM352))=3,2,IF(SUMPRODUCT(--($AL352:$AP352&gt;AN352))+SUMPRODUCT(--($AL352:AN352=AN352))=3,3,IF(SUMPRODUCT(--($AL352:$AP352&gt;AO352))+SUMPRODUCT(--($AL352:AO352=AO352))=3,4,5)))),"")</f>
        <v/>
      </c>
      <c r="AT352" s="59" t="str">
        <f aca="false">IF($AJ352=Constants!$B$7,LARGE(AL352:AP352,1)+LARGE(AL352:AP352,2)+LARGE(AL352:AP352,3),"")</f>
        <v/>
      </c>
      <c r="AU352" s="59" t="str">
        <f aca="false">IF(ISBLANK($C352),"",IF($AJ352&lt;&gt;Constants!$B$7,$AJ352,AT352*W352))</f>
        <v/>
      </c>
      <c r="AV352" s="59" t="str">
        <f aca="false">IF(ISBLANK($C352),"",IF($AJ352=Constants!$B$7,IF(ISNUMBER(AU352),RANK(AU352,$AU$8:$AU$507),Constants!$B$14),$AJ352))</f>
        <v/>
      </c>
      <c r="AW352" s="59" t="str">
        <f aca="false">IF(ISBLANK($C352),"",IF($AJ352=Constants!$B$7,IF(ISNUMBER(AV352),COUNTIFS($AK$8:$AK$507,"&lt;"&amp;$AK352)+COUNTIFS($AK$8:$AK$507,$AK352,$AV$8:$AV$507,"&lt;"&amp;$AV352)+1,Constants!$B$14),$AJ352))</f>
        <v/>
      </c>
      <c r="AX352" s="59" t="str">
        <f aca="false">IF(ISBLANK($C352),"",IF($AJ352=Constants!$B$7,LARGE(AL352:AP352,4)*W352,""))</f>
        <v/>
      </c>
      <c r="AY352" s="59" t="str">
        <f aca="false">IF(ISBLANK($C352),"",IF($AJ352=Constants!$B$7,RANK(AX352,$AX$8:$AX$507),$AJ352))</f>
        <v/>
      </c>
      <c r="AZ352" s="59" t="str">
        <f aca="false">IF(ISBLANK($C352),"",IF($AJ352=Constants!$B$7,IF(ISNUMBER(AV352),COUNTIFS($AK$8:$AK$507,"&lt;"&amp;$AK352)+COUNTIFS($AK$8:$AK$507,$AK352,$AV$8:$AV$507,"&lt;"&amp;$AV352)+COUNTIFS($AK$8:$AK$507,$AK352,$AV$8:$AV$507,$AV352,$AY$8:$AY$507,"&lt;"&amp;$AY352)+1,Constants!$B$14),$AJ352))</f>
        <v/>
      </c>
      <c r="BA352" s="59" t="str">
        <f aca="false">IF(ISBLANK($C352),"",IF($AJ352=Constants!$B$7,IF(ISNUMBER(AW352),AW352-AZ352,Constants!$B$14),$AJ352))</f>
        <v/>
      </c>
      <c r="BB352" s="61"/>
      <c r="BC352" s="62" t="str">
        <f aca="false">IF(ISBLANK($C352),"",IF($AJ352&lt;&gt;Constants!$B$7,$AJ352,SMALL(AQ352:AS352,1)&amp;", "&amp;SMALL(AQ352:AS352,2)&amp;", "&amp;SMALL(AQ352:AS352,3)))</f>
        <v/>
      </c>
      <c r="BD352" s="63" t="str">
        <f aca="false">IF(ISBLANK($C352),"",IF($AJ352&lt;&gt;Constants!$B$7,$AJ352,W352))</f>
        <v/>
      </c>
      <c r="BE352" s="64" t="str">
        <f aca="false">IF(ISBLANK($C352),"",IF($AJ352&lt;&gt;Constants!$B$7,$AJ352,AU352))</f>
        <v/>
      </c>
      <c r="BF352" s="65" t="str">
        <f aca="false">IF(ISBLANK($C352),"",IF($AJ352&lt;&gt;Constants!$B$7,$AJ352,AK352))</f>
        <v/>
      </c>
      <c r="BG352" s="63" t="str">
        <f aca="false">IF(ISBLANK($C352),"",BA352)</f>
        <v/>
      </c>
      <c r="BH352" s="63" t="str">
        <f aca="false">IF(ISBLANK($C352),"",AZ352)</f>
        <v/>
      </c>
      <c r="BI352" s="66" t="str">
        <f aca="false">IF(ISBLANK($C352),"",IF(BH352=Constants!$B$4,COUNTA($C$8:$C$507)+2,IF(BH352=Constants!$B$5,COUNTA($C$8:$C$507)+1,IF(BH352=Constants!$B$6,COUNTA($C$8:$C$507),BH352))))</f>
        <v/>
      </c>
      <c r="BJ352" s="5"/>
      <c r="BK352" s="67" t="n">
        <f aca="false">IF(OR(ISNUMBER(BH352),BH352=Constants!$B$4,BH352=Constants!$B$6,BH352=Constants!$B$5),1,0)</f>
        <v>0</v>
      </c>
      <c r="BL352" s="67" t="n">
        <v>345</v>
      </c>
      <c r="BM352" s="67" t="str">
        <f aca="false">IF(ISBLANK($C352),"",IF(ISNUMBER(BI352),BI352+ROW($B352)/1000,""))</f>
        <v/>
      </c>
      <c r="BN352" s="67" t="str">
        <f aca="false">IF(ISNUMBER(BM352),RANK(BM352,$BM$8:$BM$507,1),"")</f>
        <v/>
      </c>
      <c r="BO352" s="67" t="str">
        <f aca="false">IF(ISBLANK($C352),"",$B352)</f>
        <v/>
      </c>
      <c r="BP352" s="67" t="str">
        <f aca="false">IF(ISBLANK($C352),"",$C352)</f>
        <v/>
      </c>
      <c r="BQ352" s="67" t="str">
        <f aca="false">IF(ISBLANK($C352),"",$D352)</f>
        <v/>
      </c>
      <c r="BR352" s="68" t="str">
        <f aca="false">BF352</f>
        <v/>
      </c>
      <c r="BS352" s="69" t="str">
        <f aca="false">BE352</f>
        <v/>
      </c>
      <c r="BT352" s="67" t="str">
        <f aca="false">IF(ISBLANK($C352),"",BH352)</f>
        <v/>
      </c>
      <c r="BU352" s="70" t="str">
        <f aca="false">IF($BL352&gt;$BK$7,"",VLOOKUP($BL352,$BN$8:$BT$507,7,FALSE()))</f>
        <v/>
      </c>
      <c r="BV352" s="71" t="str">
        <f aca="false">IF($BL352&gt;$BK$7,"",VLOOKUP($BL352,$BN$8:$BT$507,2,FALSE()))</f>
        <v/>
      </c>
      <c r="BW352" s="71" t="str">
        <f aca="false">IF($BL352&gt;$BK$7,"",VLOOKUP($BL352,$BN$8:$BT$507,3,FALSE()))</f>
        <v/>
      </c>
      <c r="BX352" s="71" t="str">
        <f aca="false">IF($BL352&gt;$BK$7,"",VLOOKUP($BL352,$BN$8:$BT$507,4,FALSE()))</f>
        <v/>
      </c>
      <c r="BY352" s="71" t="str">
        <f aca="false">IF($BL352&gt;$BK$7,"",VLOOKUP($BL352,$BN$8:$BT$507,5,FALSE()))</f>
        <v/>
      </c>
      <c r="BZ352" s="72" t="str">
        <f aca="false">IF($BL352&gt;$BK$7,"",VLOOKUP($BL352,$BN$8:$BT$507,6,FALSE()))</f>
        <v/>
      </c>
      <c r="CA352" s="48"/>
    </row>
    <row r="353" customFormat="false" ht="15.75" hidden="false" customHeight="false" outlineLevel="0" collapsed="false">
      <c r="A353" s="5"/>
      <c r="B353" s="114"/>
      <c r="C353" s="115"/>
      <c r="D353" s="100"/>
      <c r="E353" s="120"/>
      <c r="F353" s="125"/>
      <c r="G353" s="82"/>
      <c r="H353" s="126"/>
      <c r="I353" s="127"/>
      <c r="J353" s="82"/>
      <c r="K353" s="126"/>
      <c r="L353" s="82"/>
      <c r="M353" s="126"/>
      <c r="N353" s="82"/>
      <c r="O353" s="126"/>
      <c r="P353" s="82"/>
      <c r="Q353" s="126"/>
      <c r="R353" s="82"/>
      <c r="S353" s="120"/>
      <c r="T353" s="86"/>
      <c r="U353" s="87" t="str">
        <f aca="false">IF(ISBLANK($C353),"",IF(E353=Constants!$B$2, TRUE(), IF(E353=Constants!$B$3, FALSE(), TRUE())))</f>
        <v/>
      </c>
      <c r="V353" s="87" t="str">
        <f aca="false">IF(ISBLANK($C353),"",IF(F353=Constants!$B$2, TRUE(), IF(F353=Constants!$B$3, FALSE(), TRUE())))</f>
        <v/>
      </c>
      <c r="W353" s="87" t="str">
        <f aca="false">IF(ISBLANK($C353),"",IF(G353=Constants!$B$15,Constants!$B$8,IF(G353=Constants!$B$16,Constants!$B$9,Constants!$B$10)))</f>
        <v/>
      </c>
      <c r="X353" s="87" t="str">
        <f aca="false">IF(ISBLANK($C353),"",IF(H353=Constants!$B$2, TRUE(), IF(H353=Constants!$B$3, FALSE(), TRUE())))</f>
        <v/>
      </c>
      <c r="Y353" s="87" t="str">
        <f aca="false">IF(ISBLANK($C353),"",IF(I353=Constants!$B$19,Constants!$B$19,Constants!$B$18))</f>
        <v/>
      </c>
      <c r="Z353" s="87" t="str">
        <f aca="false">IF(ISBLANK($C353),"",IF(ISNUMBER(J353),IF(J353&gt;=0,J353,""),""))</f>
        <v/>
      </c>
      <c r="AA353" s="87" t="str">
        <f aca="false">IF(ISBLANK($C353),"",IF(K353=Constants!$B$19,Constants!$B$19,Constants!$B$18))</f>
        <v/>
      </c>
      <c r="AB353" s="87" t="str">
        <f aca="false">IF(ISBLANK($C353),"",IF(ISNUMBER(L353),IF(L353&gt;=0,L353,""),""))</f>
        <v/>
      </c>
      <c r="AC353" s="87" t="str">
        <f aca="false">IF(ISBLANK($C353),"",IF(M353=Constants!$B$19,Constants!$B$19,Constants!$B$18))</f>
        <v/>
      </c>
      <c r="AD353" s="87" t="str">
        <f aca="false">IF(ISBLANK($C353),"",IF(ISNUMBER(N353),IF(N353&gt;=0,N353,""),""))</f>
        <v/>
      </c>
      <c r="AE353" s="87" t="str">
        <f aca="false">IF(ISBLANK($C353),"",IF(O353=Constants!$B$19,Constants!$B$19,Constants!$B$18))</f>
        <v/>
      </c>
      <c r="AF353" s="87" t="str">
        <f aca="false">IF(ISBLANK($C353),"",IF(ISNUMBER(P353),IF(P353&gt;=0,P353,""),""))</f>
        <v/>
      </c>
      <c r="AG353" s="87" t="str">
        <f aca="false">IF(ISBLANK($C353),"",IF(Q353=Constants!$B$19,Constants!$B$19,Constants!$B$18))</f>
        <v/>
      </c>
      <c r="AH353" s="87" t="str">
        <f aca="false">IF(ISBLANK($C353),"",IF(ISNUMBER(R353),IF(R353&gt;=0,R353,""),""))</f>
        <v/>
      </c>
      <c r="AI353" s="87" t="str">
        <f aca="false">IF(ISBLANK($C353),"",IF(S353=Constants!$B$2, TRUE(), IF(S353=Constants!$B$3, FALSE(), FALSE())))</f>
        <v/>
      </c>
      <c r="AJ353" s="87" t="str">
        <f aca="false">IF(ISBLANK($C353),"",IF(AI353,Constants!$B$4,IF(COUNTA(E353:R353)=0,Constants!$B$5,IF(COUNTA(J353,L353,N353,P353,R353)=0,Constants!$B$6,Constants!$B$7))))</f>
        <v/>
      </c>
      <c r="AK353" s="87" t="str">
        <f aca="false">IF(ISBLANK($C353),"",IF($AJ353&lt;&gt;Constants!$B$7,$AJ353,IF(OR(NOT(X353),AND(NOT(U353),COUNTIFS(Y353:AG353,Constants!$B$18,Z353:AH353,"&gt;=0")&gt;0),AND(NOT(V353),COUNTIFS(Y353:AG353,Constants!$B$19,Z353:AH353,"&gt;=0")&gt;0)),Constants!$B$12,Constants!$B$11)))</f>
        <v/>
      </c>
      <c r="AL353" s="87" t="str">
        <f aca="false">IF($AJ353=Constants!$B$7,IF(Z353="",Constants!$B$13,Z353),"")</f>
        <v/>
      </c>
      <c r="AM353" s="87" t="str">
        <f aca="false">IF($AJ353=Constants!$B$7,IF(AB353="",Constants!$B$13,AB353),"")</f>
        <v/>
      </c>
      <c r="AN353" s="87" t="str">
        <f aca="false">IF($AJ353=Constants!$B$7,IF(AD353="",Constants!$B$13,AD353),"")</f>
        <v/>
      </c>
      <c r="AO353" s="87" t="str">
        <f aca="false">IF($AJ353=Constants!$B$7,IF(AF353="",Constants!$B$13,AF353),"")</f>
        <v/>
      </c>
      <c r="AP353" s="87" t="str">
        <f aca="false">IF($AJ353=Constants!$B$7,IF(AH353="",Constants!$B$13,AH353),"")</f>
        <v/>
      </c>
      <c r="AQ353" s="87" t="str">
        <f aca="false">IF($AJ353=Constants!$B$7,IF(SUMPRODUCT(--($AL353:$AP353&gt;AL353))+SUMPRODUCT(--($AL353:AL353=AL353))=1,1,IF(SUMPRODUCT(--($AL353:$AP353&gt;AM353))+SUMPRODUCT(--($AL353:AM353=AM353))=1,2,IF(SUMPRODUCT(--($AL353:$AP353&gt;AN353))+SUMPRODUCT(--($AL353:AN353=AN353))=1,3,IF(SUMPRODUCT(--($AL353:$AP353&gt;AO353))+SUMPRODUCT(--($AL353:AO353=AO353))=1,4,5)))),"")</f>
        <v/>
      </c>
      <c r="AR353" s="87" t="str">
        <f aca="false">IF($AJ353=Constants!$B$7,IF(SUMPRODUCT(--($AL353:$AP353&gt;AL353))+SUMPRODUCT(--($AL353:AL353=AL353))=2,1,IF(SUMPRODUCT(--($AL353:$AP353&gt;AM353))+SUMPRODUCT(--($AL353:AM353=AM353))=2,2,IF(SUMPRODUCT(--($AL353:$AP353&gt;AN353))+SUMPRODUCT(--($AL353:AN353=AN353))=2,3,IF(SUMPRODUCT(--($AL353:$AP353&gt;AO353))+SUMPRODUCT(--($AL353:AO353=AO353))=2,4,5)))),"")</f>
        <v/>
      </c>
      <c r="AS353" s="87" t="str">
        <f aca="false">IF($AJ353=Constants!$B$7,IF(SUMPRODUCT(--($AL353:$AP353&gt;AL353))+SUMPRODUCT(--($AL353:AL353=AL353))=3,1,IF(SUMPRODUCT(--($AL353:$AP353&gt;AM353))+SUMPRODUCT(--($AL353:AM353=AM353))=3,2,IF(SUMPRODUCT(--($AL353:$AP353&gt;AN353))+SUMPRODUCT(--($AL353:AN353=AN353))=3,3,IF(SUMPRODUCT(--($AL353:$AP353&gt;AO353))+SUMPRODUCT(--($AL353:AO353=AO353))=3,4,5)))),"")</f>
        <v/>
      </c>
      <c r="AT353" s="87" t="str">
        <f aca="false">IF($AJ353=Constants!$B$7,LARGE(AL353:AP353,1)+LARGE(AL353:AP353,2)+LARGE(AL353:AP353,3),"")</f>
        <v/>
      </c>
      <c r="AU353" s="87" t="str">
        <f aca="false">IF(ISBLANK($C353),"",IF($AJ353&lt;&gt;Constants!$B$7,$AJ353,AT353*W353))</f>
        <v/>
      </c>
      <c r="AV353" s="87" t="str">
        <f aca="false">IF(ISBLANK($C353),"",IF($AJ353=Constants!$B$7,IF(ISNUMBER(AU353),RANK(AU353,$AU$8:$AU$507),Constants!$B$14),$AJ353))</f>
        <v/>
      </c>
      <c r="AW353" s="87" t="str">
        <f aca="false">IF(ISBLANK($C353),"",IF($AJ353=Constants!$B$7,IF(ISNUMBER(AV353),COUNTIFS($AK$8:$AK$507,"&lt;"&amp;$AK353)+COUNTIFS($AK$8:$AK$507,$AK353,$AV$8:$AV$507,"&lt;"&amp;$AV353)+1,Constants!$B$14),$AJ353))</f>
        <v/>
      </c>
      <c r="AX353" s="87" t="str">
        <f aca="false">IF(ISBLANK($C353),"",IF($AJ353=Constants!$B$7,LARGE(AL353:AP353,4)*W353,""))</f>
        <v/>
      </c>
      <c r="AY353" s="87" t="str">
        <f aca="false">IF(ISBLANK($C353),"",IF($AJ353=Constants!$B$7,RANK(AX353,$AX$8:$AX$507),$AJ353))</f>
        <v/>
      </c>
      <c r="AZ353" s="87" t="str">
        <f aca="false">IF(ISBLANK($C353),"",IF($AJ353=Constants!$B$7,IF(ISNUMBER(AV353),COUNTIFS($AK$8:$AK$507,"&lt;"&amp;$AK353)+COUNTIFS($AK$8:$AK$507,$AK353,$AV$8:$AV$507,"&lt;"&amp;$AV353)+COUNTIFS($AK$8:$AK$507,$AK353,$AV$8:$AV$507,$AV353,$AY$8:$AY$507,"&lt;"&amp;$AY353)+1,Constants!$B$14),$AJ353))</f>
        <v/>
      </c>
      <c r="BA353" s="87" t="str">
        <f aca="false">IF(ISBLANK($C353),"",IF($AJ353=Constants!$B$7,IF(ISNUMBER(AW353),AW353-AZ353,Constants!$B$14),$AJ353))</f>
        <v/>
      </c>
      <c r="BB353" s="88"/>
      <c r="BC353" s="89" t="str">
        <f aca="false">IF(ISBLANK($C353),"",IF($AJ353&lt;&gt;Constants!$B$7,$AJ353,SMALL(AQ353:AS353,1)&amp;", "&amp;SMALL(AQ353:AS353,2)&amp;", "&amp;SMALL(AQ353:AS353,3)))</f>
        <v/>
      </c>
      <c r="BD353" s="90" t="str">
        <f aca="false">IF(ISBLANK($C353),"",IF($AJ353&lt;&gt;Constants!$B$7,$AJ353,W353))</f>
        <v/>
      </c>
      <c r="BE353" s="91" t="str">
        <f aca="false">IF(ISBLANK($C353),"",IF($AJ353&lt;&gt;Constants!$B$7,$AJ353,AU353))</f>
        <v/>
      </c>
      <c r="BF353" s="92" t="str">
        <f aca="false">IF(ISBLANK($C353),"",IF($AJ353&lt;&gt;Constants!$B$7,$AJ353,AK353))</f>
        <v/>
      </c>
      <c r="BG353" s="90" t="str">
        <f aca="false">IF(ISBLANK($C353),"",BA353)</f>
        <v/>
      </c>
      <c r="BH353" s="90" t="str">
        <f aca="false">IF(ISBLANK($C353),"",AZ353)</f>
        <v/>
      </c>
      <c r="BI353" s="93" t="str">
        <f aca="false">IF(ISBLANK($C353),"",IF(BH353=Constants!$B$4,COUNTA($C$8:$C$507)+2,IF(BH353=Constants!$B$5,COUNTA($C$8:$C$507)+1,IF(BH353=Constants!$B$6,COUNTA($C$8:$C$507),BH353))))</f>
        <v/>
      </c>
      <c r="BJ353" s="5"/>
      <c r="BK353" s="94" t="n">
        <f aca="false">IF(OR(ISNUMBER(BH353),BH353=Constants!$B$4,BH353=Constants!$B$6,BH353=Constants!$B$5),1,0)</f>
        <v>0</v>
      </c>
      <c r="BL353" s="94" t="n">
        <v>346</v>
      </c>
      <c r="BM353" s="94" t="str">
        <f aca="false">IF(ISBLANK($C353),"",IF(ISNUMBER(BI353),BI353+ROW($B353)/1000,""))</f>
        <v/>
      </c>
      <c r="BN353" s="94" t="str">
        <f aca="false">IF(ISNUMBER(BM353),RANK(BM353,$BM$8:$BM$507,1),"")</f>
        <v/>
      </c>
      <c r="BO353" s="94" t="str">
        <f aca="false">IF(ISBLANK($C353),"",$B353)</f>
        <v/>
      </c>
      <c r="BP353" s="94" t="str">
        <f aca="false">IF(ISBLANK($C353),"",$C353)</f>
        <v/>
      </c>
      <c r="BQ353" s="94" t="str">
        <f aca="false">IF(ISBLANK($C353),"",$D353)</f>
        <v/>
      </c>
      <c r="BR353" s="95" t="str">
        <f aca="false">BF353</f>
        <v/>
      </c>
      <c r="BS353" s="96" t="str">
        <f aca="false">BE353</f>
        <v/>
      </c>
      <c r="BT353" s="94" t="str">
        <f aca="false">IF(ISBLANK($C353),"",BH353)</f>
        <v/>
      </c>
      <c r="BU353" s="97" t="str">
        <f aca="false">IF($BL353&gt;$BK$7,"",VLOOKUP($BL353,$BN$8:$BT$507,7,FALSE()))</f>
        <v/>
      </c>
      <c r="BV353" s="98" t="str">
        <f aca="false">IF($BL353&gt;$BK$7,"",VLOOKUP($BL353,$BN$8:$BT$507,2,FALSE()))</f>
        <v/>
      </c>
      <c r="BW353" s="98" t="str">
        <f aca="false">IF($BL353&gt;$BK$7,"",VLOOKUP($BL353,$BN$8:$BT$507,3,FALSE()))</f>
        <v/>
      </c>
      <c r="BX353" s="98" t="str">
        <f aca="false">IF($BL353&gt;$BK$7,"",VLOOKUP($BL353,$BN$8:$BT$507,4,FALSE()))</f>
        <v/>
      </c>
      <c r="BY353" s="98" t="str">
        <f aca="false">IF($BL353&gt;$BK$7,"",VLOOKUP($BL353,$BN$8:$BT$507,5,FALSE()))</f>
        <v/>
      </c>
      <c r="BZ353" s="99" t="str">
        <f aca="false">IF($BL353&gt;$BK$7,"",VLOOKUP($BL353,$BN$8:$BT$507,6,FALSE()))</f>
        <v/>
      </c>
      <c r="CA353" s="48"/>
    </row>
    <row r="354" customFormat="false" ht="15.75" hidden="false" customHeight="false" outlineLevel="0" collapsed="false">
      <c r="A354" s="5"/>
      <c r="B354" s="114"/>
      <c r="C354" s="115"/>
      <c r="D354" s="100"/>
      <c r="E354" s="120"/>
      <c r="F354" s="125"/>
      <c r="G354" s="82"/>
      <c r="H354" s="126"/>
      <c r="I354" s="127"/>
      <c r="J354" s="82"/>
      <c r="K354" s="126"/>
      <c r="L354" s="82"/>
      <c r="M354" s="126"/>
      <c r="N354" s="82"/>
      <c r="O354" s="126"/>
      <c r="P354" s="82"/>
      <c r="Q354" s="126"/>
      <c r="R354" s="82"/>
      <c r="S354" s="120"/>
      <c r="T354" s="86"/>
      <c r="U354" s="87" t="str">
        <f aca="false">IF(ISBLANK($C354),"",IF(E354=Constants!$B$2, TRUE(), IF(E354=Constants!$B$3, FALSE(), TRUE())))</f>
        <v/>
      </c>
      <c r="V354" s="87" t="str">
        <f aca="false">IF(ISBLANK($C354),"",IF(F354=Constants!$B$2, TRUE(), IF(F354=Constants!$B$3, FALSE(), TRUE())))</f>
        <v/>
      </c>
      <c r="W354" s="87" t="str">
        <f aca="false">IF(ISBLANK($C354),"",IF(G354=Constants!$B$15,Constants!$B$8,IF(G354=Constants!$B$16,Constants!$B$9,Constants!$B$10)))</f>
        <v/>
      </c>
      <c r="X354" s="87" t="str">
        <f aca="false">IF(ISBLANK($C354),"",IF(H354=Constants!$B$2, TRUE(), IF(H354=Constants!$B$3, FALSE(), TRUE())))</f>
        <v/>
      </c>
      <c r="Y354" s="87" t="str">
        <f aca="false">IF(ISBLANK($C354),"",IF(I354=Constants!$B$19,Constants!$B$19,Constants!$B$18))</f>
        <v/>
      </c>
      <c r="Z354" s="87" t="str">
        <f aca="false">IF(ISBLANK($C354),"",IF(ISNUMBER(J354),IF(J354&gt;=0,J354,""),""))</f>
        <v/>
      </c>
      <c r="AA354" s="87" t="str">
        <f aca="false">IF(ISBLANK($C354),"",IF(K354=Constants!$B$19,Constants!$B$19,Constants!$B$18))</f>
        <v/>
      </c>
      <c r="AB354" s="87" t="str">
        <f aca="false">IF(ISBLANK($C354),"",IF(ISNUMBER(L354),IF(L354&gt;=0,L354,""),""))</f>
        <v/>
      </c>
      <c r="AC354" s="87" t="str">
        <f aca="false">IF(ISBLANK($C354),"",IF(M354=Constants!$B$19,Constants!$B$19,Constants!$B$18))</f>
        <v/>
      </c>
      <c r="AD354" s="87" t="str">
        <f aca="false">IF(ISBLANK($C354),"",IF(ISNUMBER(N354),IF(N354&gt;=0,N354,""),""))</f>
        <v/>
      </c>
      <c r="AE354" s="87" t="str">
        <f aca="false">IF(ISBLANK($C354),"",IF(O354=Constants!$B$19,Constants!$B$19,Constants!$B$18))</f>
        <v/>
      </c>
      <c r="AF354" s="87" t="str">
        <f aca="false">IF(ISBLANK($C354),"",IF(ISNUMBER(P354),IF(P354&gt;=0,P354,""),""))</f>
        <v/>
      </c>
      <c r="AG354" s="87" t="str">
        <f aca="false">IF(ISBLANK($C354),"",IF(Q354=Constants!$B$19,Constants!$B$19,Constants!$B$18))</f>
        <v/>
      </c>
      <c r="AH354" s="87" t="str">
        <f aca="false">IF(ISBLANK($C354),"",IF(ISNUMBER(R354),IF(R354&gt;=0,R354,""),""))</f>
        <v/>
      </c>
      <c r="AI354" s="87" t="str">
        <f aca="false">IF(ISBLANK($C354),"",IF(S354=Constants!$B$2, TRUE(), IF(S354=Constants!$B$3, FALSE(), FALSE())))</f>
        <v/>
      </c>
      <c r="AJ354" s="87" t="str">
        <f aca="false">IF(ISBLANK($C354),"",IF(AI354,Constants!$B$4,IF(COUNTA(E354:R354)=0,Constants!$B$5,IF(COUNTA(J354,L354,N354,P354,R354)=0,Constants!$B$6,Constants!$B$7))))</f>
        <v/>
      </c>
      <c r="AK354" s="87" t="str">
        <f aca="false">IF(ISBLANK($C354),"",IF($AJ354&lt;&gt;Constants!$B$7,$AJ354,IF(OR(NOT(X354),AND(NOT(U354),COUNTIFS(Y354:AG354,Constants!$B$18,Z354:AH354,"&gt;=0")&gt;0),AND(NOT(V354),COUNTIFS(Y354:AG354,Constants!$B$19,Z354:AH354,"&gt;=0")&gt;0)),Constants!$B$12,Constants!$B$11)))</f>
        <v/>
      </c>
      <c r="AL354" s="87" t="str">
        <f aca="false">IF($AJ354=Constants!$B$7,IF(Z354="",Constants!$B$13,Z354),"")</f>
        <v/>
      </c>
      <c r="AM354" s="87" t="str">
        <f aca="false">IF($AJ354=Constants!$B$7,IF(AB354="",Constants!$B$13,AB354),"")</f>
        <v/>
      </c>
      <c r="AN354" s="87" t="str">
        <f aca="false">IF($AJ354=Constants!$B$7,IF(AD354="",Constants!$B$13,AD354),"")</f>
        <v/>
      </c>
      <c r="AO354" s="87" t="str">
        <f aca="false">IF($AJ354=Constants!$B$7,IF(AF354="",Constants!$B$13,AF354),"")</f>
        <v/>
      </c>
      <c r="AP354" s="87" t="str">
        <f aca="false">IF($AJ354=Constants!$B$7,IF(AH354="",Constants!$B$13,AH354),"")</f>
        <v/>
      </c>
      <c r="AQ354" s="87" t="str">
        <f aca="false">IF($AJ354=Constants!$B$7,IF(SUMPRODUCT(--($AL354:$AP354&gt;AL354))+SUMPRODUCT(--($AL354:AL354=AL354))=1,1,IF(SUMPRODUCT(--($AL354:$AP354&gt;AM354))+SUMPRODUCT(--($AL354:AM354=AM354))=1,2,IF(SUMPRODUCT(--($AL354:$AP354&gt;AN354))+SUMPRODUCT(--($AL354:AN354=AN354))=1,3,IF(SUMPRODUCT(--($AL354:$AP354&gt;AO354))+SUMPRODUCT(--($AL354:AO354=AO354))=1,4,5)))),"")</f>
        <v/>
      </c>
      <c r="AR354" s="87" t="str">
        <f aca="false">IF($AJ354=Constants!$B$7,IF(SUMPRODUCT(--($AL354:$AP354&gt;AL354))+SUMPRODUCT(--($AL354:AL354=AL354))=2,1,IF(SUMPRODUCT(--($AL354:$AP354&gt;AM354))+SUMPRODUCT(--($AL354:AM354=AM354))=2,2,IF(SUMPRODUCT(--($AL354:$AP354&gt;AN354))+SUMPRODUCT(--($AL354:AN354=AN354))=2,3,IF(SUMPRODUCT(--($AL354:$AP354&gt;AO354))+SUMPRODUCT(--($AL354:AO354=AO354))=2,4,5)))),"")</f>
        <v/>
      </c>
      <c r="AS354" s="87" t="str">
        <f aca="false">IF($AJ354=Constants!$B$7,IF(SUMPRODUCT(--($AL354:$AP354&gt;AL354))+SUMPRODUCT(--($AL354:AL354=AL354))=3,1,IF(SUMPRODUCT(--($AL354:$AP354&gt;AM354))+SUMPRODUCT(--($AL354:AM354=AM354))=3,2,IF(SUMPRODUCT(--($AL354:$AP354&gt;AN354))+SUMPRODUCT(--($AL354:AN354=AN354))=3,3,IF(SUMPRODUCT(--($AL354:$AP354&gt;AO354))+SUMPRODUCT(--($AL354:AO354=AO354))=3,4,5)))),"")</f>
        <v/>
      </c>
      <c r="AT354" s="87" t="str">
        <f aca="false">IF($AJ354=Constants!$B$7,LARGE(AL354:AP354,1)+LARGE(AL354:AP354,2)+LARGE(AL354:AP354,3),"")</f>
        <v/>
      </c>
      <c r="AU354" s="87" t="str">
        <f aca="false">IF(ISBLANK($C354),"",IF($AJ354&lt;&gt;Constants!$B$7,$AJ354,AT354*W354))</f>
        <v/>
      </c>
      <c r="AV354" s="87" t="str">
        <f aca="false">IF(ISBLANK($C354),"",IF($AJ354=Constants!$B$7,IF(ISNUMBER(AU354),RANK(AU354,$AU$8:$AU$507),Constants!$B$14),$AJ354))</f>
        <v/>
      </c>
      <c r="AW354" s="87" t="str">
        <f aca="false">IF(ISBLANK($C354),"",IF($AJ354=Constants!$B$7,IF(ISNUMBER(AV354),COUNTIFS($AK$8:$AK$507,"&lt;"&amp;$AK354)+COUNTIFS($AK$8:$AK$507,$AK354,$AV$8:$AV$507,"&lt;"&amp;$AV354)+1,Constants!$B$14),$AJ354))</f>
        <v/>
      </c>
      <c r="AX354" s="87" t="str">
        <f aca="false">IF(ISBLANK($C354),"",IF($AJ354=Constants!$B$7,LARGE(AL354:AP354,4)*W354,""))</f>
        <v/>
      </c>
      <c r="AY354" s="87" t="str">
        <f aca="false">IF(ISBLANK($C354),"",IF($AJ354=Constants!$B$7,RANK(AX354,$AX$8:$AX$507),$AJ354))</f>
        <v/>
      </c>
      <c r="AZ354" s="87" t="str">
        <f aca="false">IF(ISBLANK($C354),"",IF($AJ354=Constants!$B$7,IF(ISNUMBER(AV354),COUNTIFS($AK$8:$AK$507,"&lt;"&amp;$AK354)+COUNTIFS($AK$8:$AK$507,$AK354,$AV$8:$AV$507,"&lt;"&amp;$AV354)+COUNTIFS($AK$8:$AK$507,$AK354,$AV$8:$AV$507,$AV354,$AY$8:$AY$507,"&lt;"&amp;$AY354)+1,Constants!$B$14),$AJ354))</f>
        <v/>
      </c>
      <c r="BA354" s="87" t="str">
        <f aca="false">IF(ISBLANK($C354),"",IF($AJ354=Constants!$B$7,IF(ISNUMBER(AW354),AW354-AZ354,Constants!$B$14),$AJ354))</f>
        <v/>
      </c>
      <c r="BB354" s="88"/>
      <c r="BC354" s="89" t="str">
        <f aca="false">IF(ISBLANK($C354),"",IF($AJ354&lt;&gt;Constants!$B$7,$AJ354,SMALL(AQ354:AS354,1)&amp;", "&amp;SMALL(AQ354:AS354,2)&amp;", "&amp;SMALL(AQ354:AS354,3)))</f>
        <v/>
      </c>
      <c r="BD354" s="90" t="str">
        <f aca="false">IF(ISBLANK($C354),"",IF($AJ354&lt;&gt;Constants!$B$7,$AJ354,W354))</f>
        <v/>
      </c>
      <c r="BE354" s="91" t="str">
        <f aca="false">IF(ISBLANK($C354),"",IF($AJ354&lt;&gt;Constants!$B$7,$AJ354,AU354))</f>
        <v/>
      </c>
      <c r="BF354" s="92" t="str">
        <f aca="false">IF(ISBLANK($C354),"",IF($AJ354&lt;&gt;Constants!$B$7,$AJ354,AK354))</f>
        <v/>
      </c>
      <c r="BG354" s="90" t="str">
        <f aca="false">IF(ISBLANK($C354),"",BA354)</f>
        <v/>
      </c>
      <c r="BH354" s="90" t="str">
        <f aca="false">IF(ISBLANK($C354),"",AZ354)</f>
        <v/>
      </c>
      <c r="BI354" s="93" t="str">
        <f aca="false">IF(ISBLANK($C354),"",IF(BH354=Constants!$B$4,COUNTA($C$8:$C$507)+2,IF(BH354=Constants!$B$5,COUNTA($C$8:$C$507)+1,IF(BH354=Constants!$B$6,COUNTA($C$8:$C$507),BH354))))</f>
        <v/>
      </c>
      <c r="BJ354" s="5"/>
      <c r="BK354" s="94" t="n">
        <f aca="false">IF(OR(ISNUMBER(BH354),BH354=Constants!$B$4,BH354=Constants!$B$6,BH354=Constants!$B$5),1,0)</f>
        <v>0</v>
      </c>
      <c r="BL354" s="94" t="n">
        <v>347</v>
      </c>
      <c r="BM354" s="94" t="str">
        <f aca="false">IF(ISBLANK($C354),"",IF(ISNUMBER(BI354),BI354+ROW($B354)/1000,""))</f>
        <v/>
      </c>
      <c r="BN354" s="94" t="str">
        <f aca="false">IF(ISNUMBER(BM354),RANK(BM354,$BM$8:$BM$507,1),"")</f>
        <v/>
      </c>
      <c r="BO354" s="94" t="str">
        <f aca="false">IF(ISBLANK($C354),"",$B354)</f>
        <v/>
      </c>
      <c r="BP354" s="94" t="str">
        <f aca="false">IF(ISBLANK($C354),"",$C354)</f>
        <v/>
      </c>
      <c r="BQ354" s="94" t="str">
        <f aca="false">IF(ISBLANK($C354),"",$D354)</f>
        <v/>
      </c>
      <c r="BR354" s="95" t="str">
        <f aca="false">BF354</f>
        <v/>
      </c>
      <c r="BS354" s="96" t="str">
        <f aca="false">BE354</f>
        <v/>
      </c>
      <c r="BT354" s="94" t="str">
        <f aca="false">IF(ISBLANK($C354),"",BH354)</f>
        <v/>
      </c>
      <c r="BU354" s="97" t="str">
        <f aca="false">IF($BL354&gt;$BK$7,"",VLOOKUP($BL354,$BN$8:$BT$507,7,FALSE()))</f>
        <v/>
      </c>
      <c r="BV354" s="98" t="str">
        <f aca="false">IF($BL354&gt;$BK$7,"",VLOOKUP($BL354,$BN$8:$BT$507,2,FALSE()))</f>
        <v/>
      </c>
      <c r="BW354" s="98" t="str">
        <f aca="false">IF($BL354&gt;$BK$7,"",VLOOKUP($BL354,$BN$8:$BT$507,3,FALSE()))</f>
        <v/>
      </c>
      <c r="BX354" s="98" t="str">
        <f aca="false">IF($BL354&gt;$BK$7,"",VLOOKUP($BL354,$BN$8:$BT$507,4,FALSE()))</f>
        <v/>
      </c>
      <c r="BY354" s="98" t="str">
        <f aca="false">IF($BL354&gt;$BK$7,"",VLOOKUP($BL354,$BN$8:$BT$507,5,FALSE()))</f>
        <v/>
      </c>
      <c r="BZ354" s="99" t="str">
        <f aca="false">IF($BL354&gt;$BK$7,"",VLOOKUP($BL354,$BN$8:$BT$507,6,FALSE()))</f>
        <v/>
      </c>
      <c r="CA354" s="48"/>
    </row>
    <row r="355" customFormat="false" ht="15.75" hidden="false" customHeight="false" outlineLevel="0" collapsed="false">
      <c r="A355" s="5"/>
      <c r="B355" s="114"/>
      <c r="C355" s="115"/>
      <c r="D355" s="100"/>
      <c r="E355" s="120"/>
      <c r="F355" s="125"/>
      <c r="G355" s="82"/>
      <c r="H355" s="126"/>
      <c r="I355" s="127"/>
      <c r="J355" s="82"/>
      <c r="K355" s="126"/>
      <c r="L355" s="82"/>
      <c r="M355" s="126"/>
      <c r="N355" s="82"/>
      <c r="O355" s="126"/>
      <c r="P355" s="82"/>
      <c r="Q355" s="126"/>
      <c r="R355" s="82"/>
      <c r="S355" s="120"/>
      <c r="T355" s="86"/>
      <c r="U355" s="87" t="str">
        <f aca="false">IF(ISBLANK($C355),"",IF(E355=Constants!$B$2, TRUE(), IF(E355=Constants!$B$3, FALSE(), TRUE())))</f>
        <v/>
      </c>
      <c r="V355" s="87" t="str">
        <f aca="false">IF(ISBLANK($C355),"",IF(F355=Constants!$B$2, TRUE(), IF(F355=Constants!$B$3, FALSE(), TRUE())))</f>
        <v/>
      </c>
      <c r="W355" s="87" t="str">
        <f aca="false">IF(ISBLANK($C355),"",IF(G355=Constants!$B$15,Constants!$B$8,IF(G355=Constants!$B$16,Constants!$B$9,Constants!$B$10)))</f>
        <v/>
      </c>
      <c r="X355" s="87" t="str">
        <f aca="false">IF(ISBLANK($C355),"",IF(H355=Constants!$B$2, TRUE(), IF(H355=Constants!$B$3, FALSE(), TRUE())))</f>
        <v/>
      </c>
      <c r="Y355" s="87" t="str">
        <f aca="false">IF(ISBLANK($C355),"",IF(I355=Constants!$B$19,Constants!$B$19,Constants!$B$18))</f>
        <v/>
      </c>
      <c r="Z355" s="87" t="str">
        <f aca="false">IF(ISBLANK($C355),"",IF(ISNUMBER(J355),IF(J355&gt;=0,J355,""),""))</f>
        <v/>
      </c>
      <c r="AA355" s="87" t="str">
        <f aca="false">IF(ISBLANK($C355),"",IF(K355=Constants!$B$19,Constants!$B$19,Constants!$B$18))</f>
        <v/>
      </c>
      <c r="AB355" s="87" t="str">
        <f aca="false">IF(ISBLANK($C355),"",IF(ISNUMBER(L355),IF(L355&gt;=0,L355,""),""))</f>
        <v/>
      </c>
      <c r="AC355" s="87" t="str">
        <f aca="false">IF(ISBLANK($C355),"",IF(M355=Constants!$B$19,Constants!$B$19,Constants!$B$18))</f>
        <v/>
      </c>
      <c r="AD355" s="87" t="str">
        <f aca="false">IF(ISBLANK($C355),"",IF(ISNUMBER(N355),IF(N355&gt;=0,N355,""),""))</f>
        <v/>
      </c>
      <c r="AE355" s="87" t="str">
        <f aca="false">IF(ISBLANK($C355),"",IF(O355=Constants!$B$19,Constants!$B$19,Constants!$B$18))</f>
        <v/>
      </c>
      <c r="AF355" s="87" t="str">
        <f aca="false">IF(ISBLANK($C355),"",IF(ISNUMBER(P355),IF(P355&gt;=0,P355,""),""))</f>
        <v/>
      </c>
      <c r="AG355" s="87" t="str">
        <f aca="false">IF(ISBLANK($C355),"",IF(Q355=Constants!$B$19,Constants!$B$19,Constants!$B$18))</f>
        <v/>
      </c>
      <c r="AH355" s="87" t="str">
        <f aca="false">IF(ISBLANK($C355),"",IF(ISNUMBER(R355),IF(R355&gt;=0,R355,""),""))</f>
        <v/>
      </c>
      <c r="AI355" s="87" t="str">
        <f aca="false">IF(ISBLANK($C355),"",IF(S355=Constants!$B$2, TRUE(), IF(S355=Constants!$B$3, FALSE(), FALSE())))</f>
        <v/>
      </c>
      <c r="AJ355" s="87" t="str">
        <f aca="false">IF(ISBLANK($C355),"",IF(AI355,Constants!$B$4,IF(COUNTA(E355:R355)=0,Constants!$B$5,IF(COUNTA(J355,L355,N355,P355,R355)=0,Constants!$B$6,Constants!$B$7))))</f>
        <v/>
      </c>
      <c r="AK355" s="87" t="str">
        <f aca="false">IF(ISBLANK($C355),"",IF($AJ355&lt;&gt;Constants!$B$7,$AJ355,IF(OR(NOT(X355),AND(NOT(U355),COUNTIFS(Y355:AG355,Constants!$B$18,Z355:AH355,"&gt;=0")&gt;0),AND(NOT(V355),COUNTIFS(Y355:AG355,Constants!$B$19,Z355:AH355,"&gt;=0")&gt;0)),Constants!$B$12,Constants!$B$11)))</f>
        <v/>
      </c>
      <c r="AL355" s="87" t="str">
        <f aca="false">IF($AJ355=Constants!$B$7,IF(Z355="",Constants!$B$13,Z355),"")</f>
        <v/>
      </c>
      <c r="AM355" s="87" t="str">
        <f aca="false">IF($AJ355=Constants!$B$7,IF(AB355="",Constants!$B$13,AB355),"")</f>
        <v/>
      </c>
      <c r="AN355" s="87" t="str">
        <f aca="false">IF($AJ355=Constants!$B$7,IF(AD355="",Constants!$B$13,AD355),"")</f>
        <v/>
      </c>
      <c r="AO355" s="87" t="str">
        <f aca="false">IF($AJ355=Constants!$B$7,IF(AF355="",Constants!$B$13,AF355),"")</f>
        <v/>
      </c>
      <c r="AP355" s="87" t="str">
        <f aca="false">IF($AJ355=Constants!$B$7,IF(AH355="",Constants!$B$13,AH355),"")</f>
        <v/>
      </c>
      <c r="AQ355" s="87" t="str">
        <f aca="false">IF($AJ355=Constants!$B$7,IF(SUMPRODUCT(--($AL355:$AP355&gt;AL355))+SUMPRODUCT(--($AL355:AL355=AL355))=1,1,IF(SUMPRODUCT(--($AL355:$AP355&gt;AM355))+SUMPRODUCT(--($AL355:AM355=AM355))=1,2,IF(SUMPRODUCT(--($AL355:$AP355&gt;AN355))+SUMPRODUCT(--($AL355:AN355=AN355))=1,3,IF(SUMPRODUCT(--($AL355:$AP355&gt;AO355))+SUMPRODUCT(--($AL355:AO355=AO355))=1,4,5)))),"")</f>
        <v/>
      </c>
      <c r="AR355" s="87" t="str">
        <f aca="false">IF($AJ355=Constants!$B$7,IF(SUMPRODUCT(--($AL355:$AP355&gt;AL355))+SUMPRODUCT(--($AL355:AL355=AL355))=2,1,IF(SUMPRODUCT(--($AL355:$AP355&gt;AM355))+SUMPRODUCT(--($AL355:AM355=AM355))=2,2,IF(SUMPRODUCT(--($AL355:$AP355&gt;AN355))+SUMPRODUCT(--($AL355:AN355=AN355))=2,3,IF(SUMPRODUCT(--($AL355:$AP355&gt;AO355))+SUMPRODUCT(--($AL355:AO355=AO355))=2,4,5)))),"")</f>
        <v/>
      </c>
      <c r="AS355" s="87" t="str">
        <f aca="false">IF($AJ355=Constants!$B$7,IF(SUMPRODUCT(--($AL355:$AP355&gt;AL355))+SUMPRODUCT(--($AL355:AL355=AL355))=3,1,IF(SUMPRODUCT(--($AL355:$AP355&gt;AM355))+SUMPRODUCT(--($AL355:AM355=AM355))=3,2,IF(SUMPRODUCT(--($AL355:$AP355&gt;AN355))+SUMPRODUCT(--($AL355:AN355=AN355))=3,3,IF(SUMPRODUCT(--($AL355:$AP355&gt;AO355))+SUMPRODUCT(--($AL355:AO355=AO355))=3,4,5)))),"")</f>
        <v/>
      </c>
      <c r="AT355" s="87" t="str">
        <f aca="false">IF($AJ355=Constants!$B$7,LARGE(AL355:AP355,1)+LARGE(AL355:AP355,2)+LARGE(AL355:AP355,3),"")</f>
        <v/>
      </c>
      <c r="AU355" s="87" t="str">
        <f aca="false">IF(ISBLANK($C355),"",IF($AJ355&lt;&gt;Constants!$B$7,$AJ355,AT355*W355))</f>
        <v/>
      </c>
      <c r="AV355" s="87" t="str">
        <f aca="false">IF(ISBLANK($C355),"",IF($AJ355=Constants!$B$7,IF(ISNUMBER(AU355),RANK(AU355,$AU$8:$AU$507),Constants!$B$14),$AJ355))</f>
        <v/>
      </c>
      <c r="AW355" s="87" t="str">
        <f aca="false">IF(ISBLANK($C355),"",IF($AJ355=Constants!$B$7,IF(ISNUMBER(AV355),COUNTIFS($AK$8:$AK$507,"&lt;"&amp;$AK355)+COUNTIFS($AK$8:$AK$507,$AK355,$AV$8:$AV$507,"&lt;"&amp;$AV355)+1,Constants!$B$14),$AJ355))</f>
        <v/>
      </c>
      <c r="AX355" s="87" t="str">
        <f aca="false">IF(ISBLANK($C355),"",IF($AJ355=Constants!$B$7,LARGE(AL355:AP355,4)*W355,""))</f>
        <v/>
      </c>
      <c r="AY355" s="87" t="str">
        <f aca="false">IF(ISBLANK($C355),"",IF($AJ355=Constants!$B$7,RANK(AX355,$AX$8:$AX$507),$AJ355))</f>
        <v/>
      </c>
      <c r="AZ355" s="87" t="str">
        <f aca="false">IF(ISBLANK($C355),"",IF($AJ355=Constants!$B$7,IF(ISNUMBER(AV355),COUNTIFS($AK$8:$AK$507,"&lt;"&amp;$AK355)+COUNTIFS($AK$8:$AK$507,$AK355,$AV$8:$AV$507,"&lt;"&amp;$AV355)+COUNTIFS($AK$8:$AK$507,$AK355,$AV$8:$AV$507,$AV355,$AY$8:$AY$507,"&lt;"&amp;$AY355)+1,Constants!$B$14),$AJ355))</f>
        <v/>
      </c>
      <c r="BA355" s="87" t="str">
        <f aca="false">IF(ISBLANK($C355),"",IF($AJ355=Constants!$B$7,IF(ISNUMBER(AW355),AW355-AZ355,Constants!$B$14),$AJ355))</f>
        <v/>
      </c>
      <c r="BB355" s="88"/>
      <c r="BC355" s="89" t="str">
        <f aca="false">IF(ISBLANK($C355),"",IF($AJ355&lt;&gt;Constants!$B$7,$AJ355,SMALL(AQ355:AS355,1)&amp;", "&amp;SMALL(AQ355:AS355,2)&amp;", "&amp;SMALL(AQ355:AS355,3)))</f>
        <v/>
      </c>
      <c r="BD355" s="90" t="str">
        <f aca="false">IF(ISBLANK($C355),"",IF($AJ355&lt;&gt;Constants!$B$7,$AJ355,W355))</f>
        <v/>
      </c>
      <c r="BE355" s="91" t="str">
        <f aca="false">IF(ISBLANK($C355),"",IF($AJ355&lt;&gt;Constants!$B$7,$AJ355,AU355))</f>
        <v/>
      </c>
      <c r="BF355" s="92" t="str">
        <f aca="false">IF(ISBLANK($C355),"",IF($AJ355&lt;&gt;Constants!$B$7,$AJ355,AK355))</f>
        <v/>
      </c>
      <c r="BG355" s="90" t="str">
        <f aca="false">IF(ISBLANK($C355),"",BA355)</f>
        <v/>
      </c>
      <c r="BH355" s="90" t="str">
        <f aca="false">IF(ISBLANK($C355),"",AZ355)</f>
        <v/>
      </c>
      <c r="BI355" s="93" t="str">
        <f aca="false">IF(ISBLANK($C355),"",IF(BH355=Constants!$B$4,COUNTA($C$8:$C$507)+2,IF(BH355=Constants!$B$5,COUNTA($C$8:$C$507)+1,IF(BH355=Constants!$B$6,COUNTA($C$8:$C$507),BH355))))</f>
        <v/>
      </c>
      <c r="BJ355" s="5"/>
      <c r="BK355" s="94" t="n">
        <f aca="false">IF(OR(ISNUMBER(BH355),BH355=Constants!$B$4,BH355=Constants!$B$6,BH355=Constants!$B$5),1,0)</f>
        <v>0</v>
      </c>
      <c r="BL355" s="94" t="n">
        <v>348</v>
      </c>
      <c r="BM355" s="94" t="str">
        <f aca="false">IF(ISBLANK($C355),"",IF(ISNUMBER(BI355),BI355+ROW($B355)/1000,""))</f>
        <v/>
      </c>
      <c r="BN355" s="94" t="str">
        <f aca="false">IF(ISNUMBER(BM355),RANK(BM355,$BM$8:$BM$507,1),"")</f>
        <v/>
      </c>
      <c r="BO355" s="94" t="str">
        <f aca="false">IF(ISBLANK($C355),"",$B355)</f>
        <v/>
      </c>
      <c r="BP355" s="94" t="str">
        <f aca="false">IF(ISBLANK($C355),"",$C355)</f>
        <v/>
      </c>
      <c r="BQ355" s="94" t="str">
        <f aca="false">IF(ISBLANK($C355),"",$D355)</f>
        <v/>
      </c>
      <c r="BR355" s="95" t="str">
        <f aca="false">BF355</f>
        <v/>
      </c>
      <c r="BS355" s="96" t="str">
        <f aca="false">BE355</f>
        <v/>
      </c>
      <c r="BT355" s="94" t="str">
        <f aca="false">IF(ISBLANK($C355),"",BH355)</f>
        <v/>
      </c>
      <c r="BU355" s="97" t="str">
        <f aca="false">IF($BL355&gt;$BK$7,"",VLOOKUP($BL355,$BN$8:$BT$507,7,FALSE()))</f>
        <v/>
      </c>
      <c r="BV355" s="98" t="str">
        <f aca="false">IF($BL355&gt;$BK$7,"",VLOOKUP($BL355,$BN$8:$BT$507,2,FALSE()))</f>
        <v/>
      </c>
      <c r="BW355" s="98" t="str">
        <f aca="false">IF($BL355&gt;$BK$7,"",VLOOKUP($BL355,$BN$8:$BT$507,3,FALSE()))</f>
        <v/>
      </c>
      <c r="BX355" s="98" t="str">
        <f aca="false">IF($BL355&gt;$BK$7,"",VLOOKUP($BL355,$BN$8:$BT$507,4,FALSE()))</f>
        <v/>
      </c>
      <c r="BY355" s="98" t="str">
        <f aca="false">IF($BL355&gt;$BK$7,"",VLOOKUP($BL355,$BN$8:$BT$507,5,FALSE()))</f>
        <v/>
      </c>
      <c r="BZ355" s="99" t="str">
        <f aca="false">IF($BL355&gt;$BK$7,"",VLOOKUP($BL355,$BN$8:$BT$507,6,FALSE()))</f>
        <v/>
      </c>
      <c r="CA355" s="48"/>
    </row>
    <row r="356" customFormat="false" ht="15.75" hidden="false" customHeight="false" outlineLevel="0" collapsed="false">
      <c r="A356" s="5"/>
      <c r="B356" s="121"/>
      <c r="C356" s="50"/>
      <c r="D356" s="51"/>
      <c r="E356" s="74"/>
      <c r="F356" s="122"/>
      <c r="G356" s="54"/>
      <c r="H356" s="123"/>
      <c r="I356" s="124"/>
      <c r="J356" s="54"/>
      <c r="K356" s="123"/>
      <c r="L356" s="54"/>
      <c r="M356" s="123"/>
      <c r="N356" s="54"/>
      <c r="O356" s="123"/>
      <c r="P356" s="54"/>
      <c r="Q356" s="123"/>
      <c r="R356" s="54"/>
      <c r="S356" s="74"/>
      <c r="T356" s="58"/>
      <c r="U356" s="59" t="str">
        <f aca="false">IF(ISBLANK($C356),"",IF(E356=Constants!$B$2, TRUE(), IF(E356=Constants!$B$3, FALSE(), TRUE())))</f>
        <v/>
      </c>
      <c r="V356" s="59" t="str">
        <f aca="false">IF(ISBLANK($C356),"",IF(F356=Constants!$B$2, TRUE(), IF(F356=Constants!$B$3, FALSE(), TRUE())))</f>
        <v/>
      </c>
      <c r="W356" s="59" t="str">
        <f aca="false">IF(ISBLANK($C356),"",IF(G356=Constants!$B$15,Constants!$B$8,IF(G356=Constants!$B$16,Constants!$B$9,Constants!$B$10)))</f>
        <v/>
      </c>
      <c r="X356" s="59" t="str">
        <f aca="false">IF(ISBLANK($C356),"",IF(H356=Constants!$B$2, TRUE(), IF(H356=Constants!$B$3, FALSE(), TRUE())))</f>
        <v/>
      </c>
      <c r="Y356" s="59" t="str">
        <f aca="false">IF(ISBLANK($C356),"",IF(I356=Constants!$B$19,Constants!$B$19,Constants!$B$18))</f>
        <v/>
      </c>
      <c r="Z356" s="59" t="str">
        <f aca="false">IF(ISBLANK($C356),"",IF(ISNUMBER(J356),IF(J356&gt;=0,J356,""),""))</f>
        <v/>
      </c>
      <c r="AA356" s="59" t="str">
        <f aca="false">IF(ISBLANK($C356),"",IF(K356=Constants!$B$19,Constants!$B$19,Constants!$B$18))</f>
        <v/>
      </c>
      <c r="AB356" s="59" t="str">
        <f aca="false">IF(ISBLANK($C356),"",IF(ISNUMBER(L356),IF(L356&gt;=0,L356,""),""))</f>
        <v/>
      </c>
      <c r="AC356" s="59" t="str">
        <f aca="false">IF(ISBLANK($C356),"",IF(M356=Constants!$B$19,Constants!$B$19,Constants!$B$18))</f>
        <v/>
      </c>
      <c r="AD356" s="59" t="str">
        <f aca="false">IF(ISBLANK($C356),"",IF(ISNUMBER(N356),IF(N356&gt;=0,N356,""),""))</f>
        <v/>
      </c>
      <c r="AE356" s="59" t="str">
        <f aca="false">IF(ISBLANK($C356),"",IF(O356=Constants!$B$19,Constants!$B$19,Constants!$B$18))</f>
        <v/>
      </c>
      <c r="AF356" s="59" t="str">
        <f aca="false">IF(ISBLANK($C356),"",IF(ISNUMBER(P356),IF(P356&gt;=0,P356,""),""))</f>
        <v/>
      </c>
      <c r="AG356" s="59" t="str">
        <f aca="false">IF(ISBLANK($C356),"",IF(Q356=Constants!$B$19,Constants!$B$19,Constants!$B$18))</f>
        <v/>
      </c>
      <c r="AH356" s="59" t="str">
        <f aca="false">IF(ISBLANK($C356),"",IF(ISNUMBER(R356),IF(R356&gt;=0,R356,""),""))</f>
        <v/>
      </c>
      <c r="AI356" s="59" t="str">
        <f aca="false">IF(ISBLANK($C356),"",IF(S356=Constants!$B$2, TRUE(), IF(S356=Constants!$B$3, FALSE(), FALSE())))</f>
        <v/>
      </c>
      <c r="AJ356" s="59" t="str">
        <f aca="false">IF(ISBLANK($C356),"",IF(AI356,Constants!$B$4,IF(COUNTA(E356:R356)=0,Constants!$B$5,IF(COUNTA(J356,L356,N356,P356,R356)=0,Constants!$B$6,Constants!$B$7))))</f>
        <v/>
      </c>
      <c r="AK356" s="59" t="str">
        <f aca="false">IF(ISBLANK($C356),"",IF($AJ356&lt;&gt;Constants!$B$7,$AJ356,IF(OR(NOT(X356),AND(NOT(U356),COUNTIFS(Y356:AG356,Constants!$B$18,Z356:AH356,"&gt;=0")&gt;0),AND(NOT(V356),COUNTIFS(Y356:AG356,Constants!$B$19,Z356:AH356,"&gt;=0")&gt;0)),Constants!$B$12,Constants!$B$11)))</f>
        <v/>
      </c>
      <c r="AL356" s="59" t="str">
        <f aca="false">IF($AJ356=Constants!$B$7,IF(Z356="",Constants!$B$13,Z356),"")</f>
        <v/>
      </c>
      <c r="AM356" s="59" t="str">
        <f aca="false">IF($AJ356=Constants!$B$7,IF(AB356="",Constants!$B$13,AB356),"")</f>
        <v/>
      </c>
      <c r="AN356" s="59" t="str">
        <f aca="false">IF($AJ356=Constants!$B$7,IF(AD356="",Constants!$B$13,AD356),"")</f>
        <v/>
      </c>
      <c r="AO356" s="59" t="str">
        <f aca="false">IF($AJ356=Constants!$B$7,IF(AF356="",Constants!$B$13,AF356),"")</f>
        <v/>
      </c>
      <c r="AP356" s="59" t="str">
        <f aca="false">IF($AJ356=Constants!$B$7,IF(AH356="",Constants!$B$13,AH356),"")</f>
        <v/>
      </c>
      <c r="AQ356" s="59" t="str">
        <f aca="false">IF($AJ356=Constants!$B$7,IF(SUMPRODUCT(--($AL356:$AP356&gt;AL356))+SUMPRODUCT(--($AL356:AL356=AL356))=1,1,IF(SUMPRODUCT(--($AL356:$AP356&gt;AM356))+SUMPRODUCT(--($AL356:AM356=AM356))=1,2,IF(SUMPRODUCT(--($AL356:$AP356&gt;AN356))+SUMPRODUCT(--($AL356:AN356=AN356))=1,3,IF(SUMPRODUCT(--($AL356:$AP356&gt;AO356))+SUMPRODUCT(--($AL356:AO356=AO356))=1,4,5)))),"")</f>
        <v/>
      </c>
      <c r="AR356" s="59" t="str">
        <f aca="false">IF($AJ356=Constants!$B$7,IF(SUMPRODUCT(--($AL356:$AP356&gt;AL356))+SUMPRODUCT(--($AL356:AL356=AL356))=2,1,IF(SUMPRODUCT(--($AL356:$AP356&gt;AM356))+SUMPRODUCT(--($AL356:AM356=AM356))=2,2,IF(SUMPRODUCT(--($AL356:$AP356&gt;AN356))+SUMPRODUCT(--($AL356:AN356=AN356))=2,3,IF(SUMPRODUCT(--($AL356:$AP356&gt;AO356))+SUMPRODUCT(--($AL356:AO356=AO356))=2,4,5)))),"")</f>
        <v/>
      </c>
      <c r="AS356" s="59" t="str">
        <f aca="false">IF($AJ356=Constants!$B$7,IF(SUMPRODUCT(--($AL356:$AP356&gt;AL356))+SUMPRODUCT(--($AL356:AL356=AL356))=3,1,IF(SUMPRODUCT(--($AL356:$AP356&gt;AM356))+SUMPRODUCT(--($AL356:AM356=AM356))=3,2,IF(SUMPRODUCT(--($AL356:$AP356&gt;AN356))+SUMPRODUCT(--($AL356:AN356=AN356))=3,3,IF(SUMPRODUCT(--($AL356:$AP356&gt;AO356))+SUMPRODUCT(--($AL356:AO356=AO356))=3,4,5)))),"")</f>
        <v/>
      </c>
      <c r="AT356" s="59" t="str">
        <f aca="false">IF($AJ356=Constants!$B$7,LARGE(AL356:AP356,1)+LARGE(AL356:AP356,2)+LARGE(AL356:AP356,3),"")</f>
        <v/>
      </c>
      <c r="AU356" s="59" t="str">
        <f aca="false">IF(ISBLANK($C356),"",IF($AJ356&lt;&gt;Constants!$B$7,$AJ356,AT356*W356))</f>
        <v/>
      </c>
      <c r="AV356" s="59" t="str">
        <f aca="false">IF(ISBLANK($C356),"",IF($AJ356=Constants!$B$7,IF(ISNUMBER(AU356),RANK(AU356,$AU$8:$AU$507),Constants!$B$14),$AJ356))</f>
        <v/>
      </c>
      <c r="AW356" s="59" t="str">
        <f aca="false">IF(ISBLANK($C356),"",IF($AJ356=Constants!$B$7,IF(ISNUMBER(AV356),COUNTIFS($AK$8:$AK$507,"&lt;"&amp;$AK356)+COUNTIFS($AK$8:$AK$507,$AK356,$AV$8:$AV$507,"&lt;"&amp;$AV356)+1,Constants!$B$14),$AJ356))</f>
        <v/>
      </c>
      <c r="AX356" s="59" t="str">
        <f aca="false">IF(ISBLANK($C356),"",IF($AJ356=Constants!$B$7,LARGE(AL356:AP356,4)*W356,""))</f>
        <v/>
      </c>
      <c r="AY356" s="59" t="str">
        <f aca="false">IF(ISBLANK($C356),"",IF($AJ356=Constants!$B$7,RANK(AX356,$AX$8:$AX$507),$AJ356))</f>
        <v/>
      </c>
      <c r="AZ356" s="59" t="str">
        <f aca="false">IF(ISBLANK($C356),"",IF($AJ356=Constants!$B$7,IF(ISNUMBER(AV356),COUNTIFS($AK$8:$AK$507,"&lt;"&amp;$AK356)+COUNTIFS($AK$8:$AK$507,$AK356,$AV$8:$AV$507,"&lt;"&amp;$AV356)+COUNTIFS($AK$8:$AK$507,$AK356,$AV$8:$AV$507,$AV356,$AY$8:$AY$507,"&lt;"&amp;$AY356)+1,Constants!$B$14),$AJ356))</f>
        <v/>
      </c>
      <c r="BA356" s="59" t="str">
        <f aca="false">IF(ISBLANK($C356),"",IF($AJ356=Constants!$B$7,IF(ISNUMBER(AW356),AW356-AZ356,Constants!$B$14),$AJ356))</f>
        <v/>
      </c>
      <c r="BB356" s="61"/>
      <c r="BC356" s="62" t="str">
        <f aca="false">IF(ISBLANK($C356),"",IF($AJ356&lt;&gt;Constants!$B$7,$AJ356,SMALL(AQ356:AS356,1)&amp;", "&amp;SMALL(AQ356:AS356,2)&amp;", "&amp;SMALL(AQ356:AS356,3)))</f>
        <v/>
      </c>
      <c r="BD356" s="63" t="str">
        <f aca="false">IF(ISBLANK($C356),"",IF($AJ356&lt;&gt;Constants!$B$7,$AJ356,W356))</f>
        <v/>
      </c>
      <c r="BE356" s="64" t="str">
        <f aca="false">IF(ISBLANK($C356),"",IF($AJ356&lt;&gt;Constants!$B$7,$AJ356,AU356))</f>
        <v/>
      </c>
      <c r="BF356" s="65" t="str">
        <f aca="false">IF(ISBLANK($C356),"",IF($AJ356&lt;&gt;Constants!$B$7,$AJ356,AK356))</f>
        <v/>
      </c>
      <c r="BG356" s="63" t="str">
        <f aca="false">IF(ISBLANK($C356),"",BA356)</f>
        <v/>
      </c>
      <c r="BH356" s="63" t="str">
        <f aca="false">IF(ISBLANK($C356),"",AZ356)</f>
        <v/>
      </c>
      <c r="BI356" s="66" t="str">
        <f aca="false">IF(ISBLANK($C356),"",IF(BH356=Constants!$B$4,COUNTA($C$8:$C$507)+2,IF(BH356=Constants!$B$5,COUNTA($C$8:$C$507)+1,IF(BH356=Constants!$B$6,COUNTA($C$8:$C$507),BH356))))</f>
        <v/>
      </c>
      <c r="BJ356" s="5"/>
      <c r="BK356" s="67" t="n">
        <f aca="false">IF(OR(ISNUMBER(BH356),BH356=Constants!$B$4,BH356=Constants!$B$6,BH356=Constants!$B$5),1,0)</f>
        <v>0</v>
      </c>
      <c r="BL356" s="67" t="n">
        <v>349</v>
      </c>
      <c r="BM356" s="67" t="str">
        <f aca="false">IF(ISBLANK($C356),"",IF(ISNUMBER(BI356),BI356+ROW($B356)/1000,""))</f>
        <v/>
      </c>
      <c r="BN356" s="67" t="str">
        <f aca="false">IF(ISNUMBER(BM356),RANK(BM356,$BM$8:$BM$507,1),"")</f>
        <v/>
      </c>
      <c r="BO356" s="67" t="str">
        <f aca="false">IF(ISBLANK($C356),"",$B356)</f>
        <v/>
      </c>
      <c r="BP356" s="67" t="str">
        <f aca="false">IF(ISBLANK($C356),"",$C356)</f>
        <v/>
      </c>
      <c r="BQ356" s="67" t="str">
        <f aca="false">IF(ISBLANK($C356),"",$D356)</f>
        <v/>
      </c>
      <c r="BR356" s="68" t="str">
        <f aca="false">BF356</f>
        <v/>
      </c>
      <c r="BS356" s="69" t="str">
        <f aca="false">BE356</f>
        <v/>
      </c>
      <c r="BT356" s="67" t="str">
        <f aca="false">IF(ISBLANK($C356),"",BH356)</f>
        <v/>
      </c>
      <c r="BU356" s="70" t="str">
        <f aca="false">IF($BL356&gt;$BK$7,"",VLOOKUP($BL356,$BN$8:$BT$507,7,FALSE()))</f>
        <v/>
      </c>
      <c r="BV356" s="71" t="str">
        <f aca="false">IF($BL356&gt;$BK$7,"",VLOOKUP($BL356,$BN$8:$BT$507,2,FALSE()))</f>
        <v/>
      </c>
      <c r="BW356" s="71" t="str">
        <f aca="false">IF($BL356&gt;$BK$7,"",VLOOKUP($BL356,$BN$8:$BT$507,3,FALSE()))</f>
        <v/>
      </c>
      <c r="BX356" s="71" t="str">
        <f aca="false">IF($BL356&gt;$BK$7,"",VLOOKUP($BL356,$BN$8:$BT$507,4,FALSE()))</f>
        <v/>
      </c>
      <c r="BY356" s="71" t="str">
        <f aca="false">IF($BL356&gt;$BK$7,"",VLOOKUP($BL356,$BN$8:$BT$507,5,FALSE()))</f>
        <v/>
      </c>
      <c r="BZ356" s="72" t="str">
        <f aca="false">IF($BL356&gt;$BK$7,"",VLOOKUP($BL356,$BN$8:$BT$507,6,FALSE()))</f>
        <v/>
      </c>
      <c r="CA356" s="48"/>
    </row>
    <row r="357" customFormat="false" ht="15.75" hidden="false" customHeight="false" outlineLevel="0" collapsed="false">
      <c r="A357" s="5"/>
      <c r="B357" s="121"/>
      <c r="C357" s="50"/>
      <c r="D357" s="51"/>
      <c r="E357" s="74"/>
      <c r="F357" s="122"/>
      <c r="G357" s="54"/>
      <c r="H357" s="123"/>
      <c r="I357" s="124"/>
      <c r="J357" s="54"/>
      <c r="K357" s="123"/>
      <c r="L357" s="54"/>
      <c r="M357" s="123"/>
      <c r="N357" s="54"/>
      <c r="O357" s="123"/>
      <c r="P357" s="54"/>
      <c r="Q357" s="123"/>
      <c r="R357" s="54"/>
      <c r="S357" s="74"/>
      <c r="T357" s="58"/>
      <c r="U357" s="59" t="str">
        <f aca="false">IF(ISBLANK($C357),"",IF(E357=Constants!$B$2, TRUE(), IF(E357=Constants!$B$3, FALSE(), TRUE())))</f>
        <v/>
      </c>
      <c r="V357" s="59" t="str">
        <f aca="false">IF(ISBLANK($C357),"",IF(F357=Constants!$B$2, TRUE(), IF(F357=Constants!$B$3, FALSE(), TRUE())))</f>
        <v/>
      </c>
      <c r="W357" s="59" t="str">
        <f aca="false">IF(ISBLANK($C357),"",IF(G357=Constants!$B$15,Constants!$B$8,IF(G357=Constants!$B$16,Constants!$B$9,Constants!$B$10)))</f>
        <v/>
      </c>
      <c r="X357" s="59" t="str">
        <f aca="false">IF(ISBLANK($C357),"",IF(H357=Constants!$B$2, TRUE(), IF(H357=Constants!$B$3, FALSE(), TRUE())))</f>
        <v/>
      </c>
      <c r="Y357" s="59" t="str">
        <f aca="false">IF(ISBLANK($C357),"",IF(I357=Constants!$B$19,Constants!$B$19,Constants!$B$18))</f>
        <v/>
      </c>
      <c r="Z357" s="59" t="str">
        <f aca="false">IF(ISBLANK($C357),"",IF(ISNUMBER(J357),IF(J357&gt;=0,J357,""),""))</f>
        <v/>
      </c>
      <c r="AA357" s="59" t="str">
        <f aca="false">IF(ISBLANK($C357),"",IF(K357=Constants!$B$19,Constants!$B$19,Constants!$B$18))</f>
        <v/>
      </c>
      <c r="AB357" s="59" t="str">
        <f aca="false">IF(ISBLANK($C357),"",IF(ISNUMBER(L357),IF(L357&gt;=0,L357,""),""))</f>
        <v/>
      </c>
      <c r="AC357" s="59" t="str">
        <f aca="false">IF(ISBLANK($C357),"",IF(M357=Constants!$B$19,Constants!$B$19,Constants!$B$18))</f>
        <v/>
      </c>
      <c r="AD357" s="59" t="str">
        <f aca="false">IF(ISBLANK($C357),"",IF(ISNUMBER(N357),IF(N357&gt;=0,N357,""),""))</f>
        <v/>
      </c>
      <c r="AE357" s="59" t="str">
        <f aca="false">IF(ISBLANK($C357),"",IF(O357=Constants!$B$19,Constants!$B$19,Constants!$B$18))</f>
        <v/>
      </c>
      <c r="AF357" s="59" t="str">
        <f aca="false">IF(ISBLANK($C357),"",IF(ISNUMBER(P357),IF(P357&gt;=0,P357,""),""))</f>
        <v/>
      </c>
      <c r="AG357" s="59" t="str">
        <f aca="false">IF(ISBLANK($C357),"",IF(Q357=Constants!$B$19,Constants!$B$19,Constants!$B$18))</f>
        <v/>
      </c>
      <c r="AH357" s="59" t="str">
        <f aca="false">IF(ISBLANK($C357),"",IF(ISNUMBER(R357),IF(R357&gt;=0,R357,""),""))</f>
        <v/>
      </c>
      <c r="AI357" s="59" t="str">
        <f aca="false">IF(ISBLANK($C357),"",IF(S357=Constants!$B$2, TRUE(), IF(S357=Constants!$B$3, FALSE(), FALSE())))</f>
        <v/>
      </c>
      <c r="AJ357" s="59" t="str">
        <f aca="false">IF(ISBLANK($C357),"",IF(AI357,Constants!$B$4,IF(COUNTA(E357:R357)=0,Constants!$B$5,IF(COUNTA(J357,L357,N357,P357,R357)=0,Constants!$B$6,Constants!$B$7))))</f>
        <v/>
      </c>
      <c r="AK357" s="59" t="str">
        <f aca="false">IF(ISBLANK($C357),"",IF($AJ357&lt;&gt;Constants!$B$7,$AJ357,IF(OR(NOT(X357),AND(NOT(U357),COUNTIFS(Y357:AG357,Constants!$B$18,Z357:AH357,"&gt;=0")&gt;0),AND(NOT(V357),COUNTIFS(Y357:AG357,Constants!$B$19,Z357:AH357,"&gt;=0")&gt;0)),Constants!$B$12,Constants!$B$11)))</f>
        <v/>
      </c>
      <c r="AL357" s="59" t="str">
        <f aca="false">IF($AJ357=Constants!$B$7,IF(Z357="",Constants!$B$13,Z357),"")</f>
        <v/>
      </c>
      <c r="AM357" s="59" t="str">
        <f aca="false">IF($AJ357=Constants!$B$7,IF(AB357="",Constants!$B$13,AB357),"")</f>
        <v/>
      </c>
      <c r="AN357" s="59" t="str">
        <f aca="false">IF($AJ357=Constants!$B$7,IF(AD357="",Constants!$B$13,AD357),"")</f>
        <v/>
      </c>
      <c r="AO357" s="59" t="str">
        <f aca="false">IF($AJ357=Constants!$B$7,IF(AF357="",Constants!$B$13,AF357),"")</f>
        <v/>
      </c>
      <c r="AP357" s="59" t="str">
        <f aca="false">IF($AJ357=Constants!$B$7,IF(AH357="",Constants!$B$13,AH357),"")</f>
        <v/>
      </c>
      <c r="AQ357" s="59" t="str">
        <f aca="false">IF($AJ357=Constants!$B$7,IF(SUMPRODUCT(--($AL357:$AP357&gt;AL357))+SUMPRODUCT(--($AL357:AL357=AL357))=1,1,IF(SUMPRODUCT(--($AL357:$AP357&gt;AM357))+SUMPRODUCT(--($AL357:AM357=AM357))=1,2,IF(SUMPRODUCT(--($AL357:$AP357&gt;AN357))+SUMPRODUCT(--($AL357:AN357=AN357))=1,3,IF(SUMPRODUCT(--($AL357:$AP357&gt;AO357))+SUMPRODUCT(--($AL357:AO357=AO357))=1,4,5)))),"")</f>
        <v/>
      </c>
      <c r="AR357" s="59" t="str">
        <f aca="false">IF($AJ357=Constants!$B$7,IF(SUMPRODUCT(--($AL357:$AP357&gt;AL357))+SUMPRODUCT(--($AL357:AL357=AL357))=2,1,IF(SUMPRODUCT(--($AL357:$AP357&gt;AM357))+SUMPRODUCT(--($AL357:AM357=AM357))=2,2,IF(SUMPRODUCT(--($AL357:$AP357&gt;AN357))+SUMPRODUCT(--($AL357:AN357=AN357))=2,3,IF(SUMPRODUCT(--($AL357:$AP357&gt;AO357))+SUMPRODUCT(--($AL357:AO357=AO357))=2,4,5)))),"")</f>
        <v/>
      </c>
      <c r="AS357" s="59" t="str">
        <f aca="false">IF($AJ357=Constants!$B$7,IF(SUMPRODUCT(--($AL357:$AP357&gt;AL357))+SUMPRODUCT(--($AL357:AL357=AL357))=3,1,IF(SUMPRODUCT(--($AL357:$AP357&gt;AM357))+SUMPRODUCT(--($AL357:AM357=AM357))=3,2,IF(SUMPRODUCT(--($AL357:$AP357&gt;AN357))+SUMPRODUCT(--($AL357:AN357=AN357))=3,3,IF(SUMPRODUCT(--($AL357:$AP357&gt;AO357))+SUMPRODUCT(--($AL357:AO357=AO357))=3,4,5)))),"")</f>
        <v/>
      </c>
      <c r="AT357" s="59" t="str">
        <f aca="false">IF($AJ357=Constants!$B$7,LARGE(AL357:AP357,1)+LARGE(AL357:AP357,2)+LARGE(AL357:AP357,3),"")</f>
        <v/>
      </c>
      <c r="AU357" s="59" t="str">
        <f aca="false">IF(ISBLANK($C357),"",IF($AJ357&lt;&gt;Constants!$B$7,$AJ357,AT357*W357))</f>
        <v/>
      </c>
      <c r="AV357" s="59" t="str">
        <f aca="false">IF(ISBLANK($C357),"",IF($AJ357=Constants!$B$7,IF(ISNUMBER(AU357),RANK(AU357,$AU$8:$AU$507),Constants!$B$14),$AJ357))</f>
        <v/>
      </c>
      <c r="AW357" s="59" t="str">
        <f aca="false">IF(ISBLANK($C357),"",IF($AJ357=Constants!$B$7,IF(ISNUMBER(AV357),COUNTIFS($AK$8:$AK$507,"&lt;"&amp;$AK357)+COUNTIFS($AK$8:$AK$507,$AK357,$AV$8:$AV$507,"&lt;"&amp;$AV357)+1,Constants!$B$14),$AJ357))</f>
        <v/>
      </c>
      <c r="AX357" s="59" t="str">
        <f aca="false">IF(ISBLANK($C357),"",IF($AJ357=Constants!$B$7,LARGE(AL357:AP357,4)*W357,""))</f>
        <v/>
      </c>
      <c r="AY357" s="59" t="str">
        <f aca="false">IF(ISBLANK($C357),"",IF($AJ357=Constants!$B$7,RANK(AX357,$AX$8:$AX$507),$AJ357))</f>
        <v/>
      </c>
      <c r="AZ357" s="59" t="str">
        <f aca="false">IF(ISBLANK($C357),"",IF($AJ357=Constants!$B$7,IF(ISNUMBER(AV357),COUNTIFS($AK$8:$AK$507,"&lt;"&amp;$AK357)+COUNTIFS($AK$8:$AK$507,$AK357,$AV$8:$AV$507,"&lt;"&amp;$AV357)+COUNTIFS($AK$8:$AK$507,$AK357,$AV$8:$AV$507,$AV357,$AY$8:$AY$507,"&lt;"&amp;$AY357)+1,Constants!$B$14),$AJ357))</f>
        <v/>
      </c>
      <c r="BA357" s="59" t="str">
        <f aca="false">IF(ISBLANK($C357),"",IF($AJ357=Constants!$B$7,IF(ISNUMBER(AW357),AW357-AZ357,Constants!$B$14),$AJ357))</f>
        <v/>
      </c>
      <c r="BB357" s="61"/>
      <c r="BC357" s="62" t="str">
        <f aca="false">IF(ISBLANK($C357),"",IF($AJ357&lt;&gt;Constants!$B$7,$AJ357,SMALL(AQ357:AS357,1)&amp;", "&amp;SMALL(AQ357:AS357,2)&amp;", "&amp;SMALL(AQ357:AS357,3)))</f>
        <v/>
      </c>
      <c r="BD357" s="63" t="str">
        <f aca="false">IF(ISBLANK($C357),"",IF($AJ357&lt;&gt;Constants!$B$7,$AJ357,W357))</f>
        <v/>
      </c>
      <c r="BE357" s="64" t="str">
        <f aca="false">IF(ISBLANK($C357),"",IF($AJ357&lt;&gt;Constants!$B$7,$AJ357,AU357))</f>
        <v/>
      </c>
      <c r="BF357" s="65" t="str">
        <f aca="false">IF(ISBLANK($C357),"",IF($AJ357&lt;&gt;Constants!$B$7,$AJ357,AK357))</f>
        <v/>
      </c>
      <c r="BG357" s="63" t="str">
        <f aca="false">IF(ISBLANK($C357),"",BA357)</f>
        <v/>
      </c>
      <c r="BH357" s="63" t="str">
        <f aca="false">IF(ISBLANK($C357),"",AZ357)</f>
        <v/>
      </c>
      <c r="BI357" s="66" t="str">
        <f aca="false">IF(ISBLANK($C357),"",IF(BH357=Constants!$B$4,COUNTA($C$8:$C$507)+2,IF(BH357=Constants!$B$5,COUNTA($C$8:$C$507)+1,IF(BH357=Constants!$B$6,COUNTA($C$8:$C$507),BH357))))</f>
        <v/>
      </c>
      <c r="BJ357" s="5"/>
      <c r="BK357" s="67" t="n">
        <f aca="false">IF(OR(ISNUMBER(BH357),BH357=Constants!$B$4,BH357=Constants!$B$6,BH357=Constants!$B$5),1,0)</f>
        <v>0</v>
      </c>
      <c r="BL357" s="67" t="n">
        <v>350</v>
      </c>
      <c r="BM357" s="67" t="str">
        <f aca="false">IF(ISBLANK($C357),"",IF(ISNUMBER(BI357),BI357+ROW($B357)/1000,""))</f>
        <v/>
      </c>
      <c r="BN357" s="67" t="str">
        <f aca="false">IF(ISNUMBER(BM357),RANK(BM357,$BM$8:$BM$507,1),"")</f>
        <v/>
      </c>
      <c r="BO357" s="67" t="str">
        <f aca="false">IF(ISBLANK($C357),"",$B357)</f>
        <v/>
      </c>
      <c r="BP357" s="67" t="str">
        <f aca="false">IF(ISBLANK($C357),"",$C357)</f>
        <v/>
      </c>
      <c r="BQ357" s="67" t="str">
        <f aca="false">IF(ISBLANK($C357),"",$D357)</f>
        <v/>
      </c>
      <c r="BR357" s="68" t="str">
        <f aca="false">BF357</f>
        <v/>
      </c>
      <c r="BS357" s="69" t="str">
        <f aca="false">BE357</f>
        <v/>
      </c>
      <c r="BT357" s="67" t="str">
        <f aca="false">IF(ISBLANK($C357),"",BH357)</f>
        <v/>
      </c>
      <c r="BU357" s="70" t="str">
        <f aca="false">IF($BL357&gt;$BK$7,"",VLOOKUP($BL357,$BN$8:$BT$507,7,FALSE()))</f>
        <v/>
      </c>
      <c r="BV357" s="71" t="str">
        <f aca="false">IF($BL357&gt;$BK$7,"",VLOOKUP($BL357,$BN$8:$BT$507,2,FALSE()))</f>
        <v/>
      </c>
      <c r="BW357" s="71" t="str">
        <f aca="false">IF($BL357&gt;$BK$7,"",VLOOKUP($BL357,$BN$8:$BT$507,3,FALSE()))</f>
        <v/>
      </c>
      <c r="BX357" s="71" t="str">
        <f aca="false">IF($BL357&gt;$BK$7,"",VLOOKUP($BL357,$BN$8:$BT$507,4,FALSE()))</f>
        <v/>
      </c>
      <c r="BY357" s="71" t="str">
        <f aca="false">IF($BL357&gt;$BK$7,"",VLOOKUP($BL357,$BN$8:$BT$507,5,FALSE()))</f>
        <v/>
      </c>
      <c r="BZ357" s="72" t="str">
        <f aca="false">IF($BL357&gt;$BK$7,"",VLOOKUP($BL357,$BN$8:$BT$507,6,FALSE()))</f>
        <v/>
      </c>
      <c r="CA357" s="48"/>
    </row>
    <row r="358" customFormat="false" ht="15.75" hidden="false" customHeight="false" outlineLevel="0" collapsed="false">
      <c r="A358" s="5"/>
      <c r="B358" s="121"/>
      <c r="C358" s="50"/>
      <c r="D358" s="51"/>
      <c r="E358" s="74"/>
      <c r="F358" s="122"/>
      <c r="G358" s="54"/>
      <c r="H358" s="123"/>
      <c r="I358" s="124"/>
      <c r="J358" s="54"/>
      <c r="K358" s="123"/>
      <c r="L358" s="54"/>
      <c r="M358" s="123"/>
      <c r="N358" s="54"/>
      <c r="O358" s="123"/>
      <c r="P358" s="54"/>
      <c r="Q358" s="123"/>
      <c r="R358" s="54"/>
      <c r="S358" s="74"/>
      <c r="T358" s="58"/>
      <c r="U358" s="59" t="str">
        <f aca="false">IF(ISBLANK($C358),"",IF(E358=Constants!$B$2, TRUE(), IF(E358=Constants!$B$3, FALSE(), TRUE())))</f>
        <v/>
      </c>
      <c r="V358" s="59" t="str">
        <f aca="false">IF(ISBLANK($C358),"",IF(F358=Constants!$B$2, TRUE(), IF(F358=Constants!$B$3, FALSE(), TRUE())))</f>
        <v/>
      </c>
      <c r="W358" s="59" t="str">
        <f aca="false">IF(ISBLANK($C358),"",IF(G358=Constants!$B$15,Constants!$B$8,IF(G358=Constants!$B$16,Constants!$B$9,Constants!$B$10)))</f>
        <v/>
      </c>
      <c r="X358" s="59" t="str">
        <f aca="false">IF(ISBLANK($C358),"",IF(H358=Constants!$B$2, TRUE(), IF(H358=Constants!$B$3, FALSE(), TRUE())))</f>
        <v/>
      </c>
      <c r="Y358" s="59" t="str">
        <f aca="false">IF(ISBLANK($C358),"",IF(I358=Constants!$B$19,Constants!$B$19,Constants!$B$18))</f>
        <v/>
      </c>
      <c r="Z358" s="59" t="str">
        <f aca="false">IF(ISBLANK($C358),"",IF(ISNUMBER(J358),IF(J358&gt;=0,J358,""),""))</f>
        <v/>
      </c>
      <c r="AA358" s="59" t="str">
        <f aca="false">IF(ISBLANK($C358),"",IF(K358=Constants!$B$19,Constants!$B$19,Constants!$B$18))</f>
        <v/>
      </c>
      <c r="AB358" s="59" t="str">
        <f aca="false">IF(ISBLANK($C358),"",IF(ISNUMBER(L358),IF(L358&gt;=0,L358,""),""))</f>
        <v/>
      </c>
      <c r="AC358" s="59" t="str">
        <f aca="false">IF(ISBLANK($C358),"",IF(M358=Constants!$B$19,Constants!$B$19,Constants!$B$18))</f>
        <v/>
      </c>
      <c r="AD358" s="59" t="str">
        <f aca="false">IF(ISBLANK($C358),"",IF(ISNUMBER(N358),IF(N358&gt;=0,N358,""),""))</f>
        <v/>
      </c>
      <c r="AE358" s="59" t="str">
        <f aca="false">IF(ISBLANK($C358),"",IF(O358=Constants!$B$19,Constants!$B$19,Constants!$B$18))</f>
        <v/>
      </c>
      <c r="AF358" s="59" t="str">
        <f aca="false">IF(ISBLANK($C358),"",IF(ISNUMBER(P358),IF(P358&gt;=0,P358,""),""))</f>
        <v/>
      </c>
      <c r="AG358" s="59" t="str">
        <f aca="false">IF(ISBLANK($C358),"",IF(Q358=Constants!$B$19,Constants!$B$19,Constants!$B$18))</f>
        <v/>
      </c>
      <c r="AH358" s="59" t="str">
        <f aca="false">IF(ISBLANK($C358),"",IF(ISNUMBER(R358),IF(R358&gt;=0,R358,""),""))</f>
        <v/>
      </c>
      <c r="AI358" s="59" t="str">
        <f aca="false">IF(ISBLANK($C358),"",IF(S358=Constants!$B$2, TRUE(), IF(S358=Constants!$B$3, FALSE(), FALSE())))</f>
        <v/>
      </c>
      <c r="AJ358" s="59" t="str">
        <f aca="false">IF(ISBLANK($C358),"",IF(AI358,Constants!$B$4,IF(COUNTA(E358:R358)=0,Constants!$B$5,IF(COUNTA(J358,L358,N358,P358,R358)=0,Constants!$B$6,Constants!$B$7))))</f>
        <v/>
      </c>
      <c r="AK358" s="59" t="str">
        <f aca="false">IF(ISBLANK($C358),"",IF($AJ358&lt;&gt;Constants!$B$7,$AJ358,IF(OR(NOT(X358),AND(NOT(U358),COUNTIFS(Y358:AG358,Constants!$B$18,Z358:AH358,"&gt;=0")&gt;0),AND(NOT(V358),COUNTIFS(Y358:AG358,Constants!$B$19,Z358:AH358,"&gt;=0")&gt;0)),Constants!$B$12,Constants!$B$11)))</f>
        <v/>
      </c>
      <c r="AL358" s="59" t="str">
        <f aca="false">IF($AJ358=Constants!$B$7,IF(Z358="",Constants!$B$13,Z358),"")</f>
        <v/>
      </c>
      <c r="AM358" s="59" t="str">
        <f aca="false">IF($AJ358=Constants!$B$7,IF(AB358="",Constants!$B$13,AB358),"")</f>
        <v/>
      </c>
      <c r="AN358" s="59" t="str">
        <f aca="false">IF($AJ358=Constants!$B$7,IF(AD358="",Constants!$B$13,AD358),"")</f>
        <v/>
      </c>
      <c r="AO358" s="59" t="str">
        <f aca="false">IF($AJ358=Constants!$B$7,IF(AF358="",Constants!$B$13,AF358),"")</f>
        <v/>
      </c>
      <c r="AP358" s="59" t="str">
        <f aca="false">IF($AJ358=Constants!$B$7,IF(AH358="",Constants!$B$13,AH358),"")</f>
        <v/>
      </c>
      <c r="AQ358" s="59" t="str">
        <f aca="false">IF($AJ358=Constants!$B$7,IF(SUMPRODUCT(--($AL358:$AP358&gt;AL358))+SUMPRODUCT(--($AL358:AL358=AL358))=1,1,IF(SUMPRODUCT(--($AL358:$AP358&gt;AM358))+SUMPRODUCT(--($AL358:AM358=AM358))=1,2,IF(SUMPRODUCT(--($AL358:$AP358&gt;AN358))+SUMPRODUCT(--($AL358:AN358=AN358))=1,3,IF(SUMPRODUCT(--($AL358:$AP358&gt;AO358))+SUMPRODUCT(--($AL358:AO358=AO358))=1,4,5)))),"")</f>
        <v/>
      </c>
      <c r="AR358" s="59" t="str">
        <f aca="false">IF($AJ358=Constants!$B$7,IF(SUMPRODUCT(--($AL358:$AP358&gt;AL358))+SUMPRODUCT(--($AL358:AL358=AL358))=2,1,IF(SUMPRODUCT(--($AL358:$AP358&gt;AM358))+SUMPRODUCT(--($AL358:AM358=AM358))=2,2,IF(SUMPRODUCT(--($AL358:$AP358&gt;AN358))+SUMPRODUCT(--($AL358:AN358=AN358))=2,3,IF(SUMPRODUCT(--($AL358:$AP358&gt;AO358))+SUMPRODUCT(--($AL358:AO358=AO358))=2,4,5)))),"")</f>
        <v/>
      </c>
      <c r="AS358" s="59" t="str">
        <f aca="false">IF($AJ358=Constants!$B$7,IF(SUMPRODUCT(--($AL358:$AP358&gt;AL358))+SUMPRODUCT(--($AL358:AL358=AL358))=3,1,IF(SUMPRODUCT(--($AL358:$AP358&gt;AM358))+SUMPRODUCT(--($AL358:AM358=AM358))=3,2,IF(SUMPRODUCT(--($AL358:$AP358&gt;AN358))+SUMPRODUCT(--($AL358:AN358=AN358))=3,3,IF(SUMPRODUCT(--($AL358:$AP358&gt;AO358))+SUMPRODUCT(--($AL358:AO358=AO358))=3,4,5)))),"")</f>
        <v/>
      </c>
      <c r="AT358" s="59" t="str">
        <f aca="false">IF($AJ358=Constants!$B$7,LARGE(AL358:AP358,1)+LARGE(AL358:AP358,2)+LARGE(AL358:AP358,3),"")</f>
        <v/>
      </c>
      <c r="AU358" s="59" t="str">
        <f aca="false">IF(ISBLANK($C358),"",IF($AJ358&lt;&gt;Constants!$B$7,$AJ358,AT358*W358))</f>
        <v/>
      </c>
      <c r="AV358" s="59" t="str">
        <f aca="false">IF(ISBLANK($C358),"",IF($AJ358=Constants!$B$7,IF(ISNUMBER(AU358),RANK(AU358,$AU$8:$AU$507),Constants!$B$14),$AJ358))</f>
        <v/>
      </c>
      <c r="AW358" s="59" t="str">
        <f aca="false">IF(ISBLANK($C358),"",IF($AJ358=Constants!$B$7,IF(ISNUMBER(AV358),COUNTIFS($AK$8:$AK$507,"&lt;"&amp;$AK358)+COUNTIFS($AK$8:$AK$507,$AK358,$AV$8:$AV$507,"&lt;"&amp;$AV358)+1,Constants!$B$14),$AJ358))</f>
        <v/>
      </c>
      <c r="AX358" s="59" t="str">
        <f aca="false">IF(ISBLANK($C358),"",IF($AJ358=Constants!$B$7,LARGE(AL358:AP358,4)*W358,""))</f>
        <v/>
      </c>
      <c r="AY358" s="59" t="str">
        <f aca="false">IF(ISBLANK($C358),"",IF($AJ358=Constants!$B$7,RANK(AX358,$AX$8:$AX$507),$AJ358))</f>
        <v/>
      </c>
      <c r="AZ358" s="59" t="str">
        <f aca="false">IF(ISBLANK($C358),"",IF($AJ358=Constants!$B$7,IF(ISNUMBER(AV358),COUNTIFS($AK$8:$AK$507,"&lt;"&amp;$AK358)+COUNTIFS($AK$8:$AK$507,$AK358,$AV$8:$AV$507,"&lt;"&amp;$AV358)+COUNTIFS($AK$8:$AK$507,$AK358,$AV$8:$AV$507,$AV358,$AY$8:$AY$507,"&lt;"&amp;$AY358)+1,Constants!$B$14),$AJ358))</f>
        <v/>
      </c>
      <c r="BA358" s="59" t="str">
        <f aca="false">IF(ISBLANK($C358),"",IF($AJ358=Constants!$B$7,IF(ISNUMBER(AW358),AW358-AZ358,Constants!$B$14),$AJ358))</f>
        <v/>
      </c>
      <c r="BB358" s="61"/>
      <c r="BC358" s="62" t="str">
        <f aca="false">IF(ISBLANK($C358),"",IF($AJ358&lt;&gt;Constants!$B$7,$AJ358,SMALL(AQ358:AS358,1)&amp;", "&amp;SMALL(AQ358:AS358,2)&amp;", "&amp;SMALL(AQ358:AS358,3)))</f>
        <v/>
      </c>
      <c r="BD358" s="63" t="str">
        <f aca="false">IF(ISBLANK($C358),"",IF($AJ358&lt;&gt;Constants!$B$7,$AJ358,W358))</f>
        <v/>
      </c>
      <c r="BE358" s="64" t="str">
        <f aca="false">IF(ISBLANK($C358),"",IF($AJ358&lt;&gt;Constants!$B$7,$AJ358,AU358))</f>
        <v/>
      </c>
      <c r="BF358" s="65" t="str">
        <f aca="false">IF(ISBLANK($C358),"",IF($AJ358&lt;&gt;Constants!$B$7,$AJ358,AK358))</f>
        <v/>
      </c>
      <c r="BG358" s="63" t="str">
        <f aca="false">IF(ISBLANK($C358),"",BA358)</f>
        <v/>
      </c>
      <c r="BH358" s="63" t="str">
        <f aca="false">IF(ISBLANK($C358),"",AZ358)</f>
        <v/>
      </c>
      <c r="BI358" s="66" t="str">
        <f aca="false">IF(ISBLANK($C358),"",IF(BH358=Constants!$B$4,COUNTA($C$8:$C$507)+2,IF(BH358=Constants!$B$5,COUNTA($C$8:$C$507)+1,IF(BH358=Constants!$B$6,COUNTA($C$8:$C$507),BH358))))</f>
        <v/>
      </c>
      <c r="BJ358" s="5"/>
      <c r="BK358" s="67" t="n">
        <f aca="false">IF(OR(ISNUMBER(BH358),BH358=Constants!$B$4,BH358=Constants!$B$6,BH358=Constants!$B$5),1,0)</f>
        <v>0</v>
      </c>
      <c r="BL358" s="67" t="n">
        <v>351</v>
      </c>
      <c r="BM358" s="67" t="str">
        <f aca="false">IF(ISBLANK($C358),"",IF(ISNUMBER(BI358),BI358+ROW($B358)/1000,""))</f>
        <v/>
      </c>
      <c r="BN358" s="67" t="str">
        <f aca="false">IF(ISNUMBER(BM358),RANK(BM358,$BM$8:$BM$507,1),"")</f>
        <v/>
      </c>
      <c r="BO358" s="67" t="str">
        <f aca="false">IF(ISBLANK($C358),"",$B358)</f>
        <v/>
      </c>
      <c r="BP358" s="67" t="str">
        <f aca="false">IF(ISBLANK($C358),"",$C358)</f>
        <v/>
      </c>
      <c r="BQ358" s="67" t="str">
        <f aca="false">IF(ISBLANK($C358),"",$D358)</f>
        <v/>
      </c>
      <c r="BR358" s="68" t="str">
        <f aca="false">BF358</f>
        <v/>
      </c>
      <c r="BS358" s="69" t="str">
        <f aca="false">BE358</f>
        <v/>
      </c>
      <c r="BT358" s="67" t="str">
        <f aca="false">IF(ISBLANK($C358),"",BH358)</f>
        <v/>
      </c>
      <c r="BU358" s="70" t="str">
        <f aca="false">IF($BL358&gt;$BK$7,"",VLOOKUP($BL358,$BN$8:$BT$507,7,FALSE()))</f>
        <v/>
      </c>
      <c r="BV358" s="71" t="str">
        <f aca="false">IF($BL358&gt;$BK$7,"",VLOOKUP($BL358,$BN$8:$BT$507,2,FALSE()))</f>
        <v/>
      </c>
      <c r="BW358" s="71" t="str">
        <f aca="false">IF($BL358&gt;$BK$7,"",VLOOKUP($BL358,$BN$8:$BT$507,3,FALSE()))</f>
        <v/>
      </c>
      <c r="BX358" s="71" t="str">
        <f aca="false">IF($BL358&gt;$BK$7,"",VLOOKUP($BL358,$BN$8:$BT$507,4,FALSE()))</f>
        <v/>
      </c>
      <c r="BY358" s="71" t="str">
        <f aca="false">IF($BL358&gt;$BK$7,"",VLOOKUP($BL358,$BN$8:$BT$507,5,FALSE()))</f>
        <v/>
      </c>
      <c r="BZ358" s="72" t="str">
        <f aca="false">IF($BL358&gt;$BK$7,"",VLOOKUP($BL358,$BN$8:$BT$507,6,FALSE()))</f>
        <v/>
      </c>
      <c r="CA358" s="48"/>
    </row>
    <row r="359" customFormat="false" ht="15.75" hidden="false" customHeight="false" outlineLevel="0" collapsed="false">
      <c r="A359" s="5"/>
      <c r="B359" s="114"/>
      <c r="C359" s="115"/>
      <c r="D359" s="100"/>
      <c r="E359" s="120"/>
      <c r="F359" s="125"/>
      <c r="G359" s="82"/>
      <c r="H359" s="126"/>
      <c r="I359" s="127"/>
      <c r="J359" s="82"/>
      <c r="K359" s="126"/>
      <c r="L359" s="82"/>
      <c r="M359" s="126"/>
      <c r="N359" s="82"/>
      <c r="O359" s="126"/>
      <c r="P359" s="82"/>
      <c r="Q359" s="126"/>
      <c r="R359" s="82"/>
      <c r="S359" s="120"/>
      <c r="T359" s="86"/>
      <c r="U359" s="87" t="str">
        <f aca="false">IF(ISBLANK($C359),"",IF(E359=Constants!$B$2, TRUE(), IF(E359=Constants!$B$3, FALSE(), TRUE())))</f>
        <v/>
      </c>
      <c r="V359" s="87" t="str">
        <f aca="false">IF(ISBLANK($C359),"",IF(F359=Constants!$B$2, TRUE(), IF(F359=Constants!$B$3, FALSE(), TRUE())))</f>
        <v/>
      </c>
      <c r="W359" s="87" t="str">
        <f aca="false">IF(ISBLANK($C359),"",IF(G359=Constants!$B$15,Constants!$B$8,IF(G359=Constants!$B$16,Constants!$B$9,Constants!$B$10)))</f>
        <v/>
      </c>
      <c r="X359" s="87" t="str">
        <f aca="false">IF(ISBLANK($C359),"",IF(H359=Constants!$B$2, TRUE(), IF(H359=Constants!$B$3, FALSE(), TRUE())))</f>
        <v/>
      </c>
      <c r="Y359" s="87" t="str">
        <f aca="false">IF(ISBLANK($C359),"",IF(I359=Constants!$B$19,Constants!$B$19,Constants!$B$18))</f>
        <v/>
      </c>
      <c r="Z359" s="87" t="str">
        <f aca="false">IF(ISBLANK($C359),"",IF(ISNUMBER(J359),IF(J359&gt;=0,J359,""),""))</f>
        <v/>
      </c>
      <c r="AA359" s="87" t="str">
        <f aca="false">IF(ISBLANK($C359),"",IF(K359=Constants!$B$19,Constants!$B$19,Constants!$B$18))</f>
        <v/>
      </c>
      <c r="AB359" s="87" t="str">
        <f aca="false">IF(ISBLANK($C359),"",IF(ISNUMBER(L359),IF(L359&gt;=0,L359,""),""))</f>
        <v/>
      </c>
      <c r="AC359" s="87" t="str">
        <f aca="false">IF(ISBLANK($C359),"",IF(M359=Constants!$B$19,Constants!$B$19,Constants!$B$18))</f>
        <v/>
      </c>
      <c r="AD359" s="87" t="str">
        <f aca="false">IF(ISBLANK($C359),"",IF(ISNUMBER(N359),IF(N359&gt;=0,N359,""),""))</f>
        <v/>
      </c>
      <c r="AE359" s="87" t="str">
        <f aca="false">IF(ISBLANK($C359),"",IF(O359=Constants!$B$19,Constants!$B$19,Constants!$B$18))</f>
        <v/>
      </c>
      <c r="AF359" s="87" t="str">
        <f aca="false">IF(ISBLANK($C359),"",IF(ISNUMBER(P359),IF(P359&gt;=0,P359,""),""))</f>
        <v/>
      </c>
      <c r="AG359" s="87" t="str">
        <f aca="false">IF(ISBLANK($C359),"",IF(Q359=Constants!$B$19,Constants!$B$19,Constants!$B$18))</f>
        <v/>
      </c>
      <c r="AH359" s="87" t="str">
        <f aca="false">IF(ISBLANK($C359),"",IF(ISNUMBER(R359),IF(R359&gt;=0,R359,""),""))</f>
        <v/>
      </c>
      <c r="AI359" s="87" t="str">
        <f aca="false">IF(ISBLANK($C359),"",IF(S359=Constants!$B$2, TRUE(), IF(S359=Constants!$B$3, FALSE(), FALSE())))</f>
        <v/>
      </c>
      <c r="AJ359" s="87" t="str">
        <f aca="false">IF(ISBLANK($C359),"",IF(AI359,Constants!$B$4,IF(COUNTA(E359:R359)=0,Constants!$B$5,IF(COUNTA(J359,L359,N359,P359,R359)=0,Constants!$B$6,Constants!$B$7))))</f>
        <v/>
      </c>
      <c r="AK359" s="87" t="str">
        <f aca="false">IF(ISBLANK($C359),"",IF($AJ359&lt;&gt;Constants!$B$7,$AJ359,IF(OR(NOT(X359),AND(NOT(U359),COUNTIFS(Y359:AG359,Constants!$B$18,Z359:AH359,"&gt;=0")&gt;0),AND(NOT(V359),COUNTIFS(Y359:AG359,Constants!$B$19,Z359:AH359,"&gt;=0")&gt;0)),Constants!$B$12,Constants!$B$11)))</f>
        <v/>
      </c>
      <c r="AL359" s="87" t="str">
        <f aca="false">IF($AJ359=Constants!$B$7,IF(Z359="",Constants!$B$13,Z359),"")</f>
        <v/>
      </c>
      <c r="AM359" s="87" t="str">
        <f aca="false">IF($AJ359=Constants!$B$7,IF(AB359="",Constants!$B$13,AB359),"")</f>
        <v/>
      </c>
      <c r="AN359" s="87" t="str">
        <f aca="false">IF($AJ359=Constants!$B$7,IF(AD359="",Constants!$B$13,AD359),"")</f>
        <v/>
      </c>
      <c r="AO359" s="87" t="str">
        <f aca="false">IF($AJ359=Constants!$B$7,IF(AF359="",Constants!$B$13,AF359),"")</f>
        <v/>
      </c>
      <c r="AP359" s="87" t="str">
        <f aca="false">IF($AJ359=Constants!$B$7,IF(AH359="",Constants!$B$13,AH359),"")</f>
        <v/>
      </c>
      <c r="AQ359" s="87" t="str">
        <f aca="false">IF($AJ359=Constants!$B$7,IF(SUMPRODUCT(--($AL359:$AP359&gt;AL359))+SUMPRODUCT(--($AL359:AL359=AL359))=1,1,IF(SUMPRODUCT(--($AL359:$AP359&gt;AM359))+SUMPRODUCT(--($AL359:AM359=AM359))=1,2,IF(SUMPRODUCT(--($AL359:$AP359&gt;AN359))+SUMPRODUCT(--($AL359:AN359=AN359))=1,3,IF(SUMPRODUCT(--($AL359:$AP359&gt;AO359))+SUMPRODUCT(--($AL359:AO359=AO359))=1,4,5)))),"")</f>
        <v/>
      </c>
      <c r="AR359" s="87" t="str">
        <f aca="false">IF($AJ359=Constants!$B$7,IF(SUMPRODUCT(--($AL359:$AP359&gt;AL359))+SUMPRODUCT(--($AL359:AL359=AL359))=2,1,IF(SUMPRODUCT(--($AL359:$AP359&gt;AM359))+SUMPRODUCT(--($AL359:AM359=AM359))=2,2,IF(SUMPRODUCT(--($AL359:$AP359&gt;AN359))+SUMPRODUCT(--($AL359:AN359=AN359))=2,3,IF(SUMPRODUCT(--($AL359:$AP359&gt;AO359))+SUMPRODUCT(--($AL359:AO359=AO359))=2,4,5)))),"")</f>
        <v/>
      </c>
      <c r="AS359" s="87" t="str">
        <f aca="false">IF($AJ359=Constants!$B$7,IF(SUMPRODUCT(--($AL359:$AP359&gt;AL359))+SUMPRODUCT(--($AL359:AL359=AL359))=3,1,IF(SUMPRODUCT(--($AL359:$AP359&gt;AM359))+SUMPRODUCT(--($AL359:AM359=AM359))=3,2,IF(SUMPRODUCT(--($AL359:$AP359&gt;AN359))+SUMPRODUCT(--($AL359:AN359=AN359))=3,3,IF(SUMPRODUCT(--($AL359:$AP359&gt;AO359))+SUMPRODUCT(--($AL359:AO359=AO359))=3,4,5)))),"")</f>
        <v/>
      </c>
      <c r="AT359" s="87" t="str">
        <f aca="false">IF($AJ359=Constants!$B$7,LARGE(AL359:AP359,1)+LARGE(AL359:AP359,2)+LARGE(AL359:AP359,3),"")</f>
        <v/>
      </c>
      <c r="AU359" s="87" t="str">
        <f aca="false">IF(ISBLANK($C359),"",IF($AJ359&lt;&gt;Constants!$B$7,$AJ359,AT359*W359))</f>
        <v/>
      </c>
      <c r="AV359" s="87" t="str">
        <f aca="false">IF(ISBLANK($C359),"",IF($AJ359=Constants!$B$7,IF(ISNUMBER(AU359),RANK(AU359,$AU$8:$AU$507),Constants!$B$14),$AJ359))</f>
        <v/>
      </c>
      <c r="AW359" s="87" t="str">
        <f aca="false">IF(ISBLANK($C359),"",IF($AJ359=Constants!$B$7,IF(ISNUMBER(AV359),COUNTIFS($AK$8:$AK$507,"&lt;"&amp;$AK359)+COUNTIFS($AK$8:$AK$507,$AK359,$AV$8:$AV$507,"&lt;"&amp;$AV359)+1,Constants!$B$14),$AJ359))</f>
        <v/>
      </c>
      <c r="AX359" s="87" t="str">
        <f aca="false">IF(ISBLANK($C359),"",IF($AJ359=Constants!$B$7,LARGE(AL359:AP359,4)*W359,""))</f>
        <v/>
      </c>
      <c r="AY359" s="87" t="str">
        <f aca="false">IF(ISBLANK($C359),"",IF($AJ359=Constants!$B$7,RANK(AX359,$AX$8:$AX$507),$AJ359))</f>
        <v/>
      </c>
      <c r="AZ359" s="87" t="str">
        <f aca="false">IF(ISBLANK($C359),"",IF($AJ359=Constants!$B$7,IF(ISNUMBER(AV359),COUNTIFS($AK$8:$AK$507,"&lt;"&amp;$AK359)+COUNTIFS($AK$8:$AK$507,$AK359,$AV$8:$AV$507,"&lt;"&amp;$AV359)+COUNTIFS($AK$8:$AK$507,$AK359,$AV$8:$AV$507,$AV359,$AY$8:$AY$507,"&lt;"&amp;$AY359)+1,Constants!$B$14),$AJ359))</f>
        <v/>
      </c>
      <c r="BA359" s="87" t="str">
        <f aca="false">IF(ISBLANK($C359),"",IF($AJ359=Constants!$B$7,IF(ISNUMBER(AW359),AW359-AZ359,Constants!$B$14),$AJ359))</f>
        <v/>
      </c>
      <c r="BB359" s="88"/>
      <c r="BC359" s="89" t="str">
        <f aca="false">IF(ISBLANK($C359),"",IF($AJ359&lt;&gt;Constants!$B$7,$AJ359,SMALL(AQ359:AS359,1)&amp;", "&amp;SMALL(AQ359:AS359,2)&amp;", "&amp;SMALL(AQ359:AS359,3)))</f>
        <v/>
      </c>
      <c r="BD359" s="90" t="str">
        <f aca="false">IF(ISBLANK($C359),"",IF($AJ359&lt;&gt;Constants!$B$7,$AJ359,W359))</f>
        <v/>
      </c>
      <c r="BE359" s="91" t="str">
        <f aca="false">IF(ISBLANK($C359),"",IF($AJ359&lt;&gt;Constants!$B$7,$AJ359,AU359))</f>
        <v/>
      </c>
      <c r="BF359" s="92" t="str">
        <f aca="false">IF(ISBLANK($C359),"",IF($AJ359&lt;&gt;Constants!$B$7,$AJ359,AK359))</f>
        <v/>
      </c>
      <c r="BG359" s="90" t="str">
        <f aca="false">IF(ISBLANK($C359),"",BA359)</f>
        <v/>
      </c>
      <c r="BH359" s="90" t="str">
        <f aca="false">IF(ISBLANK($C359),"",AZ359)</f>
        <v/>
      </c>
      <c r="BI359" s="93" t="str">
        <f aca="false">IF(ISBLANK($C359),"",IF(BH359=Constants!$B$4,COUNTA($C$8:$C$507)+2,IF(BH359=Constants!$B$5,COUNTA($C$8:$C$507)+1,IF(BH359=Constants!$B$6,COUNTA($C$8:$C$507),BH359))))</f>
        <v/>
      </c>
      <c r="BJ359" s="5"/>
      <c r="BK359" s="94" t="n">
        <f aca="false">IF(OR(ISNUMBER(BH359),BH359=Constants!$B$4,BH359=Constants!$B$6,BH359=Constants!$B$5),1,0)</f>
        <v>0</v>
      </c>
      <c r="BL359" s="94" t="n">
        <v>352</v>
      </c>
      <c r="BM359" s="94" t="str">
        <f aca="false">IF(ISBLANK($C359),"",IF(ISNUMBER(BI359),BI359+ROW($B359)/1000,""))</f>
        <v/>
      </c>
      <c r="BN359" s="94" t="str">
        <f aca="false">IF(ISNUMBER(BM359),RANK(BM359,$BM$8:$BM$507,1),"")</f>
        <v/>
      </c>
      <c r="BO359" s="94" t="str">
        <f aca="false">IF(ISBLANK($C359),"",$B359)</f>
        <v/>
      </c>
      <c r="BP359" s="94" t="str">
        <f aca="false">IF(ISBLANK($C359),"",$C359)</f>
        <v/>
      </c>
      <c r="BQ359" s="94" t="str">
        <f aca="false">IF(ISBLANK($C359),"",$D359)</f>
        <v/>
      </c>
      <c r="BR359" s="95" t="str">
        <f aca="false">BF359</f>
        <v/>
      </c>
      <c r="BS359" s="96" t="str">
        <f aca="false">BE359</f>
        <v/>
      </c>
      <c r="BT359" s="94" t="str">
        <f aca="false">IF(ISBLANK($C359),"",BH359)</f>
        <v/>
      </c>
      <c r="BU359" s="97" t="str">
        <f aca="false">IF($BL359&gt;$BK$7,"",VLOOKUP($BL359,$BN$8:$BT$507,7,FALSE()))</f>
        <v/>
      </c>
      <c r="BV359" s="98" t="str">
        <f aca="false">IF($BL359&gt;$BK$7,"",VLOOKUP($BL359,$BN$8:$BT$507,2,FALSE()))</f>
        <v/>
      </c>
      <c r="BW359" s="98" t="str">
        <f aca="false">IF($BL359&gt;$BK$7,"",VLOOKUP($BL359,$BN$8:$BT$507,3,FALSE()))</f>
        <v/>
      </c>
      <c r="BX359" s="98" t="str">
        <f aca="false">IF($BL359&gt;$BK$7,"",VLOOKUP($BL359,$BN$8:$BT$507,4,FALSE()))</f>
        <v/>
      </c>
      <c r="BY359" s="98" t="str">
        <f aca="false">IF($BL359&gt;$BK$7,"",VLOOKUP($BL359,$BN$8:$BT$507,5,FALSE()))</f>
        <v/>
      </c>
      <c r="BZ359" s="99" t="str">
        <f aca="false">IF($BL359&gt;$BK$7,"",VLOOKUP($BL359,$BN$8:$BT$507,6,FALSE()))</f>
        <v/>
      </c>
      <c r="CA359" s="48"/>
    </row>
    <row r="360" customFormat="false" ht="15.75" hidden="false" customHeight="false" outlineLevel="0" collapsed="false">
      <c r="A360" s="5"/>
      <c r="B360" s="114"/>
      <c r="C360" s="115"/>
      <c r="D360" s="100"/>
      <c r="E360" s="120"/>
      <c r="F360" s="125"/>
      <c r="G360" s="82"/>
      <c r="H360" s="126"/>
      <c r="I360" s="127"/>
      <c r="J360" s="82"/>
      <c r="K360" s="126"/>
      <c r="L360" s="82"/>
      <c r="M360" s="126"/>
      <c r="N360" s="82"/>
      <c r="O360" s="126"/>
      <c r="P360" s="82"/>
      <c r="Q360" s="126"/>
      <c r="R360" s="82"/>
      <c r="S360" s="120"/>
      <c r="T360" s="86"/>
      <c r="U360" s="87" t="str">
        <f aca="false">IF(ISBLANK($C360),"",IF(E360=Constants!$B$2, TRUE(), IF(E360=Constants!$B$3, FALSE(), TRUE())))</f>
        <v/>
      </c>
      <c r="V360" s="87" t="str">
        <f aca="false">IF(ISBLANK($C360),"",IF(F360=Constants!$B$2, TRUE(), IF(F360=Constants!$B$3, FALSE(), TRUE())))</f>
        <v/>
      </c>
      <c r="W360" s="87" t="str">
        <f aca="false">IF(ISBLANK($C360),"",IF(G360=Constants!$B$15,Constants!$B$8,IF(G360=Constants!$B$16,Constants!$B$9,Constants!$B$10)))</f>
        <v/>
      </c>
      <c r="X360" s="87" t="str">
        <f aca="false">IF(ISBLANK($C360),"",IF(H360=Constants!$B$2, TRUE(), IF(H360=Constants!$B$3, FALSE(), TRUE())))</f>
        <v/>
      </c>
      <c r="Y360" s="87" t="str">
        <f aca="false">IF(ISBLANK($C360),"",IF(I360=Constants!$B$19,Constants!$B$19,Constants!$B$18))</f>
        <v/>
      </c>
      <c r="Z360" s="87" t="str">
        <f aca="false">IF(ISBLANK($C360),"",IF(ISNUMBER(J360),IF(J360&gt;=0,J360,""),""))</f>
        <v/>
      </c>
      <c r="AA360" s="87" t="str">
        <f aca="false">IF(ISBLANK($C360),"",IF(K360=Constants!$B$19,Constants!$B$19,Constants!$B$18))</f>
        <v/>
      </c>
      <c r="AB360" s="87" t="str">
        <f aca="false">IF(ISBLANK($C360),"",IF(ISNUMBER(L360),IF(L360&gt;=0,L360,""),""))</f>
        <v/>
      </c>
      <c r="AC360" s="87" t="str">
        <f aca="false">IF(ISBLANK($C360),"",IF(M360=Constants!$B$19,Constants!$B$19,Constants!$B$18))</f>
        <v/>
      </c>
      <c r="AD360" s="87" t="str">
        <f aca="false">IF(ISBLANK($C360),"",IF(ISNUMBER(N360),IF(N360&gt;=0,N360,""),""))</f>
        <v/>
      </c>
      <c r="AE360" s="87" t="str">
        <f aca="false">IF(ISBLANK($C360),"",IF(O360=Constants!$B$19,Constants!$B$19,Constants!$B$18))</f>
        <v/>
      </c>
      <c r="AF360" s="87" t="str">
        <f aca="false">IF(ISBLANK($C360),"",IF(ISNUMBER(P360),IF(P360&gt;=0,P360,""),""))</f>
        <v/>
      </c>
      <c r="AG360" s="87" t="str">
        <f aca="false">IF(ISBLANK($C360),"",IF(Q360=Constants!$B$19,Constants!$B$19,Constants!$B$18))</f>
        <v/>
      </c>
      <c r="AH360" s="87" t="str">
        <f aca="false">IF(ISBLANK($C360),"",IF(ISNUMBER(R360),IF(R360&gt;=0,R360,""),""))</f>
        <v/>
      </c>
      <c r="AI360" s="87" t="str">
        <f aca="false">IF(ISBLANK($C360),"",IF(S360=Constants!$B$2, TRUE(), IF(S360=Constants!$B$3, FALSE(), FALSE())))</f>
        <v/>
      </c>
      <c r="AJ360" s="87" t="str">
        <f aca="false">IF(ISBLANK($C360),"",IF(AI360,Constants!$B$4,IF(COUNTA(E360:R360)=0,Constants!$B$5,IF(COUNTA(J360,L360,N360,P360,R360)=0,Constants!$B$6,Constants!$B$7))))</f>
        <v/>
      </c>
      <c r="AK360" s="87" t="str">
        <f aca="false">IF(ISBLANK($C360),"",IF($AJ360&lt;&gt;Constants!$B$7,$AJ360,IF(OR(NOT(X360),AND(NOT(U360),COUNTIFS(Y360:AG360,Constants!$B$18,Z360:AH360,"&gt;=0")&gt;0),AND(NOT(V360),COUNTIFS(Y360:AG360,Constants!$B$19,Z360:AH360,"&gt;=0")&gt;0)),Constants!$B$12,Constants!$B$11)))</f>
        <v/>
      </c>
      <c r="AL360" s="87" t="str">
        <f aca="false">IF($AJ360=Constants!$B$7,IF(Z360="",Constants!$B$13,Z360),"")</f>
        <v/>
      </c>
      <c r="AM360" s="87" t="str">
        <f aca="false">IF($AJ360=Constants!$B$7,IF(AB360="",Constants!$B$13,AB360),"")</f>
        <v/>
      </c>
      <c r="AN360" s="87" t="str">
        <f aca="false">IF($AJ360=Constants!$B$7,IF(AD360="",Constants!$B$13,AD360),"")</f>
        <v/>
      </c>
      <c r="AO360" s="87" t="str">
        <f aca="false">IF($AJ360=Constants!$B$7,IF(AF360="",Constants!$B$13,AF360),"")</f>
        <v/>
      </c>
      <c r="AP360" s="87" t="str">
        <f aca="false">IF($AJ360=Constants!$B$7,IF(AH360="",Constants!$B$13,AH360),"")</f>
        <v/>
      </c>
      <c r="AQ360" s="87" t="str">
        <f aca="false">IF($AJ360=Constants!$B$7,IF(SUMPRODUCT(--($AL360:$AP360&gt;AL360))+SUMPRODUCT(--($AL360:AL360=AL360))=1,1,IF(SUMPRODUCT(--($AL360:$AP360&gt;AM360))+SUMPRODUCT(--($AL360:AM360=AM360))=1,2,IF(SUMPRODUCT(--($AL360:$AP360&gt;AN360))+SUMPRODUCT(--($AL360:AN360=AN360))=1,3,IF(SUMPRODUCT(--($AL360:$AP360&gt;AO360))+SUMPRODUCT(--($AL360:AO360=AO360))=1,4,5)))),"")</f>
        <v/>
      </c>
      <c r="AR360" s="87" t="str">
        <f aca="false">IF($AJ360=Constants!$B$7,IF(SUMPRODUCT(--($AL360:$AP360&gt;AL360))+SUMPRODUCT(--($AL360:AL360=AL360))=2,1,IF(SUMPRODUCT(--($AL360:$AP360&gt;AM360))+SUMPRODUCT(--($AL360:AM360=AM360))=2,2,IF(SUMPRODUCT(--($AL360:$AP360&gt;AN360))+SUMPRODUCT(--($AL360:AN360=AN360))=2,3,IF(SUMPRODUCT(--($AL360:$AP360&gt;AO360))+SUMPRODUCT(--($AL360:AO360=AO360))=2,4,5)))),"")</f>
        <v/>
      </c>
      <c r="AS360" s="87" t="str">
        <f aca="false">IF($AJ360=Constants!$B$7,IF(SUMPRODUCT(--($AL360:$AP360&gt;AL360))+SUMPRODUCT(--($AL360:AL360=AL360))=3,1,IF(SUMPRODUCT(--($AL360:$AP360&gt;AM360))+SUMPRODUCT(--($AL360:AM360=AM360))=3,2,IF(SUMPRODUCT(--($AL360:$AP360&gt;AN360))+SUMPRODUCT(--($AL360:AN360=AN360))=3,3,IF(SUMPRODUCT(--($AL360:$AP360&gt;AO360))+SUMPRODUCT(--($AL360:AO360=AO360))=3,4,5)))),"")</f>
        <v/>
      </c>
      <c r="AT360" s="87" t="str">
        <f aca="false">IF($AJ360=Constants!$B$7,LARGE(AL360:AP360,1)+LARGE(AL360:AP360,2)+LARGE(AL360:AP360,3),"")</f>
        <v/>
      </c>
      <c r="AU360" s="87" t="str">
        <f aca="false">IF(ISBLANK($C360),"",IF($AJ360&lt;&gt;Constants!$B$7,$AJ360,AT360*W360))</f>
        <v/>
      </c>
      <c r="AV360" s="87" t="str">
        <f aca="false">IF(ISBLANK($C360),"",IF($AJ360=Constants!$B$7,IF(ISNUMBER(AU360),RANK(AU360,$AU$8:$AU$507),Constants!$B$14),$AJ360))</f>
        <v/>
      </c>
      <c r="AW360" s="87" t="str">
        <f aca="false">IF(ISBLANK($C360),"",IF($AJ360=Constants!$B$7,IF(ISNUMBER(AV360),COUNTIFS($AK$8:$AK$507,"&lt;"&amp;$AK360)+COUNTIFS($AK$8:$AK$507,$AK360,$AV$8:$AV$507,"&lt;"&amp;$AV360)+1,Constants!$B$14),$AJ360))</f>
        <v/>
      </c>
      <c r="AX360" s="87" t="str">
        <f aca="false">IF(ISBLANK($C360),"",IF($AJ360=Constants!$B$7,LARGE(AL360:AP360,4)*W360,""))</f>
        <v/>
      </c>
      <c r="AY360" s="87" t="str">
        <f aca="false">IF(ISBLANK($C360),"",IF($AJ360=Constants!$B$7,RANK(AX360,$AX$8:$AX$507),$AJ360))</f>
        <v/>
      </c>
      <c r="AZ360" s="87" t="str">
        <f aca="false">IF(ISBLANK($C360),"",IF($AJ360=Constants!$B$7,IF(ISNUMBER(AV360),COUNTIFS($AK$8:$AK$507,"&lt;"&amp;$AK360)+COUNTIFS($AK$8:$AK$507,$AK360,$AV$8:$AV$507,"&lt;"&amp;$AV360)+COUNTIFS($AK$8:$AK$507,$AK360,$AV$8:$AV$507,$AV360,$AY$8:$AY$507,"&lt;"&amp;$AY360)+1,Constants!$B$14),$AJ360))</f>
        <v/>
      </c>
      <c r="BA360" s="87" t="str">
        <f aca="false">IF(ISBLANK($C360),"",IF($AJ360=Constants!$B$7,IF(ISNUMBER(AW360),AW360-AZ360,Constants!$B$14),$AJ360))</f>
        <v/>
      </c>
      <c r="BB360" s="88"/>
      <c r="BC360" s="89" t="str">
        <f aca="false">IF(ISBLANK($C360),"",IF($AJ360&lt;&gt;Constants!$B$7,$AJ360,SMALL(AQ360:AS360,1)&amp;", "&amp;SMALL(AQ360:AS360,2)&amp;", "&amp;SMALL(AQ360:AS360,3)))</f>
        <v/>
      </c>
      <c r="BD360" s="90" t="str">
        <f aca="false">IF(ISBLANK($C360),"",IF($AJ360&lt;&gt;Constants!$B$7,$AJ360,W360))</f>
        <v/>
      </c>
      <c r="BE360" s="91" t="str">
        <f aca="false">IF(ISBLANK($C360),"",IF($AJ360&lt;&gt;Constants!$B$7,$AJ360,AU360))</f>
        <v/>
      </c>
      <c r="BF360" s="92" t="str">
        <f aca="false">IF(ISBLANK($C360),"",IF($AJ360&lt;&gt;Constants!$B$7,$AJ360,AK360))</f>
        <v/>
      </c>
      <c r="BG360" s="90" t="str">
        <f aca="false">IF(ISBLANK($C360),"",BA360)</f>
        <v/>
      </c>
      <c r="BH360" s="90" t="str">
        <f aca="false">IF(ISBLANK($C360),"",AZ360)</f>
        <v/>
      </c>
      <c r="BI360" s="93" t="str">
        <f aca="false">IF(ISBLANK($C360),"",IF(BH360=Constants!$B$4,COUNTA($C$8:$C$507)+2,IF(BH360=Constants!$B$5,COUNTA($C$8:$C$507)+1,IF(BH360=Constants!$B$6,COUNTA($C$8:$C$507),BH360))))</f>
        <v/>
      </c>
      <c r="BJ360" s="5"/>
      <c r="BK360" s="94" t="n">
        <f aca="false">IF(OR(ISNUMBER(BH360),BH360=Constants!$B$4,BH360=Constants!$B$6,BH360=Constants!$B$5),1,0)</f>
        <v>0</v>
      </c>
      <c r="BL360" s="94" t="n">
        <v>353</v>
      </c>
      <c r="BM360" s="94" t="str">
        <f aca="false">IF(ISBLANK($C360),"",IF(ISNUMBER(BI360),BI360+ROW($B360)/1000,""))</f>
        <v/>
      </c>
      <c r="BN360" s="94" t="str">
        <f aca="false">IF(ISNUMBER(BM360),RANK(BM360,$BM$8:$BM$507,1),"")</f>
        <v/>
      </c>
      <c r="BO360" s="94" t="str">
        <f aca="false">IF(ISBLANK($C360),"",$B360)</f>
        <v/>
      </c>
      <c r="BP360" s="94" t="str">
        <f aca="false">IF(ISBLANK($C360),"",$C360)</f>
        <v/>
      </c>
      <c r="BQ360" s="94" t="str">
        <f aca="false">IF(ISBLANK($C360),"",$D360)</f>
        <v/>
      </c>
      <c r="BR360" s="95" t="str">
        <f aca="false">BF360</f>
        <v/>
      </c>
      <c r="BS360" s="96" t="str">
        <f aca="false">BE360</f>
        <v/>
      </c>
      <c r="BT360" s="94" t="str">
        <f aca="false">IF(ISBLANK($C360),"",BH360)</f>
        <v/>
      </c>
      <c r="BU360" s="97" t="str">
        <f aca="false">IF($BL360&gt;$BK$7,"",VLOOKUP($BL360,$BN$8:$BT$507,7,FALSE()))</f>
        <v/>
      </c>
      <c r="BV360" s="98" t="str">
        <f aca="false">IF($BL360&gt;$BK$7,"",VLOOKUP($BL360,$BN$8:$BT$507,2,FALSE()))</f>
        <v/>
      </c>
      <c r="BW360" s="98" t="str">
        <f aca="false">IF($BL360&gt;$BK$7,"",VLOOKUP($BL360,$BN$8:$BT$507,3,FALSE()))</f>
        <v/>
      </c>
      <c r="BX360" s="98" t="str">
        <f aca="false">IF($BL360&gt;$BK$7,"",VLOOKUP($BL360,$BN$8:$BT$507,4,FALSE()))</f>
        <v/>
      </c>
      <c r="BY360" s="98" t="str">
        <f aca="false">IF($BL360&gt;$BK$7,"",VLOOKUP($BL360,$BN$8:$BT$507,5,FALSE()))</f>
        <v/>
      </c>
      <c r="BZ360" s="99" t="str">
        <f aca="false">IF($BL360&gt;$BK$7,"",VLOOKUP($BL360,$BN$8:$BT$507,6,FALSE()))</f>
        <v/>
      </c>
      <c r="CA360" s="48"/>
    </row>
    <row r="361" customFormat="false" ht="15.75" hidden="false" customHeight="false" outlineLevel="0" collapsed="false">
      <c r="A361" s="5"/>
      <c r="B361" s="114"/>
      <c r="C361" s="115"/>
      <c r="D361" s="100"/>
      <c r="E361" s="120"/>
      <c r="F361" s="125"/>
      <c r="G361" s="82"/>
      <c r="H361" s="126"/>
      <c r="I361" s="127"/>
      <c r="J361" s="82"/>
      <c r="K361" s="126"/>
      <c r="L361" s="82"/>
      <c r="M361" s="126"/>
      <c r="N361" s="82"/>
      <c r="O361" s="126"/>
      <c r="P361" s="82"/>
      <c r="Q361" s="126"/>
      <c r="R361" s="82"/>
      <c r="S361" s="120"/>
      <c r="T361" s="86"/>
      <c r="U361" s="87" t="str">
        <f aca="false">IF(ISBLANK($C361),"",IF(E361=Constants!$B$2, TRUE(), IF(E361=Constants!$B$3, FALSE(), TRUE())))</f>
        <v/>
      </c>
      <c r="V361" s="87" t="str">
        <f aca="false">IF(ISBLANK($C361),"",IF(F361=Constants!$B$2, TRUE(), IF(F361=Constants!$B$3, FALSE(), TRUE())))</f>
        <v/>
      </c>
      <c r="W361" s="87" t="str">
        <f aca="false">IF(ISBLANK($C361),"",IF(G361=Constants!$B$15,Constants!$B$8,IF(G361=Constants!$B$16,Constants!$B$9,Constants!$B$10)))</f>
        <v/>
      </c>
      <c r="X361" s="87" t="str">
        <f aca="false">IF(ISBLANK($C361),"",IF(H361=Constants!$B$2, TRUE(), IF(H361=Constants!$B$3, FALSE(), TRUE())))</f>
        <v/>
      </c>
      <c r="Y361" s="87" t="str">
        <f aca="false">IF(ISBLANK($C361),"",IF(I361=Constants!$B$19,Constants!$B$19,Constants!$B$18))</f>
        <v/>
      </c>
      <c r="Z361" s="87" t="str">
        <f aca="false">IF(ISBLANK($C361),"",IF(ISNUMBER(J361),IF(J361&gt;=0,J361,""),""))</f>
        <v/>
      </c>
      <c r="AA361" s="87" t="str">
        <f aca="false">IF(ISBLANK($C361),"",IF(K361=Constants!$B$19,Constants!$B$19,Constants!$B$18))</f>
        <v/>
      </c>
      <c r="AB361" s="87" t="str">
        <f aca="false">IF(ISBLANK($C361),"",IF(ISNUMBER(L361),IF(L361&gt;=0,L361,""),""))</f>
        <v/>
      </c>
      <c r="AC361" s="87" t="str">
        <f aca="false">IF(ISBLANK($C361),"",IF(M361=Constants!$B$19,Constants!$B$19,Constants!$B$18))</f>
        <v/>
      </c>
      <c r="AD361" s="87" t="str">
        <f aca="false">IF(ISBLANK($C361),"",IF(ISNUMBER(N361),IF(N361&gt;=0,N361,""),""))</f>
        <v/>
      </c>
      <c r="AE361" s="87" t="str">
        <f aca="false">IF(ISBLANK($C361),"",IF(O361=Constants!$B$19,Constants!$B$19,Constants!$B$18))</f>
        <v/>
      </c>
      <c r="AF361" s="87" t="str">
        <f aca="false">IF(ISBLANK($C361),"",IF(ISNUMBER(P361),IF(P361&gt;=0,P361,""),""))</f>
        <v/>
      </c>
      <c r="AG361" s="87" t="str">
        <f aca="false">IF(ISBLANK($C361),"",IF(Q361=Constants!$B$19,Constants!$B$19,Constants!$B$18))</f>
        <v/>
      </c>
      <c r="AH361" s="87" t="str">
        <f aca="false">IF(ISBLANK($C361),"",IF(ISNUMBER(R361),IF(R361&gt;=0,R361,""),""))</f>
        <v/>
      </c>
      <c r="AI361" s="87" t="str">
        <f aca="false">IF(ISBLANK($C361),"",IF(S361=Constants!$B$2, TRUE(), IF(S361=Constants!$B$3, FALSE(), FALSE())))</f>
        <v/>
      </c>
      <c r="AJ361" s="87" t="str">
        <f aca="false">IF(ISBLANK($C361),"",IF(AI361,Constants!$B$4,IF(COUNTA(E361:R361)=0,Constants!$B$5,IF(COUNTA(J361,L361,N361,P361,R361)=0,Constants!$B$6,Constants!$B$7))))</f>
        <v/>
      </c>
      <c r="AK361" s="87" t="str">
        <f aca="false">IF(ISBLANK($C361),"",IF($AJ361&lt;&gt;Constants!$B$7,$AJ361,IF(OR(NOT(X361),AND(NOT(U361),COUNTIFS(Y361:AG361,Constants!$B$18,Z361:AH361,"&gt;=0")&gt;0),AND(NOT(V361),COUNTIFS(Y361:AG361,Constants!$B$19,Z361:AH361,"&gt;=0")&gt;0)),Constants!$B$12,Constants!$B$11)))</f>
        <v/>
      </c>
      <c r="AL361" s="87" t="str">
        <f aca="false">IF($AJ361=Constants!$B$7,IF(Z361="",Constants!$B$13,Z361),"")</f>
        <v/>
      </c>
      <c r="AM361" s="87" t="str">
        <f aca="false">IF($AJ361=Constants!$B$7,IF(AB361="",Constants!$B$13,AB361),"")</f>
        <v/>
      </c>
      <c r="AN361" s="87" t="str">
        <f aca="false">IF($AJ361=Constants!$B$7,IF(AD361="",Constants!$B$13,AD361),"")</f>
        <v/>
      </c>
      <c r="AO361" s="87" t="str">
        <f aca="false">IF($AJ361=Constants!$B$7,IF(AF361="",Constants!$B$13,AF361),"")</f>
        <v/>
      </c>
      <c r="AP361" s="87" t="str">
        <f aca="false">IF($AJ361=Constants!$B$7,IF(AH361="",Constants!$B$13,AH361),"")</f>
        <v/>
      </c>
      <c r="AQ361" s="87" t="str">
        <f aca="false">IF($AJ361=Constants!$B$7,IF(SUMPRODUCT(--($AL361:$AP361&gt;AL361))+SUMPRODUCT(--($AL361:AL361=AL361))=1,1,IF(SUMPRODUCT(--($AL361:$AP361&gt;AM361))+SUMPRODUCT(--($AL361:AM361=AM361))=1,2,IF(SUMPRODUCT(--($AL361:$AP361&gt;AN361))+SUMPRODUCT(--($AL361:AN361=AN361))=1,3,IF(SUMPRODUCT(--($AL361:$AP361&gt;AO361))+SUMPRODUCT(--($AL361:AO361=AO361))=1,4,5)))),"")</f>
        <v/>
      </c>
      <c r="AR361" s="87" t="str">
        <f aca="false">IF($AJ361=Constants!$B$7,IF(SUMPRODUCT(--($AL361:$AP361&gt;AL361))+SUMPRODUCT(--($AL361:AL361=AL361))=2,1,IF(SUMPRODUCT(--($AL361:$AP361&gt;AM361))+SUMPRODUCT(--($AL361:AM361=AM361))=2,2,IF(SUMPRODUCT(--($AL361:$AP361&gt;AN361))+SUMPRODUCT(--($AL361:AN361=AN361))=2,3,IF(SUMPRODUCT(--($AL361:$AP361&gt;AO361))+SUMPRODUCT(--($AL361:AO361=AO361))=2,4,5)))),"")</f>
        <v/>
      </c>
      <c r="AS361" s="87" t="str">
        <f aca="false">IF($AJ361=Constants!$B$7,IF(SUMPRODUCT(--($AL361:$AP361&gt;AL361))+SUMPRODUCT(--($AL361:AL361=AL361))=3,1,IF(SUMPRODUCT(--($AL361:$AP361&gt;AM361))+SUMPRODUCT(--($AL361:AM361=AM361))=3,2,IF(SUMPRODUCT(--($AL361:$AP361&gt;AN361))+SUMPRODUCT(--($AL361:AN361=AN361))=3,3,IF(SUMPRODUCT(--($AL361:$AP361&gt;AO361))+SUMPRODUCT(--($AL361:AO361=AO361))=3,4,5)))),"")</f>
        <v/>
      </c>
      <c r="AT361" s="87" t="str">
        <f aca="false">IF($AJ361=Constants!$B$7,LARGE(AL361:AP361,1)+LARGE(AL361:AP361,2)+LARGE(AL361:AP361,3),"")</f>
        <v/>
      </c>
      <c r="AU361" s="87" t="str">
        <f aca="false">IF(ISBLANK($C361),"",IF($AJ361&lt;&gt;Constants!$B$7,$AJ361,AT361*W361))</f>
        <v/>
      </c>
      <c r="AV361" s="87" t="str">
        <f aca="false">IF(ISBLANK($C361),"",IF($AJ361=Constants!$B$7,IF(ISNUMBER(AU361),RANK(AU361,$AU$8:$AU$507),Constants!$B$14),$AJ361))</f>
        <v/>
      </c>
      <c r="AW361" s="87" t="str">
        <f aca="false">IF(ISBLANK($C361),"",IF($AJ361=Constants!$B$7,IF(ISNUMBER(AV361),COUNTIFS($AK$8:$AK$507,"&lt;"&amp;$AK361)+COUNTIFS($AK$8:$AK$507,$AK361,$AV$8:$AV$507,"&lt;"&amp;$AV361)+1,Constants!$B$14),$AJ361))</f>
        <v/>
      </c>
      <c r="AX361" s="87" t="str">
        <f aca="false">IF(ISBLANK($C361),"",IF($AJ361=Constants!$B$7,LARGE(AL361:AP361,4)*W361,""))</f>
        <v/>
      </c>
      <c r="AY361" s="87" t="str">
        <f aca="false">IF(ISBLANK($C361),"",IF($AJ361=Constants!$B$7,RANK(AX361,$AX$8:$AX$507),$AJ361))</f>
        <v/>
      </c>
      <c r="AZ361" s="87" t="str">
        <f aca="false">IF(ISBLANK($C361),"",IF($AJ361=Constants!$B$7,IF(ISNUMBER(AV361),COUNTIFS($AK$8:$AK$507,"&lt;"&amp;$AK361)+COUNTIFS($AK$8:$AK$507,$AK361,$AV$8:$AV$507,"&lt;"&amp;$AV361)+COUNTIFS($AK$8:$AK$507,$AK361,$AV$8:$AV$507,$AV361,$AY$8:$AY$507,"&lt;"&amp;$AY361)+1,Constants!$B$14),$AJ361))</f>
        <v/>
      </c>
      <c r="BA361" s="87" t="str">
        <f aca="false">IF(ISBLANK($C361),"",IF($AJ361=Constants!$B$7,IF(ISNUMBER(AW361),AW361-AZ361,Constants!$B$14),$AJ361))</f>
        <v/>
      </c>
      <c r="BB361" s="88"/>
      <c r="BC361" s="89" t="str">
        <f aca="false">IF(ISBLANK($C361),"",IF($AJ361&lt;&gt;Constants!$B$7,$AJ361,SMALL(AQ361:AS361,1)&amp;", "&amp;SMALL(AQ361:AS361,2)&amp;", "&amp;SMALL(AQ361:AS361,3)))</f>
        <v/>
      </c>
      <c r="BD361" s="90" t="str">
        <f aca="false">IF(ISBLANK($C361),"",IF($AJ361&lt;&gt;Constants!$B$7,$AJ361,W361))</f>
        <v/>
      </c>
      <c r="BE361" s="91" t="str">
        <f aca="false">IF(ISBLANK($C361),"",IF($AJ361&lt;&gt;Constants!$B$7,$AJ361,AU361))</f>
        <v/>
      </c>
      <c r="BF361" s="92" t="str">
        <f aca="false">IF(ISBLANK($C361),"",IF($AJ361&lt;&gt;Constants!$B$7,$AJ361,AK361))</f>
        <v/>
      </c>
      <c r="BG361" s="90" t="str">
        <f aca="false">IF(ISBLANK($C361),"",BA361)</f>
        <v/>
      </c>
      <c r="BH361" s="90" t="str">
        <f aca="false">IF(ISBLANK($C361),"",AZ361)</f>
        <v/>
      </c>
      <c r="BI361" s="93" t="str">
        <f aca="false">IF(ISBLANK($C361),"",IF(BH361=Constants!$B$4,COUNTA($C$8:$C$507)+2,IF(BH361=Constants!$B$5,COUNTA($C$8:$C$507)+1,IF(BH361=Constants!$B$6,COUNTA($C$8:$C$507),BH361))))</f>
        <v/>
      </c>
      <c r="BJ361" s="5"/>
      <c r="BK361" s="94" t="n">
        <f aca="false">IF(OR(ISNUMBER(BH361),BH361=Constants!$B$4,BH361=Constants!$B$6,BH361=Constants!$B$5),1,0)</f>
        <v>0</v>
      </c>
      <c r="BL361" s="94" t="n">
        <v>354</v>
      </c>
      <c r="BM361" s="94" t="str">
        <f aca="false">IF(ISBLANK($C361),"",IF(ISNUMBER(BI361),BI361+ROW($B361)/1000,""))</f>
        <v/>
      </c>
      <c r="BN361" s="94" t="str">
        <f aca="false">IF(ISNUMBER(BM361),RANK(BM361,$BM$8:$BM$507,1),"")</f>
        <v/>
      </c>
      <c r="BO361" s="94" t="str">
        <f aca="false">IF(ISBLANK($C361),"",$B361)</f>
        <v/>
      </c>
      <c r="BP361" s="94" t="str">
        <f aca="false">IF(ISBLANK($C361),"",$C361)</f>
        <v/>
      </c>
      <c r="BQ361" s="94" t="str">
        <f aca="false">IF(ISBLANK($C361),"",$D361)</f>
        <v/>
      </c>
      <c r="BR361" s="95" t="str">
        <f aca="false">BF361</f>
        <v/>
      </c>
      <c r="BS361" s="96" t="str">
        <f aca="false">BE361</f>
        <v/>
      </c>
      <c r="BT361" s="94" t="str">
        <f aca="false">IF(ISBLANK($C361),"",BH361)</f>
        <v/>
      </c>
      <c r="BU361" s="97" t="str">
        <f aca="false">IF($BL361&gt;$BK$7,"",VLOOKUP($BL361,$BN$8:$BT$507,7,FALSE()))</f>
        <v/>
      </c>
      <c r="BV361" s="98" t="str">
        <f aca="false">IF($BL361&gt;$BK$7,"",VLOOKUP($BL361,$BN$8:$BT$507,2,FALSE()))</f>
        <v/>
      </c>
      <c r="BW361" s="98" t="str">
        <f aca="false">IF($BL361&gt;$BK$7,"",VLOOKUP($BL361,$BN$8:$BT$507,3,FALSE()))</f>
        <v/>
      </c>
      <c r="BX361" s="98" t="str">
        <f aca="false">IF($BL361&gt;$BK$7,"",VLOOKUP($BL361,$BN$8:$BT$507,4,FALSE()))</f>
        <v/>
      </c>
      <c r="BY361" s="98" t="str">
        <f aca="false">IF($BL361&gt;$BK$7,"",VLOOKUP($BL361,$BN$8:$BT$507,5,FALSE()))</f>
        <v/>
      </c>
      <c r="BZ361" s="99" t="str">
        <f aca="false">IF($BL361&gt;$BK$7,"",VLOOKUP($BL361,$BN$8:$BT$507,6,FALSE()))</f>
        <v/>
      </c>
      <c r="CA361" s="48"/>
    </row>
    <row r="362" customFormat="false" ht="15.75" hidden="false" customHeight="false" outlineLevel="0" collapsed="false">
      <c r="A362" s="5"/>
      <c r="B362" s="121"/>
      <c r="C362" s="50"/>
      <c r="D362" s="51"/>
      <c r="E362" s="74"/>
      <c r="F362" s="122"/>
      <c r="G362" s="54"/>
      <c r="H362" s="123"/>
      <c r="I362" s="124"/>
      <c r="J362" s="54"/>
      <c r="K362" s="123"/>
      <c r="L362" s="54"/>
      <c r="M362" s="123"/>
      <c r="N362" s="54"/>
      <c r="O362" s="123"/>
      <c r="P362" s="54"/>
      <c r="Q362" s="123"/>
      <c r="R362" s="54"/>
      <c r="S362" s="74"/>
      <c r="T362" s="58"/>
      <c r="U362" s="59" t="str">
        <f aca="false">IF(ISBLANK($C362),"",IF(E362=Constants!$B$2, TRUE(), IF(E362=Constants!$B$3, FALSE(), TRUE())))</f>
        <v/>
      </c>
      <c r="V362" s="59" t="str">
        <f aca="false">IF(ISBLANK($C362),"",IF(F362=Constants!$B$2, TRUE(), IF(F362=Constants!$B$3, FALSE(), TRUE())))</f>
        <v/>
      </c>
      <c r="W362" s="59" t="str">
        <f aca="false">IF(ISBLANK($C362),"",IF(G362=Constants!$B$15,Constants!$B$8,IF(G362=Constants!$B$16,Constants!$B$9,Constants!$B$10)))</f>
        <v/>
      </c>
      <c r="X362" s="59" t="str">
        <f aca="false">IF(ISBLANK($C362),"",IF(H362=Constants!$B$2, TRUE(), IF(H362=Constants!$B$3, FALSE(), TRUE())))</f>
        <v/>
      </c>
      <c r="Y362" s="59" t="str">
        <f aca="false">IF(ISBLANK($C362),"",IF(I362=Constants!$B$19,Constants!$B$19,Constants!$B$18))</f>
        <v/>
      </c>
      <c r="Z362" s="59" t="str">
        <f aca="false">IF(ISBLANK($C362),"",IF(ISNUMBER(J362),IF(J362&gt;=0,J362,""),""))</f>
        <v/>
      </c>
      <c r="AA362" s="59" t="str">
        <f aca="false">IF(ISBLANK($C362),"",IF(K362=Constants!$B$19,Constants!$B$19,Constants!$B$18))</f>
        <v/>
      </c>
      <c r="AB362" s="59" t="str">
        <f aca="false">IF(ISBLANK($C362),"",IF(ISNUMBER(L362),IF(L362&gt;=0,L362,""),""))</f>
        <v/>
      </c>
      <c r="AC362" s="59" t="str">
        <f aca="false">IF(ISBLANK($C362),"",IF(M362=Constants!$B$19,Constants!$B$19,Constants!$B$18))</f>
        <v/>
      </c>
      <c r="AD362" s="59" t="str">
        <f aca="false">IF(ISBLANK($C362),"",IF(ISNUMBER(N362),IF(N362&gt;=0,N362,""),""))</f>
        <v/>
      </c>
      <c r="AE362" s="59" t="str">
        <f aca="false">IF(ISBLANK($C362),"",IF(O362=Constants!$B$19,Constants!$B$19,Constants!$B$18))</f>
        <v/>
      </c>
      <c r="AF362" s="59" t="str">
        <f aca="false">IF(ISBLANK($C362),"",IF(ISNUMBER(P362),IF(P362&gt;=0,P362,""),""))</f>
        <v/>
      </c>
      <c r="AG362" s="59" t="str">
        <f aca="false">IF(ISBLANK($C362),"",IF(Q362=Constants!$B$19,Constants!$B$19,Constants!$B$18))</f>
        <v/>
      </c>
      <c r="AH362" s="59" t="str">
        <f aca="false">IF(ISBLANK($C362),"",IF(ISNUMBER(R362),IF(R362&gt;=0,R362,""),""))</f>
        <v/>
      </c>
      <c r="AI362" s="59" t="str">
        <f aca="false">IF(ISBLANK($C362),"",IF(S362=Constants!$B$2, TRUE(), IF(S362=Constants!$B$3, FALSE(), FALSE())))</f>
        <v/>
      </c>
      <c r="AJ362" s="59" t="str">
        <f aca="false">IF(ISBLANK($C362),"",IF(AI362,Constants!$B$4,IF(COUNTA(E362:R362)=0,Constants!$B$5,IF(COUNTA(J362,L362,N362,P362,R362)=0,Constants!$B$6,Constants!$B$7))))</f>
        <v/>
      </c>
      <c r="AK362" s="59" t="str">
        <f aca="false">IF(ISBLANK($C362),"",IF($AJ362&lt;&gt;Constants!$B$7,$AJ362,IF(OR(NOT(X362),AND(NOT(U362),COUNTIFS(Y362:AG362,Constants!$B$18,Z362:AH362,"&gt;=0")&gt;0),AND(NOT(V362),COUNTIFS(Y362:AG362,Constants!$B$19,Z362:AH362,"&gt;=0")&gt;0)),Constants!$B$12,Constants!$B$11)))</f>
        <v/>
      </c>
      <c r="AL362" s="59" t="str">
        <f aca="false">IF($AJ362=Constants!$B$7,IF(Z362="",Constants!$B$13,Z362),"")</f>
        <v/>
      </c>
      <c r="AM362" s="59" t="str">
        <f aca="false">IF($AJ362=Constants!$B$7,IF(AB362="",Constants!$B$13,AB362),"")</f>
        <v/>
      </c>
      <c r="AN362" s="59" t="str">
        <f aca="false">IF($AJ362=Constants!$B$7,IF(AD362="",Constants!$B$13,AD362),"")</f>
        <v/>
      </c>
      <c r="AO362" s="59" t="str">
        <f aca="false">IF($AJ362=Constants!$B$7,IF(AF362="",Constants!$B$13,AF362),"")</f>
        <v/>
      </c>
      <c r="AP362" s="59" t="str">
        <f aca="false">IF($AJ362=Constants!$B$7,IF(AH362="",Constants!$B$13,AH362),"")</f>
        <v/>
      </c>
      <c r="AQ362" s="59" t="str">
        <f aca="false">IF($AJ362=Constants!$B$7,IF(SUMPRODUCT(--($AL362:$AP362&gt;AL362))+SUMPRODUCT(--($AL362:AL362=AL362))=1,1,IF(SUMPRODUCT(--($AL362:$AP362&gt;AM362))+SUMPRODUCT(--($AL362:AM362=AM362))=1,2,IF(SUMPRODUCT(--($AL362:$AP362&gt;AN362))+SUMPRODUCT(--($AL362:AN362=AN362))=1,3,IF(SUMPRODUCT(--($AL362:$AP362&gt;AO362))+SUMPRODUCT(--($AL362:AO362=AO362))=1,4,5)))),"")</f>
        <v/>
      </c>
      <c r="AR362" s="59" t="str">
        <f aca="false">IF($AJ362=Constants!$B$7,IF(SUMPRODUCT(--($AL362:$AP362&gt;AL362))+SUMPRODUCT(--($AL362:AL362=AL362))=2,1,IF(SUMPRODUCT(--($AL362:$AP362&gt;AM362))+SUMPRODUCT(--($AL362:AM362=AM362))=2,2,IF(SUMPRODUCT(--($AL362:$AP362&gt;AN362))+SUMPRODUCT(--($AL362:AN362=AN362))=2,3,IF(SUMPRODUCT(--($AL362:$AP362&gt;AO362))+SUMPRODUCT(--($AL362:AO362=AO362))=2,4,5)))),"")</f>
        <v/>
      </c>
      <c r="AS362" s="59" t="str">
        <f aca="false">IF($AJ362=Constants!$B$7,IF(SUMPRODUCT(--($AL362:$AP362&gt;AL362))+SUMPRODUCT(--($AL362:AL362=AL362))=3,1,IF(SUMPRODUCT(--($AL362:$AP362&gt;AM362))+SUMPRODUCT(--($AL362:AM362=AM362))=3,2,IF(SUMPRODUCT(--($AL362:$AP362&gt;AN362))+SUMPRODUCT(--($AL362:AN362=AN362))=3,3,IF(SUMPRODUCT(--($AL362:$AP362&gt;AO362))+SUMPRODUCT(--($AL362:AO362=AO362))=3,4,5)))),"")</f>
        <v/>
      </c>
      <c r="AT362" s="59" t="str">
        <f aca="false">IF($AJ362=Constants!$B$7,LARGE(AL362:AP362,1)+LARGE(AL362:AP362,2)+LARGE(AL362:AP362,3),"")</f>
        <v/>
      </c>
      <c r="AU362" s="59" t="str">
        <f aca="false">IF(ISBLANK($C362),"",IF($AJ362&lt;&gt;Constants!$B$7,$AJ362,AT362*W362))</f>
        <v/>
      </c>
      <c r="AV362" s="59" t="str">
        <f aca="false">IF(ISBLANK($C362),"",IF($AJ362=Constants!$B$7,IF(ISNUMBER(AU362),RANK(AU362,$AU$8:$AU$507),Constants!$B$14),$AJ362))</f>
        <v/>
      </c>
      <c r="AW362" s="59" t="str">
        <f aca="false">IF(ISBLANK($C362),"",IF($AJ362=Constants!$B$7,IF(ISNUMBER(AV362),COUNTIFS($AK$8:$AK$507,"&lt;"&amp;$AK362)+COUNTIFS($AK$8:$AK$507,$AK362,$AV$8:$AV$507,"&lt;"&amp;$AV362)+1,Constants!$B$14),$AJ362))</f>
        <v/>
      </c>
      <c r="AX362" s="59" t="str">
        <f aca="false">IF(ISBLANK($C362),"",IF($AJ362=Constants!$B$7,LARGE(AL362:AP362,4)*W362,""))</f>
        <v/>
      </c>
      <c r="AY362" s="59" t="str">
        <f aca="false">IF(ISBLANK($C362),"",IF($AJ362=Constants!$B$7,RANK(AX362,$AX$8:$AX$507),$AJ362))</f>
        <v/>
      </c>
      <c r="AZ362" s="59" t="str">
        <f aca="false">IF(ISBLANK($C362),"",IF($AJ362=Constants!$B$7,IF(ISNUMBER(AV362),COUNTIFS($AK$8:$AK$507,"&lt;"&amp;$AK362)+COUNTIFS($AK$8:$AK$507,$AK362,$AV$8:$AV$507,"&lt;"&amp;$AV362)+COUNTIFS($AK$8:$AK$507,$AK362,$AV$8:$AV$507,$AV362,$AY$8:$AY$507,"&lt;"&amp;$AY362)+1,Constants!$B$14),$AJ362))</f>
        <v/>
      </c>
      <c r="BA362" s="59" t="str">
        <f aca="false">IF(ISBLANK($C362),"",IF($AJ362=Constants!$B$7,IF(ISNUMBER(AW362),AW362-AZ362,Constants!$B$14),$AJ362))</f>
        <v/>
      </c>
      <c r="BB362" s="61"/>
      <c r="BC362" s="62" t="str">
        <f aca="false">IF(ISBLANK($C362),"",IF($AJ362&lt;&gt;Constants!$B$7,$AJ362,SMALL(AQ362:AS362,1)&amp;", "&amp;SMALL(AQ362:AS362,2)&amp;", "&amp;SMALL(AQ362:AS362,3)))</f>
        <v/>
      </c>
      <c r="BD362" s="63" t="str">
        <f aca="false">IF(ISBLANK($C362),"",IF($AJ362&lt;&gt;Constants!$B$7,$AJ362,W362))</f>
        <v/>
      </c>
      <c r="BE362" s="64" t="str">
        <f aca="false">IF(ISBLANK($C362),"",IF($AJ362&lt;&gt;Constants!$B$7,$AJ362,AU362))</f>
        <v/>
      </c>
      <c r="BF362" s="65" t="str">
        <f aca="false">IF(ISBLANK($C362),"",IF($AJ362&lt;&gt;Constants!$B$7,$AJ362,AK362))</f>
        <v/>
      </c>
      <c r="BG362" s="63" t="str">
        <f aca="false">IF(ISBLANK($C362),"",BA362)</f>
        <v/>
      </c>
      <c r="BH362" s="63" t="str">
        <f aca="false">IF(ISBLANK($C362),"",AZ362)</f>
        <v/>
      </c>
      <c r="BI362" s="66" t="str">
        <f aca="false">IF(ISBLANK($C362),"",IF(BH362=Constants!$B$4,COUNTA($C$8:$C$507)+2,IF(BH362=Constants!$B$5,COUNTA($C$8:$C$507)+1,IF(BH362=Constants!$B$6,COUNTA($C$8:$C$507),BH362))))</f>
        <v/>
      </c>
      <c r="BJ362" s="5"/>
      <c r="BK362" s="67" t="n">
        <f aca="false">IF(OR(ISNUMBER(BH362),BH362=Constants!$B$4,BH362=Constants!$B$6,BH362=Constants!$B$5),1,0)</f>
        <v>0</v>
      </c>
      <c r="BL362" s="67" t="n">
        <v>355</v>
      </c>
      <c r="BM362" s="67" t="str">
        <f aca="false">IF(ISBLANK($C362),"",IF(ISNUMBER(BI362),BI362+ROW($B362)/1000,""))</f>
        <v/>
      </c>
      <c r="BN362" s="67" t="str">
        <f aca="false">IF(ISNUMBER(BM362),RANK(BM362,$BM$8:$BM$507,1),"")</f>
        <v/>
      </c>
      <c r="BO362" s="67" t="str">
        <f aca="false">IF(ISBLANK($C362),"",$B362)</f>
        <v/>
      </c>
      <c r="BP362" s="67" t="str">
        <f aca="false">IF(ISBLANK($C362),"",$C362)</f>
        <v/>
      </c>
      <c r="BQ362" s="67" t="str">
        <f aca="false">IF(ISBLANK($C362),"",$D362)</f>
        <v/>
      </c>
      <c r="BR362" s="68" t="str">
        <f aca="false">BF362</f>
        <v/>
      </c>
      <c r="BS362" s="69" t="str">
        <f aca="false">BE362</f>
        <v/>
      </c>
      <c r="BT362" s="67" t="str">
        <f aca="false">IF(ISBLANK($C362),"",BH362)</f>
        <v/>
      </c>
      <c r="BU362" s="70" t="str">
        <f aca="false">IF($BL362&gt;$BK$7,"",VLOOKUP($BL362,$BN$8:$BT$507,7,FALSE()))</f>
        <v/>
      </c>
      <c r="BV362" s="71" t="str">
        <f aca="false">IF($BL362&gt;$BK$7,"",VLOOKUP($BL362,$BN$8:$BT$507,2,FALSE()))</f>
        <v/>
      </c>
      <c r="BW362" s="71" t="str">
        <f aca="false">IF($BL362&gt;$BK$7,"",VLOOKUP($BL362,$BN$8:$BT$507,3,FALSE()))</f>
        <v/>
      </c>
      <c r="BX362" s="71" t="str">
        <f aca="false">IF($BL362&gt;$BK$7,"",VLOOKUP($BL362,$BN$8:$BT$507,4,FALSE()))</f>
        <v/>
      </c>
      <c r="BY362" s="71" t="str">
        <f aca="false">IF($BL362&gt;$BK$7,"",VLOOKUP($BL362,$BN$8:$BT$507,5,FALSE()))</f>
        <v/>
      </c>
      <c r="BZ362" s="72" t="str">
        <f aca="false">IF($BL362&gt;$BK$7,"",VLOOKUP($BL362,$BN$8:$BT$507,6,FALSE()))</f>
        <v/>
      </c>
      <c r="CA362" s="48"/>
    </row>
    <row r="363" customFormat="false" ht="15.75" hidden="false" customHeight="false" outlineLevel="0" collapsed="false">
      <c r="A363" s="5"/>
      <c r="B363" s="121"/>
      <c r="C363" s="50"/>
      <c r="D363" s="51"/>
      <c r="E363" s="74"/>
      <c r="F363" s="122"/>
      <c r="G363" s="54"/>
      <c r="H363" s="123"/>
      <c r="I363" s="124"/>
      <c r="J363" s="54"/>
      <c r="K363" s="123"/>
      <c r="L363" s="54"/>
      <c r="M363" s="123"/>
      <c r="N363" s="54"/>
      <c r="O363" s="123"/>
      <c r="P363" s="54"/>
      <c r="Q363" s="123"/>
      <c r="R363" s="54"/>
      <c r="S363" s="74"/>
      <c r="T363" s="58"/>
      <c r="U363" s="59" t="str">
        <f aca="false">IF(ISBLANK($C363),"",IF(E363=Constants!$B$2, TRUE(), IF(E363=Constants!$B$3, FALSE(), TRUE())))</f>
        <v/>
      </c>
      <c r="V363" s="59" t="str">
        <f aca="false">IF(ISBLANK($C363),"",IF(F363=Constants!$B$2, TRUE(), IF(F363=Constants!$B$3, FALSE(), TRUE())))</f>
        <v/>
      </c>
      <c r="W363" s="59" t="str">
        <f aca="false">IF(ISBLANK($C363),"",IF(G363=Constants!$B$15,Constants!$B$8,IF(G363=Constants!$B$16,Constants!$B$9,Constants!$B$10)))</f>
        <v/>
      </c>
      <c r="X363" s="59" t="str">
        <f aca="false">IF(ISBLANK($C363),"",IF(H363=Constants!$B$2, TRUE(), IF(H363=Constants!$B$3, FALSE(), TRUE())))</f>
        <v/>
      </c>
      <c r="Y363" s="59" t="str">
        <f aca="false">IF(ISBLANK($C363),"",IF(I363=Constants!$B$19,Constants!$B$19,Constants!$B$18))</f>
        <v/>
      </c>
      <c r="Z363" s="59" t="str">
        <f aca="false">IF(ISBLANK($C363),"",IF(ISNUMBER(J363),IF(J363&gt;=0,J363,""),""))</f>
        <v/>
      </c>
      <c r="AA363" s="59" t="str">
        <f aca="false">IF(ISBLANK($C363),"",IF(K363=Constants!$B$19,Constants!$B$19,Constants!$B$18))</f>
        <v/>
      </c>
      <c r="AB363" s="59" t="str">
        <f aca="false">IF(ISBLANK($C363),"",IF(ISNUMBER(L363),IF(L363&gt;=0,L363,""),""))</f>
        <v/>
      </c>
      <c r="AC363" s="59" t="str">
        <f aca="false">IF(ISBLANK($C363),"",IF(M363=Constants!$B$19,Constants!$B$19,Constants!$B$18))</f>
        <v/>
      </c>
      <c r="AD363" s="59" t="str">
        <f aca="false">IF(ISBLANK($C363),"",IF(ISNUMBER(N363),IF(N363&gt;=0,N363,""),""))</f>
        <v/>
      </c>
      <c r="AE363" s="59" t="str">
        <f aca="false">IF(ISBLANK($C363),"",IF(O363=Constants!$B$19,Constants!$B$19,Constants!$B$18))</f>
        <v/>
      </c>
      <c r="AF363" s="59" t="str">
        <f aca="false">IF(ISBLANK($C363),"",IF(ISNUMBER(P363),IF(P363&gt;=0,P363,""),""))</f>
        <v/>
      </c>
      <c r="AG363" s="59" t="str">
        <f aca="false">IF(ISBLANK($C363),"",IF(Q363=Constants!$B$19,Constants!$B$19,Constants!$B$18))</f>
        <v/>
      </c>
      <c r="AH363" s="59" t="str">
        <f aca="false">IF(ISBLANK($C363),"",IF(ISNUMBER(R363),IF(R363&gt;=0,R363,""),""))</f>
        <v/>
      </c>
      <c r="AI363" s="59" t="str">
        <f aca="false">IF(ISBLANK($C363),"",IF(S363=Constants!$B$2, TRUE(), IF(S363=Constants!$B$3, FALSE(), FALSE())))</f>
        <v/>
      </c>
      <c r="AJ363" s="59" t="str">
        <f aca="false">IF(ISBLANK($C363),"",IF(AI363,Constants!$B$4,IF(COUNTA(E363:R363)=0,Constants!$B$5,IF(COUNTA(J363,L363,N363,P363,R363)=0,Constants!$B$6,Constants!$B$7))))</f>
        <v/>
      </c>
      <c r="AK363" s="59" t="str">
        <f aca="false">IF(ISBLANK($C363),"",IF($AJ363&lt;&gt;Constants!$B$7,$AJ363,IF(OR(NOT(X363),AND(NOT(U363),COUNTIFS(Y363:AG363,Constants!$B$18,Z363:AH363,"&gt;=0")&gt;0),AND(NOT(V363),COUNTIFS(Y363:AG363,Constants!$B$19,Z363:AH363,"&gt;=0")&gt;0)),Constants!$B$12,Constants!$B$11)))</f>
        <v/>
      </c>
      <c r="AL363" s="59" t="str">
        <f aca="false">IF($AJ363=Constants!$B$7,IF(Z363="",Constants!$B$13,Z363),"")</f>
        <v/>
      </c>
      <c r="AM363" s="59" t="str">
        <f aca="false">IF($AJ363=Constants!$B$7,IF(AB363="",Constants!$B$13,AB363),"")</f>
        <v/>
      </c>
      <c r="AN363" s="59" t="str">
        <f aca="false">IF($AJ363=Constants!$B$7,IF(AD363="",Constants!$B$13,AD363),"")</f>
        <v/>
      </c>
      <c r="AO363" s="59" t="str">
        <f aca="false">IF($AJ363=Constants!$B$7,IF(AF363="",Constants!$B$13,AF363),"")</f>
        <v/>
      </c>
      <c r="AP363" s="59" t="str">
        <f aca="false">IF($AJ363=Constants!$B$7,IF(AH363="",Constants!$B$13,AH363),"")</f>
        <v/>
      </c>
      <c r="AQ363" s="59" t="str">
        <f aca="false">IF($AJ363=Constants!$B$7,IF(SUMPRODUCT(--($AL363:$AP363&gt;AL363))+SUMPRODUCT(--($AL363:AL363=AL363))=1,1,IF(SUMPRODUCT(--($AL363:$AP363&gt;AM363))+SUMPRODUCT(--($AL363:AM363=AM363))=1,2,IF(SUMPRODUCT(--($AL363:$AP363&gt;AN363))+SUMPRODUCT(--($AL363:AN363=AN363))=1,3,IF(SUMPRODUCT(--($AL363:$AP363&gt;AO363))+SUMPRODUCT(--($AL363:AO363=AO363))=1,4,5)))),"")</f>
        <v/>
      </c>
      <c r="AR363" s="59" t="str">
        <f aca="false">IF($AJ363=Constants!$B$7,IF(SUMPRODUCT(--($AL363:$AP363&gt;AL363))+SUMPRODUCT(--($AL363:AL363=AL363))=2,1,IF(SUMPRODUCT(--($AL363:$AP363&gt;AM363))+SUMPRODUCT(--($AL363:AM363=AM363))=2,2,IF(SUMPRODUCT(--($AL363:$AP363&gt;AN363))+SUMPRODUCT(--($AL363:AN363=AN363))=2,3,IF(SUMPRODUCT(--($AL363:$AP363&gt;AO363))+SUMPRODUCT(--($AL363:AO363=AO363))=2,4,5)))),"")</f>
        <v/>
      </c>
      <c r="AS363" s="59" t="str">
        <f aca="false">IF($AJ363=Constants!$B$7,IF(SUMPRODUCT(--($AL363:$AP363&gt;AL363))+SUMPRODUCT(--($AL363:AL363=AL363))=3,1,IF(SUMPRODUCT(--($AL363:$AP363&gt;AM363))+SUMPRODUCT(--($AL363:AM363=AM363))=3,2,IF(SUMPRODUCT(--($AL363:$AP363&gt;AN363))+SUMPRODUCT(--($AL363:AN363=AN363))=3,3,IF(SUMPRODUCT(--($AL363:$AP363&gt;AO363))+SUMPRODUCT(--($AL363:AO363=AO363))=3,4,5)))),"")</f>
        <v/>
      </c>
      <c r="AT363" s="59" t="str">
        <f aca="false">IF($AJ363=Constants!$B$7,LARGE(AL363:AP363,1)+LARGE(AL363:AP363,2)+LARGE(AL363:AP363,3),"")</f>
        <v/>
      </c>
      <c r="AU363" s="59" t="str">
        <f aca="false">IF(ISBLANK($C363),"",IF($AJ363&lt;&gt;Constants!$B$7,$AJ363,AT363*W363))</f>
        <v/>
      </c>
      <c r="AV363" s="59" t="str">
        <f aca="false">IF(ISBLANK($C363),"",IF($AJ363=Constants!$B$7,IF(ISNUMBER(AU363),RANK(AU363,$AU$8:$AU$507),Constants!$B$14),$AJ363))</f>
        <v/>
      </c>
      <c r="AW363" s="59" t="str">
        <f aca="false">IF(ISBLANK($C363),"",IF($AJ363=Constants!$B$7,IF(ISNUMBER(AV363),COUNTIFS($AK$8:$AK$507,"&lt;"&amp;$AK363)+COUNTIFS($AK$8:$AK$507,$AK363,$AV$8:$AV$507,"&lt;"&amp;$AV363)+1,Constants!$B$14),$AJ363))</f>
        <v/>
      </c>
      <c r="AX363" s="59" t="str">
        <f aca="false">IF(ISBLANK($C363),"",IF($AJ363=Constants!$B$7,LARGE(AL363:AP363,4)*W363,""))</f>
        <v/>
      </c>
      <c r="AY363" s="59" t="str">
        <f aca="false">IF(ISBLANK($C363),"",IF($AJ363=Constants!$B$7,RANK(AX363,$AX$8:$AX$507),$AJ363))</f>
        <v/>
      </c>
      <c r="AZ363" s="59" t="str">
        <f aca="false">IF(ISBLANK($C363),"",IF($AJ363=Constants!$B$7,IF(ISNUMBER(AV363),COUNTIFS($AK$8:$AK$507,"&lt;"&amp;$AK363)+COUNTIFS($AK$8:$AK$507,$AK363,$AV$8:$AV$507,"&lt;"&amp;$AV363)+COUNTIFS($AK$8:$AK$507,$AK363,$AV$8:$AV$507,$AV363,$AY$8:$AY$507,"&lt;"&amp;$AY363)+1,Constants!$B$14),$AJ363))</f>
        <v/>
      </c>
      <c r="BA363" s="59" t="str">
        <f aca="false">IF(ISBLANK($C363),"",IF($AJ363=Constants!$B$7,IF(ISNUMBER(AW363),AW363-AZ363,Constants!$B$14),$AJ363))</f>
        <v/>
      </c>
      <c r="BB363" s="61"/>
      <c r="BC363" s="62" t="str">
        <f aca="false">IF(ISBLANK($C363),"",IF($AJ363&lt;&gt;Constants!$B$7,$AJ363,SMALL(AQ363:AS363,1)&amp;", "&amp;SMALL(AQ363:AS363,2)&amp;", "&amp;SMALL(AQ363:AS363,3)))</f>
        <v/>
      </c>
      <c r="BD363" s="63" t="str">
        <f aca="false">IF(ISBLANK($C363),"",IF($AJ363&lt;&gt;Constants!$B$7,$AJ363,W363))</f>
        <v/>
      </c>
      <c r="BE363" s="64" t="str">
        <f aca="false">IF(ISBLANK($C363),"",IF($AJ363&lt;&gt;Constants!$B$7,$AJ363,AU363))</f>
        <v/>
      </c>
      <c r="BF363" s="65" t="str">
        <f aca="false">IF(ISBLANK($C363),"",IF($AJ363&lt;&gt;Constants!$B$7,$AJ363,AK363))</f>
        <v/>
      </c>
      <c r="BG363" s="63" t="str">
        <f aca="false">IF(ISBLANK($C363),"",BA363)</f>
        <v/>
      </c>
      <c r="BH363" s="63" t="str">
        <f aca="false">IF(ISBLANK($C363),"",AZ363)</f>
        <v/>
      </c>
      <c r="BI363" s="66" t="str">
        <f aca="false">IF(ISBLANK($C363),"",IF(BH363=Constants!$B$4,COUNTA($C$8:$C$507)+2,IF(BH363=Constants!$B$5,COUNTA($C$8:$C$507)+1,IF(BH363=Constants!$B$6,COUNTA($C$8:$C$507),BH363))))</f>
        <v/>
      </c>
      <c r="BJ363" s="5"/>
      <c r="BK363" s="67" t="n">
        <f aca="false">IF(OR(ISNUMBER(BH363),BH363=Constants!$B$4,BH363=Constants!$B$6,BH363=Constants!$B$5),1,0)</f>
        <v>0</v>
      </c>
      <c r="BL363" s="67" t="n">
        <v>356</v>
      </c>
      <c r="BM363" s="67" t="str">
        <f aca="false">IF(ISBLANK($C363),"",IF(ISNUMBER(BI363),BI363+ROW($B363)/1000,""))</f>
        <v/>
      </c>
      <c r="BN363" s="67" t="str">
        <f aca="false">IF(ISNUMBER(BM363),RANK(BM363,$BM$8:$BM$507,1),"")</f>
        <v/>
      </c>
      <c r="BO363" s="67" t="str">
        <f aca="false">IF(ISBLANK($C363),"",$B363)</f>
        <v/>
      </c>
      <c r="BP363" s="67" t="str">
        <f aca="false">IF(ISBLANK($C363),"",$C363)</f>
        <v/>
      </c>
      <c r="BQ363" s="67" t="str">
        <f aca="false">IF(ISBLANK($C363),"",$D363)</f>
        <v/>
      </c>
      <c r="BR363" s="68" t="str">
        <f aca="false">BF363</f>
        <v/>
      </c>
      <c r="BS363" s="69" t="str">
        <f aca="false">BE363</f>
        <v/>
      </c>
      <c r="BT363" s="67" t="str">
        <f aca="false">IF(ISBLANK($C363),"",BH363)</f>
        <v/>
      </c>
      <c r="BU363" s="70" t="str">
        <f aca="false">IF($BL363&gt;$BK$7,"",VLOOKUP($BL363,$BN$8:$BT$507,7,FALSE()))</f>
        <v/>
      </c>
      <c r="BV363" s="71" t="str">
        <f aca="false">IF($BL363&gt;$BK$7,"",VLOOKUP($BL363,$BN$8:$BT$507,2,FALSE()))</f>
        <v/>
      </c>
      <c r="BW363" s="71" t="str">
        <f aca="false">IF($BL363&gt;$BK$7,"",VLOOKUP($BL363,$BN$8:$BT$507,3,FALSE()))</f>
        <v/>
      </c>
      <c r="BX363" s="71" t="str">
        <f aca="false">IF($BL363&gt;$BK$7,"",VLOOKUP($BL363,$BN$8:$BT$507,4,FALSE()))</f>
        <v/>
      </c>
      <c r="BY363" s="71" t="str">
        <f aca="false">IF($BL363&gt;$BK$7,"",VLOOKUP($BL363,$BN$8:$BT$507,5,FALSE()))</f>
        <v/>
      </c>
      <c r="BZ363" s="72" t="str">
        <f aca="false">IF($BL363&gt;$BK$7,"",VLOOKUP($BL363,$BN$8:$BT$507,6,FALSE()))</f>
        <v/>
      </c>
      <c r="CA363" s="48"/>
    </row>
    <row r="364" customFormat="false" ht="15.75" hidden="false" customHeight="false" outlineLevel="0" collapsed="false">
      <c r="A364" s="5"/>
      <c r="B364" s="121"/>
      <c r="C364" s="50"/>
      <c r="D364" s="51"/>
      <c r="E364" s="74"/>
      <c r="F364" s="122"/>
      <c r="G364" s="54"/>
      <c r="H364" s="123"/>
      <c r="I364" s="124"/>
      <c r="J364" s="54"/>
      <c r="K364" s="123"/>
      <c r="L364" s="54"/>
      <c r="M364" s="123"/>
      <c r="N364" s="54"/>
      <c r="O364" s="123"/>
      <c r="P364" s="54"/>
      <c r="Q364" s="123"/>
      <c r="R364" s="54"/>
      <c r="S364" s="74"/>
      <c r="T364" s="58"/>
      <c r="U364" s="59" t="str">
        <f aca="false">IF(ISBLANK($C364),"",IF(E364=Constants!$B$2, TRUE(), IF(E364=Constants!$B$3, FALSE(), TRUE())))</f>
        <v/>
      </c>
      <c r="V364" s="59" t="str">
        <f aca="false">IF(ISBLANK($C364),"",IF(F364=Constants!$B$2, TRUE(), IF(F364=Constants!$B$3, FALSE(), TRUE())))</f>
        <v/>
      </c>
      <c r="W364" s="59" t="str">
        <f aca="false">IF(ISBLANK($C364),"",IF(G364=Constants!$B$15,Constants!$B$8,IF(G364=Constants!$B$16,Constants!$B$9,Constants!$B$10)))</f>
        <v/>
      </c>
      <c r="X364" s="59" t="str">
        <f aca="false">IF(ISBLANK($C364),"",IF(H364=Constants!$B$2, TRUE(), IF(H364=Constants!$B$3, FALSE(), TRUE())))</f>
        <v/>
      </c>
      <c r="Y364" s="59" t="str">
        <f aca="false">IF(ISBLANK($C364),"",IF(I364=Constants!$B$19,Constants!$B$19,Constants!$B$18))</f>
        <v/>
      </c>
      <c r="Z364" s="59" t="str">
        <f aca="false">IF(ISBLANK($C364),"",IF(ISNUMBER(J364),IF(J364&gt;=0,J364,""),""))</f>
        <v/>
      </c>
      <c r="AA364" s="59" t="str">
        <f aca="false">IF(ISBLANK($C364),"",IF(K364=Constants!$B$19,Constants!$B$19,Constants!$B$18))</f>
        <v/>
      </c>
      <c r="AB364" s="59" t="str">
        <f aca="false">IF(ISBLANK($C364),"",IF(ISNUMBER(L364),IF(L364&gt;=0,L364,""),""))</f>
        <v/>
      </c>
      <c r="AC364" s="59" t="str">
        <f aca="false">IF(ISBLANK($C364),"",IF(M364=Constants!$B$19,Constants!$B$19,Constants!$B$18))</f>
        <v/>
      </c>
      <c r="AD364" s="59" t="str">
        <f aca="false">IF(ISBLANK($C364),"",IF(ISNUMBER(N364),IF(N364&gt;=0,N364,""),""))</f>
        <v/>
      </c>
      <c r="AE364" s="59" t="str">
        <f aca="false">IF(ISBLANK($C364),"",IF(O364=Constants!$B$19,Constants!$B$19,Constants!$B$18))</f>
        <v/>
      </c>
      <c r="AF364" s="59" t="str">
        <f aca="false">IF(ISBLANK($C364),"",IF(ISNUMBER(P364),IF(P364&gt;=0,P364,""),""))</f>
        <v/>
      </c>
      <c r="AG364" s="59" t="str">
        <f aca="false">IF(ISBLANK($C364),"",IF(Q364=Constants!$B$19,Constants!$B$19,Constants!$B$18))</f>
        <v/>
      </c>
      <c r="AH364" s="59" t="str">
        <f aca="false">IF(ISBLANK($C364),"",IF(ISNUMBER(R364),IF(R364&gt;=0,R364,""),""))</f>
        <v/>
      </c>
      <c r="AI364" s="59" t="str">
        <f aca="false">IF(ISBLANK($C364),"",IF(S364=Constants!$B$2, TRUE(), IF(S364=Constants!$B$3, FALSE(), FALSE())))</f>
        <v/>
      </c>
      <c r="AJ364" s="59" t="str">
        <f aca="false">IF(ISBLANK($C364),"",IF(AI364,Constants!$B$4,IF(COUNTA(E364:R364)=0,Constants!$B$5,IF(COUNTA(J364,L364,N364,P364,R364)=0,Constants!$B$6,Constants!$B$7))))</f>
        <v/>
      </c>
      <c r="AK364" s="59" t="str">
        <f aca="false">IF(ISBLANK($C364),"",IF($AJ364&lt;&gt;Constants!$B$7,$AJ364,IF(OR(NOT(X364),AND(NOT(U364),COUNTIFS(Y364:AG364,Constants!$B$18,Z364:AH364,"&gt;=0")&gt;0),AND(NOT(V364),COUNTIFS(Y364:AG364,Constants!$B$19,Z364:AH364,"&gt;=0")&gt;0)),Constants!$B$12,Constants!$B$11)))</f>
        <v/>
      </c>
      <c r="AL364" s="59" t="str">
        <f aca="false">IF($AJ364=Constants!$B$7,IF(Z364="",Constants!$B$13,Z364),"")</f>
        <v/>
      </c>
      <c r="AM364" s="59" t="str">
        <f aca="false">IF($AJ364=Constants!$B$7,IF(AB364="",Constants!$B$13,AB364),"")</f>
        <v/>
      </c>
      <c r="AN364" s="59" t="str">
        <f aca="false">IF($AJ364=Constants!$B$7,IF(AD364="",Constants!$B$13,AD364),"")</f>
        <v/>
      </c>
      <c r="AO364" s="59" t="str">
        <f aca="false">IF($AJ364=Constants!$B$7,IF(AF364="",Constants!$B$13,AF364),"")</f>
        <v/>
      </c>
      <c r="AP364" s="59" t="str">
        <f aca="false">IF($AJ364=Constants!$B$7,IF(AH364="",Constants!$B$13,AH364),"")</f>
        <v/>
      </c>
      <c r="AQ364" s="59" t="str">
        <f aca="false">IF($AJ364=Constants!$B$7,IF(SUMPRODUCT(--($AL364:$AP364&gt;AL364))+SUMPRODUCT(--($AL364:AL364=AL364))=1,1,IF(SUMPRODUCT(--($AL364:$AP364&gt;AM364))+SUMPRODUCT(--($AL364:AM364=AM364))=1,2,IF(SUMPRODUCT(--($AL364:$AP364&gt;AN364))+SUMPRODUCT(--($AL364:AN364=AN364))=1,3,IF(SUMPRODUCT(--($AL364:$AP364&gt;AO364))+SUMPRODUCT(--($AL364:AO364=AO364))=1,4,5)))),"")</f>
        <v/>
      </c>
      <c r="AR364" s="59" t="str">
        <f aca="false">IF($AJ364=Constants!$B$7,IF(SUMPRODUCT(--($AL364:$AP364&gt;AL364))+SUMPRODUCT(--($AL364:AL364=AL364))=2,1,IF(SUMPRODUCT(--($AL364:$AP364&gt;AM364))+SUMPRODUCT(--($AL364:AM364=AM364))=2,2,IF(SUMPRODUCT(--($AL364:$AP364&gt;AN364))+SUMPRODUCT(--($AL364:AN364=AN364))=2,3,IF(SUMPRODUCT(--($AL364:$AP364&gt;AO364))+SUMPRODUCT(--($AL364:AO364=AO364))=2,4,5)))),"")</f>
        <v/>
      </c>
      <c r="AS364" s="59" t="str">
        <f aca="false">IF($AJ364=Constants!$B$7,IF(SUMPRODUCT(--($AL364:$AP364&gt;AL364))+SUMPRODUCT(--($AL364:AL364=AL364))=3,1,IF(SUMPRODUCT(--($AL364:$AP364&gt;AM364))+SUMPRODUCT(--($AL364:AM364=AM364))=3,2,IF(SUMPRODUCT(--($AL364:$AP364&gt;AN364))+SUMPRODUCT(--($AL364:AN364=AN364))=3,3,IF(SUMPRODUCT(--($AL364:$AP364&gt;AO364))+SUMPRODUCT(--($AL364:AO364=AO364))=3,4,5)))),"")</f>
        <v/>
      </c>
      <c r="AT364" s="59" t="str">
        <f aca="false">IF($AJ364=Constants!$B$7,LARGE(AL364:AP364,1)+LARGE(AL364:AP364,2)+LARGE(AL364:AP364,3),"")</f>
        <v/>
      </c>
      <c r="AU364" s="59" t="str">
        <f aca="false">IF(ISBLANK($C364),"",IF($AJ364&lt;&gt;Constants!$B$7,$AJ364,AT364*W364))</f>
        <v/>
      </c>
      <c r="AV364" s="59" t="str">
        <f aca="false">IF(ISBLANK($C364),"",IF($AJ364=Constants!$B$7,IF(ISNUMBER(AU364),RANK(AU364,$AU$8:$AU$507),Constants!$B$14),$AJ364))</f>
        <v/>
      </c>
      <c r="AW364" s="59" t="str">
        <f aca="false">IF(ISBLANK($C364),"",IF($AJ364=Constants!$B$7,IF(ISNUMBER(AV364),COUNTIFS($AK$8:$AK$507,"&lt;"&amp;$AK364)+COUNTIFS($AK$8:$AK$507,$AK364,$AV$8:$AV$507,"&lt;"&amp;$AV364)+1,Constants!$B$14),$AJ364))</f>
        <v/>
      </c>
      <c r="AX364" s="59" t="str">
        <f aca="false">IF(ISBLANK($C364),"",IF($AJ364=Constants!$B$7,LARGE(AL364:AP364,4)*W364,""))</f>
        <v/>
      </c>
      <c r="AY364" s="59" t="str">
        <f aca="false">IF(ISBLANK($C364),"",IF($AJ364=Constants!$B$7,RANK(AX364,$AX$8:$AX$507),$AJ364))</f>
        <v/>
      </c>
      <c r="AZ364" s="59" t="str">
        <f aca="false">IF(ISBLANK($C364),"",IF($AJ364=Constants!$B$7,IF(ISNUMBER(AV364),COUNTIFS($AK$8:$AK$507,"&lt;"&amp;$AK364)+COUNTIFS($AK$8:$AK$507,$AK364,$AV$8:$AV$507,"&lt;"&amp;$AV364)+COUNTIFS($AK$8:$AK$507,$AK364,$AV$8:$AV$507,$AV364,$AY$8:$AY$507,"&lt;"&amp;$AY364)+1,Constants!$B$14),$AJ364))</f>
        <v/>
      </c>
      <c r="BA364" s="59" t="str">
        <f aca="false">IF(ISBLANK($C364),"",IF($AJ364=Constants!$B$7,IF(ISNUMBER(AW364),AW364-AZ364,Constants!$B$14),$AJ364))</f>
        <v/>
      </c>
      <c r="BB364" s="61"/>
      <c r="BC364" s="62" t="str">
        <f aca="false">IF(ISBLANK($C364),"",IF($AJ364&lt;&gt;Constants!$B$7,$AJ364,SMALL(AQ364:AS364,1)&amp;", "&amp;SMALL(AQ364:AS364,2)&amp;", "&amp;SMALL(AQ364:AS364,3)))</f>
        <v/>
      </c>
      <c r="BD364" s="63" t="str">
        <f aca="false">IF(ISBLANK($C364),"",IF($AJ364&lt;&gt;Constants!$B$7,$AJ364,W364))</f>
        <v/>
      </c>
      <c r="BE364" s="64" t="str">
        <f aca="false">IF(ISBLANK($C364),"",IF($AJ364&lt;&gt;Constants!$B$7,$AJ364,AU364))</f>
        <v/>
      </c>
      <c r="BF364" s="65" t="str">
        <f aca="false">IF(ISBLANK($C364),"",IF($AJ364&lt;&gt;Constants!$B$7,$AJ364,AK364))</f>
        <v/>
      </c>
      <c r="BG364" s="63" t="str">
        <f aca="false">IF(ISBLANK($C364),"",BA364)</f>
        <v/>
      </c>
      <c r="BH364" s="63" t="str">
        <f aca="false">IF(ISBLANK($C364),"",AZ364)</f>
        <v/>
      </c>
      <c r="BI364" s="66" t="str">
        <f aca="false">IF(ISBLANK($C364),"",IF(BH364=Constants!$B$4,COUNTA($C$8:$C$507)+2,IF(BH364=Constants!$B$5,COUNTA($C$8:$C$507)+1,IF(BH364=Constants!$B$6,COUNTA($C$8:$C$507),BH364))))</f>
        <v/>
      </c>
      <c r="BJ364" s="5"/>
      <c r="BK364" s="67" t="n">
        <f aca="false">IF(OR(ISNUMBER(BH364),BH364=Constants!$B$4,BH364=Constants!$B$6,BH364=Constants!$B$5),1,0)</f>
        <v>0</v>
      </c>
      <c r="BL364" s="67" t="n">
        <v>357</v>
      </c>
      <c r="BM364" s="67" t="str">
        <f aca="false">IF(ISBLANK($C364),"",IF(ISNUMBER(BI364),BI364+ROW($B364)/1000,""))</f>
        <v/>
      </c>
      <c r="BN364" s="67" t="str">
        <f aca="false">IF(ISNUMBER(BM364),RANK(BM364,$BM$8:$BM$507,1),"")</f>
        <v/>
      </c>
      <c r="BO364" s="67" t="str">
        <f aca="false">IF(ISBLANK($C364),"",$B364)</f>
        <v/>
      </c>
      <c r="BP364" s="67" t="str">
        <f aca="false">IF(ISBLANK($C364),"",$C364)</f>
        <v/>
      </c>
      <c r="BQ364" s="67" t="str">
        <f aca="false">IF(ISBLANK($C364),"",$D364)</f>
        <v/>
      </c>
      <c r="BR364" s="68" t="str">
        <f aca="false">BF364</f>
        <v/>
      </c>
      <c r="BS364" s="69" t="str">
        <f aca="false">BE364</f>
        <v/>
      </c>
      <c r="BT364" s="67" t="str">
        <f aca="false">IF(ISBLANK($C364),"",BH364)</f>
        <v/>
      </c>
      <c r="BU364" s="70" t="str">
        <f aca="false">IF($BL364&gt;$BK$7,"",VLOOKUP($BL364,$BN$8:$BT$507,7,FALSE()))</f>
        <v/>
      </c>
      <c r="BV364" s="71" t="str">
        <f aca="false">IF($BL364&gt;$BK$7,"",VLOOKUP($BL364,$BN$8:$BT$507,2,FALSE()))</f>
        <v/>
      </c>
      <c r="BW364" s="71" t="str">
        <f aca="false">IF($BL364&gt;$BK$7,"",VLOOKUP($BL364,$BN$8:$BT$507,3,FALSE()))</f>
        <v/>
      </c>
      <c r="BX364" s="71" t="str">
        <f aca="false">IF($BL364&gt;$BK$7,"",VLOOKUP($BL364,$BN$8:$BT$507,4,FALSE()))</f>
        <v/>
      </c>
      <c r="BY364" s="71" t="str">
        <f aca="false">IF($BL364&gt;$BK$7,"",VLOOKUP($BL364,$BN$8:$BT$507,5,FALSE()))</f>
        <v/>
      </c>
      <c r="BZ364" s="72" t="str">
        <f aca="false">IF($BL364&gt;$BK$7,"",VLOOKUP($BL364,$BN$8:$BT$507,6,FALSE()))</f>
        <v/>
      </c>
      <c r="CA364" s="48"/>
    </row>
    <row r="365" customFormat="false" ht="15.75" hidden="false" customHeight="false" outlineLevel="0" collapsed="false">
      <c r="A365" s="5"/>
      <c r="B365" s="114"/>
      <c r="C365" s="115"/>
      <c r="D365" s="100"/>
      <c r="E365" s="120"/>
      <c r="F365" s="125"/>
      <c r="G365" s="82"/>
      <c r="H365" s="126"/>
      <c r="I365" s="127"/>
      <c r="J365" s="82"/>
      <c r="K365" s="126"/>
      <c r="L365" s="82"/>
      <c r="M365" s="126"/>
      <c r="N365" s="82"/>
      <c r="O365" s="126"/>
      <c r="P365" s="82"/>
      <c r="Q365" s="126"/>
      <c r="R365" s="82"/>
      <c r="S365" s="120"/>
      <c r="T365" s="86"/>
      <c r="U365" s="87" t="str">
        <f aca="false">IF(ISBLANK($C365),"",IF(E365=Constants!$B$2, TRUE(), IF(E365=Constants!$B$3, FALSE(), TRUE())))</f>
        <v/>
      </c>
      <c r="V365" s="87" t="str">
        <f aca="false">IF(ISBLANK($C365),"",IF(F365=Constants!$B$2, TRUE(), IF(F365=Constants!$B$3, FALSE(), TRUE())))</f>
        <v/>
      </c>
      <c r="W365" s="87" t="str">
        <f aca="false">IF(ISBLANK($C365),"",IF(G365=Constants!$B$15,Constants!$B$8,IF(G365=Constants!$B$16,Constants!$B$9,Constants!$B$10)))</f>
        <v/>
      </c>
      <c r="X365" s="87" t="str">
        <f aca="false">IF(ISBLANK($C365),"",IF(H365=Constants!$B$2, TRUE(), IF(H365=Constants!$B$3, FALSE(), TRUE())))</f>
        <v/>
      </c>
      <c r="Y365" s="87" t="str">
        <f aca="false">IF(ISBLANK($C365),"",IF(I365=Constants!$B$19,Constants!$B$19,Constants!$B$18))</f>
        <v/>
      </c>
      <c r="Z365" s="87" t="str">
        <f aca="false">IF(ISBLANK($C365),"",IF(ISNUMBER(J365),IF(J365&gt;=0,J365,""),""))</f>
        <v/>
      </c>
      <c r="AA365" s="87" t="str">
        <f aca="false">IF(ISBLANK($C365),"",IF(K365=Constants!$B$19,Constants!$B$19,Constants!$B$18))</f>
        <v/>
      </c>
      <c r="AB365" s="87" t="str">
        <f aca="false">IF(ISBLANK($C365),"",IF(ISNUMBER(L365),IF(L365&gt;=0,L365,""),""))</f>
        <v/>
      </c>
      <c r="AC365" s="87" t="str">
        <f aca="false">IF(ISBLANK($C365),"",IF(M365=Constants!$B$19,Constants!$B$19,Constants!$B$18))</f>
        <v/>
      </c>
      <c r="AD365" s="87" t="str">
        <f aca="false">IF(ISBLANK($C365),"",IF(ISNUMBER(N365),IF(N365&gt;=0,N365,""),""))</f>
        <v/>
      </c>
      <c r="AE365" s="87" t="str">
        <f aca="false">IF(ISBLANK($C365),"",IF(O365=Constants!$B$19,Constants!$B$19,Constants!$B$18))</f>
        <v/>
      </c>
      <c r="AF365" s="87" t="str">
        <f aca="false">IF(ISBLANK($C365),"",IF(ISNUMBER(P365),IF(P365&gt;=0,P365,""),""))</f>
        <v/>
      </c>
      <c r="AG365" s="87" t="str">
        <f aca="false">IF(ISBLANK($C365),"",IF(Q365=Constants!$B$19,Constants!$B$19,Constants!$B$18))</f>
        <v/>
      </c>
      <c r="AH365" s="87" t="str">
        <f aca="false">IF(ISBLANK($C365),"",IF(ISNUMBER(R365),IF(R365&gt;=0,R365,""),""))</f>
        <v/>
      </c>
      <c r="AI365" s="87" t="str">
        <f aca="false">IF(ISBLANK($C365),"",IF(S365=Constants!$B$2, TRUE(), IF(S365=Constants!$B$3, FALSE(), FALSE())))</f>
        <v/>
      </c>
      <c r="AJ365" s="87" t="str">
        <f aca="false">IF(ISBLANK($C365),"",IF(AI365,Constants!$B$4,IF(COUNTA(E365:R365)=0,Constants!$B$5,IF(COUNTA(J365,L365,N365,P365,R365)=0,Constants!$B$6,Constants!$B$7))))</f>
        <v/>
      </c>
      <c r="AK365" s="87" t="str">
        <f aca="false">IF(ISBLANK($C365),"",IF($AJ365&lt;&gt;Constants!$B$7,$AJ365,IF(OR(NOT(X365),AND(NOT(U365),COUNTIFS(Y365:AG365,Constants!$B$18,Z365:AH365,"&gt;=0")&gt;0),AND(NOT(V365),COUNTIFS(Y365:AG365,Constants!$B$19,Z365:AH365,"&gt;=0")&gt;0)),Constants!$B$12,Constants!$B$11)))</f>
        <v/>
      </c>
      <c r="AL365" s="87" t="str">
        <f aca="false">IF($AJ365=Constants!$B$7,IF(Z365="",Constants!$B$13,Z365),"")</f>
        <v/>
      </c>
      <c r="AM365" s="87" t="str">
        <f aca="false">IF($AJ365=Constants!$B$7,IF(AB365="",Constants!$B$13,AB365),"")</f>
        <v/>
      </c>
      <c r="AN365" s="87" t="str">
        <f aca="false">IF($AJ365=Constants!$B$7,IF(AD365="",Constants!$B$13,AD365),"")</f>
        <v/>
      </c>
      <c r="AO365" s="87" t="str">
        <f aca="false">IF($AJ365=Constants!$B$7,IF(AF365="",Constants!$B$13,AF365),"")</f>
        <v/>
      </c>
      <c r="AP365" s="87" t="str">
        <f aca="false">IF($AJ365=Constants!$B$7,IF(AH365="",Constants!$B$13,AH365),"")</f>
        <v/>
      </c>
      <c r="AQ365" s="87" t="str">
        <f aca="false">IF($AJ365=Constants!$B$7,IF(SUMPRODUCT(--($AL365:$AP365&gt;AL365))+SUMPRODUCT(--($AL365:AL365=AL365))=1,1,IF(SUMPRODUCT(--($AL365:$AP365&gt;AM365))+SUMPRODUCT(--($AL365:AM365=AM365))=1,2,IF(SUMPRODUCT(--($AL365:$AP365&gt;AN365))+SUMPRODUCT(--($AL365:AN365=AN365))=1,3,IF(SUMPRODUCT(--($AL365:$AP365&gt;AO365))+SUMPRODUCT(--($AL365:AO365=AO365))=1,4,5)))),"")</f>
        <v/>
      </c>
      <c r="AR365" s="87" t="str">
        <f aca="false">IF($AJ365=Constants!$B$7,IF(SUMPRODUCT(--($AL365:$AP365&gt;AL365))+SUMPRODUCT(--($AL365:AL365=AL365))=2,1,IF(SUMPRODUCT(--($AL365:$AP365&gt;AM365))+SUMPRODUCT(--($AL365:AM365=AM365))=2,2,IF(SUMPRODUCT(--($AL365:$AP365&gt;AN365))+SUMPRODUCT(--($AL365:AN365=AN365))=2,3,IF(SUMPRODUCT(--($AL365:$AP365&gt;AO365))+SUMPRODUCT(--($AL365:AO365=AO365))=2,4,5)))),"")</f>
        <v/>
      </c>
      <c r="AS365" s="87" t="str">
        <f aca="false">IF($AJ365=Constants!$B$7,IF(SUMPRODUCT(--($AL365:$AP365&gt;AL365))+SUMPRODUCT(--($AL365:AL365=AL365))=3,1,IF(SUMPRODUCT(--($AL365:$AP365&gt;AM365))+SUMPRODUCT(--($AL365:AM365=AM365))=3,2,IF(SUMPRODUCT(--($AL365:$AP365&gt;AN365))+SUMPRODUCT(--($AL365:AN365=AN365))=3,3,IF(SUMPRODUCT(--($AL365:$AP365&gt;AO365))+SUMPRODUCT(--($AL365:AO365=AO365))=3,4,5)))),"")</f>
        <v/>
      </c>
      <c r="AT365" s="87" t="str">
        <f aca="false">IF($AJ365=Constants!$B$7,LARGE(AL365:AP365,1)+LARGE(AL365:AP365,2)+LARGE(AL365:AP365,3),"")</f>
        <v/>
      </c>
      <c r="AU365" s="87" t="str">
        <f aca="false">IF(ISBLANK($C365),"",IF($AJ365&lt;&gt;Constants!$B$7,$AJ365,AT365*W365))</f>
        <v/>
      </c>
      <c r="AV365" s="87" t="str">
        <f aca="false">IF(ISBLANK($C365),"",IF($AJ365=Constants!$B$7,IF(ISNUMBER(AU365),RANK(AU365,$AU$8:$AU$507),Constants!$B$14),$AJ365))</f>
        <v/>
      </c>
      <c r="AW365" s="87" t="str">
        <f aca="false">IF(ISBLANK($C365),"",IF($AJ365=Constants!$B$7,IF(ISNUMBER(AV365),COUNTIFS($AK$8:$AK$507,"&lt;"&amp;$AK365)+COUNTIFS($AK$8:$AK$507,$AK365,$AV$8:$AV$507,"&lt;"&amp;$AV365)+1,Constants!$B$14),$AJ365))</f>
        <v/>
      </c>
      <c r="AX365" s="87" t="str">
        <f aca="false">IF(ISBLANK($C365),"",IF($AJ365=Constants!$B$7,LARGE(AL365:AP365,4)*W365,""))</f>
        <v/>
      </c>
      <c r="AY365" s="87" t="str">
        <f aca="false">IF(ISBLANK($C365),"",IF($AJ365=Constants!$B$7,RANK(AX365,$AX$8:$AX$507),$AJ365))</f>
        <v/>
      </c>
      <c r="AZ365" s="87" t="str">
        <f aca="false">IF(ISBLANK($C365),"",IF($AJ365=Constants!$B$7,IF(ISNUMBER(AV365),COUNTIFS($AK$8:$AK$507,"&lt;"&amp;$AK365)+COUNTIFS($AK$8:$AK$507,$AK365,$AV$8:$AV$507,"&lt;"&amp;$AV365)+COUNTIFS($AK$8:$AK$507,$AK365,$AV$8:$AV$507,$AV365,$AY$8:$AY$507,"&lt;"&amp;$AY365)+1,Constants!$B$14),$AJ365))</f>
        <v/>
      </c>
      <c r="BA365" s="87" t="str">
        <f aca="false">IF(ISBLANK($C365),"",IF($AJ365=Constants!$B$7,IF(ISNUMBER(AW365),AW365-AZ365,Constants!$B$14),$AJ365))</f>
        <v/>
      </c>
      <c r="BB365" s="88"/>
      <c r="BC365" s="89" t="str">
        <f aca="false">IF(ISBLANK($C365),"",IF($AJ365&lt;&gt;Constants!$B$7,$AJ365,SMALL(AQ365:AS365,1)&amp;", "&amp;SMALL(AQ365:AS365,2)&amp;", "&amp;SMALL(AQ365:AS365,3)))</f>
        <v/>
      </c>
      <c r="BD365" s="90" t="str">
        <f aca="false">IF(ISBLANK($C365),"",IF($AJ365&lt;&gt;Constants!$B$7,$AJ365,W365))</f>
        <v/>
      </c>
      <c r="BE365" s="91" t="str">
        <f aca="false">IF(ISBLANK($C365),"",IF($AJ365&lt;&gt;Constants!$B$7,$AJ365,AU365))</f>
        <v/>
      </c>
      <c r="BF365" s="92" t="str">
        <f aca="false">IF(ISBLANK($C365),"",IF($AJ365&lt;&gt;Constants!$B$7,$AJ365,AK365))</f>
        <v/>
      </c>
      <c r="BG365" s="90" t="str">
        <f aca="false">IF(ISBLANK($C365),"",BA365)</f>
        <v/>
      </c>
      <c r="BH365" s="90" t="str">
        <f aca="false">IF(ISBLANK($C365),"",AZ365)</f>
        <v/>
      </c>
      <c r="BI365" s="93" t="str">
        <f aca="false">IF(ISBLANK($C365),"",IF(BH365=Constants!$B$4,COUNTA($C$8:$C$507)+2,IF(BH365=Constants!$B$5,COUNTA($C$8:$C$507)+1,IF(BH365=Constants!$B$6,COUNTA($C$8:$C$507),BH365))))</f>
        <v/>
      </c>
      <c r="BJ365" s="5"/>
      <c r="BK365" s="94" t="n">
        <f aca="false">IF(OR(ISNUMBER(BH365),BH365=Constants!$B$4,BH365=Constants!$B$6,BH365=Constants!$B$5),1,0)</f>
        <v>0</v>
      </c>
      <c r="BL365" s="94" t="n">
        <v>358</v>
      </c>
      <c r="BM365" s="94" t="str">
        <f aca="false">IF(ISBLANK($C365),"",IF(ISNUMBER(BI365),BI365+ROW($B365)/1000,""))</f>
        <v/>
      </c>
      <c r="BN365" s="94" t="str">
        <f aca="false">IF(ISNUMBER(BM365),RANK(BM365,$BM$8:$BM$507,1),"")</f>
        <v/>
      </c>
      <c r="BO365" s="94" t="str">
        <f aca="false">IF(ISBLANK($C365),"",$B365)</f>
        <v/>
      </c>
      <c r="BP365" s="94" t="str">
        <f aca="false">IF(ISBLANK($C365),"",$C365)</f>
        <v/>
      </c>
      <c r="BQ365" s="94" t="str">
        <f aca="false">IF(ISBLANK($C365),"",$D365)</f>
        <v/>
      </c>
      <c r="BR365" s="95" t="str">
        <f aca="false">BF365</f>
        <v/>
      </c>
      <c r="BS365" s="96" t="str">
        <f aca="false">BE365</f>
        <v/>
      </c>
      <c r="BT365" s="94" t="str">
        <f aca="false">IF(ISBLANK($C365),"",BH365)</f>
        <v/>
      </c>
      <c r="BU365" s="97" t="str">
        <f aca="false">IF($BL365&gt;$BK$7,"",VLOOKUP($BL365,$BN$8:$BT$507,7,FALSE()))</f>
        <v/>
      </c>
      <c r="BV365" s="98" t="str">
        <f aca="false">IF($BL365&gt;$BK$7,"",VLOOKUP($BL365,$BN$8:$BT$507,2,FALSE()))</f>
        <v/>
      </c>
      <c r="BW365" s="98" t="str">
        <f aca="false">IF($BL365&gt;$BK$7,"",VLOOKUP($BL365,$BN$8:$BT$507,3,FALSE()))</f>
        <v/>
      </c>
      <c r="BX365" s="98" t="str">
        <f aca="false">IF($BL365&gt;$BK$7,"",VLOOKUP($BL365,$BN$8:$BT$507,4,FALSE()))</f>
        <v/>
      </c>
      <c r="BY365" s="98" t="str">
        <f aca="false">IF($BL365&gt;$BK$7,"",VLOOKUP($BL365,$BN$8:$BT$507,5,FALSE()))</f>
        <v/>
      </c>
      <c r="BZ365" s="99" t="str">
        <f aca="false">IF($BL365&gt;$BK$7,"",VLOOKUP($BL365,$BN$8:$BT$507,6,FALSE()))</f>
        <v/>
      </c>
      <c r="CA365" s="48"/>
    </row>
    <row r="366" customFormat="false" ht="15.75" hidden="false" customHeight="false" outlineLevel="0" collapsed="false">
      <c r="A366" s="5"/>
      <c r="B366" s="114"/>
      <c r="C366" s="115"/>
      <c r="D366" s="100"/>
      <c r="E366" s="120"/>
      <c r="F366" s="125"/>
      <c r="G366" s="82"/>
      <c r="H366" s="126"/>
      <c r="I366" s="127"/>
      <c r="J366" s="82"/>
      <c r="K366" s="126"/>
      <c r="L366" s="82"/>
      <c r="M366" s="126"/>
      <c r="N366" s="82"/>
      <c r="O366" s="126"/>
      <c r="P366" s="82"/>
      <c r="Q366" s="126"/>
      <c r="R366" s="82"/>
      <c r="S366" s="120"/>
      <c r="T366" s="86"/>
      <c r="U366" s="87" t="str">
        <f aca="false">IF(ISBLANK($C366),"",IF(E366=Constants!$B$2, TRUE(), IF(E366=Constants!$B$3, FALSE(), TRUE())))</f>
        <v/>
      </c>
      <c r="V366" s="87" t="str">
        <f aca="false">IF(ISBLANK($C366),"",IF(F366=Constants!$B$2, TRUE(), IF(F366=Constants!$B$3, FALSE(), TRUE())))</f>
        <v/>
      </c>
      <c r="W366" s="87" t="str">
        <f aca="false">IF(ISBLANK($C366),"",IF(G366=Constants!$B$15,Constants!$B$8,IF(G366=Constants!$B$16,Constants!$B$9,Constants!$B$10)))</f>
        <v/>
      </c>
      <c r="X366" s="87" t="str">
        <f aca="false">IF(ISBLANK($C366),"",IF(H366=Constants!$B$2, TRUE(), IF(H366=Constants!$B$3, FALSE(), TRUE())))</f>
        <v/>
      </c>
      <c r="Y366" s="87" t="str">
        <f aca="false">IF(ISBLANK($C366),"",IF(I366=Constants!$B$19,Constants!$B$19,Constants!$B$18))</f>
        <v/>
      </c>
      <c r="Z366" s="87" t="str">
        <f aca="false">IF(ISBLANK($C366),"",IF(ISNUMBER(J366),IF(J366&gt;=0,J366,""),""))</f>
        <v/>
      </c>
      <c r="AA366" s="87" t="str">
        <f aca="false">IF(ISBLANK($C366),"",IF(K366=Constants!$B$19,Constants!$B$19,Constants!$B$18))</f>
        <v/>
      </c>
      <c r="AB366" s="87" t="str">
        <f aca="false">IF(ISBLANK($C366),"",IF(ISNUMBER(L366),IF(L366&gt;=0,L366,""),""))</f>
        <v/>
      </c>
      <c r="AC366" s="87" t="str">
        <f aca="false">IF(ISBLANK($C366),"",IF(M366=Constants!$B$19,Constants!$B$19,Constants!$B$18))</f>
        <v/>
      </c>
      <c r="AD366" s="87" t="str">
        <f aca="false">IF(ISBLANK($C366),"",IF(ISNUMBER(N366),IF(N366&gt;=0,N366,""),""))</f>
        <v/>
      </c>
      <c r="AE366" s="87" t="str">
        <f aca="false">IF(ISBLANK($C366),"",IF(O366=Constants!$B$19,Constants!$B$19,Constants!$B$18))</f>
        <v/>
      </c>
      <c r="AF366" s="87" t="str">
        <f aca="false">IF(ISBLANK($C366),"",IF(ISNUMBER(P366),IF(P366&gt;=0,P366,""),""))</f>
        <v/>
      </c>
      <c r="AG366" s="87" t="str">
        <f aca="false">IF(ISBLANK($C366),"",IF(Q366=Constants!$B$19,Constants!$B$19,Constants!$B$18))</f>
        <v/>
      </c>
      <c r="AH366" s="87" t="str">
        <f aca="false">IF(ISBLANK($C366),"",IF(ISNUMBER(R366),IF(R366&gt;=0,R366,""),""))</f>
        <v/>
      </c>
      <c r="AI366" s="87" t="str">
        <f aca="false">IF(ISBLANK($C366),"",IF(S366=Constants!$B$2, TRUE(), IF(S366=Constants!$B$3, FALSE(), FALSE())))</f>
        <v/>
      </c>
      <c r="AJ366" s="87" t="str">
        <f aca="false">IF(ISBLANK($C366),"",IF(AI366,Constants!$B$4,IF(COUNTA(E366:R366)=0,Constants!$B$5,IF(COUNTA(J366,L366,N366,P366,R366)=0,Constants!$B$6,Constants!$B$7))))</f>
        <v/>
      </c>
      <c r="AK366" s="87" t="str">
        <f aca="false">IF(ISBLANK($C366),"",IF($AJ366&lt;&gt;Constants!$B$7,$AJ366,IF(OR(NOT(X366),AND(NOT(U366),COUNTIFS(Y366:AG366,Constants!$B$18,Z366:AH366,"&gt;=0")&gt;0),AND(NOT(V366),COUNTIFS(Y366:AG366,Constants!$B$19,Z366:AH366,"&gt;=0")&gt;0)),Constants!$B$12,Constants!$B$11)))</f>
        <v/>
      </c>
      <c r="AL366" s="87" t="str">
        <f aca="false">IF($AJ366=Constants!$B$7,IF(Z366="",Constants!$B$13,Z366),"")</f>
        <v/>
      </c>
      <c r="AM366" s="87" t="str">
        <f aca="false">IF($AJ366=Constants!$B$7,IF(AB366="",Constants!$B$13,AB366),"")</f>
        <v/>
      </c>
      <c r="AN366" s="87" t="str">
        <f aca="false">IF($AJ366=Constants!$B$7,IF(AD366="",Constants!$B$13,AD366),"")</f>
        <v/>
      </c>
      <c r="AO366" s="87" t="str">
        <f aca="false">IF($AJ366=Constants!$B$7,IF(AF366="",Constants!$B$13,AF366),"")</f>
        <v/>
      </c>
      <c r="AP366" s="87" t="str">
        <f aca="false">IF($AJ366=Constants!$B$7,IF(AH366="",Constants!$B$13,AH366),"")</f>
        <v/>
      </c>
      <c r="AQ366" s="87" t="str">
        <f aca="false">IF($AJ366=Constants!$B$7,IF(SUMPRODUCT(--($AL366:$AP366&gt;AL366))+SUMPRODUCT(--($AL366:AL366=AL366))=1,1,IF(SUMPRODUCT(--($AL366:$AP366&gt;AM366))+SUMPRODUCT(--($AL366:AM366=AM366))=1,2,IF(SUMPRODUCT(--($AL366:$AP366&gt;AN366))+SUMPRODUCT(--($AL366:AN366=AN366))=1,3,IF(SUMPRODUCT(--($AL366:$AP366&gt;AO366))+SUMPRODUCT(--($AL366:AO366=AO366))=1,4,5)))),"")</f>
        <v/>
      </c>
      <c r="AR366" s="87" t="str">
        <f aca="false">IF($AJ366=Constants!$B$7,IF(SUMPRODUCT(--($AL366:$AP366&gt;AL366))+SUMPRODUCT(--($AL366:AL366=AL366))=2,1,IF(SUMPRODUCT(--($AL366:$AP366&gt;AM366))+SUMPRODUCT(--($AL366:AM366=AM366))=2,2,IF(SUMPRODUCT(--($AL366:$AP366&gt;AN366))+SUMPRODUCT(--($AL366:AN366=AN366))=2,3,IF(SUMPRODUCT(--($AL366:$AP366&gt;AO366))+SUMPRODUCT(--($AL366:AO366=AO366))=2,4,5)))),"")</f>
        <v/>
      </c>
      <c r="AS366" s="87" t="str">
        <f aca="false">IF($AJ366=Constants!$B$7,IF(SUMPRODUCT(--($AL366:$AP366&gt;AL366))+SUMPRODUCT(--($AL366:AL366=AL366))=3,1,IF(SUMPRODUCT(--($AL366:$AP366&gt;AM366))+SUMPRODUCT(--($AL366:AM366=AM366))=3,2,IF(SUMPRODUCT(--($AL366:$AP366&gt;AN366))+SUMPRODUCT(--($AL366:AN366=AN366))=3,3,IF(SUMPRODUCT(--($AL366:$AP366&gt;AO366))+SUMPRODUCT(--($AL366:AO366=AO366))=3,4,5)))),"")</f>
        <v/>
      </c>
      <c r="AT366" s="87" t="str">
        <f aca="false">IF($AJ366=Constants!$B$7,LARGE(AL366:AP366,1)+LARGE(AL366:AP366,2)+LARGE(AL366:AP366,3),"")</f>
        <v/>
      </c>
      <c r="AU366" s="87" t="str">
        <f aca="false">IF(ISBLANK($C366),"",IF($AJ366&lt;&gt;Constants!$B$7,$AJ366,AT366*W366))</f>
        <v/>
      </c>
      <c r="AV366" s="87" t="str">
        <f aca="false">IF(ISBLANK($C366),"",IF($AJ366=Constants!$B$7,IF(ISNUMBER(AU366),RANK(AU366,$AU$8:$AU$507),Constants!$B$14),$AJ366))</f>
        <v/>
      </c>
      <c r="AW366" s="87" t="str">
        <f aca="false">IF(ISBLANK($C366),"",IF($AJ366=Constants!$B$7,IF(ISNUMBER(AV366),COUNTIFS($AK$8:$AK$507,"&lt;"&amp;$AK366)+COUNTIFS($AK$8:$AK$507,$AK366,$AV$8:$AV$507,"&lt;"&amp;$AV366)+1,Constants!$B$14),$AJ366))</f>
        <v/>
      </c>
      <c r="AX366" s="87" t="str">
        <f aca="false">IF(ISBLANK($C366),"",IF($AJ366=Constants!$B$7,LARGE(AL366:AP366,4)*W366,""))</f>
        <v/>
      </c>
      <c r="AY366" s="87" t="str">
        <f aca="false">IF(ISBLANK($C366),"",IF($AJ366=Constants!$B$7,RANK(AX366,$AX$8:$AX$507),$AJ366))</f>
        <v/>
      </c>
      <c r="AZ366" s="87" t="str">
        <f aca="false">IF(ISBLANK($C366),"",IF($AJ366=Constants!$B$7,IF(ISNUMBER(AV366),COUNTIFS($AK$8:$AK$507,"&lt;"&amp;$AK366)+COUNTIFS($AK$8:$AK$507,$AK366,$AV$8:$AV$507,"&lt;"&amp;$AV366)+COUNTIFS($AK$8:$AK$507,$AK366,$AV$8:$AV$507,$AV366,$AY$8:$AY$507,"&lt;"&amp;$AY366)+1,Constants!$B$14),$AJ366))</f>
        <v/>
      </c>
      <c r="BA366" s="87" t="str">
        <f aca="false">IF(ISBLANK($C366),"",IF($AJ366=Constants!$B$7,IF(ISNUMBER(AW366),AW366-AZ366,Constants!$B$14),$AJ366))</f>
        <v/>
      </c>
      <c r="BB366" s="88"/>
      <c r="BC366" s="89" t="str">
        <f aca="false">IF(ISBLANK($C366),"",IF($AJ366&lt;&gt;Constants!$B$7,$AJ366,SMALL(AQ366:AS366,1)&amp;", "&amp;SMALL(AQ366:AS366,2)&amp;", "&amp;SMALL(AQ366:AS366,3)))</f>
        <v/>
      </c>
      <c r="BD366" s="90" t="str">
        <f aca="false">IF(ISBLANK($C366),"",IF($AJ366&lt;&gt;Constants!$B$7,$AJ366,W366))</f>
        <v/>
      </c>
      <c r="BE366" s="91" t="str">
        <f aca="false">IF(ISBLANK($C366),"",IF($AJ366&lt;&gt;Constants!$B$7,$AJ366,AU366))</f>
        <v/>
      </c>
      <c r="BF366" s="92" t="str">
        <f aca="false">IF(ISBLANK($C366),"",IF($AJ366&lt;&gt;Constants!$B$7,$AJ366,AK366))</f>
        <v/>
      </c>
      <c r="BG366" s="90" t="str">
        <f aca="false">IF(ISBLANK($C366),"",BA366)</f>
        <v/>
      </c>
      <c r="BH366" s="90" t="str">
        <f aca="false">IF(ISBLANK($C366),"",AZ366)</f>
        <v/>
      </c>
      <c r="BI366" s="93" t="str">
        <f aca="false">IF(ISBLANK($C366),"",IF(BH366=Constants!$B$4,COUNTA($C$8:$C$507)+2,IF(BH366=Constants!$B$5,COUNTA($C$8:$C$507)+1,IF(BH366=Constants!$B$6,COUNTA($C$8:$C$507),BH366))))</f>
        <v/>
      </c>
      <c r="BJ366" s="5"/>
      <c r="BK366" s="94" t="n">
        <f aca="false">IF(OR(ISNUMBER(BH366),BH366=Constants!$B$4,BH366=Constants!$B$6,BH366=Constants!$B$5),1,0)</f>
        <v>0</v>
      </c>
      <c r="BL366" s="94" t="n">
        <v>359</v>
      </c>
      <c r="BM366" s="94" t="str">
        <f aca="false">IF(ISBLANK($C366),"",IF(ISNUMBER(BI366),BI366+ROW($B366)/1000,""))</f>
        <v/>
      </c>
      <c r="BN366" s="94" t="str">
        <f aca="false">IF(ISNUMBER(BM366),RANK(BM366,$BM$8:$BM$507,1),"")</f>
        <v/>
      </c>
      <c r="BO366" s="94" t="str">
        <f aca="false">IF(ISBLANK($C366),"",$B366)</f>
        <v/>
      </c>
      <c r="BP366" s="94" t="str">
        <f aca="false">IF(ISBLANK($C366),"",$C366)</f>
        <v/>
      </c>
      <c r="BQ366" s="94" t="str">
        <f aca="false">IF(ISBLANK($C366),"",$D366)</f>
        <v/>
      </c>
      <c r="BR366" s="95" t="str">
        <f aca="false">BF366</f>
        <v/>
      </c>
      <c r="BS366" s="96" t="str">
        <f aca="false">BE366</f>
        <v/>
      </c>
      <c r="BT366" s="94" t="str">
        <f aca="false">IF(ISBLANK($C366),"",BH366)</f>
        <v/>
      </c>
      <c r="BU366" s="97" t="str">
        <f aca="false">IF($BL366&gt;$BK$7,"",VLOOKUP($BL366,$BN$8:$BT$507,7,FALSE()))</f>
        <v/>
      </c>
      <c r="BV366" s="98" t="str">
        <f aca="false">IF($BL366&gt;$BK$7,"",VLOOKUP($BL366,$BN$8:$BT$507,2,FALSE()))</f>
        <v/>
      </c>
      <c r="BW366" s="98" t="str">
        <f aca="false">IF($BL366&gt;$BK$7,"",VLOOKUP($BL366,$BN$8:$BT$507,3,FALSE()))</f>
        <v/>
      </c>
      <c r="BX366" s="98" t="str">
        <f aca="false">IF($BL366&gt;$BK$7,"",VLOOKUP($BL366,$BN$8:$BT$507,4,FALSE()))</f>
        <v/>
      </c>
      <c r="BY366" s="98" t="str">
        <f aca="false">IF($BL366&gt;$BK$7,"",VLOOKUP($BL366,$BN$8:$BT$507,5,FALSE()))</f>
        <v/>
      </c>
      <c r="BZ366" s="99" t="str">
        <f aca="false">IF($BL366&gt;$BK$7,"",VLOOKUP($BL366,$BN$8:$BT$507,6,FALSE()))</f>
        <v/>
      </c>
      <c r="CA366" s="48"/>
    </row>
    <row r="367" customFormat="false" ht="15.75" hidden="false" customHeight="false" outlineLevel="0" collapsed="false">
      <c r="A367" s="5"/>
      <c r="B367" s="114"/>
      <c r="C367" s="115"/>
      <c r="D367" s="100"/>
      <c r="E367" s="120"/>
      <c r="F367" s="125"/>
      <c r="G367" s="82"/>
      <c r="H367" s="126"/>
      <c r="I367" s="127"/>
      <c r="J367" s="82"/>
      <c r="K367" s="126"/>
      <c r="L367" s="82"/>
      <c r="M367" s="126"/>
      <c r="N367" s="82"/>
      <c r="O367" s="126"/>
      <c r="P367" s="82"/>
      <c r="Q367" s="126"/>
      <c r="R367" s="82"/>
      <c r="S367" s="120"/>
      <c r="T367" s="86"/>
      <c r="U367" s="87" t="str">
        <f aca="false">IF(ISBLANK($C367),"",IF(E367=Constants!$B$2, TRUE(), IF(E367=Constants!$B$3, FALSE(), TRUE())))</f>
        <v/>
      </c>
      <c r="V367" s="87" t="str">
        <f aca="false">IF(ISBLANK($C367),"",IF(F367=Constants!$B$2, TRUE(), IF(F367=Constants!$B$3, FALSE(), TRUE())))</f>
        <v/>
      </c>
      <c r="W367" s="87" t="str">
        <f aca="false">IF(ISBLANK($C367),"",IF(G367=Constants!$B$15,Constants!$B$8,IF(G367=Constants!$B$16,Constants!$B$9,Constants!$B$10)))</f>
        <v/>
      </c>
      <c r="X367" s="87" t="str">
        <f aca="false">IF(ISBLANK($C367),"",IF(H367=Constants!$B$2, TRUE(), IF(H367=Constants!$B$3, FALSE(), TRUE())))</f>
        <v/>
      </c>
      <c r="Y367" s="87" t="str">
        <f aca="false">IF(ISBLANK($C367),"",IF(I367=Constants!$B$19,Constants!$B$19,Constants!$B$18))</f>
        <v/>
      </c>
      <c r="Z367" s="87" t="str">
        <f aca="false">IF(ISBLANK($C367),"",IF(ISNUMBER(J367),IF(J367&gt;=0,J367,""),""))</f>
        <v/>
      </c>
      <c r="AA367" s="87" t="str">
        <f aca="false">IF(ISBLANK($C367),"",IF(K367=Constants!$B$19,Constants!$B$19,Constants!$B$18))</f>
        <v/>
      </c>
      <c r="AB367" s="87" t="str">
        <f aca="false">IF(ISBLANK($C367),"",IF(ISNUMBER(L367),IF(L367&gt;=0,L367,""),""))</f>
        <v/>
      </c>
      <c r="AC367" s="87" t="str">
        <f aca="false">IF(ISBLANK($C367),"",IF(M367=Constants!$B$19,Constants!$B$19,Constants!$B$18))</f>
        <v/>
      </c>
      <c r="AD367" s="87" t="str">
        <f aca="false">IF(ISBLANK($C367),"",IF(ISNUMBER(N367),IF(N367&gt;=0,N367,""),""))</f>
        <v/>
      </c>
      <c r="AE367" s="87" t="str">
        <f aca="false">IF(ISBLANK($C367),"",IF(O367=Constants!$B$19,Constants!$B$19,Constants!$B$18))</f>
        <v/>
      </c>
      <c r="AF367" s="87" t="str">
        <f aca="false">IF(ISBLANK($C367),"",IF(ISNUMBER(P367),IF(P367&gt;=0,P367,""),""))</f>
        <v/>
      </c>
      <c r="AG367" s="87" t="str">
        <f aca="false">IF(ISBLANK($C367),"",IF(Q367=Constants!$B$19,Constants!$B$19,Constants!$B$18))</f>
        <v/>
      </c>
      <c r="AH367" s="87" t="str">
        <f aca="false">IF(ISBLANK($C367),"",IF(ISNUMBER(R367),IF(R367&gt;=0,R367,""),""))</f>
        <v/>
      </c>
      <c r="AI367" s="87" t="str">
        <f aca="false">IF(ISBLANK($C367),"",IF(S367=Constants!$B$2, TRUE(), IF(S367=Constants!$B$3, FALSE(), FALSE())))</f>
        <v/>
      </c>
      <c r="AJ367" s="87" t="str">
        <f aca="false">IF(ISBLANK($C367),"",IF(AI367,Constants!$B$4,IF(COUNTA(E367:R367)=0,Constants!$B$5,IF(COUNTA(J367,L367,N367,P367,R367)=0,Constants!$B$6,Constants!$B$7))))</f>
        <v/>
      </c>
      <c r="AK367" s="87" t="str">
        <f aca="false">IF(ISBLANK($C367),"",IF($AJ367&lt;&gt;Constants!$B$7,$AJ367,IF(OR(NOT(X367),AND(NOT(U367),COUNTIFS(Y367:AG367,Constants!$B$18,Z367:AH367,"&gt;=0")&gt;0),AND(NOT(V367),COUNTIFS(Y367:AG367,Constants!$B$19,Z367:AH367,"&gt;=0")&gt;0)),Constants!$B$12,Constants!$B$11)))</f>
        <v/>
      </c>
      <c r="AL367" s="87" t="str">
        <f aca="false">IF($AJ367=Constants!$B$7,IF(Z367="",Constants!$B$13,Z367),"")</f>
        <v/>
      </c>
      <c r="AM367" s="87" t="str">
        <f aca="false">IF($AJ367=Constants!$B$7,IF(AB367="",Constants!$B$13,AB367),"")</f>
        <v/>
      </c>
      <c r="AN367" s="87" t="str">
        <f aca="false">IF($AJ367=Constants!$B$7,IF(AD367="",Constants!$B$13,AD367),"")</f>
        <v/>
      </c>
      <c r="AO367" s="87" t="str">
        <f aca="false">IF($AJ367=Constants!$B$7,IF(AF367="",Constants!$B$13,AF367),"")</f>
        <v/>
      </c>
      <c r="AP367" s="87" t="str">
        <f aca="false">IF($AJ367=Constants!$B$7,IF(AH367="",Constants!$B$13,AH367),"")</f>
        <v/>
      </c>
      <c r="AQ367" s="87" t="str">
        <f aca="false">IF($AJ367=Constants!$B$7,IF(SUMPRODUCT(--($AL367:$AP367&gt;AL367))+SUMPRODUCT(--($AL367:AL367=AL367))=1,1,IF(SUMPRODUCT(--($AL367:$AP367&gt;AM367))+SUMPRODUCT(--($AL367:AM367=AM367))=1,2,IF(SUMPRODUCT(--($AL367:$AP367&gt;AN367))+SUMPRODUCT(--($AL367:AN367=AN367))=1,3,IF(SUMPRODUCT(--($AL367:$AP367&gt;AO367))+SUMPRODUCT(--($AL367:AO367=AO367))=1,4,5)))),"")</f>
        <v/>
      </c>
      <c r="AR367" s="87" t="str">
        <f aca="false">IF($AJ367=Constants!$B$7,IF(SUMPRODUCT(--($AL367:$AP367&gt;AL367))+SUMPRODUCT(--($AL367:AL367=AL367))=2,1,IF(SUMPRODUCT(--($AL367:$AP367&gt;AM367))+SUMPRODUCT(--($AL367:AM367=AM367))=2,2,IF(SUMPRODUCT(--($AL367:$AP367&gt;AN367))+SUMPRODUCT(--($AL367:AN367=AN367))=2,3,IF(SUMPRODUCT(--($AL367:$AP367&gt;AO367))+SUMPRODUCT(--($AL367:AO367=AO367))=2,4,5)))),"")</f>
        <v/>
      </c>
      <c r="AS367" s="87" t="str">
        <f aca="false">IF($AJ367=Constants!$B$7,IF(SUMPRODUCT(--($AL367:$AP367&gt;AL367))+SUMPRODUCT(--($AL367:AL367=AL367))=3,1,IF(SUMPRODUCT(--($AL367:$AP367&gt;AM367))+SUMPRODUCT(--($AL367:AM367=AM367))=3,2,IF(SUMPRODUCT(--($AL367:$AP367&gt;AN367))+SUMPRODUCT(--($AL367:AN367=AN367))=3,3,IF(SUMPRODUCT(--($AL367:$AP367&gt;AO367))+SUMPRODUCT(--($AL367:AO367=AO367))=3,4,5)))),"")</f>
        <v/>
      </c>
      <c r="AT367" s="87" t="str">
        <f aca="false">IF($AJ367=Constants!$B$7,LARGE(AL367:AP367,1)+LARGE(AL367:AP367,2)+LARGE(AL367:AP367,3),"")</f>
        <v/>
      </c>
      <c r="AU367" s="87" t="str">
        <f aca="false">IF(ISBLANK($C367),"",IF($AJ367&lt;&gt;Constants!$B$7,$AJ367,AT367*W367))</f>
        <v/>
      </c>
      <c r="AV367" s="87" t="str">
        <f aca="false">IF(ISBLANK($C367),"",IF($AJ367=Constants!$B$7,IF(ISNUMBER(AU367),RANK(AU367,$AU$8:$AU$507),Constants!$B$14),$AJ367))</f>
        <v/>
      </c>
      <c r="AW367" s="87" t="str">
        <f aca="false">IF(ISBLANK($C367),"",IF($AJ367=Constants!$B$7,IF(ISNUMBER(AV367),COUNTIFS($AK$8:$AK$507,"&lt;"&amp;$AK367)+COUNTIFS($AK$8:$AK$507,$AK367,$AV$8:$AV$507,"&lt;"&amp;$AV367)+1,Constants!$B$14),$AJ367))</f>
        <v/>
      </c>
      <c r="AX367" s="87" t="str">
        <f aca="false">IF(ISBLANK($C367),"",IF($AJ367=Constants!$B$7,LARGE(AL367:AP367,4)*W367,""))</f>
        <v/>
      </c>
      <c r="AY367" s="87" t="str">
        <f aca="false">IF(ISBLANK($C367),"",IF($AJ367=Constants!$B$7,RANK(AX367,$AX$8:$AX$507),$AJ367))</f>
        <v/>
      </c>
      <c r="AZ367" s="87" t="str">
        <f aca="false">IF(ISBLANK($C367),"",IF($AJ367=Constants!$B$7,IF(ISNUMBER(AV367),COUNTIFS($AK$8:$AK$507,"&lt;"&amp;$AK367)+COUNTIFS($AK$8:$AK$507,$AK367,$AV$8:$AV$507,"&lt;"&amp;$AV367)+COUNTIFS($AK$8:$AK$507,$AK367,$AV$8:$AV$507,$AV367,$AY$8:$AY$507,"&lt;"&amp;$AY367)+1,Constants!$B$14),$AJ367))</f>
        <v/>
      </c>
      <c r="BA367" s="87" t="str">
        <f aca="false">IF(ISBLANK($C367),"",IF($AJ367=Constants!$B$7,IF(ISNUMBER(AW367),AW367-AZ367,Constants!$B$14),$AJ367))</f>
        <v/>
      </c>
      <c r="BB367" s="88"/>
      <c r="BC367" s="89" t="str">
        <f aca="false">IF(ISBLANK($C367),"",IF($AJ367&lt;&gt;Constants!$B$7,$AJ367,SMALL(AQ367:AS367,1)&amp;", "&amp;SMALL(AQ367:AS367,2)&amp;", "&amp;SMALL(AQ367:AS367,3)))</f>
        <v/>
      </c>
      <c r="BD367" s="90" t="str">
        <f aca="false">IF(ISBLANK($C367),"",IF($AJ367&lt;&gt;Constants!$B$7,$AJ367,W367))</f>
        <v/>
      </c>
      <c r="BE367" s="91" t="str">
        <f aca="false">IF(ISBLANK($C367),"",IF($AJ367&lt;&gt;Constants!$B$7,$AJ367,AU367))</f>
        <v/>
      </c>
      <c r="BF367" s="92" t="str">
        <f aca="false">IF(ISBLANK($C367),"",IF($AJ367&lt;&gt;Constants!$B$7,$AJ367,AK367))</f>
        <v/>
      </c>
      <c r="BG367" s="90" t="str">
        <f aca="false">IF(ISBLANK($C367),"",BA367)</f>
        <v/>
      </c>
      <c r="BH367" s="90" t="str">
        <f aca="false">IF(ISBLANK($C367),"",AZ367)</f>
        <v/>
      </c>
      <c r="BI367" s="93" t="str">
        <f aca="false">IF(ISBLANK($C367),"",IF(BH367=Constants!$B$4,COUNTA($C$8:$C$507)+2,IF(BH367=Constants!$B$5,COUNTA($C$8:$C$507)+1,IF(BH367=Constants!$B$6,COUNTA($C$8:$C$507),BH367))))</f>
        <v/>
      </c>
      <c r="BJ367" s="5"/>
      <c r="BK367" s="94" t="n">
        <f aca="false">IF(OR(ISNUMBER(BH367),BH367=Constants!$B$4,BH367=Constants!$B$6,BH367=Constants!$B$5),1,0)</f>
        <v>0</v>
      </c>
      <c r="BL367" s="94" t="n">
        <v>360</v>
      </c>
      <c r="BM367" s="94" t="str">
        <f aca="false">IF(ISBLANK($C367),"",IF(ISNUMBER(BI367),BI367+ROW($B367)/1000,""))</f>
        <v/>
      </c>
      <c r="BN367" s="94" t="str">
        <f aca="false">IF(ISNUMBER(BM367),RANK(BM367,$BM$8:$BM$507,1),"")</f>
        <v/>
      </c>
      <c r="BO367" s="94" t="str">
        <f aca="false">IF(ISBLANK($C367),"",$B367)</f>
        <v/>
      </c>
      <c r="BP367" s="94" t="str">
        <f aca="false">IF(ISBLANK($C367),"",$C367)</f>
        <v/>
      </c>
      <c r="BQ367" s="94" t="str">
        <f aca="false">IF(ISBLANK($C367),"",$D367)</f>
        <v/>
      </c>
      <c r="BR367" s="95" t="str">
        <f aca="false">BF367</f>
        <v/>
      </c>
      <c r="BS367" s="96" t="str">
        <f aca="false">BE367</f>
        <v/>
      </c>
      <c r="BT367" s="94" t="str">
        <f aca="false">IF(ISBLANK($C367),"",BH367)</f>
        <v/>
      </c>
      <c r="BU367" s="97" t="str">
        <f aca="false">IF($BL367&gt;$BK$7,"",VLOOKUP($BL367,$BN$8:$BT$507,7,FALSE()))</f>
        <v/>
      </c>
      <c r="BV367" s="98" t="str">
        <f aca="false">IF($BL367&gt;$BK$7,"",VLOOKUP($BL367,$BN$8:$BT$507,2,FALSE()))</f>
        <v/>
      </c>
      <c r="BW367" s="98" t="str">
        <f aca="false">IF($BL367&gt;$BK$7,"",VLOOKUP($BL367,$BN$8:$BT$507,3,FALSE()))</f>
        <v/>
      </c>
      <c r="BX367" s="98" t="str">
        <f aca="false">IF($BL367&gt;$BK$7,"",VLOOKUP($BL367,$BN$8:$BT$507,4,FALSE()))</f>
        <v/>
      </c>
      <c r="BY367" s="98" t="str">
        <f aca="false">IF($BL367&gt;$BK$7,"",VLOOKUP($BL367,$BN$8:$BT$507,5,FALSE()))</f>
        <v/>
      </c>
      <c r="BZ367" s="99" t="str">
        <f aca="false">IF($BL367&gt;$BK$7,"",VLOOKUP($BL367,$BN$8:$BT$507,6,FALSE()))</f>
        <v/>
      </c>
      <c r="CA367" s="48"/>
    </row>
    <row r="368" customFormat="false" ht="15.75" hidden="false" customHeight="false" outlineLevel="0" collapsed="false">
      <c r="A368" s="5"/>
      <c r="B368" s="121"/>
      <c r="C368" s="50"/>
      <c r="D368" s="51"/>
      <c r="E368" s="74"/>
      <c r="F368" s="122"/>
      <c r="G368" s="54"/>
      <c r="H368" s="123"/>
      <c r="I368" s="124"/>
      <c r="J368" s="54"/>
      <c r="K368" s="123"/>
      <c r="L368" s="54"/>
      <c r="M368" s="123"/>
      <c r="N368" s="54"/>
      <c r="O368" s="123"/>
      <c r="P368" s="54"/>
      <c r="Q368" s="123"/>
      <c r="R368" s="54"/>
      <c r="S368" s="74"/>
      <c r="T368" s="58"/>
      <c r="U368" s="59" t="str">
        <f aca="false">IF(ISBLANK($C368),"",IF(E368=Constants!$B$2, TRUE(), IF(E368=Constants!$B$3, FALSE(), TRUE())))</f>
        <v/>
      </c>
      <c r="V368" s="59" t="str">
        <f aca="false">IF(ISBLANK($C368),"",IF(F368=Constants!$B$2, TRUE(), IF(F368=Constants!$B$3, FALSE(), TRUE())))</f>
        <v/>
      </c>
      <c r="W368" s="59" t="str">
        <f aca="false">IF(ISBLANK($C368),"",IF(G368=Constants!$B$15,Constants!$B$8,IF(G368=Constants!$B$16,Constants!$B$9,Constants!$B$10)))</f>
        <v/>
      </c>
      <c r="X368" s="59" t="str">
        <f aca="false">IF(ISBLANK($C368),"",IF(H368=Constants!$B$2, TRUE(), IF(H368=Constants!$B$3, FALSE(), TRUE())))</f>
        <v/>
      </c>
      <c r="Y368" s="59" t="str">
        <f aca="false">IF(ISBLANK($C368),"",IF(I368=Constants!$B$19,Constants!$B$19,Constants!$B$18))</f>
        <v/>
      </c>
      <c r="Z368" s="59" t="str">
        <f aca="false">IF(ISBLANK($C368),"",IF(ISNUMBER(J368),IF(J368&gt;=0,J368,""),""))</f>
        <v/>
      </c>
      <c r="AA368" s="59" t="str">
        <f aca="false">IF(ISBLANK($C368),"",IF(K368=Constants!$B$19,Constants!$B$19,Constants!$B$18))</f>
        <v/>
      </c>
      <c r="AB368" s="59" t="str">
        <f aca="false">IF(ISBLANK($C368),"",IF(ISNUMBER(L368),IF(L368&gt;=0,L368,""),""))</f>
        <v/>
      </c>
      <c r="AC368" s="59" t="str">
        <f aca="false">IF(ISBLANK($C368),"",IF(M368=Constants!$B$19,Constants!$B$19,Constants!$B$18))</f>
        <v/>
      </c>
      <c r="AD368" s="59" t="str">
        <f aca="false">IF(ISBLANK($C368),"",IF(ISNUMBER(N368),IF(N368&gt;=0,N368,""),""))</f>
        <v/>
      </c>
      <c r="AE368" s="59" t="str">
        <f aca="false">IF(ISBLANK($C368),"",IF(O368=Constants!$B$19,Constants!$B$19,Constants!$B$18))</f>
        <v/>
      </c>
      <c r="AF368" s="59" t="str">
        <f aca="false">IF(ISBLANK($C368),"",IF(ISNUMBER(P368),IF(P368&gt;=0,P368,""),""))</f>
        <v/>
      </c>
      <c r="AG368" s="59" t="str">
        <f aca="false">IF(ISBLANK($C368),"",IF(Q368=Constants!$B$19,Constants!$B$19,Constants!$B$18))</f>
        <v/>
      </c>
      <c r="AH368" s="59" t="str">
        <f aca="false">IF(ISBLANK($C368),"",IF(ISNUMBER(R368),IF(R368&gt;=0,R368,""),""))</f>
        <v/>
      </c>
      <c r="AI368" s="59" t="str">
        <f aca="false">IF(ISBLANK($C368),"",IF(S368=Constants!$B$2, TRUE(), IF(S368=Constants!$B$3, FALSE(), FALSE())))</f>
        <v/>
      </c>
      <c r="AJ368" s="59" t="str">
        <f aca="false">IF(ISBLANK($C368),"",IF(AI368,Constants!$B$4,IF(COUNTA(E368:R368)=0,Constants!$B$5,IF(COUNTA(J368,L368,N368,P368,R368)=0,Constants!$B$6,Constants!$B$7))))</f>
        <v/>
      </c>
      <c r="AK368" s="59" t="str">
        <f aca="false">IF(ISBLANK($C368),"",IF($AJ368&lt;&gt;Constants!$B$7,$AJ368,IF(OR(NOT(X368),AND(NOT(U368),COUNTIFS(Y368:AG368,Constants!$B$18,Z368:AH368,"&gt;=0")&gt;0),AND(NOT(V368),COUNTIFS(Y368:AG368,Constants!$B$19,Z368:AH368,"&gt;=0")&gt;0)),Constants!$B$12,Constants!$B$11)))</f>
        <v/>
      </c>
      <c r="AL368" s="59" t="str">
        <f aca="false">IF($AJ368=Constants!$B$7,IF(Z368="",Constants!$B$13,Z368),"")</f>
        <v/>
      </c>
      <c r="AM368" s="59" t="str">
        <f aca="false">IF($AJ368=Constants!$B$7,IF(AB368="",Constants!$B$13,AB368),"")</f>
        <v/>
      </c>
      <c r="AN368" s="59" t="str">
        <f aca="false">IF($AJ368=Constants!$B$7,IF(AD368="",Constants!$B$13,AD368),"")</f>
        <v/>
      </c>
      <c r="AO368" s="59" t="str">
        <f aca="false">IF($AJ368=Constants!$B$7,IF(AF368="",Constants!$B$13,AF368),"")</f>
        <v/>
      </c>
      <c r="AP368" s="59" t="str">
        <f aca="false">IF($AJ368=Constants!$B$7,IF(AH368="",Constants!$B$13,AH368),"")</f>
        <v/>
      </c>
      <c r="AQ368" s="59" t="str">
        <f aca="false">IF($AJ368=Constants!$B$7,IF(SUMPRODUCT(--($AL368:$AP368&gt;AL368))+SUMPRODUCT(--($AL368:AL368=AL368))=1,1,IF(SUMPRODUCT(--($AL368:$AP368&gt;AM368))+SUMPRODUCT(--($AL368:AM368=AM368))=1,2,IF(SUMPRODUCT(--($AL368:$AP368&gt;AN368))+SUMPRODUCT(--($AL368:AN368=AN368))=1,3,IF(SUMPRODUCT(--($AL368:$AP368&gt;AO368))+SUMPRODUCT(--($AL368:AO368=AO368))=1,4,5)))),"")</f>
        <v/>
      </c>
      <c r="AR368" s="59" t="str">
        <f aca="false">IF($AJ368=Constants!$B$7,IF(SUMPRODUCT(--($AL368:$AP368&gt;AL368))+SUMPRODUCT(--($AL368:AL368=AL368))=2,1,IF(SUMPRODUCT(--($AL368:$AP368&gt;AM368))+SUMPRODUCT(--($AL368:AM368=AM368))=2,2,IF(SUMPRODUCT(--($AL368:$AP368&gt;AN368))+SUMPRODUCT(--($AL368:AN368=AN368))=2,3,IF(SUMPRODUCT(--($AL368:$AP368&gt;AO368))+SUMPRODUCT(--($AL368:AO368=AO368))=2,4,5)))),"")</f>
        <v/>
      </c>
      <c r="AS368" s="59" t="str">
        <f aca="false">IF($AJ368=Constants!$B$7,IF(SUMPRODUCT(--($AL368:$AP368&gt;AL368))+SUMPRODUCT(--($AL368:AL368=AL368))=3,1,IF(SUMPRODUCT(--($AL368:$AP368&gt;AM368))+SUMPRODUCT(--($AL368:AM368=AM368))=3,2,IF(SUMPRODUCT(--($AL368:$AP368&gt;AN368))+SUMPRODUCT(--($AL368:AN368=AN368))=3,3,IF(SUMPRODUCT(--($AL368:$AP368&gt;AO368))+SUMPRODUCT(--($AL368:AO368=AO368))=3,4,5)))),"")</f>
        <v/>
      </c>
      <c r="AT368" s="59" t="str">
        <f aca="false">IF($AJ368=Constants!$B$7,LARGE(AL368:AP368,1)+LARGE(AL368:AP368,2)+LARGE(AL368:AP368,3),"")</f>
        <v/>
      </c>
      <c r="AU368" s="59" t="str">
        <f aca="false">IF(ISBLANK($C368),"",IF($AJ368&lt;&gt;Constants!$B$7,$AJ368,AT368*W368))</f>
        <v/>
      </c>
      <c r="AV368" s="59" t="str">
        <f aca="false">IF(ISBLANK($C368),"",IF($AJ368=Constants!$B$7,IF(ISNUMBER(AU368),RANK(AU368,$AU$8:$AU$507),Constants!$B$14),$AJ368))</f>
        <v/>
      </c>
      <c r="AW368" s="59" t="str">
        <f aca="false">IF(ISBLANK($C368),"",IF($AJ368=Constants!$B$7,IF(ISNUMBER(AV368),COUNTIFS($AK$8:$AK$507,"&lt;"&amp;$AK368)+COUNTIFS($AK$8:$AK$507,$AK368,$AV$8:$AV$507,"&lt;"&amp;$AV368)+1,Constants!$B$14),$AJ368))</f>
        <v/>
      </c>
      <c r="AX368" s="59" t="str">
        <f aca="false">IF(ISBLANK($C368),"",IF($AJ368=Constants!$B$7,LARGE(AL368:AP368,4)*W368,""))</f>
        <v/>
      </c>
      <c r="AY368" s="59" t="str">
        <f aca="false">IF(ISBLANK($C368),"",IF($AJ368=Constants!$B$7,RANK(AX368,$AX$8:$AX$507),$AJ368))</f>
        <v/>
      </c>
      <c r="AZ368" s="59" t="str">
        <f aca="false">IF(ISBLANK($C368),"",IF($AJ368=Constants!$B$7,IF(ISNUMBER(AV368),COUNTIFS($AK$8:$AK$507,"&lt;"&amp;$AK368)+COUNTIFS($AK$8:$AK$507,$AK368,$AV$8:$AV$507,"&lt;"&amp;$AV368)+COUNTIFS($AK$8:$AK$507,$AK368,$AV$8:$AV$507,$AV368,$AY$8:$AY$507,"&lt;"&amp;$AY368)+1,Constants!$B$14),$AJ368))</f>
        <v/>
      </c>
      <c r="BA368" s="59" t="str">
        <f aca="false">IF(ISBLANK($C368),"",IF($AJ368=Constants!$B$7,IF(ISNUMBER(AW368),AW368-AZ368,Constants!$B$14),$AJ368))</f>
        <v/>
      </c>
      <c r="BB368" s="61"/>
      <c r="BC368" s="62" t="str">
        <f aca="false">IF(ISBLANK($C368),"",IF($AJ368&lt;&gt;Constants!$B$7,$AJ368,SMALL(AQ368:AS368,1)&amp;", "&amp;SMALL(AQ368:AS368,2)&amp;", "&amp;SMALL(AQ368:AS368,3)))</f>
        <v/>
      </c>
      <c r="BD368" s="63" t="str">
        <f aca="false">IF(ISBLANK($C368),"",IF($AJ368&lt;&gt;Constants!$B$7,$AJ368,W368))</f>
        <v/>
      </c>
      <c r="BE368" s="64" t="str">
        <f aca="false">IF(ISBLANK($C368),"",IF($AJ368&lt;&gt;Constants!$B$7,$AJ368,AU368))</f>
        <v/>
      </c>
      <c r="BF368" s="65" t="str">
        <f aca="false">IF(ISBLANK($C368),"",IF($AJ368&lt;&gt;Constants!$B$7,$AJ368,AK368))</f>
        <v/>
      </c>
      <c r="BG368" s="63" t="str">
        <f aca="false">IF(ISBLANK($C368),"",BA368)</f>
        <v/>
      </c>
      <c r="BH368" s="63" t="str">
        <f aca="false">IF(ISBLANK($C368),"",AZ368)</f>
        <v/>
      </c>
      <c r="BI368" s="66" t="str">
        <f aca="false">IF(ISBLANK($C368),"",IF(BH368=Constants!$B$4,COUNTA($C$8:$C$507)+2,IF(BH368=Constants!$B$5,COUNTA($C$8:$C$507)+1,IF(BH368=Constants!$B$6,COUNTA($C$8:$C$507),BH368))))</f>
        <v/>
      </c>
      <c r="BJ368" s="5"/>
      <c r="BK368" s="67" t="n">
        <f aca="false">IF(OR(ISNUMBER(BH368),BH368=Constants!$B$4,BH368=Constants!$B$6,BH368=Constants!$B$5),1,0)</f>
        <v>0</v>
      </c>
      <c r="BL368" s="67" t="n">
        <v>361</v>
      </c>
      <c r="BM368" s="67" t="str">
        <f aca="false">IF(ISBLANK($C368),"",IF(ISNUMBER(BI368),BI368+ROW($B368)/1000,""))</f>
        <v/>
      </c>
      <c r="BN368" s="67" t="str">
        <f aca="false">IF(ISNUMBER(BM368),RANK(BM368,$BM$8:$BM$507,1),"")</f>
        <v/>
      </c>
      <c r="BO368" s="67" t="str">
        <f aca="false">IF(ISBLANK($C368),"",$B368)</f>
        <v/>
      </c>
      <c r="BP368" s="67" t="str">
        <f aca="false">IF(ISBLANK($C368),"",$C368)</f>
        <v/>
      </c>
      <c r="BQ368" s="67" t="str">
        <f aca="false">IF(ISBLANK($C368),"",$D368)</f>
        <v/>
      </c>
      <c r="BR368" s="68" t="str">
        <f aca="false">BF368</f>
        <v/>
      </c>
      <c r="BS368" s="69" t="str">
        <f aca="false">BE368</f>
        <v/>
      </c>
      <c r="BT368" s="67" t="str">
        <f aca="false">IF(ISBLANK($C368),"",BH368)</f>
        <v/>
      </c>
      <c r="BU368" s="70" t="str">
        <f aca="false">IF($BL368&gt;$BK$7,"",VLOOKUP($BL368,$BN$8:$BT$507,7,FALSE()))</f>
        <v/>
      </c>
      <c r="BV368" s="71" t="str">
        <f aca="false">IF($BL368&gt;$BK$7,"",VLOOKUP($BL368,$BN$8:$BT$507,2,FALSE()))</f>
        <v/>
      </c>
      <c r="BW368" s="71" t="str">
        <f aca="false">IF($BL368&gt;$BK$7,"",VLOOKUP($BL368,$BN$8:$BT$507,3,FALSE()))</f>
        <v/>
      </c>
      <c r="BX368" s="71" t="str">
        <f aca="false">IF($BL368&gt;$BK$7,"",VLOOKUP($BL368,$BN$8:$BT$507,4,FALSE()))</f>
        <v/>
      </c>
      <c r="BY368" s="71" t="str">
        <f aca="false">IF($BL368&gt;$BK$7,"",VLOOKUP($BL368,$BN$8:$BT$507,5,FALSE()))</f>
        <v/>
      </c>
      <c r="BZ368" s="72" t="str">
        <f aca="false">IF($BL368&gt;$BK$7,"",VLOOKUP($BL368,$BN$8:$BT$507,6,FALSE()))</f>
        <v/>
      </c>
      <c r="CA368" s="48"/>
    </row>
    <row r="369" customFormat="false" ht="15.75" hidden="false" customHeight="false" outlineLevel="0" collapsed="false">
      <c r="A369" s="5"/>
      <c r="B369" s="121"/>
      <c r="C369" s="50"/>
      <c r="D369" s="51"/>
      <c r="E369" s="74"/>
      <c r="F369" s="122"/>
      <c r="G369" s="54"/>
      <c r="H369" s="123"/>
      <c r="I369" s="124"/>
      <c r="J369" s="54"/>
      <c r="K369" s="123"/>
      <c r="L369" s="54"/>
      <c r="M369" s="123"/>
      <c r="N369" s="54"/>
      <c r="O369" s="123"/>
      <c r="P369" s="54"/>
      <c r="Q369" s="123"/>
      <c r="R369" s="54"/>
      <c r="S369" s="74"/>
      <c r="T369" s="58"/>
      <c r="U369" s="59" t="str">
        <f aca="false">IF(ISBLANK($C369),"",IF(E369=Constants!$B$2, TRUE(), IF(E369=Constants!$B$3, FALSE(), TRUE())))</f>
        <v/>
      </c>
      <c r="V369" s="59" t="str">
        <f aca="false">IF(ISBLANK($C369),"",IF(F369=Constants!$B$2, TRUE(), IF(F369=Constants!$B$3, FALSE(), TRUE())))</f>
        <v/>
      </c>
      <c r="W369" s="59" t="str">
        <f aca="false">IF(ISBLANK($C369),"",IF(G369=Constants!$B$15,Constants!$B$8,IF(G369=Constants!$B$16,Constants!$B$9,Constants!$B$10)))</f>
        <v/>
      </c>
      <c r="X369" s="59" t="str">
        <f aca="false">IF(ISBLANK($C369),"",IF(H369=Constants!$B$2, TRUE(), IF(H369=Constants!$B$3, FALSE(), TRUE())))</f>
        <v/>
      </c>
      <c r="Y369" s="59" t="str">
        <f aca="false">IF(ISBLANK($C369),"",IF(I369=Constants!$B$19,Constants!$B$19,Constants!$B$18))</f>
        <v/>
      </c>
      <c r="Z369" s="59" t="str">
        <f aca="false">IF(ISBLANK($C369),"",IF(ISNUMBER(J369),IF(J369&gt;=0,J369,""),""))</f>
        <v/>
      </c>
      <c r="AA369" s="59" t="str">
        <f aca="false">IF(ISBLANK($C369),"",IF(K369=Constants!$B$19,Constants!$B$19,Constants!$B$18))</f>
        <v/>
      </c>
      <c r="AB369" s="59" t="str">
        <f aca="false">IF(ISBLANK($C369),"",IF(ISNUMBER(L369),IF(L369&gt;=0,L369,""),""))</f>
        <v/>
      </c>
      <c r="AC369" s="59" t="str">
        <f aca="false">IF(ISBLANK($C369),"",IF(M369=Constants!$B$19,Constants!$B$19,Constants!$B$18))</f>
        <v/>
      </c>
      <c r="AD369" s="59" t="str">
        <f aca="false">IF(ISBLANK($C369),"",IF(ISNUMBER(N369),IF(N369&gt;=0,N369,""),""))</f>
        <v/>
      </c>
      <c r="AE369" s="59" t="str">
        <f aca="false">IF(ISBLANK($C369),"",IF(O369=Constants!$B$19,Constants!$B$19,Constants!$B$18))</f>
        <v/>
      </c>
      <c r="AF369" s="59" t="str">
        <f aca="false">IF(ISBLANK($C369),"",IF(ISNUMBER(P369),IF(P369&gt;=0,P369,""),""))</f>
        <v/>
      </c>
      <c r="AG369" s="59" t="str">
        <f aca="false">IF(ISBLANK($C369),"",IF(Q369=Constants!$B$19,Constants!$B$19,Constants!$B$18))</f>
        <v/>
      </c>
      <c r="AH369" s="59" t="str">
        <f aca="false">IF(ISBLANK($C369),"",IF(ISNUMBER(R369),IF(R369&gt;=0,R369,""),""))</f>
        <v/>
      </c>
      <c r="AI369" s="59" t="str">
        <f aca="false">IF(ISBLANK($C369),"",IF(S369=Constants!$B$2, TRUE(), IF(S369=Constants!$B$3, FALSE(), FALSE())))</f>
        <v/>
      </c>
      <c r="AJ369" s="59" t="str">
        <f aca="false">IF(ISBLANK($C369),"",IF(AI369,Constants!$B$4,IF(COUNTA(E369:R369)=0,Constants!$B$5,IF(COUNTA(J369,L369,N369,P369,R369)=0,Constants!$B$6,Constants!$B$7))))</f>
        <v/>
      </c>
      <c r="AK369" s="59" t="str">
        <f aca="false">IF(ISBLANK($C369),"",IF($AJ369&lt;&gt;Constants!$B$7,$AJ369,IF(OR(NOT(X369),AND(NOT(U369),COUNTIFS(Y369:AG369,Constants!$B$18,Z369:AH369,"&gt;=0")&gt;0),AND(NOT(V369),COUNTIFS(Y369:AG369,Constants!$B$19,Z369:AH369,"&gt;=0")&gt;0)),Constants!$B$12,Constants!$B$11)))</f>
        <v/>
      </c>
      <c r="AL369" s="59" t="str">
        <f aca="false">IF($AJ369=Constants!$B$7,IF(Z369="",Constants!$B$13,Z369),"")</f>
        <v/>
      </c>
      <c r="AM369" s="59" t="str">
        <f aca="false">IF($AJ369=Constants!$B$7,IF(AB369="",Constants!$B$13,AB369),"")</f>
        <v/>
      </c>
      <c r="AN369" s="59" t="str">
        <f aca="false">IF($AJ369=Constants!$B$7,IF(AD369="",Constants!$B$13,AD369),"")</f>
        <v/>
      </c>
      <c r="AO369" s="59" t="str">
        <f aca="false">IF($AJ369=Constants!$B$7,IF(AF369="",Constants!$B$13,AF369),"")</f>
        <v/>
      </c>
      <c r="AP369" s="59" t="str">
        <f aca="false">IF($AJ369=Constants!$B$7,IF(AH369="",Constants!$B$13,AH369),"")</f>
        <v/>
      </c>
      <c r="AQ369" s="59" t="str">
        <f aca="false">IF($AJ369=Constants!$B$7,IF(SUMPRODUCT(--($AL369:$AP369&gt;AL369))+SUMPRODUCT(--($AL369:AL369=AL369))=1,1,IF(SUMPRODUCT(--($AL369:$AP369&gt;AM369))+SUMPRODUCT(--($AL369:AM369=AM369))=1,2,IF(SUMPRODUCT(--($AL369:$AP369&gt;AN369))+SUMPRODUCT(--($AL369:AN369=AN369))=1,3,IF(SUMPRODUCT(--($AL369:$AP369&gt;AO369))+SUMPRODUCT(--($AL369:AO369=AO369))=1,4,5)))),"")</f>
        <v/>
      </c>
      <c r="AR369" s="59" t="str">
        <f aca="false">IF($AJ369=Constants!$B$7,IF(SUMPRODUCT(--($AL369:$AP369&gt;AL369))+SUMPRODUCT(--($AL369:AL369=AL369))=2,1,IF(SUMPRODUCT(--($AL369:$AP369&gt;AM369))+SUMPRODUCT(--($AL369:AM369=AM369))=2,2,IF(SUMPRODUCT(--($AL369:$AP369&gt;AN369))+SUMPRODUCT(--($AL369:AN369=AN369))=2,3,IF(SUMPRODUCT(--($AL369:$AP369&gt;AO369))+SUMPRODUCT(--($AL369:AO369=AO369))=2,4,5)))),"")</f>
        <v/>
      </c>
      <c r="AS369" s="59" t="str">
        <f aca="false">IF($AJ369=Constants!$B$7,IF(SUMPRODUCT(--($AL369:$AP369&gt;AL369))+SUMPRODUCT(--($AL369:AL369=AL369))=3,1,IF(SUMPRODUCT(--($AL369:$AP369&gt;AM369))+SUMPRODUCT(--($AL369:AM369=AM369))=3,2,IF(SUMPRODUCT(--($AL369:$AP369&gt;AN369))+SUMPRODUCT(--($AL369:AN369=AN369))=3,3,IF(SUMPRODUCT(--($AL369:$AP369&gt;AO369))+SUMPRODUCT(--($AL369:AO369=AO369))=3,4,5)))),"")</f>
        <v/>
      </c>
      <c r="AT369" s="59" t="str">
        <f aca="false">IF($AJ369=Constants!$B$7,LARGE(AL369:AP369,1)+LARGE(AL369:AP369,2)+LARGE(AL369:AP369,3),"")</f>
        <v/>
      </c>
      <c r="AU369" s="59" t="str">
        <f aca="false">IF(ISBLANK($C369),"",IF($AJ369&lt;&gt;Constants!$B$7,$AJ369,AT369*W369))</f>
        <v/>
      </c>
      <c r="AV369" s="59" t="str">
        <f aca="false">IF(ISBLANK($C369),"",IF($AJ369=Constants!$B$7,IF(ISNUMBER(AU369),RANK(AU369,$AU$8:$AU$507),Constants!$B$14),$AJ369))</f>
        <v/>
      </c>
      <c r="AW369" s="59" t="str">
        <f aca="false">IF(ISBLANK($C369),"",IF($AJ369=Constants!$B$7,IF(ISNUMBER(AV369),COUNTIFS($AK$8:$AK$507,"&lt;"&amp;$AK369)+COUNTIFS($AK$8:$AK$507,$AK369,$AV$8:$AV$507,"&lt;"&amp;$AV369)+1,Constants!$B$14),$AJ369))</f>
        <v/>
      </c>
      <c r="AX369" s="59" t="str">
        <f aca="false">IF(ISBLANK($C369),"",IF($AJ369=Constants!$B$7,LARGE(AL369:AP369,4)*W369,""))</f>
        <v/>
      </c>
      <c r="AY369" s="59" t="str">
        <f aca="false">IF(ISBLANK($C369),"",IF($AJ369=Constants!$B$7,RANK(AX369,$AX$8:$AX$507),$AJ369))</f>
        <v/>
      </c>
      <c r="AZ369" s="59" t="str">
        <f aca="false">IF(ISBLANK($C369),"",IF($AJ369=Constants!$B$7,IF(ISNUMBER(AV369),COUNTIFS($AK$8:$AK$507,"&lt;"&amp;$AK369)+COUNTIFS($AK$8:$AK$507,$AK369,$AV$8:$AV$507,"&lt;"&amp;$AV369)+COUNTIFS($AK$8:$AK$507,$AK369,$AV$8:$AV$507,$AV369,$AY$8:$AY$507,"&lt;"&amp;$AY369)+1,Constants!$B$14),$AJ369))</f>
        <v/>
      </c>
      <c r="BA369" s="59" t="str">
        <f aca="false">IF(ISBLANK($C369),"",IF($AJ369=Constants!$B$7,IF(ISNUMBER(AW369),AW369-AZ369,Constants!$B$14),$AJ369))</f>
        <v/>
      </c>
      <c r="BB369" s="61"/>
      <c r="BC369" s="62" t="str">
        <f aca="false">IF(ISBLANK($C369),"",IF($AJ369&lt;&gt;Constants!$B$7,$AJ369,SMALL(AQ369:AS369,1)&amp;", "&amp;SMALL(AQ369:AS369,2)&amp;", "&amp;SMALL(AQ369:AS369,3)))</f>
        <v/>
      </c>
      <c r="BD369" s="63" t="str">
        <f aca="false">IF(ISBLANK($C369),"",IF($AJ369&lt;&gt;Constants!$B$7,$AJ369,W369))</f>
        <v/>
      </c>
      <c r="BE369" s="64" t="str">
        <f aca="false">IF(ISBLANK($C369),"",IF($AJ369&lt;&gt;Constants!$B$7,$AJ369,AU369))</f>
        <v/>
      </c>
      <c r="BF369" s="65" t="str">
        <f aca="false">IF(ISBLANK($C369),"",IF($AJ369&lt;&gt;Constants!$B$7,$AJ369,AK369))</f>
        <v/>
      </c>
      <c r="BG369" s="63" t="str">
        <f aca="false">IF(ISBLANK($C369),"",BA369)</f>
        <v/>
      </c>
      <c r="BH369" s="63" t="str">
        <f aca="false">IF(ISBLANK($C369),"",AZ369)</f>
        <v/>
      </c>
      <c r="BI369" s="66" t="str">
        <f aca="false">IF(ISBLANK($C369),"",IF(BH369=Constants!$B$4,COUNTA($C$8:$C$507)+2,IF(BH369=Constants!$B$5,COUNTA($C$8:$C$507)+1,IF(BH369=Constants!$B$6,COUNTA($C$8:$C$507),BH369))))</f>
        <v/>
      </c>
      <c r="BJ369" s="5"/>
      <c r="BK369" s="67" t="n">
        <f aca="false">IF(OR(ISNUMBER(BH369),BH369=Constants!$B$4,BH369=Constants!$B$6,BH369=Constants!$B$5),1,0)</f>
        <v>0</v>
      </c>
      <c r="BL369" s="67" t="n">
        <v>362</v>
      </c>
      <c r="BM369" s="67" t="str">
        <f aca="false">IF(ISBLANK($C369),"",IF(ISNUMBER(BI369),BI369+ROW($B369)/1000,""))</f>
        <v/>
      </c>
      <c r="BN369" s="67" t="str">
        <f aca="false">IF(ISNUMBER(BM369),RANK(BM369,$BM$8:$BM$507,1),"")</f>
        <v/>
      </c>
      <c r="BO369" s="67" t="str">
        <f aca="false">IF(ISBLANK($C369),"",$B369)</f>
        <v/>
      </c>
      <c r="BP369" s="67" t="str">
        <f aca="false">IF(ISBLANK($C369),"",$C369)</f>
        <v/>
      </c>
      <c r="BQ369" s="67" t="str">
        <f aca="false">IF(ISBLANK($C369),"",$D369)</f>
        <v/>
      </c>
      <c r="BR369" s="68" t="str">
        <f aca="false">BF369</f>
        <v/>
      </c>
      <c r="BS369" s="69" t="str">
        <f aca="false">BE369</f>
        <v/>
      </c>
      <c r="BT369" s="67" t="str">
        <f aca="false">IF(ISBLANK($C369),"",BH369)</f>
        <v/>
      </c>
      <c r="BU369" s="70" t="str">
        <f aca="false">IF($BL369&gt;$BK$7,"",VLOOKUP($BL369,$BN$8:$BT$507,7,FALSE()))</f>
        <v/>
      </c>
      <c r="BV369" s="71" t="str">
        <f aca="false">IF($BL369&gt;$BK$7,"",VLOOKUP($BL369,$BN$8:$BT$507,2,FALSE()))</f>
        <v/>
      </c>
      <c r="BW369" s="71" t="str">
        <f aca="false">IF($BL369&gt;$BK$7,"",VLOOKUP($BL369,$BN$8:$BT$507,3,FALSE()))</f>
        <v/>
      </c>
      <c r="BX369" s="71" t="str">
        <f aca="false">IF($BL369&gt;$BK$7,"",VLOOKUP($BL369,$BN$8:$BT$507,4,FALSE()))</f>
        <v/>
      </c>
      <c r="BY369" s="71" t="str">
        <f aca="false">IF($BL369&gt;$BK$7,"",VLOOKUP($BL369,$BN$8:$BT$507,5,FALSE()))</f>
        <v/>
      </c>
      <c r="BZ369" s="72" t="str">
        <f aca="false">IF($BL369&gt;$BK$7,"",VLOOKUP($BL369,$BN$8:$BT$507,6,FALSE()))</f>
        <v/>
      </c>
      <c r="CA369" s="48"/>
    </row>
    <row r="370" customFormat="false" ht="15.75" hidden="false" customHeight="false" outlineLevel="0" collapsed="false">
      <c r="A370" s="5"/>
      <c r="B370" s="121"/>
      <c r="C370" s="50"/>
      <c r="D370" s="51"/>
      <c r="E370" s="74"/>
      <c r="F370" s="122"/>
      <c r="G370" s="54"/>
      <c r="H370" s="123"/>
      <c r="I370" s="124"/>
      <c r="J370" s="54"/>
      <c r="K370" s="123"/>
      <c r="L370" s="54"/>
      <c r="M370" s="123"/>
      <c r="N370" s="54"/>
      <c r="O370" s="123"/>
      <c r="P370" s="54"/>
      <c r="Q370" s="123"/>
      <c r="R370" s="54"/>
      <c r="S370" s="74"/>
      <c r="T370" s="58"/>
      <c r="U370" s="59" t="str">
        <f aca="false">IF(ISBLANK($C370),"",IF(E370=Constants!$B$2, TRUE(), IF(E370=Constants!$B$3, FALSE(), TRUE())))</f>
        <v/>
      </c>
      <c r="V370" s="59" t="str">
        <f aca="false">IF(ISBLANK($C370),"",IF(F370=Constants!$B$2, TRUE(), IF(F370=Constants!$B$3, FALSE(), TRUE())))</f>
        <v/>
      </c>
      <c r="W370" s="59" t="str">
        <f aca="false">IF(ISBLANK($C370),"",IF(G370=Constants!$B$15,Constants!$B$8,IF(G370=Constants!$B$16,Constants!$B$9,Constants!$B$10)))</f>
        <v/>
      </c>
      <c r="X370" s="59" t="str">
        <f aca="false">IF(ISBLANK($C370),"",IF(H370=Constants!$B$2, TRUE(), IF(H370=Constants!$B$3, FALSE(), TRUE())))</f>
        <v/>
      </c>
      <c r="Y370" s="59" t="str">
        <f aca="false">IF(ISBLANK($C370),"",IF(I370=Constants!$B$19,Constants!$B$19,Constants!$B$18))</f>
        <v/>
      </c>
      <c r="Z370" s="59" t="str">
        <f aca="false">IF(ISBLANK($C370),"",IF(ISNUMBER(J370),IF(J370&gt;=0,J370,""),""))</f>
        <v/>
      </c>
      <c r="AA370" s="59" t="str">
        <f aca="false">IF(ISBLANK($C370),"",IF(K370=Constants!$B$19,Constants!$B$19,Constants!$B$18))</f>
        <v/>
      </c>
      <c r="AB370" s="59" t="str">
        <f aca="false">IF(ISBLANK($C370),"",IF(ISNUMBER(L370),IF(L370&gt;=0,L370,""),""))</f>
        <v/>
      </c>
      <c r="AC370" s="59" t="str">
        <f aca="false">IF(ISBLANK($C370),"",IF(M370=Constants!$B$19,Constants!$B$19,Constants!$B$18))</f>
        <v/>
      </c>
      <c r="AD370" s="59" t="str">
        <f aca="false">IF(ISBLANK($C370),"",IF(ISNUMBER(N370),IF(N370&gt;=0,N370,""),""))</f>
        <v/>
      </c>
      <c r="AE370" s="59" t="str">
        <f aca="false">IF(ISBLANK($C370),"",IF(O370=Constants!$B$19,Constants!$B$19,Constants!$B$18))</f>
        <v/>
      </c>
      <c r="AF370" s="59" t="str">
        <f aca="false">IF(ISBLANK($C370),"",IF(ISNUMBER(P370),IF(P370&gt;=0,P370,""),""))</f>
        <v/>
      </c>
      <c r="AG370" s="59" t="str">
        <f aca="false">IF(ISBLANK($C370),"",IF(Q370=Constants!$B$19,Constants!$B$19,Constants!$B$18))</f>
        <v/>
      </c>
      <c r="AH370" s="59" t="str">
        <f aca="false">IF(ISBLANK($C370),"",IF(ISNUMBER(R370),IF(R370&gt;=0,R370,""),""))</f>
        <v/>
      </c>
      <c r="AI370" s="59" t="str">
        <f aca="false">IF(ISBLANK($C370),"",IF(S370=Constants!$B$2, TRUE(), IF(S370=Constants!$B$3, FALSE(), FALSE())))</f>
        <v/>
      </c>
      <c r="AJ370" s="59" t="str">
        <f aca="false">IF(ISBLANK($C370),"",IF(AI370,Constants!$B$4,IF(COUNTA(E370:R370)=0,Constants!$B$5,IF(COUNTA(J370,L370,N370,P370,R370)=0,Constants!$B$6,Constants!$B$7))))</f>
        <v/>
      </c>
      <c r="AK370" s="59" t="str">
        <f aca="false">IF(ISBLANK($C370),"",IF($AJ370&lt;&gt;Constants!$B$7,$AJ370,IF(OR(NOT(X370),AND(NOT(U370),COUNTIFS(Y370:AG370,Constants!$B$18,Z370:AH370,"&gt;=0")&gt;0),AND(NOT(V370),COUNTIFS(Y370:AG370,Constants!$B$19,Z370:AH370,"&gt;=0")&gt;0)),Constants!$B$12,Constants!$B$11)))</f>
        <v/>
      </c>
      <c r="AL370" s="59" t="str">
        <f aca="false">IF($AJ370=Constants!$B$7,IF(Z370="",Constants!$B$13,Z370),"")</f>
        <v/>
      </c>
      <c r="AM370" s="59" t="str">
        <f aca="false">IF($AJ370=Constants!$B$7,IF(AB370="",Constants!$B$13,AB370),"")</f>
        <v/>
      </c>
      <c r="AN370" s="59" t="str">
        <f aca="false">IF($AJ370=Constants!$B$7,IF(AD370="",Constants!$B$13,AD370),"")</f>
        <v/>
      </c>
      <c r="AO370" s="59" t="str">
        <f aca="false">IF($AJ370=Constants!$B$7,IF(AF370="",Constants!$B$13,AF370),"")</f>
        <v/>
      </c>
      <c r="AP370" s="59" t="str">
        <f aca="false">IF($AJ370=Constants!$B$7,IF(AH370="",Constants!$B$13,AH370),"")</f>
        <v/>
      </c>
      <c r="AQ370" s="59" t="str">
        <f aca="false">IF($AJ370=Constants!$B$7,IF(SUMPRODUCT(--($AL370:$AP370&gt;AL370))+SUMPRODUCT(--($AL370:AL370=AL370))=1,1,IF(SUMPRODUCT(--($AL370:$AP370&gt;AM370))+SUMPRODUCT(--($AL370:AM370=AM370))=1,2,IF(SUMPRODUCT(--($AL370:$AP370&gt;AN370))+SUMPRODUCT(--($AL370:AN370=AN370))=1,3,IF(SUMPRODUCT(--($AL370:$AP370&gt;AO370))+SUMPRODUCT(--($AL370:AO370=AO370))=1,4,5)))),"")</f>
        <v/>
      </c>
      <c r="AR370" s="59" t="str">
        <f aca="false">IF($AJ370=Constants!$B$7,IF(SUMPRODUCT(--($AL370:$AP370&gt;AL370))+SUMPRODUCT(--($AL370:AL370=AL370))=2,1,IF(SUMPRODUCT(--($AL370:$AP370&gt;AM370))+SUMPRODUCT(--($AL370:AM370=AM370))=2,2,IF(SUMPRODUCT(--($AL370:$AP370&gt;AN370))+SUMPRODUCT(--($AL370:AN370=AN370))=2,3,IF(SUMPRODUCT(--($AL370:$AP370&gt;AO370))+SUMPRODUCT(--($AL370:AO370=AO370))=2,4,5)))),"")</f>
        <v/>
      </c>
      <c r="AS370" s="59" t="str">
        <f aca="false">IF($AJ370=Constants!$B$7,IF(SUMPRODUCT(--($AL370:$AP370&gt;AL370))+SUMPRODUCT(--($AL370:AL370=AL370))=3,1,IF(SUMPRODUCT(--($AL370:$AP370&gt;AM370))+SUMPRODUCT(--($AL370:AM370=AM370))=3,2,IF(SUMPRODUCT(--($AL370:$AP370&gt;AN370))+SUMPRODUCT(--($AL370:AN370=AN370))=3,3,IF(SUMPRODUCT(--($AL370:$AP370&gt;AO370))+SUMPRODUCT(--($AL370:AO370=AO370))=3,4,5)))),"")</f>
        <v/>
      </c>
      <c r="AT370" s="59" t="str">
        <f aca="false">IF($AJ370=Constants!$B$7,LARGE(AL370:AP370,1)+LARGE(AL370:AP370,2)+LARGE(AL370:AP370,3),"")</f>
        <v/>
      </c>
      <c r="AU370" s="59" t="str">
        <f aca="false">IF(ISBLANK($C370),"",IF($AJ370&lt;&gt;Constants!$B$7,$AJ370,AT370*W370))</f>
        <v/>
      </c>
      <c r="AV370" s="59" t="str">
        <f aca="false">IF(ISBLANK($C370),"",IF($AJ370=Constants!$B$7,IF(ISNUMBER(AU370),RANK(AU370,$AU$8:$AU$507),Constants!$B$14),$AJ370))</f>
        <v/>
      </c>
      <c r="AW370" s="59" t="str">
        <f aca="false">IF(ISBLANK($C370),"",IF($AJ370=Constants!$B$7,IF(ISNUMBER(AV370),COUNTIFS($AK$8:$AK$507,"&lt;"&amp;$AK370)+COUNTIFS($AK$8:$AK$507,$AK370,$AV$8:$AV$507,"&lt;"&amp;$AV370)+1,Constants!$B$14),$AJ370))</f>
        <v/>
      </c>
      <c r="AX370" s="59" t="str">
        <f aca="false">IF(ISBLANK($C370),"",IF($AJ370=Constants!$B$7,LARGE(AL370:AP370,4)*W370,""))</f>
        <v/>
      </c>
      <c r="AY370" s="59" t="str">
        <f aca="false">IF(ISBLANK($C370),"",IF($AJ370=Constants!$B$7,RANK(AX370,$AX$8:$AX$507),$AJ370))</f>
        <v/>
      </c>
      <c r="AZ370" s="59" t="str">
        <f aca="false">IF(ISBLANK($C370),"",IF($AJ370=Constants!$B$7,IF(ISNUMBER(AV370),COUNTIFS($AK$8:$AK$507,"&lt;"&amp;$AK370)+COUNTIFS($AK$8:$AK$507,$AK370,$AV$8:$AV$507,"&lt;"&amp;$AV370)+COUNTIFS($AK$8:$AK$507,$AK370,$AV$8:$AV$507,$AV370,$AY$8:$AY$507,"&lt;"&amp;$AY370)+1,Constants!$B$14),$AJ370))</f>
        <v/>
      </c>
      <c r="BA370" s="59" t="str">
        <f aca="false">IF(ISBLANK($C370),"",IF($AJ370=Constants!$B$7,IF(ISNUMBER(AW370),AW370-AZ370,Constants!$B$14),$AJ370))</f>
        <v/>
      </c>
      <c r="BB370" s="61"/>
      <c r="BC370" s="62" t="str">
        <f aca="false">IF(ISBLANK($C370),"",IF($AJ370&lt;&gt;Constants!$B$7,$AJ370,SMALL(AQ370:AS370,1)&amp;", "&amp;SMALL(AQ370:AS370,2)&amp;", "&amp;SMALL(AQ370:AS370,3)))</f>
        <v/>
      </c>
      <c r="BD370" s="63" t="str">
        <f aca="false">IF(ISBLANK($C370),"",IF($AJ370&lt;&gt;Constants!$B$7,$AJ370,W370))</f>
        <v/>
      </c>
      <c r="BE370" s="64" t="str">
        <f aca="false">IF(ISBLANK($C370),"",IF($AJ370&lt;&gt;Constants!$B$7,$AJ370,AU370))</f>
        <v/>
      </c>
      <c r="BF370" s="65" t="str">
        <f aca="false">IF(ISBLANK($C370),"",IF($AJ370&lt;&gt;Constants!$B$7,$AJ370,AK370))</f>
        <v/>
      </c>
      <c r="BG370" s="63" t="str">
        <f aca="false">IF(ISBLANK($C370),"",BA370)</f>
        <v/>
      </c>
      <c r="BH370" s="63" t="str">
        <f aca="false">IF(ISBLANK($C370),"",AZ370)</f>
        <v/>
      </c>
      <c r="BI370" s="66" t="str">
        <f aca="false">IF(ISBLANK($C370),"",IF(BH370=Constants!$B$4,COUNTA($C$8:$C$507)+2,IF(BH370=Constants!$B$5,COUNTA($C$8:$C$507)+1,IF(BH370=Constants!$B$6,COUNTA($C$8:$C$507),BH370))))</f>
        <v/>
      </c>
      <c r="BJ370" s="5"/>
      <c r="BK370" s="67" t="n">
        <f aca="false">IF(OR(ISNUMBER(BH370),BH370=Constants!$B$4,BH370=Constants!$B$6,BH370=Constants!$B$5),1,0)</f>
        <v>0</v>
      </c>
      <c r="BL370" s="67" t="n">
        <v>363</v>
      </c>
      <c r="BM370" s="67" t="str">
        <f aca="false">IF(ISBLANK($C370),"",IF(ISNUMBER(BI370),BI370+ROW($B370)/1000,""))</f>
        <v/>
      </c>
      <c r="BN370" s="67" t="str">
        <f aca="false">IF(ISNUMBER(BM370),RANK(BM370,$BM$8:$BM$507,1),"")</f>
        <v/>
      </c>
      <c r="BO370" s="67" t="str">
        <f aca="false">IF(ISBLANK($C370),"",$B370)</f>
        <v/>
      </c>
      <c r="BP370" s="67" t="str">
        <f aca="false">IF(ISBLANK($C370),"",$C370)</f>
        <v/>
      </c>
      <c r="BQ370" s="67" t="str">
        <f aca="false">IF(ISBLANK($C370),"",$D370)</f>
        <v/>
      </c>
      <c r="BR370" s="68" t="str">
        <f aca="false">BF370</f>
        <v/>
      </c>
      <c r="BS370" s="69" t="str">
        <f aca="false">BE370</f>
        <v/>
      </c>
      <c r="BT370" s="67" t="str">
        <f aca="false">IF(ISBLANK($C370),"",BH370)</f>
        <v/>
      </c>
      <c r="BU370" s="70" t="str">
        <f aca="false">IF($BL370&gt;$BK$7,"",VLOOKUP($BL370,$BN$8:$BT$507,7,FALSE()))</f>
        <v/>
      </c>
      <c r="BV370" s="71" t="str">
        <f aca="false">IF($BL370&gt;$BK$7,"",VLOOKUP($BL370,$BN$8:$BT$507,2,FALSE()))</f>
        <v/>
      </c>
      <c r="BW370" s="71" t="str">
        <f aca="false">IF($BL370&gt;$BK$7,"",VLOOKUP($BL370,$BN$8:$BT$507,3,FALSE()))</f>
        <v/>
      </c>
      <c r="BX370" s="71" t="str">
        <f aca="false">IF($BL370&gt;$BK$7,"",VLOOKUP($BL370,$BN$8:$BT$507,4,FALSE()))</f>
        <v/>
      </c>
      <c r="BY370" s="71" t="str">
        <f aca="false">IF($BL370&gt;$BK$7,"",VLOOKUP($BL370,$BN$8:$BT$507,5,FALSE()))</f>
        <v/>
      </c>
      <c r="BZ370" s="72" t="str">
        <f aca="false">IF($BL370&gt;$BK$7,"",VLOOKUP($BL370,$BN$8:$BT$507,6,FALSE()))</f>
        <v/>
      </c>
      <c r="CA370" s="48"/>
    </row>
    <row r="371" customFormat="false" ht="15.75" hidden="false" customHeight="false" outlineLevel="0" collapsed="false">
      <c r="A371" s="5"/>
      <c r="B371" s="114"/>
      <c r="C371" s="115"/>
      <c r="D371" s="100"/>
      <c r="E371" s="120"/>
      <c r="F371" s="125"/>
      <c r="G371" s="82"/>
      <c r="H371" s="126"/>
      <c r="I371" s="127"/>
      <c r="J371" s="82"/>
      <c r="K371" s="126"/>
      <c r="L371" s="82"/>
      <c r="M371" s="126"/>
      <c r="N371" s="82"/>
      <c r="O371" s="126"/>
      <c r="P371" s="82"/>
      <c r="Q371" s="126"/>
      <c r="R371" s="82"/>
      <c r="S371" s="120"/>
      <c r="T371" s="86"/>
      <c r="U371" s="87" t="str">
        <f aca="false">IF(ISBLANK($C371),"",IF(E371=Constants!$B$2, TRUE(), IF(E371=Constants!$B$3, FALSE(), TRUE())))</f>
        <v/>
      </c>
      <c r="V371" s="87" t="str">
        <f aca="false">IF(ISBLANK($C371),"",IF(F371=Constants!$B$2, TRUE(), IF(F371=Constants!$B$3, FALSE(), TRUE())))</f>
        <v/>
      </c>
      <c r="W371" s="87" t="str">
        <f aca="false">IF(ISBLANK($C371),"",IF(G371=Constants!$B$15,Constants!$B$8,IF(G371=Constants!$B$16,Constants!$B$9,Constants!$B$10)))</f>
        <v/>
      </c>
      <c r="X371" s="87" t="str">
        <f aca="false">IF(ISBLANK($C371),"",IF(H371=Constants!$B$2, TRUE(), IF(H371=Constants!$B$3, FALSE(), TRUE())))</f>
        <v/>
      </c>
      <c r="Y371" s="87" t="str">
        <f aca="false">IF(ISBLANK($C371),"",IF(I371=Constants!$B$19,Constants!$B$19,Constants!$B$18))</f>
        <v/>
      </c>
      <c r="Z371" s="87" t="str">
        <f aca="false">IF(ISBLANK($C371),"",IF(ISNUMBER(J371),IF(J371&gt;=0,J371,""),""))</f>
        <v/>
      </c>
      <c r="AA371" s="87" t="str">
        <f aca="false">IF(ISBLANK($C371),"",IF(K371=Constants!$B$19,Constants!$B$19,Constants!$B$18))</f>
        <v/>
      </c>
      <c r="AB371" s="87" t="str">
        <f aca="false">IF(ISBLANK($C371),"",IF(ISNUMBER(L371),IF(L371&gt;=0,L371,""),""))</f>
        <v/>
      </c>
      <c r="AC371" s="87" t="str">
        <f aca="false">IF(ISBLANK($C371),"",IF(M371=Constants!$B$19,Constants!$B$19,Constants!$B$18))</f>
        <v/>
      </c>
      <c r="AD371" s="87" t="str">
        <f aca="false">IF(ISBLANK($C371),"",IF(ISNUMBER(N371),IF(N371&gt;=0,N371,""),""))</f>
        <v/>
      </c>
      <c r="AE371" s="87" t="str">
        <f aca="false">IF(ISBLANK($C371),"",IF(O371=Constants!$B$19,Constants!$B$19,Constants!$B$18))</f>
        <v/>
      </c>
      <c r="AF371" s="87" t="str">
        <f aca="false">IF(ISBLANK($C371),"",IF(ISNUMBER(P371),IF(P371&gt;=0,P371,""),""))</f>
        <v/>
      </c>
      <c r="AG371" s="87" t="str">
        <f aca="false">IF(ISBLANK($C371),"",IF(Q371=Constants!$B$19,Constants!$B$19,Constants!$B$18))</f>
        <v/>
      </c>
      <c r="AH371" s="87" t="str">
        <f aca="false">IF(ISBLANK($C371),"",IF(ISNUMBER(R371),IF(R371&gt;=0,R371,""),""))</f>
        <v/>
      </c>
      <c r="AI371" s="87" t="str">
        <f aca="false">IF(ISBLANK($C371),"",IF(S371=Constants!$B$2, TRUE(), IF(S371=Constants!$B$3, FALSE(), FALSE())))</f>
        <v/>
      </c>
      <c r="AJ371" s="87" t="str">
        <f aca="false">IF(ISBLANK($C371),"",IF(AI371,Constants!$B$4,IF(COUNTA(E371:R371)=0,Constants!$B$5,IF(COUNTA(J371,L371,N371,P371,R371)=0,Constants!$B$6,Constants!$B$7))))</f>
        <v/>
      </c>
      <c r="AK371" s="87" t="str">
        <f aca="false">IF(ISBLANK($C371),"",IF($AJ371&lt;&gt;Constants!$B$7,$AJ371,IF(OR(NOT(X371),AND(NOT(U371),COUNTIFS(Y371:AG371,Constants!$B$18,Z371:AH371,"&gt;=0")&gt;0),AND(NOT(V371),COUNTIFS(Y371:AG371,Constants!$B$19,Z371:AH371,"&gt;=0")&gt;0)),Constants!$B$12,Constants!$B$11)))</f>
        <v/>
      </c>
      <c r="AL371" s="87" t="str">
        <f aca="false">IF($AJ371=Constants!$B$7,IF(Z371="",Constants!$B$13,Z371),"")</f>
        <v/>
      </c>
      <c r="AM371" s="87" t="str">
        <f aca="false">IF($AJ371=Constants!$B$7,IF(AB371="",Constants!$B$13,AB371),"")</f>
        <v/>
      </c>
      <c r="AN371" s="87" t="str">
        <f aca="false">IF($AJ371=Constants!$B$7,IF(AD371="",Constants!$B$13,AD371),"")</f>
        <v/>
      </c>
      <c r="AO371" s="87" t="str">
        <f aca="false">IF($AJ371=Constants!$B$7,IF(AF371="",Constants!$B$13,AF371),"")</f>
        <v/>
      </c>
      <c r="AP371" s="87" t="str">
        <f aca="false">IF($AJ371=Constants!$B$7,IF(AH371="",Constants!$B$13,AH371),"")</f>
        <v/>
      </c>
      <c r="AQ371" s="87" t="str">
        <f aca="false">IF($AJ371=Constants!$B$7,IF(SUMPRODUCT(--($AL371:$AP371&gt;AL371))+SUMPRODUCT(--($AL371:AL371=AL371))=1,1,IF(SUMPRODUCT(--($AL371:$AP371&gt;AM371))+SUMPRODUCT(--($AL371:AM371=AM371))=1,2,IF(SUMPRODUCT(--($AL371:$AP371&gt;AN371))+SUMPRODUCT(--($AL371:AN371=AN371))=1,3,IF(SUMPRODUCT(--($AL371:$AP371&gt;AO371))+SUMPRODUCT(--($AL371:AO371=AO371))=1,4,5)))),"")</f>
        <v/>
      </c>
      <c r="AR371" s="87" t="str">
        <f aca="false">IF($AJ371=Constants!$B$7,IF(SUMPRODUCT(--($AL371:$AP371&gt;AL371))+SUMPRODUCT(--($AL371:AL371=AL371))=2,1,IF(SUMPRODUCT(--($AL371:$AP371&gt;AM371))+SUMPRODUCT(--($AL371:AM371=AM371))=2,2,IF(SUMPRODUCT(--($AL371:$AP371&gt;AN371))+SUMPRODUCT(--($AL371:AN371=AN371))=2,3,IF(SUMPRODUCT(--($AL371:$AP371&gt;AO371))+SUMPRODUCT(--($AL371:AO371=AO371))=2,4,5)))),"")</f>
        <v/>
      </c>
      <c r="AS371" s="87" t="str">
        <f aca="false">IF($AJ371=Constants!$B$7,IF(SUMPRODUCT(--($AL371:$AP371&gt;AL371))+SUMPRODUCT(--($AL371:AL371=AL371))=3,1,IF(SUMPRODUCT(--($AL371:$AP371&gt;AM371))+SUMPRODUCT(--($AL371:AM371=AM371))=3,2,IF(SUMPRODUCT(--($AL371:$AP371&gt;AN371))+SUMPRODUCT(--($AL371:AN371=AN371))=3,3,IF(SUMPRODUCT(--($AL371:$AP371&gt;AO371))+SUMPRODUCT(--($AL371:AO371=AO371))=3,4,5)))),"")</f>
        <v/>
      </c>
      <c r="AT371" s="87" t="str">
        <f aca="false">IF($AJ371=Constants!$B$7,LARGE(AL371:AP371,1)+LARGE(AL371:AP371,2)+LARGE(AL371:AP371,3),"")</f>
        <v/>
      </c>
      <c r="AU371" s="87" t="str">
        <f aca="false">IF(ISBLANK($C371),"",IF($AJ371&lt;&gt;Constants!$B$7,$AJ371,AT371*W371))</f>
        <v/>
      </c>
      <c r="AV371" s="87" t="str">
        <f aca="false">IF(ISBLANK($C371),"",IF($AJ371=Constants!$B$7,IF(ISNUMBER(AU371),RANK(AU371,$AU$8:$AU$507),Constants!$B$14),$AJ371))</f>
        <v/>
      </c>
      <c r="AW371" s="87" t="str">
        <f aca="false">IF(ISBLANK($C371),"",IF($AJ371=Constants!$B$7,IF(ISNUMBER(AV371),COUNTIFS($AK$8:$AK$507,"&lt;"&amp;$AK371)+COUNTIFS($AK$8:$AK$507,$AK371,$AV$8:$AV$507,"&lt;"&amp;$AV371)+1,Constants!$B$14),$AJ371))</f>
        <v/>
      </c>
      <c r="AX371" s="87" t="str">
        <f aca="false">IF(ISBLANK($C371),"",IF($AJ371=Constants!$B$7,LARGE(AL371:AP371,4)*W371,""))</f>
        <v/>
      </c>
      <c r="AY371" s="87" t="str">
        <f aca="false">IF(ISBLANK($C371),"",IF($AJ371=Constants!$B$7,RANK(AX371,$AX$8:$AX$507),$AJ371))</f>
        <v/>
      </c>
      <c r="AZ371" s="87" t="str">
        <f aca="false">IF(ISBLANK($C371),"",IF($AJ371=Constants!$B$7,IF(ISNUMBER(AV371),COUNTIFS($AK$8:$AK$507,"&lt;"&amp;$AK371)+COUNTIFS($AK$8:$AK$507,$AK371,$AV$8:$AV$507,"&lt;"&amp;$AV371)+COUNTIFS($AK$8:$AK$507,$AK371,$AV$8:$AV$507,$AV371,$AY$8:$AY$507,"&lt;"&amp;$AY371)+1,Constants!$B$14),$AJ371))</f>
        <v/>
      </c>
      <c r="BA371" s="87" t="str">
        <f aca="false">IF(ISBLANK($C371),"",IF($AJ371=Constants!$B$7,IF(ISNUMBER(AW371),AW371-AZ371,Constants!$B$14),$AJ371))</f>
        <v/>
      </c>
      <c r="BB371" s="88"/>
      <c r="BC371" s="89" t="str">
        <f aca="false">IF(ISBLANK($C371),"",IF($AJ371&lt;&gt;Constants!$B$7,$AJ371,SMALL(AQ371:AS371,1)&amp;", "&amp;SMALL(AQ371:AS371,2)&amp;", "&amp;SMALL(AQ371:AS371,3)))</f>
        <v/>
      </c>
      <c r="BD371" s="90" t="str">
        <f aca="false">IF(ISBLANK($C371),"",IF($AJ371&lt;&gt;Constants!$B$7,$AJ371,W371))</f>
        <v/>
      </c>
      <c r="BE371" s="91" t="str">
        <f aca="false">IF(ISBLANK($C371),"",IF($AJ371&lt;&gt;Constants!$B$7,$AJ371,AU371))</f>
        <v/>
      </c>
      <c r="BF371" s="92" t="str">
        <f aca="false">IF(ISBLANK($C371),"",IF($AJ371&lt;&gt;Constants!$B$7,$AJ371,AK371))</f>
        <v/>
      </c>
      <c r="BG371" s="90" t="str">
        <f aca="false">IF(ISBLANK($C371),"",BA371)</f>
        <v/>
      </c>
      <c r="BH371" s="90" t="str">
        <f aca="false">IF(ISBLANK($C371),"",AZ371)</f>
        <v/>
      </c>
      <c r="BI371" s="93" t="str">
        <f aca="false">IF(ISBLANK($C371),"",IF(BH371=Constants!$B$4,COUNTA($C$8:$C$507)+2,IF(BH371=Constants!$B$5,COUNTA($C$8:$C$507)+1,IF(BH371=Constants!$B$6,COUNTA($C$8:$C$507),BH371))))</f>
        <v/>
      </c>
      <c r="BJ371" s="5"/>
      <c r="BK371" s="94" t="n">
        <f aca="false">IF(OR(ISNUMBER(BH371),BH371=Constants!$B$4,BH371=Constants!$B$6,BH371=Constants!$B$5),1,0)</f>
        <v>0</v>
      </c>
      <c r="BL371" s="94" t="n">
        <v>364</v>
      </c>
      <c r="BM371" s="94" t="str">
        <f aca="false">IF(ISBLANK($C371),"",IF(ISNUMBER(BI371),BI371+ROW($B371)/1000,""))</f>
        <v/>
      </c>
      <c r="BN371" s="94" t="str">
        <f aca="false">IF(ISNUMBER(BM371),RANK(BM371,$BM$8:$BM$507,1),"")</f>
        <v/>
      </c>
      <c r="BO371" s="94" t="str">
        <f aca="false">IF(ISBLANK($C371),"",$B371)</f>
        <v/>
      </c>
      <c r="BP371" s="94" t="str">
        <f aca="false">IF(ISBLANK($C371),"",$C371)</f>
        <v/>
      </c>
      <c r="BQ371" s="94" t="str">
        <f aca="false">IF(ISBLANK($C371),"",$D371)</f>
        <v/>
      </c>
      <c r="BR371" s="95" t="str">
        <f aca="false">BF371</f>
        <v/>
      </c>
      <c r="BS371" s="96" t="str">
        <f aca="false">BE371</f>
        <v/>
      </c>
      <c r="BT371" s="94" t="str">
        <f aca="false">IF(ISBLANK($C371),"",BH371)</f>
        <v/>
      </c>
      <c r="BU371" s="97" t="str">
        <f aca="false">IF($BL371&gt;$BK$7,"",VLOOKUP($BL371,$BN$8:$BT$507,7,FALSE()))</f>
        <v/>
      </c>
      <c r="BV371" s="98" t="str">
        <f aca="false">IF($BL371&gt;$BK$7,"",VLOOKUP($BL371,$BN$8:$BT$507,2,FALSE()))</f>
        <v/>
      </c>
      <c r="BW371" s="98" t="str">
        <f aca="false">IF($BL371&gt;$BK$7,"",VLOOKUP($BL371,$BN$8:$BT$507,3,FALSE()))</f>
        <v/>
      </c>
      <c r="BX371" s="98" t="str">
        <f aca="false">IF($BL371&gt;$BK$7,"",VLOOKUP($BL371,$BN$8:$BT$507,4,FALSE()))</f>
        <v/>
      </c>
      <c r="BY371" s="98" t="str">
        <f aca="false">IF($BL371&gt;$BK$7,"",VLOOKUP($BL371,$BN$8:$BT$507,5,FALSE()))</f>
        <v/>
      </c>
      <c r="BZ371" s="99" t="str">
        <f aca="false">IF($BL371&gt;$BK$7,"",VLOOKUP($BL371,$BN$8:$BT$507,6,FALSE()))</f>
        <v/>
      </c>
      <c r="CA371" s="48"/>
    </row>
    <row r="372" customFormat="false" ht="15.75" hidden="false" customHeight="false" outlineLevel="0" collapsed="false">
      <c r="A372" s="5"/>
      <c r="B372" s="114"/>
      <c r="C372" s="115"/>
      <c r="D372" s="100"/>
      <c r="E372" s="120"/>
      <c r="F372" s="125"/>
      <c r="G372" s="82"/>
      <c r="H372" s="126"/>
      <c r="I372" s="127"/>
      <c r="J372" s="82"/>
      <c r="K372" s="126"/>
      <c r="L372" s="82"/>
      <c r="M372" s="126"/>
      <c r="N372" s="82"/>
      <c r="O372" s="126"/>
      <c r="P372" s="82"/>
      <c r="Q372" s="126"/>
      <c r="R372" s="82"/>
      <c r="S372" s="120"/>
      <c r="T372" s="86"/>
      <c r="U372" s="87" t="str">
        <f aca="false">IF(ISBLANK($C372),"",IF(E372=Constants!$B$2, TRUE(), IF(E372=Constants!$B$3, FALSE(), TRUE())))</f>
        <v/>
      </c>
      <c r="V372" s="87" t="str">
        <f aca="false">IF(ISBLANK($C372),"",IF(F372=Constants!$B$2, TRUE(), IF(F372=Constants!$B$3, FALSE(), TRUE())))</f>
        <v/>
      </c>
      <c r="W372" s="87" t="str">
        <f aca="false">IF(ISBLANK($C372),"",IF(G372=Constants!$B$15,Constants!$B$8,IF(G372=Constants!$B$16,Constants!$B$9,Constants!$B$10)))</f>
        <v/>
      </c>
      <c r="X372" s="87" t="str">
        <f aca="false">IF(ISBLANK($C372),"",IF(H372=Constants!$B$2, TRUE(), IF(H372=Constants!$B$3, FALSE(), TRUE())))</f>
        <v/>
      </c>
      <c r="Y372" s="87" t="str">
        <f aca="false">IF(ISBLANK($C372),"",IF(I372=Constants!$B$19,Constants!$B$19,Constants!$B$18))</f>
        <v/>
      </c>
      <c r="Z372" s="87" t="str">
        <f aca="false">IF(ISBLANK($C372),"",IF(ISNUMBER(J372),IF(J372&gt;=0,J372,""),""))</f>
        <v/>
      </c>
      <c r="AA372" s="87" t="str">
        <f aca="false">IF(ISBLANK($C372),"",IF(K372=Constants!$B$19,Constants!$B$19,Constants!$B$18))</f>
        <v/>
      </c>
      <c r="AB372" s="87" t="str">
        <f aca="false">IF(ISBLANK($C372),"",IF(ISNUMBER(L372),IF(L372&gt;=0,L372,""),""))</f>
        <v/>
      </c>
      <c r="AC372" s="87" t="str">
        <f aca="false">IF(ISBLANK($C372),"",IF(M372=Constants!$B$19,Constants!$B$19,Constants!$B$18))</f>
        <v/>
      </c>
      <c r="AD372" s="87" t="str">
        <f aca="false">IF(ISBLANK($C372),"",IF(ISNUMBER(N372),IF(N372&gt;=0,N372,""),""))</f>
        <v/>
      </c>
      <c r="AE372" s="87" t="str">
        <f aca="false">IF(ISBLANK($C372),"",IF(O372=Constants!$B$19,Constants!$B$19,Constants!$B$18))</f>
        <v/>
      </c>
      <c r="AF372" s="87" t="str">
        <f aca="false">IF(ISBLANK($C372),"",IF(ISNUMBER(P372),IF(P372&gt;=0,P372,""),""))</f>
        <v/>
      </c>
      <c r="AG372" s="87" t="str">
        <f aca="false">IF(ISBLANK($C372),"",IF(Q372=Constants!$B$19,Constants!$B$19,Constants!$B$18))</f>
        <v/>
      </c>
      <c r="AH372" s="87" t="str">
        <f aca="false">IF(ISBLANK($C372),"",IF(ISNUMBER(R372),IF(R372&gt;=0,R372,""),""))</f>
        <v/>
      </c>
      <c r="AI372" s="87" t="str">
        <f aca="false">IF(ISBLANK($C372),"",IF(S372=Constants!$B$2, TRUE(), IF(S372=Constants!$B$3, FALSE(), FALSE())))</f>
        <v/>
      </c>
      <c r="AJ372" s="87" t="str">
        <f aca="false">IF(ISBLANK($C372),"",IF(AI372,Constants!$B$4,IF(COUNTA(E372:R372)=0,Constants!$B$5,IF(COUNTA(J372,L372,N372,P372,R372)=0,Constants!$B$6,Constants!$B$7))))</f>
        <v/>
      </c>
      <c r="AK372" s="87" t="str">
        <f aca="false">IF(ISBLANK($C372),"",IF($AJ372&lt;&gt;Constants!$B$7,$AJ372,IF(OR(NOT(X372),AND(NOT(U372),COUNTIFS(Y372:AG372,Constants!$B$18,Z372:AH372,"&gt;=0")&gt;0),AND(NOT(V372),COUNTIFS(Y372:AG372,Constants!$B$19,Z372:AH372,"&gt;=0")&gt;0)),Constants!$B$12,Constants!$B$11)))</f>
        <v/>
      </c>
      <c r="AL372" s="87" t="str">
        <f aca="false">IF($AJ372=Constants!$B$7,IF(Z372="",Constants!$B$13,Z372),"")</f>
        <v/>
      </c>
      <c r="AM372" s="87" t="str">
        <f aca="false">IF($AJ372=Constants!$B$7,IF(AB372="",Constants!$B$13,AB372),"")</f>
        <v/>
      </c>
      <c r="AN372" s="87" t="str">
        <f aca="false">IF($AJ372=Constants!$B$7,IF(AD372="",Constants!$B$13,AD372),"")</f>
        <v/>
      </c>
      <c r="AO372" s="87" t="str">
        <f aca="false">IF($AJ372=Constants!$B$7,IF(AF372="",Constants!$B$13,AF372),"")</f>
        <v/>
      </c>
      <c r="AP372" s="87" t="str">
        <f aca="false">IF($AJ372=Constants!$B$7,IF(AH372="",Constants!$B$13,AH372),"")</f>
        <v/>
      </c>
      <c r="AQ372" s="87" t="str">
        <f aca="false">IF($AJ372=Constants!$B$7,IF(SUMPRODUCT(--($AL372:$AP372&gt;AL372))+SUMPRODUCT(--($AL372:AL372=AL372))=1,1,IF(SUMPRODUCT(--($AL372:$AP372&gt;AM372))+SUMPRODUCT(--($AL372:AM372=AM372))=1,2,IF(SUMPRODUCT(--($AL372:$AP372&gt;AN372))+SUMPRODUCT(--($AL372:AN372=AN372))=1,3,IF(SUMPRODUCT(--($AL372:$AP372&gt;AO372))+SUMPRODUCT(--($AL372:AO372=AO372))=1,4,5)))),"")</f>
        <v/>
      </c>
      <c r="AR372" s="87" t="str">
        <f aca="false">IF($AJ372=Constants!$B$7,IF(SUMPRODUCT(--($AL372:$AP372&gt;AL372))+SUMPRODUCT(--($AL372:AL372=AL372))=2,1,IF(SUMPRODUCT(--($AL372:$AP372&gt;AM372))+SUMPRODUCT(--($AL372:AM372=AM372))=2,2,IF(SUMPRODUCT(--($AL372:$AP372&gt;AN372))+SUMPRODUCT(--($AL372:AN372=AN372))=2,3,IF(SUMPRODUCT(--($AL372:$AP372&gt;AO372))+SUMPRODUCT(--($AL372:AO372=AO372))=2,4,5)))),"")</f>
        <v/>
      </c>
      <c r="AS372" s="87" t="str">
        <f aca="false">IF($AJ372=Constants!$B$7,IF(SUMPRODUCT(--($AL372:$AP372&gt;AL372))+SUMPRODUCT(--($AL372:AL372=AL372))=3,1,IF(SUMPRODUCT(--($AL372:$AP372&gt;AM372))+SUMPRODUCT(--($AL372:AM372=AM372))=3,2,IF(SUMPRODUCT(--($AL372:$AP372&gt;AN372))+SUMPRODUCT(--($AL372:AN372=AN372))=3,3,IF(SUMPRODUCT(--($AL372:$AP372&gt;AO372))+SUMPRODUCT(--($AL372:AO372=AO372))=3,4,5)))),"")</f>
        <v/>
      </c>
      <c r="AT372" s="87" t="str">
        <f aca="false">IF($AJ372=Constants!$B$7,LARGE(AL372:AP372,1)+LARGE(AL372:AP372,2)+LARGE(AL372:AP372,3),"")</f>
        <v/>
      </c>
      <c r="AU372" s="87" t="str">
        <f aca="false">IF(ISBLANK($C372),"",IF($AJ372&lt;&gt;Constants!$B$7,$AJ372,AT372*W372))</f>
        <v/>
      </c>
      <c r="AV372" s="87" t="str">
        <f aca="false">IF(ISBLANK($C372),"",IF($AJ372=Constants!$B$7,IF(ISNUMBER(AU372),RANK(AU372,$AU$8:$AU$507),Constants!$B$14),$AJ372))</f>
        <v/>
      </c>
      <c r="AW372" s="87" t="str">
        <f aca="false">IF(ISBLANK($C372),"",IF($AJ372=Constants!$B$7,IF(ISNUMBER(AV372),COUNTIFS($AK$8:$AK$507,"&lt;"&amp;$AK372)+COUNTIFS($AK$8:$AK$507,$AK372,$AV$8:$AV$507,"&lt;"&amp;$AV372)+1,Constants!$B$14),$AJ372))</f>
        <v/>
      </c>
      <c r="AX372" s="87" t="str">
        <f aca="false">IF(ISBLANK($C372),"",IF($AJ372=Constants!$B$7,LARGE(AL372:AP372,4)*W372,""))</f>
        <v/>
      </c>
      <c r="AY372" s="87" t="str">
        <f aca="false">IF(ISBLANK($C372),"",IF($AJ372=Constants!$B$7,RANK(AX372,$AX$8:$AX$507),$AJ372))</f>
        <v/>
      </c>
      <c r="AZ372" s="87" t="str">
        <f aca="false">IF(ISBLANK($C372),"",IF($AJ372=Constants!$B$7,IF(ISNUMBER(AV372),COUNTIFS($AK$8:$AK$507,"&lt;"&amp;$AK372)+COUNTIFS($AK$8:$AK$507,$AK372,$AV$8:$AV$507,"&lt;"&amp;$AV372)+COUNTIFS($AK$8:$AK$507,$AK372,$AV$8:$AV$507,$AV372,$AY$8:$AY$507,"&lt;"&amp;$AY372)+1,Constants!$B$14),$AJ372))</f>
        <v/>
      </c>
      <c r="BA372" s="87" t="str">
        <f aca="false">IF(ISBLANK($C372),"",IF($AJ372=Constants!$B$7,IF(ISNUMBER(AW372),AW372-AZ372,Constants!$B$14),$AJ372))</f>
        <v/>
      </c>
      <c r="BB372" s="88"/>
      <c r="BC372" s="89" t="str">
        <f aca="false">IF(ISBLANK($C372),"",IF($AJ372&lt;&gt;Constants!$B$7,$AJ372,SMALL(AQ372:AS372,1)&amp;", "&amp;SMALL(AQ372:AS372,2)&amp;", "&amp;SMALL(AQ372:AS372,3)))</f>
        <v/>
      </c>
      <c r="BD372" s="90" t="str">
        <f aca="false">IF(ISBLANK($C372),"",IF($AJ372&lt;&gt;Constants!$B$7,$AJ372,W372))</f>
        <v/>
      </c>
      <c r="BE372" s="91" t="str">
        <f aca="false">IF(ISBLANK($C372),"",IF($AJ372&lt;&gt;Constants!$B$7,$AJ372,AU372))</f>
        <v/>
      </c>
      <c r="BF372" s="92" t="str">
        <f aca="false">IF(ISBLANK($C372),"",IF($AJ372&lt;&gt;Constants!$B$7,$AJ372,AK372))</f>
        <v/>
      </c>
      <c r="BG372" s="90" t="str">
        <f aca="false">IF(ISBLANK($C372),"",BA372)</f>
        <v/>
      </c>
      <c r="BH372" s="90" t="str">
        <f aca="false">IF(ISBLANK($C372),"",AZ372)</f>
        <v/>
      </c>
      <c r="BI372" s="93" t="str">
        <f aca="false">IF(ISBLANK($C372),"",IF(BH372=Constants!$B$4,COUNTA($C$8:$C$507)+2,IF(BH372=Constants!$B$5,COUNTA($C$8:$C$507)+1,IF(BH372=Constants!$B$6,COUNTA($C$8:$C$507),BH372))))</f>
        <v/>
      </c>
      <c r="BJ372" s="5"/>
      <c r="BK372" s="94" t="n">
        <f aca="false">IF(OR(ISNUMBER(BH372),BH372=Constants!$B$4,BH372=Constants!$B$6,BH372=Constants!$B$5),1,0)</f>
        <v>0</v>
      </c>
      <c r="BL372" s="94" t="n">
        <v>365</v>
      </c>
      <c r="BM372" s="94" t="str">
        <f aca="false">IF(ISBLANK($C372),"",IF(ISNUMBER(BI372),BI372+ROW($B372)/1000,""))</f>
        <v/>
      </c>
      <c r="BN372" s="94" t="str">
        <f aca="false">IF(ISNUMBER(BM372),RANK(BM372,$BM$8:$BM$507,1),"")</f>
        <v/>
      </c>
      <c r="BO372" s="94" t="str">
        <f aca="false">IF(ISBLANK($C372),"",$B372)</f>
        <v/>
      </c>
      <c r="BP372" s="94" t="str">
        <f aca="false">IF(ISBLANK($C372),"",$C372)</f>
        <v/>
      </c>
      <c r="BQ372" s="94" t="str">
        <f aca="false">IF(ISBLANK($C372),"",$D372)</f>
        <v/>
      </c>
      <c r="BR372" s="95" t="str">
        <f aca="false">BF372</f>
        <v/>
      </c>
      <c r="BS372" s="96" t="str">
        <f aca="false">BE372</f>
        <v/>
      </c>
      <c r="BT372" s="94" t="str">
        <f aca="false">IF(ISBLANK($C372),"",BH372)</f>
        <v/>
      </c>
      <c r="BU372" s="97" t="str">
        <f aca="false">IF($BL372&gt;$BK$7,"",VLOOKUP($BL372,$BN$8:$BT$507,7,FALSE()))</f>
        <v/>
      </c>
      <c r="BV372" s="98" t="str">
        <f aca="false">IF($BL372&gt;$BK$7,"",VLOOKUP($BL372,$BN$8:$BT$507,2,FALSE()))</f>
        <v/>
      </c>
      <c r="BW372" s="98" t="str">
        <f aca="false">IF($BL372&gt;$BK$7,"",VLOOKUP($BL372,$BN$8:$BT$507,3,FALSE()))</f>
        <v/>
      </c>
      <c r="BX372" s="98" t="str">
        <f aca="false">IF($BL372&gt;$BK$7,"",VLOOKUP($BL372,$BN$8:$BT$507,4,FALSE()))</f>
        <v/>
      </c>
      <c r="BY372" s="98" t="str">
        <f aca="false">IF($BL372&gt;$BK$7,"",VLOOKUP($BL372,$BN$8:$BT$507,5,FALSE()))</f>
        <v/>
      </c>
      <c r="BZ372" s="99" t="str">
        <f aca="false">IF($BL372&gt;$BK$7,"",VLOOKUP($BL372,$BN$8:$BT$507,6,FALSE()))</f>
        <v/>
      </c>
      <c r="CA372" s="48"/>
    </row>
    <row r="373" customFormat="false" ht="15.75" hidden="false" customHeight="false" outlineLevel="0" collapsed="false">
      <c r="A373" s="5"/>
      <c r="B373" s="114"/>
      <c r="C373" s="115"/>
      <c r="D373" s="100"/>
      <c r="E373" s="120"/>
      <c r="F373" s="125"/>
      <c r="G373" s="82"/>
      <c r="H373" s="126"/>
      <c r="I373" s="127"/>
      <c r="J373" s="82"/>
      <c r="K373" s="126"/>
      <c r="L373" s="82"/>
      <c r="M373" s="126"/>
      <c r="N373" s="82"/>
      <c r="O373" s="126"/>
      <c r="P373" s="82"/>
      <c r="Q373" s="126"/>
      <c r="R373" s="82"/>
      <c r="S373" s="120"/>
      <c r="T373" s="86"/>
      <c r="U373" s="87" t="str">
        <f aca="false">IF(ISBLANK($C373),"",IF(E373=Constants!$B$2, TRUE(), IF(E373=Constants!$B$3, FALSE(), TRUE())))</f>
        <v/>
      </c>
      <c r="V373" s="87" t="str">
        <f aca="false">IF(ISBLANK($C373),"",IF(F373=Constants!$B$2, TRUE(), IF(F373=Constants!$B$3, FALSE(), TRUE())))</f>
        <v/>
      </c>
      <c r="W373" s="87" t="str">
        <f aca="false">IF(ISBLANK($C373),"",IF(G373=Constants!$B$15,Constants!$B$8,IF(G373=Constants!$B$16,Constants!$B$9,Constants!$B$10)))</f>
        <v/>
      </c>
      <c r="X373" s="87" t="str">
        <f aca="false">IF(ISBLANK($C373),"",IF(H373=Constants!$B$2, TRUE(), IF(H373=Constants!$B$3, FALSE(), TRUE())))</f>
        <v/>
      </c>
      <c r="Y373" s="87" t="str">
        <f aca="false">IF(ISBLANK($C373),"",IF(I373=Constants!$B$19,Constants!$B$19,Constants!$B$18))</f>
        <v/>
      </c>
      <c r="Z373" s="87" t="str">
        <f aca="false">IF(ISBLANK($C373),"",IF(ISNUMBER(J373),IF(J373&gt;=0,J373,""),""))</f>
        <v/>
      </c>
      <c r="AA373" s="87" t="str">
        <f aca="false">IF(ISBLANK($C373),"",IF(K373=Constants!$B$19,Constants!$B$19,Constants!$B$18))</f>
        <v/>
      </c>
      <c r="AB373" s="87" t="str">
        <f aca="false">IF(ISBLANK($C373),"",IF(ISNUMBER(L373),IF(L373&gt;=0,L373,""),""))</f>
        <v/>
      </c>
      <c r="AC373" s="87" t="str">
        <f aca="false">IF(ISBLANK($C373),"",IF(M373=Constants!$B$19,Constants!$B$19,Constants!$B$18))</f>
        <v/>
      </c>
      <c r="AD373" s="87" t="str">
        <f aca="false">IF(ISBLANK($C373),"",IF(ISNUMBER(N373),IF(N373&gt;=0,N373,""),""))</f>
        <v/>
      </c>
      <c r="AE373" s="87" t="str">
        <f aca="false">IF(ISBLANK($C373),"",IF(O373=Constants!$B$19,Constants!$B$19,Constants!$B$18))</f>
        <v/>
      </c>
      <c r="AF373" s="87" t="str">
        <f aca="false">IF(ISBLANK($C373),"",IF(ISNUMBER(P373),IF(P373&gt;=0,P373,""),""))</f>
        <v/>
      </c>
      <c r="AG373" s="87" t="str">
        <f aca="false">IF(ISBLANK($C373),"",IF(Q373=Constants!$B$19,Constants!$B$19,Constants!$B$18))</f>
        <v/>
      </c>
      <c r="AH373" s="87" t="str">
        <f aca="false">IF(ISBLANK($C373),"",IF(ISNUMBER(R373),IF(R373&gt;=0,R373,""),""))</f>
        <v/>
      </c>
      <c r="AI373" s="87" t="str">
        <f aca="false">IF(ISBLANK($C373),"",IF(S373=Constants!$B$2, TRUE(), IF(S373=Constants!$B$3, FALSE(), FALSE())))</f>
        <v/>
      </c>
      <c r="AJ373" s="87" t="str">
        <f aca="false">IF(ISBLANK($C373),"",IF(AI373,Constants!$B$4,IF(COUNTA(E373:R373)=0,Constants!$B$5,IF(COUNTA(J373,L373,N373,P373,R373)=0,Constants!$B$6,Constants!$B$7))))</f>
        <v/>
      </c>
      <c r="AK373" s="87" t="str">
        <f aca="false">IF(ISBLANK($C373),"",IF($AJ373&lt;&gt;Constants!$B$7,$AJ373,IF(OR(NOT(X373),AND(NOT(U373),COUNTIFS(Y373:AG373,Constants!$B$18,Z373:AH373,"&gt;=0")&gt;0),AND(NOT(V373),COUNTIFS(Y373:AG373,Constants!$B$19,Z373:AH373,"&gt;=0")&gt;0)),Constants!$B$12,Constants!$B$11)))</f>
        <v/>
      </c>
      <c r="AL373" s="87" t="str">
        <f aca="false">IF($AJ373=Constants!$B$7,IF(Z373="",Constants!$B$13,Z373),"")</f>
        <v/>
      </c>
      <c r="AM373" s="87" t="str">
        <f aca="false">IF($AJ373=Constants!$B$7,IF(AB373="",Constants!$B$13,AB373),"")</f>
        <v/>
      </c>
      <c r="AN373" s="87" t="str">
        <f aca="false">IF($AJ373=Constants!$B$7,IF(AD373="",Constants!$B$13,AD373),"")</f>
        <v/>
      </c>
      <c r="AO373" s="87" t="str">
        <f aca="false">IF($AJ373=Constants!$B$7,IF(AF373="",Constants!$B$13,AF373),"")</f>
        <v/>
      </c>
      <c r="AP373" s="87" t="str">
        <f aca="false">IF($AJ373=Constants!$B$7,IF(AH373="",Constants!$B$13,AH373),"")</f>
        <v/>
      </c>
      <c r="AQ373" s="87" t="str">
        <f aca="false">IF($AJ373=Constants!$B$7,IF(SUMPRODUCT(--($AL373:$AP373&gt;AL373))+SUMPRODUCT(--($AL373:AL373=AL373))=1,1,IF(SUMPRODUCT(--($AL373:$AP373&gt;AM373))+SUMPRODUCT(--($AL373:AM373=AM373))=1,2,IF(SUMPRODUCT(--($AL373:$AP373&gt;AN373))+SUMPRODUCT(--($AL373:AN373=AN373))=1,3,IF(SUMPRODUCT(--($AL373:$AP373&gt;AO373))+SUMPRODUCT(--($AL373:AO373=AO373))=1,4,5)))),"")</f>
        <v/>
      </c>
      <c r="AR373" s="87" t="str">
        <f aca="false">IF($AJ373=Constants!$B$7,IF(SUMPRODUCT(--($AL373:$AP373&gt;AL373))+SUMPRODUCT(--($AL373:AL373=AL373))=2,1,IF(SUMPRODUCT(--($AL373:$AP373&gt;AM373))+SUMPRODUCT(--($AL373:AM373=AM373))=2,2,IF(SUMPRODUCT(--($AL373:$AP373&gt;AN373))+SUMPRODUCT(--($AL373:AN373=AN373))=2,3,IF(SUMPRODUCT(--($AL373:$AP373&gt;AO373))+SUMPRODUCT(--($AL373:AO373=AO373))=2,4,5)))),"")</f>
        <v/>
      </c>
      <c r="AS373" s="87" t="str">
        <f aca="false">IF($AJ373=Constants!$B$7,IF(SUMPRODUCT(--($AL373:$AP373&gt;AL373))+SUMPRODUCT(--($AL373:AL373=AL373))=3,1,IF(SUMPRODUCT(--($AL373:$AP373&gt;AM373))+SUMPRODUCT(--($AL373:AM373=AM373))=3,2,IF(SUMPRODUCT(--($AL373:$AP373&gt;AN373))+SUMPRODUCT(--($AL373:AN373=AN373))=3,3,IF(SUMPRODUCT(--($AL373:$AP373&gt;AO373))+SUMPRODUCT(--($AL373:AO373=AO373))=3,4,5)))),"")</f>
        <v/>
      </c>
      <c r="AT373" s="87" t="str">
        <f aca="false">IF($AJ373=Constants!$B$7,LARGE(AL373:AP373,1)+LARGE(AL373:AP373,2)+LARGE(AL373:AP373,3),"")</f>
        <v/>
      </c>
      <c r="AU373" s="87" t="str">
        <f aca="false">IF(ISBLANK($C373),"",IF($AJ373&lt;&gt;Constants!$B$7,$AJ373,AT373*W373))</f>
        <v/>
      </c>
      <c r="AV373" s="87" t="str">
        <f aca="false">IF(ISBLANK($C373),"",IF($AJ373=Constants!$B$7,IF(ISNUMBER(AU373),RANK(AU373,$AU$8:$AU$507),Constants!$B$14),$AJ373))</f>
        <v/>
      </c>
      <c r="AW373" s="87" t="str">
        <f aca="false">IF(ISBLANK($C373),"",IF($AJ373=Constants!$B$7,IF(ISNUMBER(AV373),COUNTIFS($AK$8:$AK$507,"&lt;"&amp;$AK373)+COUNTIFS($AK$8:$AK$507,$AK373,$AV$8:$AV$507,"&lt;"&amp;$AV373)+1,Constants!$B$14),$AJ373))</f>
        <v/>
      </c>
      <c r="AX373" s="87" t="str">
        <f aca="false">IF(ISBLANK($C373),"",IF($AJ373=Constants!$B$7,LARGE(AL373:AP373,4)*W373,""))</f>
        <v/>
      </c>
      <c r="AY373" s="87" t="str">
        <f aca="false">IF(ISBLANK($C373),"",IF($AJ373=Constants!$B$7,RANK(AX373,$AX$8:$AX$507),$AJ373))</f>
        <v/>
      </c>
      <c r="AZ373" s="87" t="str">
        <f aca="false">IF(ISBLANK($C373),"",IF($AJ373=Constants!$B$7,IF(ISNUMBER(AV373),COUNTIFS($AK$8:$AK$507,"&lt;"&amp;$AK373)+COUNTIFS($AK$8:$AK$507,$AK373,$AV$8:$AV$507,"&lt;"&amp;$AV373)+COUNTIFS($AK$8:$AK$507,$AK373,$AV$8:$AV$507,$AV373,$AY$8:$AY$507,"&lt;"&amp;$AY373)+1,Constants!$B$14),$AJ373))</f>
        <v/>
      </c>
      <c r="BA373" s="87" t="str">
        <f aca="false">IF(ISBLANK($C373),"",IF($AJ373=Constants!$B$7,IF(ISNUMBER(AW373),AW373-AZ373,Constants!$B$14),$AJ373))</f>
        <v/>
      </c>
      <c r="BB373" s="88"/>
      <c r="BC373" s="89" t="str">
        <f aca="false">IF(ISBLANK($C373),"",IF($AJ373&lt;&gt;Constants!$B$7,$AJ373,SMALL(AQ373:AS373,1)&amp;", "&amp;SMALL(AQ373:AS373,2)&amp;", "&amp;SMALL(AQ373:AS373,3)))</f>
        <v/>
      </c>
      <c r="BD373" s="90" t="str">
        <f aca="false">IF(ISBLANK($C373),"",IF($AJ373&lt;&gt;Constants!$B$7,$AJ373,W373))</f>
        <v/>
      </c>
      <c r="BE373" s="91" t="str">
        <f aca="false">IF(ISBLANK($C373),"",IF($AJ373&lt;&gt;Constants!$B$7,$AJ373,AU373))</f>
        <v/>
      </c>
      <c r="BF373" s="92" t="str">
        <f aca="false">IF(ISBLANK($C373),"",IF($AJ373&lt;&gt;Constants!$B$7,$AJ373,AK373))</f>
        <v/>
      </c>
      <c r="BG373" s="90" t="str">
        <f aca="false">IF(ISBLANK($C373),"",BA373)</f>
        <v/>
      </c>
      <c r="BH373" s="90" t="str">
        <f aca="false">IF(ISBLANK($C373),"",AZ373)</f>
        <v/>
      </c>
      <c r="BI373" s="93" t="str">
        <f aca="false">IF(ISBLANK($C373),"",IF(BH373=Constants!$B$4,COUNTA($C$8:$C$507)+2,IF(BH373=Constants!$B$5,COUNTA($C$8:$C$507)+1,IF(BH373=Constants!$B$6,COUNTA($C$8:$C$507),BH373))))</f>
        <v/>
      </c>
      <c r="BJ373" s="5"/>
      <c r="BK373" s="94" t="n">
        <f aca="false">IF(OR(ISNUMBER(BH373),BH373=Constants!$B$4,BH373=Constants!$B$6,BH373=Constants!$B$5),1,0)</f>
        <v>0</v>
      </c>
      <c r="BL373" s="94" t="n">
        <v>366</v>
      </c>
      <c r="BM373" s="94" t="str">
        <f aca="false">IF(ISBLANK($C373),"",IF(ISNUMBER(BI373),BI373+ROW($B373)/1000,""))</f>
        <v/>
      </c>
      <c r="BN373" s="94" t="str">
        <f aca="false">IF(ISNUMBER(BM373),RANK(BM373,$BM$8:$BM$507,1),"")</f>
        <v/>
      </c>
      <c r="BO373" s="94" t="str">
        <f aca="false">IF(ISBLANK($C373),"",$B373)</f>
        <v/>
      </c>
      <c r="BP373" s="94" t="str">
        <f aca="false">IF(ISBLANK($C373),"",$C373)</f>
        <v/>
      </c>
      <c r="BQ373" s="94" t="str">
        <f aca="false">IF(ISBLANK($C373),"",$D373)</f>
        <v/>
      </c>
      <c r="BR373" s="95" t="str">
        <f aca="false">BF373</f>
        <v/>
      </c>
      <c r="BS373" s="96" t="str">
        <f aca="false">BE373</f>
        <v/>
      </c>
      <c r="BT373" s="94" t="str">
        <f aca="false">IF(ISBLANK($C373),"",BH373)</f>
        <v/>
      </c>
      <c r="BU373" s="97" t="str">
        <f aca="false">IF($BL373&gt;$BK$7,"",VLOOKUP($BL373,$BN$8:$BT$507,7,FALSE()))</f>
        <v/>
      </c>
      <c r="BV373" s="98" t="str">
        <f aca="false">IF($BL373&gt;$BK$7,"",VLOOKUP($BL373,$BN$8:$BT$507,2,FALSE()))</f>
        <v/>
      </c>
      <c r="BW373" s="98" t="str">
        <f aca="false">IF($BL373&gt;$BK$7,"",VLOOKUP($BL373,$BN$8:$BT$507,3,FALSE()))</f>
        <v/>
      </c>
      <c r="BX373" s="98" t="str">
        <f aca="false">IF($BL373&gt;$BK$7,"",VLOOKUP($BL373,$BN$8:$BT$507,4,FALSE()))</f>
        <v/>
      </c>
      <c r="BY373" s="98" t="str">
        <f aca="false">IF($BL373&gt;$BK$7,"",VLOOKUP($BL373,$BN$8:$BT$507,5,FALSE()))</f>
        <v/>
      </c>
      <c r="BZ373" s="99" t="str">
        <f aca="false">IF($BL373&gt;$BK$7,"",VLOOKUP($BL373,$BN$8:$BT$507,6,FALSE()))</f>
        <v/>
      </c>
      <c r="CA373" s="48"/>
    </row>
    <row r="374" customFormat="false" ht="15.75" hidden="false" customHeight="false" outlineLevel="0" collapsed="false">
      <c r="A374" s="5"/>
      <c r="B374" s="121"/>
      <c r="C374" s="50"/>
      <c r="D374" s="51"/>
      <c r="E374" s="74"/>
      <c r="F374" s="122"/>
      <c r="G374" s="54"/>
      <c r="H374" s="123"/>
      <c r="I374" s="124"/>
      <c r="J374" s="54"/>
      <c r="K374" s="123"/>
      <c r="L374" s="54"/>
      <c r="M374" s="123"/>
      <c r="N374" s="54"/>
      <c r="O374" s="123"/>
      <c r="P374" s="54"/>
      <c r="Q374" s="123"/>
      <c r="R374" s="54"/>
      <c r="S374" s="74"/>
      <c r="T374" s="58"/>
      <c r="U374" s="59" t="str">
        <f aca="false">IF(ISBLANK($C374),"",IF(E374=Constants!$B$2, TRUE(), IF(E374=Constants!$B$3, FALSE(), TRUE())))</f>
        <v/>
      </c>
      <c r="V374" s="59" t="str">
        <f aca="false">IF(ISBLANK($C374),"",IF(F374=Constants!$B$2, TRUE(), IF(F374=Constants!$B$3, FALSE(), TRUE())))</f>
        <v/>
      </c>
      <c r="W374" s="59" t="str">
        <f aca="false">IF(ISBLANK($C374),"",IF(G374=Constants!$B$15,Constants!$B$8,IF(G374=Constants!$B$16,Constants!$B$9,Constants!$B$10)))</f>
        <v/>
      </c>
      <c r="X374" s="59" t="str">
        <f aca="false">IF(ISBLANK($C374),"",IF(H374=Constants!$B$2, TRUE(), IF(H374=Constants!$B$3, FALSE(), TRUE())))</f>
        <v/>
      </c>
      <c r="Y374" s="59" t="str">
        <f aca="false">IF(ISBLANK($C374),"",IF(I374=Constants!$B$19,Constants!$B$19,Constants!$B$18))</f>
        <v/>
      </c>
      <c r="Z374" s="59" t="str">
        <f aca="false">IF(ISBLANK($C374),"",IF(ISNUMBER(J374),IF(J374&gt;=0,J374,""),""))</f>
        <v/>
      </c>
      <c r="AA374" s="59" t="str">
        <f aca="false">IF(ISBLANK($C374),"",IF(K374=Constants!$B$19,Constants!$B$19,Constants!$B$18))</f>
        <v/>
      </c>
      <c r="AB374" s="59" t="str">
        <f aca="false">IF(ISBLANK($C374),"",IF(ISNUMBER(L374),IF(L374&gt;=0,L374,""),""))</f>
        <v/>
      </c>
      <c r="AC374" s="59" t="str">
        <f aca="false">IF(ISBLANK($C374),"",IF(M374=Constants!$B$19,Constants!$B$19,Constants!$B$18))</f>
        <v/>
      </c>
      <c r="AD374" s="59" t="str">
        <f aca="false">IF(ISBLANK($C374),"",IF(ISNUMBER(N374),IF(N374&gt;=0,N374,""),""))</f>
        <v/>
      </c>
      <c r="AE374" s="59" t="str">
        <f aca="false">IF(ISBLANK($C374),"",IF(O374=Constants!$B$19,Constants!$B$19,Constants!$B$18))</f>
        <v/>
      </c>
      <c r="AF374" s="59" t="str">
        <f aca="false">IF(ISBLANK($C374),"",IF(ISNUMBER(P374),IF(P374&gt;=0,P374,""),""))</f>
        <v/>
      </c>
      <c r="AG374" s="59" t="str">
        <f aca="false">IF(ISBLANK($C374),"",IF(Q374=Constants!$B$19,Constants!$B$19,Constants!$B$18))</f>
        <v/>
      </c>
      <c r="AH374" s="59" t="str">
        <f aca="false">IF(ISBLANK($C374),"",IF(ISNUMBER(R374),IF(R374&gt;=0,R374,""),""))</f>
        <v/>
      </c>
      <c r="AI374" s="59" t="str">
        <f aca="false">IF(ISBLANK($C374),"",IF(S374=Constants!$B$2, TRUE(), IF(S374=Constants!$B$3, FALSE(), FALSE())))</f>
        <v/>
      </c>
      <c r="AJ374" s="59" t="str">
        <f aca="false">IF(ISBLANK($C374),"",IF(AI374,Constants!$B$4,IF(COUNTA(E374:R374)=0,Constants!$B$5,IF(COUNTA(J374,L374,N374,P374,R374)=0,Constants!$B$6,Constants!$B$7))))</f>
        <v/>
      </c>
      <c r="AK374" s="59" t="str">
        <f aca="false">IF(ISBLANK($C374),"",IF($AJ374&lt;&gt;Constants!$B$7,$AJ374,IF(OR(NOT(X374),AND(NOT(U374),COUNTIFS(Y374:AG374,Constants!$B$18,Z374:AH374,"&gt;=0")&gt;0),AND(NOT(V374),COUNTIFS(Y374:AG374,Constants!$B$19,Z374:AH374,"&gt;=0")&gt;0)),Constants!$B$12,Constants!$B$11)))</f>
        <v/>
      </c>
      <c r="AL374" s="59" t="str">
        <f aca="false">IF($AJ374=Constants!$B$7,IF(Z374="",Constants!$B$13,Z374),"")</f>
        <v/>
      </c>
      <c r="AM374" s="59" t="str">
        <f aca="false">IF($AJ374=Constants!$B$7,IF(AB374="",Constants!$B$13,AB374),"")</f>
        <v/>
      </c>
      <c r="AN374" s="59" t="str">
        <f aca="false">IF($AJ374=Constants!$B$7,IF(AD374="",Constants!$B$13,AD374),"")</f>
        <v/>
      </c>
      <c r="AO374" s="59" t="str">
        <f aca="false">IF($AJ374=Constants!$B$7,IF(AF374="",Constants!$B$13,AF374),"")</f>
        <v/>
      </c>
      <c r="AP374" s="59" t="str">
        <f aca="false">IF($AJ374=Constants!$B$7,IF(AH374="",Constants!$B$13,AH374),"")</f>
        <v/>
      </c>
      <c r="AQ374" s="59" t="str">
        <f aca="false">IF($AJ374=Constants!$B$7,IF(SUMPRODUCT(--($AL374:$AP374&gt;AL374))+SUMPRODUCT(--($AL374:AL374=AL374))=1,1,IF(SUMPRODUCT(--($AL374:$AP374&gt;AM374))+SUMPRODUCT(--($AL374:AM374=AM374))=1,2,IF(SUMPRODUCT(--($AL374:$AP374&gt;AN374))+SUMPRODUCT(--($AL374:AN374=AN374))=1,3,IF(SUMPRODUCT(--($AL374:$AP374&gt;AO374))+SUMPRODUCT(--($AL374:AO374=AO374))=1,4,5)))),"")</f>
        <v/>
      </c>
      <c r="AR374" s="59" t="str">
        <f aca="false">IF($AJ374=Constants!$B$7,IF(SUMPRODUCT(--($AL374:$AP374&gt;AL374))+SUMPRODUCT(--($AL374:AL374=AL374))=2,1,IF(SUMPRODUCT(--($AL374:$AP374&gt;AM374))+SUMPRODUCT(--($AL374:AM374=AM374))=2,2,IF(SUMPRODUCT(--($AL374:$AP374&gt;AN374))+SUMPRODUCT(--($AL374:AN374=AN374))=2,3,IF(SUMPRODUCT(--($AL374:$AP374&gt;AO374))+SUMPRODUCT(--($AL374:AO374=AO374))=2,4,5)))),"")</f>
        <v/>
      </c>
      <c r="AS374" s="59" t="str">
        <f aca="false">IF($AJ374=Constants!$B$7,IF(SUMPRODUCT(--($AL374:$AP374&gt;AL374))+SUMPRODUCT(--($AL374:AL374=AL374))=3,1,IF(SUMPRODUCT(--($AL374:$AP374&gt;AM374))+SUMPRODUCT(--($AL374:AM374=AM374))=3,2,IF(SUMPRODUCT(--($AL374:$AP374&gt;AN374))+SUMPRODUCT(--($AL374:AN374=AN374))=3,3,IF(SUMPRODUCT(--($AL374:$AP374&gt;AO374))+SUMPRODUCT(--($AL374:AO374=AO374))=3,4,5)))),"")</f>
        <v/>
      </c>
      <c r="AT374" s="59" t="str">
        <f aca="false">IF($AJ374=Constants!$B$7,LARGE(AL374:AP374,1)+LARGE(AL374:AP374,2)+LARGE(AL374:AP374,3),"")</f>
        <v/>
      </c>
      <c r="AU374" s="59" t="str">
        <f aca="false">IF(ISBLANK($C374),"",IF($AJ374&lt;&gt;Constants!$B$7,$AJ374,AT374*W374))</f>
        <v/>
      </c>
      <c r="AV374" s="59" t="str">
        <f aca="false">IF(ISBLANK($C374),"",IF($AJ374=Constants!$B$7,IF(ISNUMBER(AU374),RANK(AU374,$AU$8:$AU$507),Constants!$B$14),$AJ374))</f>
        <v/>
      </c>
      <c r="AW374" s="59" t="str">
        <f aca="false">IF(ISBLANK($C374),"",IF($AJ374=Constants!$B$7,IF(ISNUMBER(AV374),COUNTIFS($AK$8:$AK$507,"&lt;"&amp;$AK374)+COUNTIFS($AK$8:$AK$507,$AK374,$AV$8:$AV$507,"&lt;"&amp;$AV374)+1,Constants!$B$14),$AJ374))</f>
        <v/>
      </c>
      <c r="AX374" s="59" t="str">
        <f aca="false">IF(ISBLANK($C374),"",IF($AJ374=Constants!$B$7,LARGE(AL374:AP374,4)*W374,""))</f>
        <v/>
      </c>
      <c r="AY374" s="59" t="str">
        <f aca="false">IF(ISBLANK($C374),"",IF($AJ374=Constants!$B$7,RANK(AX374,$AX$8:$AX$507),$AJ374))</f>
        <v/>
      </c>
      <c r="AZ374" s="59" t="str">
        <f aca="false">IF(ISBLANK($C374),"",IF($AJ374=Constants!$B$7,IF(ISNUMBER(AV374),COUNTIFS($AK$8:$AK$507,"&lt;"&amp;$AK374)+COUNTIFS($AK$8:$AK$507,$AK374,$AV$8:$AV$507,"&lt;"&amp;$AV374)+COUNTIFS($AK$8:$AK$507,$AK374,$AV$8:$AV$507,$AV374,$AY$8:$AY$507,"&lt;"&amp;$AY374)+1,Constants!$B$14),$AJ374))</f>
        <v/>
      </c>
      <c r="BA374" s="59" t="str">
        <f aca="false">IF(ISBLANK($C374),"",IF($AJ374=Constants!$B$7,IF(ISNUMBER(AW374),AW374-AZ374,Constants!$B$14),$AJ374))</f>
        <v/>
      </c>
      <c r="BB374" s="61"/>
      <c r="BC374" s="62" t="str">
        <f aca="false">IF(ISBLANK($C374),"",IF($AJ374&lt;&gt;Constants!$B$7,$AJ374,SMALL(AQ374:AS374,1)&amp;", "&amp;SMALL(AQ374:AS374,2)&amp;", "&amp;SMALL(AQ374:AS374,3)))</f>
        <v/>
      </c>
      <c r="BD374" s="63" t="str">
        <f aca="false">IF(ISBLANK($C374),"",IF($AJ374&lt;&gt;Constants!$B$7,$AJ374,W374))</f>
        <v/>
      </c>
      <c r="BE374" s="64" t="str">
        <f aca="false">IF(ISBLANK($C374),"",IF($AJ374&lt;&gt;Constants!$B$7,$AJ374,AU374))</f>
        <v/>
      </c>
      <c r="BF374" s="65" t="str">
        <f aca="false">IF(ISBLANK($C374),"",IF($AJ374&lt;&gt;Constants!$B$7,$AJ374,AK374))</f>
        <v/>
      </c>
      <c r="BG374" s="63" t="str">
        <f aca="false">IF(ISBLANK($C374),"",BA374)</f>
        <v/>
      </c>
      <c r="BH374" s="63" t="str">
        <f aca="false">IF(ISBLANK($C374),"",AZ374)</f>
        <v/>
      </c>
      <c r="BI374" s="66" t="str">
        <f aca="false">IF(ISBLANK($C374),"",IF(BH374=Constants!$B$4,COUNTA($C$8:$C$507)+2,IF(BH374=Constants!$B$5,COUNTA($C$8:$C$507)+1,IF(BH374=Constants!$B$6,COUNTA($C$8:$C$507),BH374))))</f>
        <v/>
      </c>
      <c r="BJ374" s="5"/>
      <c r="BK374" s="67" t="n">
        <f aca="false">IF(OR(ISNUMBER(BH374),BH374=Constants!$B$4,BH374=Constants!$B$6,BH374=Constants!$B$5),1,0)</f>
        <v>0</v>
      </c>
      <c r="BL374" s="67" t="n">
        <v>367</v>
      </c>
      <c r="BM374" s="67" t="str">
        <f aca="false">IF(ISBLANK($C374),"",IF(ISNUMBER(BI374),BI374+ROW($B374)/1000,""))</f>
        <v/>
      </c>
      <c r="BN374" s="67" t="str">
        <f aca="false">IF(ISNUMBER(BM374),RANK(BM374,$BM$8:$BM$507,1),"")</f>
        <v/>
      </c>
      <c r="BO374" s="67" t="str">
        <f aca="false">IF(ISBLANK($C374),"",$B374)</f>
        <v/>
      </c>
      <c r="BP374" s="67" t="str">
        <f aca="false">IF(ISBLANK($C374),"",$C374)</f>
        <v/>
      </c>
      <c r="BQ374" s="67" t="str">
        <f aca="false">IF(ISBLANK($C374),"",$D374)</f>
        <v/>
      </c>
      <c r="BR374" s="68" t="str">
        <f aca="false">BF374</f>
        <v/>
      </c>
      <c r="BS374" s="69" t="str">
        <f aca="false">BE374</f>
        <v/>
      </c>
      <c r="BT374" s="67" t="str">
        <f aca="false">IF(ISBLANK($C374),"",BH374)</f>
        <v/>
      </c>
      <c r="BU374" s="70" t="str">
        <f aca="false">IF($BL374&gt;$BK$7,"",VLOOKUP($BL374,$BN$8:$BT$507,7,FALSE()))</f>
        <v/>
      </c>
      <c r="BV374" s="71" t="str">
        <f aca="false">IF($BL374&gt;$BK$7,"",VLOOKUP($BL374,$BN$8:$BT$507,2,FALSE()))</f>
        <v/>
      </c>
      <c r="BW374" s="71" t="str">
        <f aca="false">IF($BL374&gt;$BK$7,"",VLOOKUP($BL374,$BN$8:$BT$507,3,FALSE()))</f>
        <v/>
      </c>
      <c r="BX374" s="71" t="str">
        <f aca="false">IF($BL374&gt;$BK$7,"",VLOOKUP($BL374,$BN$8:$BT$507,4,FALSE()))</f>
        <v/>
      </c>
      <c r="BY374" s="71" t="str">
        <f aca="false">IF($BL374&gt;$BK$7,"",VLOOKUP($BL374,$BN$8:$BT$507,5,FALSE()))</f>
        <v/>
      </c>
      <c r="BZ374" s="72" t="str">
        <f aca="false">IF($BL374&gt;$BK$7,"",VLOOKUP($BL374,$BN$8:$BT$507,6,FALSE()))</f>
        <v/>
      </c>
      <c r="CA374" s="48"/>
    </row>
    <row r="375" customFormat="false" ht="15.75" hidden="false" customHeight="false" outlineLevel="0" collapsed="false">
      <c r="A375" s="5"/>
      <c r="B375" s="121"/>
      <c r="C375" s="50"/>
      <c r="D375" s="51"/>
      <c r="E375" s="74"/>
      <c r="F375" s="122"/>
      <c r="G375" s="54"/>
      <c r="H375" s="123"/>
      <c r="I375" s="124"/>
      <c r="J375" s="54"/>
      <c r="K375" s="123"/>
      <c r="L375" s="54"/>
      <c r="M375" s="123"/>
      <c r="N375" s="54"/>
      <c r="O375" s="123"/>
      <c r="P375" s="54"/>
      <c r="Q375" s="123"/>
      <c r="R375" s="54"/>
      <c r="S375" s="74"/>
      <c r="T375" s="58"/>
      <c r="U375" s="59" t="str">
        <f aca="false">IF(ISBLANK($C375),"",IF(E375=Constants!$B$2, TRUE(), IF(E375=Constants!$B$3, FALSE(), TRUE())))</f>
        <v/>
      </c>
      <c r="V375" s="59" t="str">
        <f aca="false">IF(ISBLANK($C375),"",IF(F375=Constants!$B$2, TRUE(), IF(F375=Constants!$B$3, FALSE(), TRUE())))</f>
        <v/>
      </c>
      <c r="W375" s="59" t="str">
        <f aca="false">IF(ISBLANK($C375),"",IF(G375=Constants!$B$15,Constants!$B$8,IF(G375=Constants!$B$16,Constants!$B$9,Constants!$B$10)))</f>
        <v/>
      </c>
      <c r="X375" s="59" t="str">
        <f aca="false">IF(ISBLANK($C375),"",IF(H375=Constants!$B$2, TRUE(), IF(H375=Constants!$B$3, FALSE(), TRUE())))</f>
        <v/>
      </c>
      <c r="Y375" s="59" t="str">
        <f aca="false">IF(ISBLANK($C375),"",IF(I375=Constants!$B$19,Constants!$B$19,Constants!$B$18))</f>
        <v/>
      </c>
      <c r="Z375" s="59" t="str">
        <f aca="false">IF(ISBLANK($C375),"",IF(ISNUMBER(J375),IF(J375&gt;=0,J375,""),""))</f>
        <v/>
      </c>
      <c r="AA375" s="59" t="str">
        <f aca="false">IF(ISBLANK($C375),"",IF(K375=Constants!$B$19,Constants!$B$19,Constants!$B$18))</f>
        <v/>
      </c>
      <c r="AB375" s="59" t="str">
        <f aca="false">IF(ISBLANK($C375),"",IF(ISNUMBER(L375),IF(L375&gt;=0,L375,""),""))</f>
        <v/>
      </c>
      <c r="AC375" s="59" t="str">
        <f aca="false">IF(ISBLANK($C375),"",IF(M375=Constants!$B$19,Constants!$B$19,Constants!$B$18))</f>
        <v/>
      </c>
      <c r="AD375" s="59" t="str">
        <f aca="false">IF(ISBLANK($C375),"",IF(ISNUMBER(N375),IF(N375&gt;=0,N375,""),""))</f>
        <v/>
      </c>
      <c r="AE375" s="59" t="str">
        <f aca="false">IF(ISBLANK($C375),"",IF(O375=Constants!$B$19,Constants!$B$19,Constants!$B$18))</f>
        <v/>
      </c>
      <c r="AF375" s="59" t="str">
        <f aca="false">IF(ISBLANK($C375),"",IF(ISNUMBER(P375),IF(P375&gt;=0,P375,""),""))</f>
        <v/>
      </c>
      <c r="AG375" s="59" t="str">
        <f aca="false">IF(ISBLANK($C375),"",IF(Q375=Constants!$B$19,Constants!$B$19,Constants!$B$18))</f>
        <v/>
      </c>
      <c r="AH375" s="59" t="str">
        <f aca="false">IF(ISBLANK($C375),"",IF(ISNUMBER(R375),IF(R375&gt;=0,R375,""),""))</f>
        <v/>
      </c>
      <c r="AI375" s="59" t="str">
        <f aca="false">IF(ISBLANK($C375),"",IF(S375=Constants!$B$2, TRUE(), IF(S375=Constants!$B$3, FALSE(), FALSE())))</f>
        <v/>
      </c>
      <c r="AJ375" s="59" t="str">
        <f aca="false">IF(ISBLANK($C375),"",IF(AI375,Constants!$B$4,IF(COUNTA(E375:R375)=0,Constants!$B$5,IF(COUNTA(J375,L375,N375,P375,R375)=0,Constants!$B$6,Constants!$B$7))))</f>
        <v/>
      </c>
      <c r="AK375" s="59" t="str">
        <f aca="false">IF(ISBLANK($C375),"",IF($AJ375&lt;&gt;Constants!$B$7,$AJ375,IF(OR(NOT(X375),AND(NOT(U375),COUNTIFS(Y375:AG375,Constants!$B$18,Z375:AH375,"&gt;=0")&gt;0),AND(NOT(V375),COUNTIFS(Y375:AG375,Constants!$B$19,Z375:AH375,"&gt;=0")&gt;0)),Constants!$B$12,Constants!$B$11)))</f>
        <v/>
      </c>
      <c r="AL375" s="59" t="str">
        <f aca="false">IF($AJ375=Constants!$B$7,IF(Z375="",Constants!$B$13,Z375),"")</f>
        <v/>
      </c>
      <c r="AM375" s="59" t="str">
        <f aca="false">IF($AJ375=Constants!$B$7,IF(AB375="",Constants!$B$13,AB375),"")</f>
        <v/>
      </c>
      <c r="AN375" s="59" t="str">
        <f aca="false">IF($AJ375=Constants!$B$7,IF(AD375="",Constants!$B$13,AD375),"")</f>
        <v/>
      </c>
      <c r="AO375" s="59" t="str">
        <f aca="false">IF($AJ375=Constants!$B$7,IF(AF375="",Constants!$B$13,AF375),"")</f>
        <v/>
      </c>
      <c r="AP375" s="59" t="str">
        <f aca="false">IF($AJ375=Constants!$B$7,IF(AH375="",Constants!$B$13,AH375),"")</f>
        <v/>
      </c>
      <c r="AQ375" s="59" t="str">
        <f aca="false">IF($AJ375=Constants!$B$7,IF(SUMPRODUCT(--($AL375:$AP375&gt;AL375))+SUMPRODUCT(--($AL375:AL375=AL375))=1,1,IF(SUMPRODUCT(--($AL375:$AP375&gt;AM375))+SUMPRODUCT(--($AL375:AM375=AM375))=1,2,IF(SUMPRODUCT(--($AL375:$AP375&gt;AN375))+SUMPRODUCT(--($AL375:AN375=AN375))=1,3,IF(SUMPRODUCT(--($AL375:$AP375&gt;AO375))+SUMPRODUCT(--($AL375:AO375=AO375))=1,4,5)))),"")</f>
        <v/>
      </c>
      <c r="AR375" s="59" t="str">
        <f aca="false">IF($AJ375=Constants!$B$7,IF(SUMPRODUCT(--($AL375:$AP375&gt;AL375))+SUMPRODUCT(--($AL375:AL375=AL375))=2,1,IF(SUMPRODUCT(--($AL375:$AP375&gt;AM375))+SUMPRODUCT(--($AL375:AM375=AM375))=2,2,IF(SUMPRODUCT(--($AL375:$AP375&gt;AN375))+SUMPRODUCT(--($AL375:AN375=AN375))=2,3,IF(SUMPRODUCT(--($AL375:$AP375&gt;AO375))+SUMPRODUCT(--($AL375:AO375=AO375))=2,4,5)))),"")</f>
        <v/>
      </c>
      <c r="AS375" s="59" t="str">
        <f aca="false">IF($AJ375=Constants!$B$7,IF(SUMPRODUCT(--($AL375:$AP375&gt;AL375))+SUMPRODUCT(--($AL375:AL375=AL375))=3,1,IF(SUMPRODUCT(--($AL375:$AP375&gt;AM375))+SUMPRODUCT(--($AL375:AM375=AM375))=3,2,IF(SUMPRODUCT(--($AL375:$AP375&gt;AN375))+SUMPRODUCT(--($AL375:AN375=AN375))=3,3,IF(SUMPRODUCT(--($AL375:$AP375&gt;AO375))+SUMPRODUCT(--($AL375:AO375=AO375))=3,4,5)))),"")</f>
        <v/>
      </c>
      <c r="AT375" s="59" t="str">
        <f aca="false">IF($AJ375=Constants!$B$7,LARGE(AL375:AP375,1)+LARGE(AL375:AP375,2)+LARGE(AL375:AP375,3),"")</f>
        <v/>
      </c>
      <c r="AU375" s="59" t="str">
        <f aca="false">IF(ISBLANK($C375),"",IF($AJ375&lt;&gt;Constants!$B$7,$AJ375,AT375*W375))</f>
        <v/>
      </c>
      <c r="AV375" s="59" t="str">
        <f aca="false">IF(ISBLANK($C375),"",IF($AJ375=Constants!$B$7,IF(ISNUMBER(AU375),RANK(AU375,$AU$8:$AU$507),Constants!$B$14),$AJ375))</f>
        <v/>
      </c>
      <c r="AW375" s="59" t="str">
        <f aca="false">IF(ISBLANK($C375),"",IF($AJ375=Constants!$B$7,IF(ISNUMBER(AV375),COUNTIFS($AK$8:$AK$507,"&lt;"&amp;$AK375)+COUNTIFS($AK$8:$AK$507,$AK375,$AV$8:$AV$507,"&lt;"&amp;$AV375)+1,Constants!$B$14),$AJ375))</f>
        <v/>
      </c>
      <c r="AX375" s="59" t="str">
        <f aca="false">IF(ISBLANK($C375),"",IF($AJ375=Constants!$B$7,LARGE(AL375:AP375,4)*W375,""))</f>
        <v/>
      </c>
      <c r="AY375" s="59" t="str">
        <f aca="false">IF(ISBLANK($C375),"",IF($AJ375=Constants!$B$7,RANK(AX375,$AX$8:$AX$507),$AJ375))</f>
        <v/>
      </c>
      <c r="AZ375" s="59" t="str">
        <f aca="false">IF(ISBLANK($C375),"",IF($AJ375=Constants!$B$7,IF(ISNUMBER(AV375),COUNTIFS($AK$8:$AK$507,"&lt;"&amp;$AK375)+COUNTIFS($AK$8:$AK$507,$AK375,$AV$8:$AV$507,"&lt;"&amp;$AV375)+COUNTIFS($AK$8:$AK$507,$AK375,$AV$8:$AV$507,$AV375,$AY$8:$AY$507,"&lt;"&amp;$AY375)+1,Constants!$B$14),$AJ375))</f>
        <v/>
      </c>
      <c r="BA375" s="59" t="str">
        <f aca="false">IF(ISBLANK($C375),"",IF($AJ375=Constants!$B$7,IF(ISNUMBER(AW375),AW375-AZ375,Constants!$B$14),$AJ375))</f>
        <v/>
      </c>
      <c r="BB375" s="61"/>
      <c r="BC375" s="62" t="str">
        <f aca="false">IF(ISBLANK($C375),"",IF($AJ375&lt;&gt;Constants!$B$7,$AJ375,SMALL(AQ375:AS375,1)&amp;", "&amp;SMALL(AQ375:AS375,2)&amp;", "&amp;SMALL(AQ375:AS375,3)))</f>
        <v/>
      </c>
      <c r="BD375" s="63" t="str">
        <f aca="false">IF(ISBLANK($C375),"",IF($AJ375&lt;&gt;Constants!$B$7,$AJ375,W375))</f>
        <v/>
      </c>
      <c r="BE375" s="64" t="str">
        <f aca="false">IF(ISBLANK($C375),"",IF($AJ375&lt;&gt;Constants!$B$7,$AJ375,AU375))</f>
        <v/>
      </c>
      <c r="BF375" s="65" t="str">
        <f aca="false">IF(ISBLANK($C375),"",IF($AJ375&lt;&gt;Constants!$B$7,$AJ375,AK375))</f>
        <v/>
      </c>
      <c r="BG375" s="63" t="str">
        <f aca="false">IF(ISBLANK($C375),"",BA375)</f>
        <v/>
      </c>
      <c r="BH375" s="63" t="str">
        <f aca="false">IF(ISBLANK($C375),"",AZ375)</f>
        <v/>
      </c>
      <c r="BI375" s="66" t="str">
        <f aca="false">IF(ISBLANK($C375),"",IF(BH375=Constants!$B$4,COUNTA($C$8:$C$507)+2,IF(BH375=Constants!$B$5,COUNTA($C$8:$C$507)+1,IF(BH375=Constants!$B$6,COUNTA($C$8:$C$507),BH375))))</f>
        <v/>
      </c>
      <c r="BJ375" s="5"/>
      <c r="BK375" s="67" t="n">
        <f aca="false">IF(OR(ISNUMBER(BH375),BH375=Constants!$B$4,BH375=Constants!$B$6,BH375=Constants!$B$5),1,0)</f>
        <v>0</v>
      </c>
      <c r="BL375" s="67" t="n">
        <v>368</v>
      </c>
      <c r="BM375" s="67" t="str">
        <f aca="false">IF(ISBLANK($C375),"",IF(ISNUMBER(BI375),BI375+ROW($B375)/1000,""))</f>
        <v/>
      </c>
      <c r="BN375" s="67" t="str">
        <f aca="false">IF(ISNUMBER(BM375),RANK(BM375,$BM$8:$BM$507,1),"")</f>
        <v/>
      </c>
      <c r="BO375" s="67" t="str">
        <f aca="false">IF(ISBLANK($C375),"",$B375)</f>
        <v/>
      </c>
      <c r="BP375" s="67" t="str">
        <f aca="false">IF(ISBLANK($C375),"",$C375)</f>
        <v/>
      </c>
      <c r="BQ375" s="67" t="str">
        <f aca="false">IF(ISBLANK($C375),"",$D375)</f>
        <v/>
      </c>
      <c r="BR375" s="68" t="str">
        <f aca="false">BF375</f>
        <v/>
      </c>
      <c r="BS375" s="69" t="str">
        <f aca="false">BE375</f>
        <v/>
      </c>
      <c r="BT375" s="67" t="str">
        <f aca="false">IF(ISBLANK($C375),"",BH375)</f>
        <v/>
      </c>
      <c r="BU375" s="70" t="str">
        <f aca="false">IF($BL375&gt;$BK$7,"",VLOOKUP($BL375,$BN$8:$BT$507,7,FALSE()))</f>
        <v/>
      </c>
      <c r="BV375" s="71" t="str">
        <f aca="false">IF($BL375&gt;$BK$7,"",VLOOKUP($BL375,$BN$8:$BT$507,2,FALSE()))</f>
        <v/>
      </c>
      <c r="BW375" s="71" t="str">
        <f aca="false">IF($BL375&gt;$BK$7,"",VLOOKUP($BL375,$BN$8:$BT$507,3,FALSE()))</f>
        <v/>
      </c>
      <c r="BX375" s="71" t="str">
        <f aca="false">IF($BL375&gt;$BK$7,"",VLOOKUP($BL375,$BN$8:$BT$507,4,FALSE()))</f>
        <v/>
      </c>
      <c r="BY375" s="71" t="str">
        <f aca="false">IF($BL375&gt;$BK$7,"",VLOOKUP($BL375,$BN$8:$BT$507,5,FALSE()))</f>
        <v/>
      </c>
      <c r="BZ375" s="72" t="str">
        <f aca="false">IF($BL375&gt;$BK$7,"",VLOOKUP($BL375,$BN$8:$BT$507,6,FALSE()))</f>
        <v/>
      </c>
      <c r="CA375" s="48"/>
    </row>
    <row r="376" customFormat="false" ht="15.75" hidden="false" customHeight="false" outlineLevel="0" collapsed="false">
      <c r="A376" s="5"/>
      <c r="B376" s="121"/>
      <c r="C376" s="50"/>
      <c r="D376" s="51"/>
      <c r="E376" s="74"/>
      <c r="F376" s="122"/>
      <c r="G376" s="54"/>
      <c r="H376" s="123"/>
      <c r="I376" s="124"/>
      <c r="J376" s="54"/>
      <c r="K376" s="123"/>
      <c r="L376" s="54"/>
      <c r="M376" s="123"/>
      <c r="N376" s="54"/>
      <c r="O376" s="123"/>
      <c r="P376" s="54"/>
      <c r="Q376" s="123"/>
      <c r="R376" s="54"/>
      <c r="S376" s="74"/>
      <c r="T376" s="58"/>
      <c r="U376" s="59" t="str">
        <f aca="false">IF(ISBLANK($C376),"",IF(E376=Constants!$B$2, TRUE(), IF(E376=Constants!$B$3, FALSE(), TRUE())))</f>
        <v/>
      </c>
      <c r="V376" s="59" t="str">
        <f aca="false">IF(ISBLANK($C376),"",IF(F376=Constants!$B$2, TRUE(), IF(F376=Constants!$B$3, FALSE(), TRUE())))</f>
        <v/>
      </c>
      <c r="W376" s="59" t="str">
        <f aca="false">IF(ISBLANK($C376),"",IF(G376=Constants!$B$15,Constants!$B$8,IF(G376=Constants!$B$16,Constants!$B$9,Constants!$B$10)))</f>
        <v/>
      </c>
      <c r="X376" s="59" t="str">
        <f aca="false">IF(ISBLANK($C376),"",IF(H376=Constants!$B$2, TRUE(), IF(H376=Constants!$B$3, FALSE(), TRUE())))</f>
        <v/>
      </c>
      <c r="Y376" s="59" t="str">
        <f aca="false">IF(ISBLANK($C376),"",IF(I376=Constants!$B$19,Constants!$B$19,Constants!$B$18))</f>
        <v/>
      </c>
      <c r="Z376" s="59" t="str">
        <f aca="false">IF(ISBLANK($C376),"",IF(ISNUMBER(J376),IF(J376&gt;=0,J376,""),""))</f>
        <v/>
      </c>
      <c r="AA376" s="59" t="str">
        <f aca="false">IF(ISBLANK($C376),"",IF(K376=Constants!$B$19,Constants!$B$19,Constants!$B$18))</f>
        <v/>
      </c>
      <c r="AB376" s="59" t="str">
        <f aca="false">IF(ISBLANK($C376),"",IF(ISNUMBER(L376),IF(L376&gt;=0,L376,""),""))</f>
        <v/>
      </c>
      <c r="AC376" s="59" t="str">
        <f aca="false">IF(ISBLANK($C376),"",IF(M376=Constants!$B$19,Constants!$B$19,Constants!$B$18))</f>
        <v/>
      </c>
      <c r="AD376" s="59" t="str">
        <f aca="false">IF(ISBLANK($C376),"",IF(ISNUMBER(N376),IF(N376&gt;=0,N376,""),""))</f>
        <v/>
      </c>
      <c r="AE376" s="59" t="str">
        <f aca="false">IF(ISBLANK($C376),"",IF(O376=Constants!$B$19,Constants!$B$19,Constants!$B$18))</f>
        <v/>
      </c>
      <c r="AF376" s="59" t="str">
        <f aca="false">IF(ISBLANK($C376),"",IF(ISNUMBER(P376),IF(P376&gt;=0,P376,""),""))</f>
        <v/>
      </c>
      <c r="AG376" s="59" t="str">
        <f aca="false">IF(ISBLANK($C376),"",IF(Q376=Constants!$B$19,Constants!$B$19,Constants!$B$18))</f>
        <v/>
      </c>
      <c r="AH376" s="59" t="str">
        <f aca="false">IF(ISBLANK($C376),"",IF(ISNUMBER(R376),IF(R376&gt;=0,R376,""),""))</f>
        <v/>
      </c>
      <c r="AI376" s="59" t="str">
        <f aca="false">IF(ISBLANK($C376),"",IF(S376=Constants!$B$2, TRUE(), IF(S376=Constants!$B$3, FALSE(), FALSE())))</f>
        <v/>
      </c>
      <c r="AJ376" s="59" t="str">
        <f aca="false">IF(ISBLANK($C376),"",IF(AI376,Constants!$B$4,IF(COUNTA(E376:R376)=0,Constants!$B$5,IF(COUNTA(J376,L376,N376,P376,R376)=0,Constants!$B$6,Constants!$B$7))))</f>
        <v/>
      </c>
      <c r="AK376" s="59" t="str">
        <f aca="false">IF(ISBLANK($C376),"",IF($AJ376&lt;&gt;Constants!$B$7,$AJ376,IF(OR(NOT(X376),AND(NOT(U376),COUNTIFS(Y376:AG376,Constants!$B$18,Z376:AH376,"&gt;=0")&gt;0),AND(NOT(V376),COUNTIFS(Y376:AG376,Constants!$B$19,Z376:AH376,"&gt;=0")&gt;0)),Constants!$B$12,Constants!$B$11)))</f>
        <v/>
      </c>
      <c r="AL376" s="59" t="str">
        <f aca="false">IF($AJ376=Constants!$B$7,IF(Z376="",Constants!$B$13,Z376),"")</f>
        <v/>
      </c>
      <c r="AM376" s="59" t="str">
        <f aca="false">IF($AJ376=Constants!$B$7,IF(AB376="",Constants!$B$13,AB376),"")</f>
        <v/>
      </c>
      <c r="AN376" s="59" t="str">
        <f aca="false">IF($AJ376=Constants!$B$7,IF(AD376="",Constants!$B$13,AD376),"")</f>
        <v/>
      </c>
      <c r="AO376" s="59" t="str">
        <f aca="false">IF($AJ376=Constants!$B$7,IF(AF376="",Constants!$B$13,AF376),"")</f>
        <v/>
      </c>
      <c r="AP376" s="59" t="str">
        <f aca="false">IF($AJ376=Constants!$B$7,IF(AH376="",Constants!$B$13,AH376),"")</f>
        <v/>
      </c>
      <c r="AQ376" s="59" t="str">
        <f aca="false">IF($AJ376=Constants!$B$7,IF(SUMPRODUCT(--($AL376:$AP376&gt;AL376))+SUMPRODUCT(--($AL376:AL376=AL376))=1,1,IF(SUMPRODUCT(--($AL376:$AP376&gt;AM376))+SUMPRODUCT(--($AL376:AM376=AM376))=1,2,IF(SUMPRODUCT(--($AL376:$AP376&gt;AN376))+SUMPRODUCT(--($AL376:AN376=AN376))=1,3,IF(SUMPRODUCT(--($AL376:$AP376&gt;AO376))+SUMPRODUCT(--($AL376:AO376=AO376))=1,4,5)))),"")</f>
        <v/>
      </c>
      <c r="AR376" s="59" t="str">
        <f aca="false">IF($AJ376=Constants!$B$7,IF(SUMPRODUCT(--($AL376:$AP376&gt;AL376))+SUMPRODUCT(--($AL376:AL376=AL376))=2,1,IF(SUMPRODUCT(--($AL376:$AP376&gt;AM376))+SUMPRODUCT(--($AL376:AM376=AM376))=2,2,IF(SUMPRODUCT(--($AL376:$AP376&gt;AN376))+SUMPRODUCT(--($AL376:AN376=AN376))=2,3,IF(SUMPRODUCT(--($AL376:$AP376&gt;AO376))+SUMPRODUCT(--($AL376:AO376=AO376))=2,4,5)))),"")</f>
        <v/>
      </c>
      <c r="AS376" s="59" t="str">
        <f aca="false">IF($AJ376=Constants!$B$7,IF(SUMPRODUCT(--($AL376:$AP376&gt;AL376))+SUMPRODUCT(--($AL376:AL376=AL376))=3,1,IF(SUMPRODUCT(--($AL376:$AP376&gt;AM376))+SUMPRODUCT(--($AL376:AM376=AM376))=3,2,IF(SUMPRODUCT(--($AL376:$AP376&gt;AN376))+SUMPRODUCT(--($AL376:AN376=AN376))=3,3,IF(SUMPRODUCT(--($AL376:$AP376&gt;AO376))+SUMPRODUCT(--($AL376:AO376=AO376))=3,4,5)))),"")</f>
        <v/>
      </c>
      <c r="AT376" s="59" t="str">
        <f aca="false">IF($AJ376=Constants!$B$7,LARGE(AL376:AP376,1)+LARGE(AL376:AP376,2)+LARGE(AL376:AP376,3),"")</f>
        <v/>
      </c>
      <c r="AU376" s="59" t="str">
        <f aca="false">IF(ISBLANK($C376),"",IF($AJ376&lt;&gt;Constants!$B$7,$AJ376,AT376*W376))</f>
        <v/>
      </c>
      <c r="AV376" s="59" t="str">
        <f aca="false">IF(ISBLANK($C376),"",IF($AJ376=Constants!$B$7,IF(ISNUMBER(AU376),RANK(AU376,$AU$8:$AU$507),Constants!$B$14),$AJ376))</f>
        <v/>
      </c>
      <c r="AW376" s="59" t="str">
        <f aca="false">IF(ISBLANK($C376),"",IF($AJ376=Constants!$B$7,IF(ISNUMBER(AV376),COUNTIFS($AK$8:$AK$507,"&lt;"&amp;$AK376)+COUNTIFS($AK$8:$AK$507,$AK376,$AV$8:$AV$507,"&lt;"&amp;$AV376)+1,Constants!$B$14),$AJ376))</f>
        <v/>
      </c>
      <c r="AX376" s="59" t="str">
        <f aca="false">IF(ISBLANK($C376),"",IF($AJ376=Constants!$B$7,LARGE(AL376:AP376,4)*W376,""))</f>
        <v/>
      </c>
      <c r="AY376" s="59" t="str">
        <f aca="false">IF(ISBLANK($C376),"",IF($AJ376=Constants!$B$7,RANK(AX376,$AX$8:$AX$507),$AJ376))</f>
        <v/>
      </c>
      <c r="AZ376" s="59" t="str">
        <f aca="false">IF(ISBLANK($C376),"",IF($AJ376=Constants!$B$7,IF(ISNUMBER(AV376),COUNTIFS($AK$8:$AK$507,"&lt;"&amp;$AK376)+COUNTIFS($AK$8:$AK$507,$AK376,$AV$8:$AV$507,"&lt;"&amp;$AV376)+COUNTIFS($AK$8:$AK$507,$AK376,$AV$8:$AV$507,$AV376,$AY$8:$AY$507,"&lt;"&amp;$AY376)+1,Constants!$B$14),$AJ376))</f>
        <v/>
      </c>
      <c r="BA376" s="59" t="str">
        <f aca="false">IF(ISBLANK($C376),"",IF($AJ376=Constants!$B$7,IF(ISNUMBER(AW376),AW376-AZ376,Constants!$B$14),$AJ376))</f>
        <v/>
      </c>
      <c r="BB376" s="61"/>
      <c r="BC376" s="62" t="str">
        <f aca="false">IF(ISBLANK($C376),"",IF($AJ376&lt;&gt;Constants!$B$7,$AJ376,SMALL(AQ376:AS376,1)&amp;", "&amp;SMALL(AQ376:AS376,2)&amp;", "&amp;SMALL(AQ376:AS376,3)))</f>
        <v/>
      </c>
      <c r="BD376" s="63" t="str">
        <f aca="false">IF(ISBLANK($C376),"",IF($AJ376&lt;&gt;Constants!$B$7,$AJ376,W376))</f>
        <v/>
      </c>
      <c r="BE376" s="64" t="str">
        <f aca="false">IF(ISBLANK($C376),"",IF($AJ376&lt;&gt;Constants!$B$7,$AJ376,AU376))</f>
        <v/>
      </c>
      <c r="BF376" s="65" t="str">
        <f aca="false">IF(ISBLANK($C376),"",IF($AJ376&lt;&gt;Constants!$B$7,$AJ376,AK376))</f>
        <v/>
      </c>
      <c r="BG376" s="63" t="str">
        <f aca="false">IF(ISBLANK($C376),"",BA376)</f>
        <v/>
      </c>
      <c r="BH376" s="63" t="str">
        <f aca="false">IF(ISBLANK($C376),"",AZ376)</f>
        <v/>
      </c>
      <c r="BI376" s="66" t="str">
        <f aca="false">IF(ISBLANK($C376),"",IF(BH376=Constants!$B$4,COUNTA($C$8:$C$507)+2,IF(BH376=Constants!$B$5,COUNTA($C$8:$C$507)+1,IF(BH376=Constants!$B$6,COUNTA($C$8:$C$507),BH376))))</f>
        <v/>
      </c>
      <c r="BJ376" s="5"/>
      <c r="BK376" s="67" t="n">
        <f aca="false">IF(OR(ISNUMBER(BH376),BH376=Constants!$B$4,BH376=Constants!$B$6,BH376=Constants!$B$5),1,0)</f>
        <v>0</v>
      </c>
      <c r="BL376" s="67" t="n">
        <v>369</v>
      </c>
      <c r="BM376" s="67" t="str">
        <f aca="false">IF(ISBLANK($C376),"",IF(ISNUMBER(BI376),BI376+ROW($B376)/1000,""))</f>
        <v/>
      </c>
      <c r="BN376" s="67" t="str">
        <f aca="false">IF(ISNUMBER(BM376),RANK(BM376,$BM$8:$BM$507,1),"")</f>
        <v/>
      </c>
      <c r="BO376" s="67" t="str">
        <f aca="false">IF(ISBLANK($C376),"",$B376)</f>
        <v/>
      </c>
      <c r="BP376" s="67" t="str">
        <f aca="false">IF(ISBLANK($C376),"",$C376)</f>
        <v/>
      </c>
      <c r="BQ376" s="67" t="str">
        <f aca="false">IF(ISBLANK($C376),"",$D376)</f>
        <v/>
      </c>
      <c r="BR376" s="68" t="str">
        <f aca="false">BF376</f>
        <v/>
      </c>
      <c r="BS376" s="69" t="str">
        <f aca="false">BE376</f>
        <v/>
      </c>
      <c r="BT376" s="67" t="str">
        <f aca="false">IF(ISBLANK($C376),"",BH376)</f>
        <v/>
      </c>
      <c r="BU376" s="70" t="str">
        <f aca="false">IF($BL376&gt;$BK$7,"",VLOOKUP($BL376,$BN$8:$BT$507,7,FALSE()))</f>
        <v/>
      </c>
      <c r="BV376" s="71" t="str">
        <f aca="false">IF($BL376&gt;$BK$7,"",VLOOKUP($BL376,$BN$8:$BT$507,2,FALSE()))</f>
        <v/>
      </c>
      <c r="BW376" s="71" t="str">
        <f aca="false">IF($BL376&gt;$BK$7,"",VLOOKUP($BL376,$BN$8:$BT$507,3,FALSE()))</f>
        <v/>
      </c>
      <c r="BX376" s="71" t="str">
        <f aca="false">IF($BL376&gt;$BK$7,"",VLOOKUP($BL376,$BN$8:$BT$507,4,FALSE()))</f>
        <v/>
      </c>
      <c r="BY376" s="71" t="str">
        <f aca="false">IF($BL376&gt;$BK$7,"",VLOOKUP($BL376,$BN$8:$BT$507,5,FALSE()))</f>
        <v/>
      </c>
      <c r="BZ376" s="72" t="str">
        <f aca="false">IF($BL376&gt;$BK$7,"",VLOOKUP($BL376,$BN$8:$BT$507,6,FALSE()))</f>
        <v/>
      </c>
      <c r="CA376" s="48"/>
    </row>
    <row r="377" customFormat="false" ht="15.75" hidden="false" customHeight="false" outlineLevel="0" collapsed="false">
      <c r="A377" s="5"/>
      <c r="B377" s="114"/>
      <c r="C377" s="115"/>
      <c r="D377" s="100"/>
      <c r="E377" s="120"/>
      <c r="F377" s="125"/>
      <c r="G377" s="82"/>
      <c r="H377" s="126"/>
      <c r="I377" s="127"/>
      <c r="J377" s="82"/>
      <c r="K377" s="126"/>
      <c r="L377" s="82"/>
      <c r="M377" s="126"/>
      <c r="N377" s="82"/>
      <c r="O377" s="126"/>
      <c r="P377" s="82"/>
      <c r="Q377" s="126"/>
      <c r="R377" s="82"/>
      <c r="S377" s="120"/>
      <c r="T377" s="86"/>
      <c r="U377" s="87" t="str">
        <f aca="false">IF(ISBLANK($C377),"",IF(E377=Constants!$B$2, TRUE(), IF(E377=Constants!$B$3, FALSE(), TRUE())))</f>
        <v/>
      </c>
      <c r="V377" s="87" t="str">
        <f aca="false">IF(ISBLANK($C377),"",IF(F377=Constants!$B$2, TRUE(), IF(F377=Constants!$B$3, FALSE(), TRUE())))</f>
        <v/>
      </c>
      <c r="W377" s="87" t="str">
        <f aca="false">IF(ISBLANK($C377),"",IF(G377=Constants!$B$15,Constants!$B$8,IF(G377=Constants!$B$16,Constants!$B$9,Constants!$B$10)))</f>
        <v/>
      </c>
      <c r="X377" s="87" t="str">
        <f aca="false">IF(ISBLANK($C377),"",IF(H377=Constants!$B$2, TRUE(), IF(H377=Constants!$B$3, FALSE(), TRUE())))</f>
        <v/>
      </c>
      <c r="Y377" s="87" t="str">
        <f aca="false">IF(ISBLANK($C377),"",IF(I377=Constants!$B$19,Constants!$B$19,Constants!$B$18))</f>
        <v/>
      </c>
      <c r="Z377" s="87" t="str">
        <f aca="false">IF(ISBLANK($C377),"",IF(ISNUMBER(J377),IF(J377&gt;=0,J377,""),""))</f>
        <v/>
      </c>
      <c r="AA377" s="87" t="str">
        <f aca="false">IF(ISBLANK($C377),"",IF(K377=Constants!$B$19,Constants!$B$19,Constants!$B$18))</f>
        <v/>
      </c>
      <c r="AB377" s="87" t="str">
        <f aca="false">IF(ISBLANK($C377),"",IF(ISNUMBER(L377),IF(L377&gt;=0,L377,""),""))</f>
        <v/>
      </c>
      <c r="AC377" s="87" t="str">
        <f aca="false">IF(ISBLANK($C377),"",IF(M377=Constants!$B$19,Constants!$B$19,Constants!$B$18))</f>
        <v/>
      </c>
      <c r="AD377" s="87" t="str">
        <f aca="false">IF(ISBLANK($C377),"",IF(ISNUMBER(N377),IF(N377&gt;=0,N377,""),""))</f>
        <v/>
      </c>
      <c r="AE377" s="87" t="str">
        <f aca="false">IF(ISBLANK($C377),"",IF(O377=Constants!$B$19,Constants!$B$19,Constants!$B$18))</f>
        <v/>
      </c>
      <c r="AF377" s="87" t="str">
        <f aca="false">IF(ISBLANK($C377),"",IF(ISNUMBER(P377),IF(P377&gt;=0,P377,""),""))</f>
        <v/>
      </c>
      <c r="AG377" s="87" t="str">
        <f aca="false">IF(ISBLANK($C377),"",IF(Q377=Constants!$B$19,Constants!$B$19,Constants!$B$18))</f>
        <v/>
      </c>
      <c r="AH377" s="87" t="str">
        <f aca="false">IF(ISBLANK($C377),"",IF(ISNUMBER(R377),IF(R377&gt;=0,R377,""),""))</f>
        <v/>
      </c>
      <c r="AI377" s="87" t="str">
        <f aca="false">IF(ISBLANK($C377),"",IF(S377=Constants!$B$2, TRUE(), IF(S377=Constants!$B$3, FALSE(), FALSE())))</f>
        <v/>
      </c>
      <c r="AJ377" s="87" t="str">
        <f aca="false">IF(ISBLANK($C377),"",IF(AI377,Constants!$B$4,IF(COUNTA(E377:R377)=0,Constants!$B$5,IF(COUNTA(J377,L377,N377,P377,R377)=0,Constants!$B$6,Constants!$B$7))))</f>
        <v/>
      </c>
      <c r="AK377" s="87" t="str">
        <f aca="false">IF(ISBLANK($C377),"",IF($AJ377&lt;&gt;Constants!$B$7,$AJ377,IF(OR(NOT(X377),AND(NOT(U377),COUNTIFS(Y377:AG377,Constants!$B$18,Z377:AH377,"&gt;=0")&gt;0),AND(NOT(V377),COUNTIFS(Y377:AG377,Constants!$B$19,Z377:AH377,"&gt;=0")&gt;0)),Constants!$B$12,Constants!$B$11)))</f>
        <v/>
      </c>
      <c r="AL377" s="87" t="str">
        <f aca="false">IF($AJ377=Constants!$B$7,IF(Z377="",Constants!$B$13,Z377),"")</f>
        <v/>
      </c>
      <c r="AM377" s="87" t="str">
        <f aca="false">IF($AJ377=Constants!$B$7,IF(AB377="",Constants!$B$13,AB377),"")</f>
        <v/>
      </c>
      <c r="AN377" s="87" t="str">
        <f aca="false">IF($AJ377=Constants!$B$7,IF(AD377="",Constants!$B$13,AD377),"")</f>
        <v/>
      </c>
      <c r="AO377" s="87" t="str">
        <f aca="false">IF($AJ377=Constants!$B$7,IF(AF377="",Constants!$B$13,AF377),"")</f>
        <v/>
      </c>
      <c r="AP377" s="87" t="str">
        <f aca="false">IF($AJ377=Constants!$B$7,IF(AH377="",Constants!$B$13,AH377),"")</f>
        <v/>
      </c>
      <c r="AQ377" s="87" t="str">
        <f aca="false">IF($AJ377=Constants!$B$7,IF(SUMPRODUCT(--($AL377:$AP377&gt;AL377))+SUMPRODUCT(--($AL377:AL377=AL377))=1,1,IF(SUMPRODUCT(--($AL377:$AP377&gt;AM377))+SUMPRODUCT(--($AL377:AM377=AM377))=1,2,IF(SUMPRODUCT(--($AL377:$AP377&gt;AN377))+SUMPRODUCT(--($AL377:AN377=AN377))=1,3,IF(SUMPRODUCT(--($AL377:$AP377&gt;AO377))+SUMPRODUCT(--($AL377:AO377=AO377))=1,4,5)))),"")</f>
        <v/>
      </c>
      <c r="AR377" s="87" t="str">
        <f aca="false">IF($AJ377=Constants!$B$7,IF(SUMPRODUCT(--($AL377:$AP377&gt;AL377))+SUMPRODUCT(--($AL377:AL377=AL377))=2,1,IF(SUMPRODUCT(--($AL377:$AP377&gt;AM377))+SUMPRODUCT(--($AL377:AM377=AM377))=2,2,IF(SUMPRODUCT(--($AL377:$AP377&gt;AN377))+SUMPRODUCT(--($AL377:AN377=AN377))=2,3,IF(SUMPRODUCT(--($AL377:$AP377&gt;AO377))+SUMPRODUCT(--($AL377:AO377=AO377))=2,4,5)))),"")</f>
        <v/>
      </c>
      <c r="AS377" s="87" t="str">
        <f aca="false">IF($AJ377=Constants!$B$7,IF(SUMPRODUCT(--($AL377:$AP377&gt;AL377))+SUMPRODUCT(--($AL377:AL377=AL377))=3,1,IF(SUMPRODUCT(--($AL377:$AP377&gt;AM377))+SUMPRODUCT(--($AL377:AM377=AM377))=3,2,IF(SUMPRODUCT(--($AL377:$AP377&gt;AN377))+SUMPRODUCT(--($AL377:AN377=AN377))=3,3,IF(SUMPRODUCT(--($AL377:$AP377&gt;AO377))+SUMPRODUCT(--($AL377:AO377=AO377))=3,4,5)))),"")</f>
        <v/>
      </c>
      <c r="AT377" s="87" t="str">
        <f aca="false">IF($AJ377=Constants!$B$7,LARGE(AL377:AP377,1)+LARGE(AL377:AP377,2)+LARGE(AL377:AP377,3),"")</f>
        <v/>
      </c>
      <c r="AU377" s="87" t="str">
        <f aca="false">IF(ISBLANK($C377),"",IF($AJ377&lt;&gt;Constants!$B$7,$AJ377,AT377*W377))</f>
        <v/>
      </c>
      <c r="AV377" s="87" t="str">
        <f aca="false">IF(ISBLANK($C377),"",IF($AJ377=Constants!$B$7,IF(ISNUMBER(AU377),RANK(AU377,$AU$8:$AU$507),Constants!$B$14),$AJ377))</f>
        <v/>
      </c>
      <c r="AW377" s="87" t="str">
        <f aca="false">IF(ISBLANK($C377),"",IF($AJ377=Constants!$B$7,IF(ISNUMBER(AV377),COUNTIFS($AK$8:$AK$507,"&lt;"&amp;$AK377)+COUNTIFS($AK$8:$AK$507,$AK377,$AV$8:$AV$507,"&lt;"&amp;$AV377)+1,Constants!$B$14),$AJ377))</f>
        <v/>
      </c>
      <c r="AX377" s="87" t="str">
        <f aca="false">IF(ISBLANK($C377),"",IF($AJ377=Constants!$B$7,LARGE(AL377:AP377,4)*W377,""))</f>
        <v/>
      </c>
      <c r="AY377" s="87" t="str">
        <f aca="false">IF(ISBLANK($C377),"",IF($AJ377=Constants!$B$7,RANK(AX377,$AX$8:$AX$507),$AJ377))</f>
        <v/>
      </c>
      <c r="AZ377" s="87" t="str">
        <f aca="false">IF(ISBLANK($C377),"",IF($AJ377=Constants!$B$7,IF(ISNUMBER(AV377),COUNTIFS($AK$8:$AK$507,"&lt;"&amp;$AK377)+COUNTIFS($AK$8:$AK$507,$AK377,$AV$8:$AV$507,"&lt;"&amp;$AV377)+COUNTIFS($AK$8:$AK$507,$AK377,$AV$8:$AV$507,$AV377,$AY$8:$AY$507,"&lt;"&amp;$AY377)+1,Constants!$B$14),$AJ377))</f>
        <v/>
      </c>
      <c r="BA377" s="87" t="str">
        <f aca="false">IF(ISBLANK($C377),"",IF($AJ377=Constants!$B$7,IF(ISNUMBER(AW377),AW377-AZ377,Constants!$B$14),$AJ377))</f>
        <v/>
      </c>
      <c r="BB377" s="88"/>
      <c r="BC377" s="89" t="str">
        <f aca="false">IF(ISBLANK($C377),"",IF($AJ377&lt;&gt;Constants!$B$7,$AJ377,SMALL(AQ377:AS377,1)&amp;", "&amp;SMALL(AQ377:AS377,2)&amp;", "&amp;SMALL(AQ377:AS377,3)))</f>
        <v/>
      </c>
      <c r="BD377" s="90" t="str">
        <f aca="false">IF(ISBLANK($C377),"",IF($AJ377&lt;&gt;Constants!$B$7,$AJ377,W377))</f>
        <v/>
      </c>
      <c r="BE377" s="91" t="str">
        <f aca="false">IF(ISBLANK($C377),"",IF($AJ377&lt;&gt;Constants!$B$7,$AJ377,AU377))</f>
        <v/>
      </c>
      <c r="BF377" s="92" t="str">
        <f aca="false">IF(ISBLANK($C377),"",IF($AJ377&lt;&gt;Constants!$B$7,$AJ377,AK377))</f>
        <v/>
      </c>
      <c r="BG377" s="90" t="str">
        <f aca="false">IF(ISBLANK($C377),"",BA377)</f>
        <v/>
      </c>
      <c r="BH377" s="90" t="str">
        <f aca="false">IF(ISBLANK($C377),"",AZ377)</f>
        <v/>
      </c>
      <c r="BI377" s="93" t="str">
        <f aca="false">IF(ISBLANK($C377),"",IF(BH377=Constants!$B$4,COUNTA($C$8:$C$507)+2,IF(BH377=Constants!$B$5,COUNTA($C$8:$C$507)+1,IF(BH377=Constants!$B$6,COUNTA($C$8:$C$507),BH377))))</f>
        <v/>
      </c>
      <c r="BJ377" s="5"/>
      <c r="BK377" s="94" t="n">
        <f aca="false">IF(OR(ISNUMBER(BH377),BH377=Constants!$B$4,BH377=Constants!$B$6,BH377=Constants!$B$5),1,0)</f>
        <v>0</v>
      </c>
      <c r="BL377" s="94" t="n">
        <v>370</v>
      </c>
      <c r="BM377" s="94" t="str">
        <f aca="false">IF(ISBLANK($C377),"",IF(ISNUMBER(BI377),BI377+ROW($B377)/1000,""))</f>
        <v/>
      </c>
      <c r="BN377" s="94" t="str">
        <f aca="false">IF(ISNUMBER(BM377),RANK(BM377,$BM$8:$BM$507,1),"")</f>
        <v/>
      </c>
      <c r="BO377" s="94" t="str">
        <f aca="false">IF(ISBLANK($C377),"",$B377)</f>
        <v/>
      </c>
      <c r="BP377" s="94" t="str">
        <f aca="false">IF(ISBLANK($C377),"",$C377)</f>
        <v/>
      </c>
      <c r="BQ377" s="94" t="str">
        <f aca="false">IF(ISBLANK($C377),"",$D377)</f>
        <v/>
      </c>
      <c r="BR377" s="95" t="str">
        <f aca="false">BF377</f>
        <v/>
      </c>
      <c r="BS377" s="96" t="str">
        <f aca="false">BE377</f>
        <v/>
      </c>
      <c r="BT377" s="94" t="str">
        <f aca="false">IF(ISBLANK($C377),"",BH377)</f>
        <v/>
      </c>
      <c r="BU377" s="97" t="str">
        <f aca="false">IF($BL377&gt;$BK$7,"",VLOOKUP($BL377,$BN$8:$BT$507,7,FALSE()))</f>
        <v/>
      </c>
      <c r="BV377" s="98" t="str">
        <f aca="false">IF($BL377&gt;$BK$7,"",VLOOKUP($BL377,$BN$8:$BT$507,2,FALSE()))</f>
        <v/>
      </c>
      <c r="BW377" s="98" t="str">
        <f aca="false">IF($BL377&gt;$BK$7,"",VLOOKUP($BL377,$BN$8:$BT$507,3,FALSE()))</f>
        <v/>
      </c>
      <c r="BX377" s="98" t="str">
        <f aca="false">IF($BL377&gt;$BK$7,"",VLOOKUP($BL377,$BN$8:$BT$507,4,FALSE()))</f>
        <v/>
      </c>
      <c r="BY377" s="98" t="str">
        <f aca="false">IF($BL377&gt;$BK$7,"",VLOOKUP($BL377,$BN$8:$BT$507,5,FALSE()))</f>
        <v/>
      </c>
      <c r="BZ377" s="99" t="str">
        <f aca="false">IF($BL377&gt;$BK$7,"",VLOOKUP($BL377,$BN$8:$BT$507,6,FALSE()))</f>
        <v/>
      </c>
      <c r="CA377" s="48"/>
    </row>
    <row r="378" customFormat="false" ht="15.75" hidden="false" customHeight="false" outlineLevel="0" collapsed="false">
      <c r="A378" s="5"/>
      <c r="B378" s="114"/>
      <c r="C378" s="115"/>
      <c r="D378" s="100"/>
      <c r="E378" s="120"/>
      <c r="F378" s="125"/>
      <c r="G378" s="82"/>
      <c r="H378" s="126"/>
      <c r="I378" s="127"/>
      <c r="J378" s="82"/>
      <c r="K378" s="126"/>
      <c r="L378" s="82"/>
      <c r="M378" s="126"/>
      <c r="N378" s="82"/>
      <c r="O378" s="126"/>
      <c r="P378" s="82"/>
      <c r="Q378" s="126"/>
      <c r="R378" s="82"/>
      <c r="S378" s="120"/>
      <c r="T378" s="86"/>
      <c r="U378" s="87" t="str">
        <f aca="false">IF(ISBLANK($C378),"",IF(E378=Constants!$B$2, TRUE(), IF(E378=Constants!$B$3, FALSE(), TRUE())))</f>
        <v/>
      </c>
      <c r="V378" s="87" t="str">
        <f aca="false">IF(ISBLANK($C378),"",IF(F378=Constants!$B$2, TRUE(), IF(F378=Constants!$B$3, FALSE(), TRUE())))</f>
        <v/>
      </c>
      <c r="W378" s="87" t="str">
        <f aca="false">IF(ISBLANK($C378),"",IF(G378=Constants!$B$15,Constants!$B$8,IF(G378=Constants!$B$16,Constants!$B$9,Constants!$B$10)))</f>
        <v/>
      </c>
      <c r="X378" s="87" t="str">
        <f aca="false">IF(ISBLANK($C378),"",IF(H378=Constants!$B$2, TRUE(), IF(H378=Constants!$B$3, FALSE(), TRUE())))</f>
        <v/>
      </c>
      <c r="Y378" s="87" t="str">
        <f aca="false">IF(ISBLANK($C378),"",IF(I378=Constants!$B$19,Constants!$B$19,Constants!$B$18))</f>
        <v/>
      </c>
      <c r="Z378" s="87" t="str">
        <f aca="false">IF(ISBLANK($C378),"",IF(ISNUMBER(J378),IF(J378&gt;=0,J378,""),""))</f>
        <v/>
      </c>
      <c r="AA378" s="87" t="str">
        <f aca="false">IF(ISBLANK($C378),"",IF(K378=Constants!$B$19,Constants!$B$19,Constants!$B$18))</f>
        <v/>
      </c>
      <c r="AB378" s="87" t="str">
        <f aca="false">IF(ISBLANK($C378),"",IF(ISNUMBER(L378),IF(L378&gt;=0,L378,""),""))</f>
        <v/>
      </c>
      <c r="AC378" s="87" t="str">
        <f aca="false">IF(ISBLANK($C378),"",IF(M378=Constants!$B$19,Constants!$B$19,Constants!$B$18))</f>
        <v/>
      </c>
      <c r="AD378" s="87" t="str">
        <f aca="false">IF(ISBLANK($C378),"",IF(ISNUMBER(N378),IF(N378&gt;=0,N378,""),""))</f>
        <v/>
      </c>
      <c r="AE378" s="87" t="str">
        <f aca="false">IF(ISBLANK($C378),"",IF(O378=Constants!$B$19,Constants!$B$19,Constants!$B$18))</f>
        <v/>
      </c>
      <c r="AF378" s="87" t="str">
        <f aca="false">IF(ISBLANK($C378),"",IF(ISNUMBER(P378),IF(P378&gt;=0,P378,""),""))</f>
        <v/>
      </c>
      <c r="AG378" s="87" t="str">
        <f aca="false">IF(ISBLANK($C378),"",IF(Q378=Constants!$B$19,Constants!$B$19,Constants!$B$18))</f>
        <v/>
      </c>
      <c r="AH378" s="87" t="str">
        <f aca="false">IF(ISBLANK($C378),"",IF(ISNUMBER(R378),IF(R378&gt;=0,R378,""),""))</f>
        <v/>
      </c>
      <c r="AI378" s="87" t="str">
        <f aca="false">IF(ISBLANK($C378),"",IF(S378=Constants!$B$2, TRUE(), IF(S378=Constants!$B$3, FALSE(), FALSE())))</f>
        <v/>
      </c>
      <c r="AJ378" s="87" t="str">
        <f aca="false">IF(ISBLANK($C378),"",IF(AI378,Constants!$B$4,IF(COUNTA(E378:R378)=0,Constants!$B$5,IF(COUNTA(J378,L378,N378,P378,R378)=0,Constants!$B$6,Constants!$B$7))))</f>
        <v/>
      </c>
      <c r="AK378" s="87" t="str">
        <f aca="false">IF(ISBLANK($C378),"",IF($AJ378&lt;&gt;Constants!$B$7,$AJ378,IF(OR(NOT(X378),AND(NOT(U378),COUNTIFS(Y378:AG378,Constants!$B$18,Z378:AH378,"&gt;=0")&gt;0),AND(NOT(V378),COUNTIFS(Y378:AG378,Constants!$B$19,Z378:AH378,"&gt;=0")&gt;0)),Constants!$B$12,Constants!$B$11)))</f>
        <v/>
      </c>
      <c r="AL378" s="87" t="str">
        <f aca="false">IF($AJ378=Constants!$B$7,IF(Z378="",Constants!$B$13,Z378),"")</f>
        <v/>
      </c>
      <c r="AM378" s="87" t="str">
        <f aca="false">IF($AJ378=Constants!$B$7,IF(AB378="",Constants!$B$13,AB378),"")</f>
        <v/>
      </c>
      <c r="AN378" s="87" t="str">
        <f aca="false">IF($AJ378=Constants!$B$7,IF(AD378="",Constants!$B$13,AD378),"")</f>
        <v/>
      </c>
      <c r="AO378" s="87" t="str">
        <f aca="false">IF($AJ378=Constants!$B$7,IF(AF378="",Constants!$B$13,AF378),"")</f>
        <v/>
      </c>
      <c r="AP378" s="87" t="str">
        <f aca="false">IF($AJ378=Constants!$B$7,IF(AH378="",Constants!$B$13,AH378),"")</f>
        <v/>
      </c>
      <c r="AQ378" s="87" t="str">
        <f aca="false">IF($AJ378=Constants!$B$7,IF(SUMPRODUCT(--($AL378:$AP378&gt;AL378))+SUMPRODUCT(--($AL378:AL378=AL378))=1,1,IF(SUMPRODUCT(--($AL378:$AP378&gt;AM378))+SUMPRODUCT(--($AL378:AM378=AM378))=1,2,IF(SUMPRODUCT(--($AL378:$AP378&gt;AN378))+SUMPRODUCT(--($AL378:AN378=AN378))=1,3,IF(SUMPRODUCT(--($AL378:$AP378&gt;AO378))+SUMPRODUCT(--($AL378:AO378=AO378))=1,4,5)))),"")</f>
        <v/>
      </c>
      <c r="AR378" s="87" t="str">
        <f aca="false">IF($AJ378=Constants!$B$7,IF(SUMPRODUCT(--($AL378:$AP378&gt;AL378))+SUMPRODUCT(--($AL378:AL378=AL378))=2,1,IF(SUMPRODUCT(--($AL378:$AP378&gt;AM378))+SUMPRODUCT(--($AL378:AM378=AM378))=2,2,IF(SUMPRODUCT(--($AL378:$AP378&gt;AN378))+SUMPRODUCT(--($AL378:AN378=AN378))=2,3,IF(SUMPRODUCT(--($AL378:$AP378&gt;AO378))+SUMPRODUCT(--($AL378:AO378=AO378))=2,4,5)))),"")</f>
        <v/>
      </c>
      <c r="AS378" s="87" t="str">
        <f aca="false">IF($AJ378=Constants!$B$7,IF(SUMPRODUCT(--($AL378:$AP378&gt;AL378))+SUMPRODUCT(--($AL378:AL378=AL378))=3,1,IF(SUMPRODUCT(--($AL378:$AP378&gt;AM378))+SUMPRODUCT(--($AL378:AM378=AM378))=3,2,IF(SUMPRODUCT(--($AL378:$AP378&gt;AN378))+SUMPRODUCT(--($AL378:AN378=AN378))=3,3,IF(SUMPRODUCT(--($AL378:$AP378&gt;AO378))+SUMPRODUCT(--($AL378:AO378=AO378))=3,4,5)))),"")</f>
        <v/>
      </c>
      <c r="AT378" s="87" t="str">
        <f aca="false">IF($AJ378=Constants!$B$7,LARGE(AL378:AP378,1)+LARGE(AL378:AP378,2)+LARGE(AL378:AP378,3),"")</f>
        <v/>
      </c>
      <c r="AU378" s="87" t="str">
        <f aca="false">IF(ISBLANK($C378),"",IF($AJ378&lt;&gt;Constants!$B$7,$AJ378,AT378*W378))</f>
        <v/>
      </c>
      <c r="AV378" s="87" t="str">
        <f aca="false">IF(ISBLANK($C378),"",IF($AJ378=Constants!$B$7,IF(ISNUMBER(AU378),RANK(AU378,$AU$8:$AU$507),Constants!$B$14),$AJ378))</f>
        <v/>
      </c>
      <c r="AW378" s="87" t="str">
        <f aca="false">IF(ISBLANK($C378),"",IF($AJ378=Constants!$B$7,IF(ISNUMBER(AV378),COUNTIFS($AK$8:$AK$507,"&lt;"&amp;$AK378)+COUNTIFS($AK$8:$AK$507,$AK378,$AV$8:$AV$507,"&lt;"&amp;$AV378)+1,Constants!$B$14),$AJ378))</f>
        <v/>
      </c>
      <c r="AX378" s="87" t="str">
        <f aca="false">IF(ISBLANK($C378),"",IF($AJ378=Constants!$B$7,LARGE(AL378:AP378,4)*W378,""))</f>
        <v/>
      </c>
      <c r="AY378" s="87" t="str">
        <f aca="false">IF(ISBLANK($C378),"",IF($AJ378=Constants!$B$7,RANK(AX378,$AX$8:$AX$507),$AJ378))</f>
        <v/>
      </c>
      <c r="AZ378" s="87" t="str">
        <f aca="false">IF(ISBLANK($C378),"",IF($AJ378=Constants!$B$7,IF(ISNUMBER(AV378),COUNTIFS($AK$8:$AK$507,"&lt;"&amp;$AK378)+COUNTIFS($AK$8:$AK$507,$AK378,$AV$8:$AV$507,"&lt;"&amp;$AV378)+COUNTIFS($AK$8:$AK$507,$AK378,$AV$8:$AV$507,$AV378,$AY$8:$AY$507,"&lt;"&amp;$AY378)+1,Constants!$B$14),$AJ378))</f>
        <v/>
      </c>
      <c r="BA378" s="87" t="str">
        <f aca="false">IF(ISBLANK($C378),"",IF($AJ378=Constants!$B$7,IF(ISNUMBER(AW378),AW378-AZ378,Constants!$B$14),$AJ378))</f>
        <v/>
      </c>
      <c r="BB378" s="88"/>
      <c r="BC378" s="89" t="str">
        <f aca="false">IF(ISBLANK($C378),"",IF($AJ378&lt;&gt;Constants!$B$7,$AJ378,SMALL(AQ378:AS378,1)&amp;", "&amp;SMALL(AQ378:AS378,2)&amp;", "&amp;SMALL(AQ378:AS378,3)))</f>
        <v/>
      </c>
      <c r="BD378" s="90" t="str">
        <f aca="false">IF(ISBLANK($C378),"",IF($AJ378&lt;&gt;Constants!$B$7,$AJ378,W378))</f>
        <v/>
      </c>
      <c r="BE378" s="91" t="str">
        <f aca="false">IF(ISBLANK($C378),"",IF($AJ378&lt;&gt;Constants!$B$7,$AJ378,AU378))</f>
        <v/>
      </c>
      <c r="BF378" s="92" t="str">
        <f aca="false">IF(ISBLANK($C378),"",IF($AJ378&lt;&gt;Constants!$B$7,$AJ378,AK378))</f>
        <v/>
      </c>
      <c r="BG378" s="90" t="str">
        <f aca="false">IF(ISBLANK($C378),"",BA378)</f>
        <v/>
      </c>
      <c r="BH378" s="90" t="str">
        <f aca="false">IF(ISBLANK($C378),"",AZ378)</f>
        <v/>
      </c>
      <c r="BI378" s="93" t="str">
        <f aca="false">IF(ISBLANK($C378),"",IF(BH378=Constants!$B$4,COUNTA($C$8:$C$507)+2,IF(BH378=Constants!$B$5,COUNTA($C$8:$C$507)+1,IF(BH378=Constants!$B$6,COUNTA($C$8:$C$507),BH378))))</f>
        <v/>
      </c>
      <c r="BJ378" s="5"/>
      <c r="BK378" s="94" t="n">
        <f aca="false">IF(OR(ISNUMBER(BH378),BH378=Constants!$B$4,BH378=Constants!$B$6,BH378=Constants!$B$5),1,0)</f>
        <v>0</v>
      </c>
      <c r="BL378" s="94" t="n">
        <v>371</v>
      </c>
      <c r="BM378" s="94" t="str">
        <f aca="false">IF(ISBLANK($C378),"",IF(ISNUMBER(BI378),BI378+ROW($B378)/1000,""))</f>
        <v/>
      </c>
      <c r="BN378" s="94" t="str">
        <f aca="false">IF(ISNUMBER(BM378),RANK(BM378,$BM$8:$BM$507,1),"")</f>
        <v/>
      </c>
      <c r="BO378" s="94" t="str">
        <f aca="false">IF(ISBLANK($C378),"",$B378)</f>
        <v/>
      </c>
      <c r="BP378" s="94" t="str">
        <f aca="false">IF(ISBLANK($C378),"",$C378)</f>
        <v/>
      </c>
      <c r="BQ378" s="94" t="str">
        <f aca="false">IF(ISBLANK($C378),"",$D378)</f>
        <v/>
      </c>
      <c r="BR378" s="95" t="str">
        <f aca="false">BF378</f>
        <v/>
      </c>
      <c r="BS378" s="96" t="str">
        <f aca="false">BE378</f>
        <v/>
      </c>
      <c r="BT378" s="94" t="str">
        <f aca="false">IF(ISBLANK($C378),"",BH378)</f>
        <v/>
      </c>
      <c r="BU378" s="97" t="str">
        <f aca="false">IF($BL378&gt;$BK$7,"",VLOOKUP($BL378,$BN$8:$BT$507,7,FALSE()))</f>
        <v/>
      </c>
      <c r="BV378" s="98" t="str">
        <f aca="false">IF($BL378&gt;$BK$7,"",VLOOKUP($BL378,$BN$8:$BT$507,2,FALSE()))</f>
        <v/>
      </c>
      <c r="BW378" s="98" t="str">
        <f aca="false">IF($BL378&gt;$BK$7,"",VLOOKUP($BL378,$BN$8:$BT$507,3,FALSE()))</f>
        <v/>
      </c>
      <c r="BX378" s="98" t="str">
        <f aca="false">IF($BL378&gt;$BK$7,"",VLOOKUP($BL378,$BN$8:$BT$507,4,FALSE()))</f>
        <v/>
      </c>
      <c r="BY378" s="98" t="str">
        <f aca="false">IF($BL378&gt;$BK$7,"",VLOOKUP($BL378,$BN$8:$BT$507,5,FALSE()))</f>
        <v/>
      </c>
      <c r="BZ378" s="99" t="str">
        <f aca="false">IF($BL378&gt;$BK$7,"",VLOOKUP($BL378,$BN$8:$BT$507,6,FALSE()))</f>
        <v/>
      </c>
      <c r="CA378" s="48"/>
    </row>
    <row r="379" customFormat="false" ht="15.75" hidden="false" customHeight="false" outlineLevel="0" collapsed="false">
      <c r="A379" s="5"/>
      <c r="B379" s="114"/>
      <c r="C379" s="115"/>
      <c r="D379" s="100"/>
      <c r="E379" s="120"/>
      <c r="F379" s="125"/>
      <c r="G379" s="82"/>
      <c r="H379" s="126"/>
      <c r="I379" s="127"/>
      <c r="J379" s="82"/>
      <c r="K379" s="126"/>
      <c r="L379" s="82"/>
      <c r="M379" s="126"/>
      <c r="N379" s="82"/>
      <c r="O379" s="126"/>
      <c r="P379" s="82"/>
      <c r="Q379" s="126"/>
      <c r="R379" s="82"/>
      <c r="S379" s="120"/>
      <c r="T379" s="86"/>
      <c r="U379" s="87" t="str">
        <f aca="false">IF(ISBLANK($C379),"",IF(E379=Constants!$B$2, TRUE(), IF(E379=Constants!$B$3, FALSE(), TRUE())))</f>
        <v/>
      </c>
      <c r="V379" s="87" t="str">
        <f aca="false">IF(ISBLANK($C379),"",IF(F379=Constants!$B$2, TRUE(), IF(F379=Constants!$B$3, FALSE(), TRUE())))</f>
        <v/>
      </c>
      <c r="W379" s="87" t="str">
        <f aca="false">IF(ISBLANK($C379),"",IF(G379=Constants!$B$15,Constants!$B$8,IF(G379=Constants!$B$16,Constants!$B$9,Constants!$B$10)))</f>
        <v/>
      </c>
      <c r="X379" s="87" t="str">
        <f aca="false">IF(ISBLANK($C379),"",IF(H379=Constants!$B$2, TRUE(), IF(H379=Constants!$B$3, FALSE(), TRUE())))</f>
        <v/>
      </c>
      <c r="Y379" s="87" t="str">
        <f aca="false">IF(ISBLANK($C379),"",IF(I379=Constants!$B$19,Constants!$B$19,Constants!$B$18))</f>
        <v/>
      </c>
      <c r="Z379" s="87" t="str">
        <f aca="false">IF(ISBLANK($C379),"",IF(ISNUMBER(J379),IF(J379&gt;=0,J379,""),""))</f>
        <v/>
      </c>
      <c r="AA379" s="87" t="str">
        <f aca="false">IF(ISBLANK($C379),"",IF(K379=Constants!$B$19,Constants!$B$19,Constants!$B$18))</f>
        <v/>
      </c>
      <c r="AB379" s="87" t="str">
        <f aca="false">IF(ISBLANK($C379),"",IF(ISNUMBER(L379),IF(L379&gt;=0,L379,""),""))</f>
        <v/>
      </c>
      <c r="AC379" s="87" t="str">
        <f aca="false">IF(ISBLANK($C379),"",IF(M379=Constants!$B$19,Constants!$B$19,Constants!$B$18))</f>
        <v/>
      </c>
      <c r="AD379" s="87" t="str">
        <f aca="false">IF(ISBLANK($C379),"",IF(ISNUMBER(N379),IF(N379&gt;=0,N379,""),""))</f>
        <v/>
      </c>
      <c r="AE379" s="87" t="str">
        <f aca="false">IF(ISBLANK($C379),"",IF(O379=Constants!$B$19,Constants!$B$19,Constants!$B$18))</f>
        <v/>
      </c>
      <c r="AF379" s="87" t="str">
        <f aca="false">IF(ISBLANK($C379),"",IF(ISNUMBER(P379),IF(P379&gt;=0,P379,""),""))</f>
        <v/>
      </c>
      <c r="AG379" s="87" t="str">
        <f aca="false">IF(ISBLANK($C379),"",IF(Q379=Constants!$B$19,Constants!$B$19,Constants!$B$18))</f>
        <v/>
      </c>
      <c r="AH379" s="87" t="str">
        <f aca="false">IF(ISBLANK($C379),"",IF(ISNUMBER(R379),IF(R379&gt;=0,R379,""),""))</f>
        <v/>
      </c>
      <c r="AI379" s="87" t="str">
        <f aca="false">IF(ISBLANK($C379),"",IF(S379=Constants!$B$2, TRUE(), IF(S379=Constants!$B$3, FALSE(), FALSE())))</f>
        <v/>
      </c>
      <c r="AJ379" s="87" t="str">
        <f aca="false">IF(ISBLANK($C379),"",IF(AI379,Constants!$B$4,IF(COUNTA(E379:R379)=0,Constants!$B$5,IF(COUNTA(J379,L379,N379,P379,R379)=0,Constants!$B$6,Constants!$B$7))))</f>
        <v/>
      </c>
      <c r="AK379" s="87" t="str">
        <f aca="false">IF(ISBLANK($C379),"",IF($AJ379&lt;&gt;Constants!$B$7,$AJ379,IF(OR(NOT(X379),AND(NOT(U379),COUNTIFS(Y379:AG379,Constants!$B$18,Z379:AH379,"&gt;=0")&gt;0),AND(NOT(V379),COUNTIFS(Y379:AG379,Constants!$B$19,Z379:AH379,"&gt;=0")&gt;0)),Constants!$B$12,Constants!$B$11)))</f>
        <v/>
      </c>
      <c r="AL379" s="87" t="str">
        <f aca="false">IF($AJ379=Constants!$B$7,IF(Z379="",Constants!$B$13,Z379),"")</f>
        <v/>
      </c>
      <c r="AM379" s="87" t="str">
        <f aca="false">IF($AJ379=Constants!$B$7,IF(AB379="",Constants!$B$13,AB379),"")</f>
        <v/>
      </c>
      <c r="AN379" s="87" t="str">
        <f aca="false">IF($AJ379=Constants!$B$7,IF(AD379="",Constants!$B$13,AD379),"")</f>
        <v/>
      </c>
      <c r="AO379" s="87" t="str">
        <f aca="false">IF($AJ379=Constants!$B$7,IF(AF379="",Constants!$B$13,AF379),"")</f>
        <v/>
      </c>
      <c r="AP379" s="87" t="str">
        <f aca="false">IF($AJ379=Constants!$B$7,IF(AH379="",Constants!$B$13,AH379),"")</f>
        <v/>
      </c>
      <c r="AQ379" s="87" t="str">
        <f aca="false">IF($AJ379=Constants!$B$7,IF(SUMPRODUCT(--($AL379:$AP379&gt;AL379))+SUMPRODUCT(--($AL379:AL379=AL379))=1,1,IF(SUMPRODUCT(--($AL379:$AP379&gt;AM379))+SUMPRODUCT(--($AL379:AM379=AM379))=1,2,IF(SUMPRODUCT(--($AL379:$AP379&gt;AN379))+SUMPRODUCT(--($AL379:AN379=AN379))=1,3,IF(SUMPRODUCT(--($AL379:$AP379&gt;AO379))+SUMPRODUCT(--($AL379:AO379=AO379))=1,4,5)))),"")</f>
        <v/>
      </c>
      <c r="AR379" s="87" t="str">
        <f aca="false">IF($AJ379=Constants!$B$7,IF(SUMPRODUCT(--($AL379:$AP379&gt;AL379))+SUMPRODUCT(--($AL379:AL379=AL379))=2,1,IF(SUMPRODUCT(--($AL379:$AP379&gt;AM379))+SUMPRODUCT(--($AL379:AM379=AM379))=2,2,IF(SUMPRODUCT(--($AL379:$AP379&gt;AN379))+SUMPRODUCT(--($AL379:AN379=AN379))=2,3,IF(SUMPRODUCT(--($AL379:$AP379&gt;AO379))+SUMPRODUCT(--($AL379:AO379=AO379))=2,4,5)))),"")</f>
        <v/>
      </c>
      <c r="AS379" s="87" t="str">
        <f aca="false">IF($AJ379=Constants!$B$7,IF(SUMPRODUCT(--($AL379:$AP379&gt;AL379))+SUMPRODUCT(--($AL379:AL379=AL379))=3,1,IF(SUMPRODUCT(--($AL379:$AP379&gt;AM379))+SUMPRODUCT(--($AL379:AM379=AM379))=3,2,IF(SUMPRODUCT(--($AL379:$AP379&gt;AN379))+SUMPRODUCT(--($AL379:AN379=AN379))=3,3,IF(SUMPRODUCT(--($AL379:$AP379&gt;AO379))+SUMPRODUCT(--($AL379:AO379=AO379))=3,4,5)))),"")</f>
        <v/>
      </c>
      <c r="AT379" s="87" t="str">
        <f aca="false">IF($AJ379=Constants!$B$7,LARGE(AL379:AP379,1)+LARGE(AL379:AP379,2)+LARGE(AL379:AP379,3),"")</f>
        <v/>
      </c>
      <c r="AU379" s="87" t="str">
        <f aca="false">IF(ISBLANK($C379),"",IF($AJ379&lt;&gt;Constants!$B$7,$AJ379,AT379*W379))</f>
        <v/>
      </c>
      <c r="AV379" s="87" t="str">
        <f aca="false">IF(ISBLANK($C379),"",IF($AJ379=Constants!$B$7,IF(ISNUMBER(AU379),RANK(AU379,$AU$8:$AU$507),Constants!$B$14),$AJ379))</f>
        <v/>
      </c>
      <c r="AW379" s="87" t="str">
        <f aca="false">IF(ISBLANK($C379),"",IF($AJ379=Constants!$B$7,IF(ISNUMBER(AV379),COUNTIFS($AK$8:$AK$507,"&lt;"&amp;$AK379)+COUNTIFS($AK$8:$AK$507,$AK379,$AV$8:$AV$507,"&lt;"&amp;$AV379)+1,Constants!$B$14),$AJ379))</f>
        <v/>
      </c>
      <c r="AX379" s="87" t="str">
        <f aca="false">IF(ISBLANK($C379),"",IF($AJ379=Constants!$B$7,LARGE(AL379:AP379,4)*W379,""))</f>
        <v/>
      </c>
      <c r="AY379" s="87" t="str">
        <f aca="false">IF(ISBLANK($C379),"",IF($AJ379=Constants!$B$7,RANK(AX379,$AX$8:$AX$507),$AJ379))</f>
        <v/>
      </c>
      <c r="AZ379" s="87" t="str">
        <f aca="false">IF(ISBLANK($C379),"",IF($AJ379=Constants!$B$7,IF(ISNUMBER(AV379),COUNTIFS($AK$8:$AK$507,"&lt;"&amp;$AK379)+COUNTIFS($AK$8:$AK$507,$AK379,$AV$8:$AV$507,"&lt;"&amp;$AV379)+COUNTIFS($AK$8:$AK$507,$AK379,$AV$8:$AV$507,$AV379,$AY$8:$AY$507,"&lt;"&amp;$AY379)+1,Constants!$B$14),$AJ379))</f>
        <v/>
      </c>
      <c r="BA379" s="87" t="str">
        <f aca="false">IF(ISBLANK($C379),"",IF($AJ379=Constants!$B$7,IF(ISNUMBER(AW379),AW379-AZ379,Constants!$B$14),$AJ379))</f>
        <v/>
      </c>
      <c r="BB379" s="88"/>
      <c r="BC379" s="89" t="str">
        <f aca="false">IF(ISBLANK($C379),"",IF($AJ379&lt;&gt;Constants!$B$7,$AJ379,SMALL(AQ379:AS379,1)&amp;", "&amp;SMALL(AQ379:AS379,2)&amp;", "&amp;SMALL(AQ379:AS379,3)))</f>
        <v/>
      </c>
      <c r="BD379" s="90" t="str">
        <f aca="false">IF(ISBLANK($C379),"",IF($AJ379&lt;&gt;Constants!$B$7,$AJ379,W379))</f>
        <v/>
      </c>
      <c r="BE379" s="91" t="str">
        <f aca="false">IF(ISBLANK($C379),"",IF($AJ379&lt;&gt;Constants!$B$7,$AJ379,AU379))</f>
        <v/>
      </c>
      <c r="BF379" s="92" t="str">
        <f aca="false">IF(ISBLANK($C379),"",IF($AJ379&lt;&gt;Constants!$B$7,$AJ379,AK379))</f>
        <v/>
      </c>
      <c r="BG379" s="90" t="str">
        <f aca="false">IF(ISBLANK($C379),"",BA379)</f>
        <v/>
      </c>
      <c r="BH379" s="90" t="str">
        <f aca="false">IF(ISBLANK($C379),"",AZ379)</f>
        <v/>
      </c>
      <c r="BI379" s="93" t="str">
        <f aca="false">IF(ISBLANK($C379),"",IF(BH379=Constants!$B$4,COUNTA($C$8:$C$507)+2,IF(BH379=Constants!$B$5,COUNTA($C$8:$C$507)+1,IF(BH379=Constants!$B$6,COUNTA($C$8:$C$507),BH379))))</f>
        <v/>
      </c>
      <c r="BJ379" s="5"/>
      <c r="BK379" s="94" t="n">
        <f aca="false">IF(OR(ISNUMBER(BH379),BH379=Constants!$B$4,BH379=Constants!$B$6,BH379=Constants!$B$5),1,0)</f>
        <v>0</v>
      </c>
      <c r="BL379" s="94" t="n">
        <v>372</v>
      </c>
      <c r="BM379" s="94" t="str">
        <f aca="false">IF(ISBLANK($C379),"",IF(ISNUMBER(BI379),BI379+ROW($B379)/1000,""))</f>
        <v/>
      </c>
      <c r="BN379" s="94" t="str">
        <f aca="false">IF(ISNUMBER(BM379),RANK(BM379,$BM$8:$BM$507,1),"")</f>
        <v/>
      </c>
      <c r="BO379" s="94" t="str">
        <f aca="false">IF(ISBLANK($C379),"",$B379)</f>
        <v/>
      </c>
      <c r="BP379" s="94" t="str">
        <f aca="false">IF(ISBLANK($C379),"",$C379)</f>
        <v/>
      </c>
      <c r="BQ379" s="94" t="str">
        <f aca="false">IF(ISBLANK($C379),"",$D379)</f>
        <v/>
      </c>
      <c r="BR379" s="95" t="str">
        <f aca="false">BF379</f>
        <v/>
      </c>
      <c r="BS379" s="96" t="str">
        <f aca="false">BE379</f>
        <v/>
      </c>
      <c r="BT379" s="94" t="str">
        <f aca="false">IF(ISBLANK($C379),"",BH379)</f>
        <v/>
      </c>
      <c r="BU379" s="97" t="str">
        <f aca="false">IF($BL379&gt;$BK$7,"",VLOOKUP($BL379,$BN$8:$BT$507,7,FALSE()))</f>
        <v/>
      </c>
      <c r="BV379" s="98" t="str">
        <f aca="false">IF($BL379&gt;$BK$7,"",VLOOKUP($BL379,$BN$8:$BT$507,2,FALSE()))</f>
        <v/>
      </c>
      <c r="BW379" s="98" t="str">
        <f aca="false">IF($BL379&gt;$BK$7,"",VLOOKUP($BL379,$BN$8:$BT$507,3,FALSE()))</f>
        <v/>
      </c>
      <c r="BX379" s="98" t="str">
        <f aca="false">IF($BL379&gt;$BK$7,"",VLOOKUP($BL379,$BN$8:$BT$507,4,FALSE()))</f>
        <v/>
      </c>
      <c r="BY379" s="98" t="str">
        <f aca="false">IF($BL379&gt;$BK$7,"",VLOOKUP($BL379,$BN$8:$BT$507,5,FALSE()))</f>
        <v/>
      </c>
      <c r="BZ379" s="99" t="str">
        <f aca="false">IF($BL379&gt;$BK$7,"",VLOOKUP($BL379,$BN$8:$BT$507,6,FALSE()))</f>
        <v/>
      </c>
      <c r="CA379" s="48"/>
    </row>
    <row r="380" customFormat="false" ht="15.75" hidden="false" customHeight="false" outlineLevel="0" collapsed="false">
      <c r="A380" s="5"/>
      <c r="B380" s="121"/>
      <c r="C380" s="50"/>
      <c r="D380" s="51"/>
      <c r="E380" s="74"/>
      <c r="F380" s="122"/>
      <c r="G380" s="54"/>
      <c r="H380" s="123"/>
      <c r="I380" s="124"/>
      <c r="J380" s="54"/>
      <c r="K380" s="123"/>
      <c r="L380" s="54"/>
      <c r="M380" s="123"/>
      <c r="N380" s="54"/>
      <c r="O380" s="123"/>
      <c r="P380" s="54"/>
      <c r="Q380" s="123"/>
      <c r="R380" s="54"/>
      <c r="S380" s="74"/>
      <c r="T380" s="58"/>
      <c r="U380" s="59" t="str">
        <f aca="false">IF(ISBLANK($C380),"",IF(E380=Constants!$B$2, TRUE(), IF(E380=Constants!$B$3, FALSE(), TRUE())))</f>
        <v/>
      </c>
      <c r="V380" s="59" t="str">
        <f aca="false">IF(ISBLANK($C380),"",IF(F380=Constants!$B$2, TRUE(), IF(F380=Constants!$B$3, FALSE(), TRUE())))</f>
        <v/>
      </c>
      <c r="W380" s="59" t="str">
        <f aca="false">IF(ISBLANK($C380),"",IF(G380=Constants!$B$15,Constants!$B$8,IF(G380=Constants!$B$16,Constants!$B$9,Constants!$B$10)))</f>
        <v/>
      </c>
      <c r="X380" s="59" t="str">
        <f aca="false">IF(ISBLANK($C380),"",IF(H380=Constants!$B$2, TRUE(), IF(H380=Constants!$B$3, FALSE(), TRUE())))</f>
        <v/>
      </c>
      <c r="Y380" s="59" t="str">
        <f aca="false">IF(ISBLANK($C380),"",IF(I380=Constants!$B$19,Constants!$B$19,Constants!$B$18))</f>
        <v/>
      </c>
      <c r="Z380" s="59" t="str">
        <f aca="false">IF(ISBLANK($C380),"",IF(ISNUMBER(J380),IF(J380&gt;=0,J380,""),""))</f>
        <v/>
      </c>
      <c r="AA380" s="59" t="str">
        <f aca="false">IF(ISBLANK($C380),"",IF(K380=Constants!$B$19,Constants!$B$19,Constants!$B$18))</f>
        <v/>
      </c>
      <c r="AB380" s="59" t="str">
        <f aca="false">IF(ISBLANK($C380),"",IF(ISNUMBER(L380),IF(L380&gt;=0,L380,""),""))</f>
        <v/>
      </c>
      <c r="AC380" s="59" t="str">
        <f aca="false">IF(ISBLANK($C380),"",IF(M380=Constants!$B$19,Constants!$B$19,Constants!$B$18))</f>
        <v/>
      </c>
      <c r="AD380" s="59" t="str">
        <f aca="false">IF(ISBLANK($C380),"",IF(ISNUMBER(N380),IF(N380&gt;=0,N380,""),""))</f>
        <v/>
      </c>
      <c r="AE380" s="59" t="str">
        <f aca="false">IF(ISBLANK($C380),"",IF(O380=Constants!$B$19,Constants!$B$19,Constants!$B$18))</f>
        <v/>
      </c>
      <c r="AF380" s="59" t="str">
        <f aca="false">IF(ISBLANK($C380),"",IF(ISNUMBER(P380),IF(P380&gt;=0,P380,""),""))</f>
        <v/>
      </c>
      <c r="AG380" s="59" t="str">
        <f aca="false">IF(ISBLANK($C380),"",IF(Q380=Constants!$B$19,Constants!$B$19,Constants!$B$18))</f>
        <v/>
      </c>
      <c r="AH380" s="59" t="str">
        <f aca="false">IF(ISBLANK($C380),"",IF(ISNUMBER(R380),IF(R380&gt;=0,R380,""),""))</f>
        <v/>
      </c>
      <c r="AI380" s="59" t="str">
        <f aca="false">IF(ISBLANK($C380),"",IF(S380=Constants!$B$2, TRUE(), IF(S380=Constants!$B$3, FALSE(), FALSE())))</f>
        <v/>
      </c>
      <c r="AJ380" s="59" t="str">
        <f aca="false">IF(ISBLANK($C380),"",IF(AI380,Constants!$B$4,IF(COUNTA(E380:R380)=0,Constants!$B$5,IF(COUNTA(J380,L380,N380,P380,R380)=0,Constants!$B$6,Constants!$B$7))))</f>
        <v/>
      </c>
      <c r="AK380" s="59" t="str">
        <f aca="false">IF(ISBLANK($C380),"",IF($AJ380&lt;&gt;Constants!$B$7,$AJ380,IF(OR(NOT(X380),AND(NOT(U380),COUNTIFS(Y380:AG380,Constants!$B$18,Z380:AH380,"&gt;=0")&gt;0),AND(NOT(V380),COUNTIFS(Y380:AG380,Constants!$B$19,Z380:AH380,"&gt;=0")&gt;0)),Constants!$B$12,Constants!$B$11)))</f>
        <v/>
      </c>
      <c r="AL380" s="59" t="str">
        <f aca="false">IF($AJ380=Constants!$B$7,IF(Z380="",Constants!$B$13,Z380),"")</f>
        <v/>
      </c>
      <c r="AM380" s="59" t="str">
        <f aca="false">IF($AJ380=Constants!$B$7,IF(AB380="",Constants!$B$13,AB380),"")</f>
        <v/>
      </c>
      <c r="AN380" s="59" t="str">
        <f aca="false">IF($AJ380=Constants!$B$7,IF(AD380="",Constants!$B$13,AD380),"")</f>
        <v/>
      </c>
      <c r="AO380" s="59" t="str">
        <f aca="false">IF($AJ380=Constants!$B$7,IF(AF380="",Constants!$B$13,AF380),"")</f>
        <v/>
      </c>
      <c r="AP380" s="59" t="str">
        <f aca="false">IF($AJ380=Constants!$B$7,IF(AH380="",Constants!$B$13,AH380),"")</f>
        <v/>
      </c>
      <c r="AQ380" s="59" t="str">
        <f aca="false">IF($AJ380=Constants!$B$7,IF(SUMPRODUCT(--($AL380:$AP380&gt;AL380))+SUMPRODUCT(--($AL380:AL380=AL380))=1,1,IF(SUMPRODUCT(--($AL380:$AP380&gt;AM380))+SUMPRODUCT(--($AL380:AM380=AM380))=1,2,IF(SUMPRODUCT(--($AL380:$AP380&gt;AN380))+SUMPRODUCT(--($AL380:AN380=AN380))=1,3,IF(SUMPRODUCT(--($AL380:$AP380&gt;AO380))+SUMPRODUCT(--($AL380:AO380=AO380))=1,4,5)))),"")</f>
        <v/>
      </c>
      <c r="AR380" s="59" t="str">
        <f aca="false">IF($AJ380=Constants!$B$7,IF(SUMPRODUCT(--($AL380:$AP380&gt;AL380))+SUMPRODUCT(--($AL380:AL380=AL380))=2,1,IF(SUMPRODUCT(--($AL380:$AP380&gt;AM380))+SUMPRODUCT(--($AL380:AM380=AM380))=2,2,IF(SUMPRODUCT(--($AL380:$AP380&gt;AN380))+SUMPRODUCT(--($AL380:AN380=AN380))=2,3,IF(SUMPRODUCT(--($AL380:$AP380&gt;AO380))+SUMPRODUCT(--($AL380:AO380=AO380))=2,4,5)))),"")</f>
        <v/>
      </c>
      <c r="AS380" s="59" t="str">
        <f aca="false">IF($AJ380=Constants!$B$7,IF(SUMPRODUCT(--($AL380:$AP380&gt;AL380))+SUMPRODUCT(--($AL380:AL380=AL380))=3,1,IF(SUMPRODUCT(--($AL380:$AP380&gt;AM380))+SUMPRODUCT(--($AL380:AM380=AM380))=3,2,IF(SUMPRODUCT(--($AL380:$AP380&gt;AN380))+SUMPRODUCT(--($AL380:AN380=AN380))=3,3,IF(SUMPRODUCT(--($AL380:$AP380&gt;AO380))+SUMPRODUCT(--($AL380:AO380=AO380))=3,4,5)))),"")</f>
        <v/>
      </c>
      <c r="AT380" s="59" t="str">
        <f aca="false">IF($AJ380=Constants!$B$7,LARGE(AL380:AP380,1)+LARGE(AL380:AP380,2)+LARGE(AL380:AP380,3),"")</f>
        <v/>
      </c>
      <c r="AU380" s="59" t="str">
        <f aca="false">IF(ISBLANK($C380),"",IF($AJ380&lt;&gt;Constants!$B$7,$AJ380,AT380*W380))</f>
        <v/>
      </c>
      <c r="AV380" s="59" t="str">
        <f aca="false">IF(ISBLANK($C380),"",IF($AJ380=Constants!$B$7,IF(ISNUMBER(AU380),RANK(AU380,$AU$8:$AU$507),Constants!$B$14),$AJ380))</f>
        <v/>
      </c>
      <c r="AW380" s="59" t="str">
        <f aca="false">IF(ISBLANK($C380),"",IF($AJ380=Constants!$B$7,IF(ISNUMBER(AV380),COUNTIFS($AK$8:$AK$507,"&lt;"&amp;$AK380)+COUNTIFS($AK$8:$AK$507,$AK380,$AV$8:$AV$507,"&lt;"&amp;$AV380)+1,Constants!$B$14),$AJ380))</f>
        <v/>
      </c>
      <c r="AX380" s="59" t="str">
        <f aca="false">IF(ISBLANK($C380),"",IF($AJ380=Constants!$B$7,LARGE(AL380:AP380,4)*W380,""))</f>
        <v/>
      </c>
      <c r="AY380" s="59" t="str">
        <f aca="false">IF(ISBLANK($C380),"",IF($AJ380=Constants!$B$7,RANK(AX380,$AX$8:$AX$507),$AJ380))</f>
        <v/>
      </c>
      <c r="AZ380" s="59" t="str">
        <f aca="false">IF(ISBLANK($C380),"",IF($AJ380=Constants!$B$7,IF(ISNUMBER(AV380),COUNTIFS($AK$8:$AK$507,"&lt;"&amp;$AK380)+COUNTIFS($AK$8:$AK$507,$AK380,$AV$8:$AV$507,"&lt;"&amp;$AV380)+COUNTIFS($AK$8:$AK$507,$AK380,$AV$8:$AV$507,$AV380,$AY$8:$AY$507,"&lt;"&amp;$AY380)+1,Constants!$B$14),$AJ380))</f>
        <v/>
      </c>
      <c r="BA380" s="59" t="str">
        <f aca="false">IF(ISBLANK($C380),"",IF($AJ380=Constants!$B$7,IF(ISNUMBER(AW380),AW380-AZ380,Constants!$B$14),$AJ380))</f>
        <v/>
      </c>
      <c r="BB380" s="61"/>
      <c r="BC380" s="62" t="str">
        <f aca="false">IF(ISBLANK($C380),"",IF($AJ380&lt;&gt;Constants!$B$7,$AJ380,SMALL(AQ380:AS380,1)&amp;", "&amp;SMALL(AQ380:AS380,2)&amp;", "&amp;SMALL(AQ380:AS380,3)))</f>
        <v/>
      </c>
      <c r="BD380" s="63" t="str">
        <f aca="false">IF(ISBLANK($C380),"",IF($AJ380&lt;&gt;Constants!$B$7,$AJ380,W380))</f>
        <v/>
      </c>
      <c r="BE380" s="64" t="str">
        <f aca="false">IF(ISBLANK($C380),"",IF($AJ380&lt;&gt;Constants!$B$7,$AJ380,AU380))</f>
        <v/>
      </c>
      <c r="BF380" s="65" t="str">
        <f aca="false">IF(ISBLANK($C380),"",IF($AJ380&lt;&gt;Constants!$B$7,$AJ380,AK380))</f>
        <v/>
      </c>
      <c r="BG380" s="63" t="str">
        <f aca="false">IF(ISBLANK($C380),"",BA380)</f>
        <v/>
      </c>
      <c r="BH380" s="63" t="str">
        <f aca="false">IF(ISBLANK($C380),"",AZ380)</f>
        <v/>
      </c>
      <c r="BI380" s="66" t="str">
        <f aca="false">IF(ISBLANK($C380),"",IF(BH380=Constants!$B$4,COUNTA($C$8:$C$507)+2,IF(BH380=Constants!$B$5,COUNTA($C$8:$C$507)+1,IF(BH380=Constants!$B$6,COUNTA($C$8:$C$507),BH380))))</f>
        <v/>
      </c>
      <c r="BJ380" s="5"/>
      <c r="BK380" s="67" t="n">
        <f aca="false">IF(OR(ISNUMBER(BH380),BH380=Constants!$B$4,BH380=Constants!$B$6,BH380=Constants!$B$5),1,0)</f>
        <v>0</v>
      </c>
      <c r="BL380" s="67" t="n">
        <v>373</v>
      </c>
      <c r="BM380" s="67" t="str">
        <f aca="false">IF(ISBLANK($C380),"",IF(ISNUMBER(BI380),BI380+ROW($B380)/1000,""))</f>
        <v/>
      </c>
      <c r="BN380" s="67" t="str">
        <f aca="false">IF(ISNUMBER(BM380),RANK(BM380,$BM$8:$BM$507,1),"")</f>
        <v/>
      </c>
      <c r="BO380" s="67" t="str">
        <f aca="false">IF(ISBLANK($C380),"",$B380)</f>
        <v/>
      </c>
      <c r="BP380" s="67" t="str">
        <f aca="false">IF(ISBLANK($C380),"",$C380)</f>
        <v/>
      </c>
      <c r="BQ380" s="67" t="str">
        <f aca="false">IF(ISBLANK($C380),"",$D380)</f>
        <v/>
      </c>
      <c r="BR380" s="68" t="str">
        <f aca="false">BF380</f>
        <v/>
      </c>
      <c r="BS380" s="69" t="str">
        <f aca="false">BE380</f>
        <v/>
      </c>
      <c r="BT380" s="67" t="str">
        <f aca="false">IF(ISBLANK($C380),"",BH380)</f>
        <v/>
      </c>
      <c r="BU380" s="70" t="str">
        <f aca="false">IF($BL380&gt;$BK$7,"",VLOOKUP($BL380,$BN$8:$BT$507,7,FALSE()))</f>
        <v/>
      </c>
      <c r="BV380" s="71" t="str">
        <f aca="false">IF($BL380&gt;$BK$7,"",VLOOKUP($BL380,$BN$8:$BT$507,2,FALSE()))</f>
        <v/>
      </c>
      <c r="BW380" s="71" t="str">
        <f aca="false">IF($BL380&gt;$BK$7,"",VLOOKUP($BL380,$BN$8:$BT$507,3,FALSE()))</f>
        <v/>
      </c>
      <c r="BX380" s="71" t="str">
        <f aca="false">IF($BL380&gt;$BK$7,"",VLOOKUP($BL380,$BN$8:$BT$507,4,FALSE()))</f>
        <v/>
      </c>
      <c r="BY380" s="71" t="str">
        <f aca="false">IF($BL380&gt;$BK$7,"",VLOOKUP($BL380,$BN$8:$BT$507,5,FALSE()))</f>
        <v/>
      </c>
      <c r="BZ380" s="72" t="str">
        <f aca="false">IF($BL380&gt;$BK$7,"",VLOOKUP($BL380,$BN$8:$BT$507,6,FALSE()))</f>
        <v/>
      </c>
      <c r="CA380" s="48"/>
    </row>
    <row r="381" customFormat="false" ht="15.75" hidden="false" customHeight="false" outlineLevel="0" collapsed="false">
      <c r="A381" s="5"/>
      <c r="B381" s="121"/>
      <c r="C381" s="50"/>
      <c r="D381" s="51"/>
      <c r="E381" s="74"/>
      <c r="F381" s="122"/>
      <c r="G381" s="54"/>
      <c r="H381" s="123"/>
      <c r="I381" s="124"/>
      <c r="J381" s="54"/>
      <c r="K381" s="123"/>
      <c r="L381" s="54"/>
      <c r="M381" s="123"/>
      <c r="N381" s="54"/>
      <c r="O381" s="123"/>
      <c r="P381" s="54"/>
      <c r="Q381" s="123"/>
      <c r="R381" s="54"/>
      <c r="S381" s="74"/>
      <c r="T381" s="58"/>
      <c r="U381" s="59" t="str">
        <f aca="false">IF(ISBLANK($C381),"",IF(E381=Constants!$B$2, TRUE(), IF(E381=Constants!$B$3, FALSE(), TRUE())))</f>
        <v/>
      </c>
      <c r="V381" s="59" t="str">
        <f aca="false">IF(ISBLANK($C381),"",IF(F381=Constants!$B$2, TRUE(), IF(F381=Constants!$B$3, FALSE(), TRUE())))</f>
        <v/>
      </c>
      <c r="W381" s="59" t="str">
        <f aca="false">IF(ISBLANK($C381),"",IF(G381=Constants!$B$15,Constants!$B$8,IF(G381=Constants!$B$16,Constants!$B$9,Constants!$B$10)))</f>
        <v/>
      </c>
      <c r="X381" s="59" t="str">
        <f aca="false">IF(ISBLANK($C381),"",IF(H381=Constants!$B$2, TRUE(), IF(H381=Constants!$B$3, FALSE(), TRUE())))</f>
        <v/>
      </c>
      <c r="Y381" s="59" t="str">
        <f aca="false">IF(ISBLANK($C381),"",IF(I381=Constants!$B$19,Constants!$B$19,Constants!$B$18))</f>
        <v/>
      </c>
      <c r="Z381" s="59" t="str">
        <f aca="false">IF(ISBLANK($C381),"",IF(ISNUMBER(J381),IF(J381&gt;=0,J381,""),""))</f>
        <v/>
      </c>
      <c r="AA381" s="59" t="str">
        <f aca="false">IF(ISBLANK($C381),"",IF(K381=Constants!$B$19,Constants!$B$19,Constants!$B$18))</f>
        <v/>
      </c>
      <c r="AB381" s="59" t="str">
        <f aca="false">IF(ISBLANK($C381),"",IF(ISNUMBER(L381),IF(L381&gt;=0,L381,""),""))</f>
        <v/>
      </c>
      <c r="AC381" s="59" t="str">
        <f aca="false">IF(ISBLANK($C381),"",IF(M381=Constants!$B$19,Constants!$B$19,Constants!$B$18))</f>
        <v/>
      </c>
      <c r="AD381" s="59" t="str">
        <f aca="false">IF(ISBLANK($C381),"",IF(ISNUMBER(N381),IF(N381&gt;=0,N381,""),""))</f>
        <v/>
      </c>
      <c r="AE381" s="59" t="str">
        <f aca="false">IF(ISBLANK($C381),"",IF(O381=Constants!$B$19,Constants!$B$19,Constants!$B$18))</f>
        <v/>
      </c>
      <c r="AF381" s="59" t="str">
        <f aca="false">IF(ISBLANK($C381),"",IF(ISNUMBER(P381),IF(P381&gt;=0,P381,""),""))</f>
        <v/>
      </c>
      <c r="AG381" s="59" t="str">
        <f aca="false">IF(ISBLANK($C381),"",IF(Q381=Constants!$B$19,Constants!$B$19,Constants!$B$18))</f>
        <v/>
      </c>
      <c r="AH381" s="59" t="str">
        <f aca="false">IF(ISBLANK($C381),"",IF(ISNUMBER(R381),IF(R381&gt;=0,R381,""),""))</f>
        <v/>
      </c>
      <c r="AI381" s="59" t="str">
        <f aca="false">IF(ISBLANK($C381),"",IF(S381=Constants!$B$2, TRUE(), IF(S381=Constants!$B$3, FALSE(), FALSE())))</f>
        <v/>
      </c>
      <c r="AJ381" s="59" t="str">
        <f aca="false">IF(ISBLANK($C381),"",IF(AI381,Constants!$B$4,IF(COUNTA(E381:R381)=0,Constants!$B$5,IF(COUNTA(J381,L381,N381,P381,R381)=0,Constants!$B$6,Constants!$B$7))))</f>
        <v/>
      </c>
      <c r="AK381" s="59" t="str">
        <f aca="false">IF(ISBLANK($C381),"",IF($AJ381&lt;&gt;Constants!$B$7,$AJ381,IF(OR(NOT(X381),AND(NOT(U381),COUNTIFS(Y381:AG381,Constants!$B$18,Z381:AH381,"&gt;=0")&gt;0),AND(NOT(V381),COUNTIFS(Y381:AG381,Constants!$B$19,Z381:AH381,"&gt;=0")&gt;0)),Constants!$B$12,Constants!$B$11)))</f>
        <v/>
      </c>
      <c r="AL381" s="59" t="str">
        <f aca="false">IF($AJ381=Constants!$B$7,IF(Z381="",Constants!$B$13,Z381),"")</f>
        <v/>
      </c>
      <c r="AM381" s="59" t="str">
        <f aca="false">IF($AJ381=Constants!$B$7,IF(AB381="",Constants!$B$13,AB381),"")</f>
        <v/>
      </c>
      <c r="AN381" s="59" t="str">
        <f aca="false">IF($AJ381=Constants!$B$7,IF(AD381="",Constants!$B$13,AD381),"")</f>
        <v/>
      </c>
      <c r="AO381" s="59" t="str">
        <f aca="false">IF($AJ381=Constants!$B$7,IF(AF381="",Constants!$B$13,AF381),"")</f>
        <v/>
      </c>
      <c r="AP381" s="59" t="str">
        <f aca="false">IF($AJ381=Constants!$B$7,IF(AH381="",Constants!$B$13,AH381),"")</f>
        <v/>
      </c>
      <c r="AQ381" s="59" t="str">
        <f aca="false">IF($AJ381=Constants!$B$7,IF(SUMPRODUCT(--($AL381:$AP381&gt;AL381))+SUMPRODUCT(--($AL381:AL381=AL381))=1,1,IF(SUMPRODUCT(--($AL381:$AP381&gt;AM381))+SUMPRODUCT(--($AL381:AM381=AM381))=1,2,IF(SUMPRODUCT(--($AL381:$AP381&gt;AN381))+SUMPRODUCT(--($AL381:AN381=AN381))=1,3,IF(SUMPRODUCT(--($AL381:$AP381&gt;AO381))+SUMPRODUCT(--($AL381:AO381=AO381))=1,4,5)))),"")</f>
        <v/>
      </c>
      <c r="AR381" s="59" t="str">
        <f aca="false">IF($AJ381=Constants!$B$7,IF(SUMPRODUCT(--($AL381:$AP381&gt;AL381))+SUMPRODUCT(--($AL381:AL381=AL381))=2,1,IF(SUMPRODUCT(--($AL381:$AP381&gt;AM381))+SUMPRODUCT(--($AL381:AM381=AM381))=2,2,IF(SUMPRODUCT(--($AL381:$AP381&gt;AN381))+SUMPRODUCT(--($AL381:AN381=AN381))=2,3,IF(SUMPRODUCT(--($AL381:$AP381&gt;AO381))+SUMPRODUCT(--($AL381:AO381=AO381))=2,4,5)))),"")</f>
        <v/>
      </c>
      <c r="AS381" s="59" t="str">
        <f aca="false">IF($AJ381=Constants!$B$7,IF(SUMPRODUCT(--($AL381:$AP381&gt;AL381))+SUMPRODUCT(--($AL381:AL381=AL381))=3,1,IF(SUMPRODUCT(--($AL381:$AP381&gt;AM381))+SUMPRODUCT(--($AL381:AM381=AM381))=3,2,IF(SUMPRODUCT(--($AL381:$AP381&gt;AN381))+SUMPRODUCT(--($AL381:AN381=AN381))=3,3,IF(SUMPRODUCT(--($AL381:$AP381&gt;AO381))+SUMPRODUCT(--($AL381:AO381=AO381))=3,4,5)))),"")</f>
        <v/>
      </c>
      <c r="AT381" s="59" t="str">
        <f aca="false">IF($AJ381=Constants!$B$7,LARGE(AL381:AP381,1)+LARGE(AL381:AP381,2)+LARGE(AL381:AP381,3),"")</f>
        <v/>
      </c>
      <c r="AU381" s="59" t="str">
        <f aca="false">IF(ISBLANK($C381),"",IF($AJ381&lt;&gt;Constants!$B$7,$AJ381,AT381*W381))</f>
        <v/>
      </c>
      <c r="AV381" s="59" t="str">
        <f aca="false">IF(ISBLANK($C381),"",IF($AJ381=Constants!$B$7,IF(ISNUMBER(AU381),RANK(AU381,$AU$8:$AU$507),Constants!$B$14),$AJ381))</f>
        <v/>
      </c>
      <c r="AW381" s="59" t="str">
        <f aca="false">IF(ISBLANK($C381),"",IF($AJ381=Constants!$B$7,IF(ISNUMBER(AV381),COUNTIFS($AK$8:$AK$507,"&lt;"&amp;$AK381)+COUNTIFS($AK$8:$AK$507,$AK381,$AV$8:$AV$507,"&lt;"&amp;$AV381)+1,Constants!$B$14),$AJ381))</f>
        <v/>
      </c>
      <c r="AX381" s="59" t="str">
        <f aca="false">IF(ISBLANK($C381),"",IF($AJ381=Constants!$B$7,LARGE(AL381:AP381,4)*W381,""))</f>
        <v/>
      </c>
      <c r="AY381" s="59" t="str">
        <f aca="false">IF(ISBLANK($C381),"",IF($AJ381=Constants!$B$7,RANK(AX381,$AX$8:$AX$507),$AJ381))</f>
        <v/>
      </c>
      <c r="AZ381" s="59" t="str">
        <f aca="false">IF(ISBLANK($C381),"",IF($AJ381=Constants!$B$7,IF(ISNUMBER(AV381),COUNTIFS($AK$8:$AK$507,"&lt;"&amp;$AK381)+COUNTIFS($AK$8:$AK$507,$AK381,$AV$8:$AV$507,"&lt;"&amp;$AV381)+COUNTIFS($AK$8:$AK$507,$AK381,$AV$8:$AV$507,$AV381,$AY$8:$AY$507,"&lt;"&amp;$AY381)+1,Constants!$B$14),$AJ381))</f>
        <v/>
      </c>
      <c r="BA381" s="59" t="str">
        <f aca="false">IF(ISBLANK($C381),"",IF($AJ381=Constants!$B$7,IF(ISNUMBER(AW381),AW381-AZ381,Constants!$B$14),$AJ381))</f>
        <v/>
      </c>
      <c r="BB381" s="61"/>
      <c r="BC381" s="62" t="str">
        <f aca="false">IF(ISBLANK($C381),"",IF($AJ381&lt;&gt;Constants!$B$7,$AJ381,SMALL(AQ381:AS381,1)&amp;", "&amp;SMALL(AQ381:AS381,2)&amp;", "&amp;SMALL(AQ381:AS381,3)))</f>
        <v/>
      </c>
      <c r="BD381" s="63" t="str">
        <f aca="false">IF(ISBLANK($C381),"",IF($AJ381&lt;&gt;Constants!$B$7,$AJ381,W381))</f>
        <v/>
      </c>
      <c r="BE381" s="64" t="str">
        <f aca="false">IF(ISBLANK($C381),"",IF($AJ381&lt;&gt;Constants!$B$7,$AJ381,AU381))</f>
        <v/>
      </c>
      <c r="BF381" s="65" t="str">
        <f aca="false">IF(ISBLANK($C381),"",IF($AJ381&lt;&gt;Constants!$B$7,$AJ381,AK381))</f>
        <v/>
      </c>
      <c r="BG381" s="63" t="str">
        <f aca="false">IF(ISBLANK($C381),"",BA381)</f>
        <v/>
      </c>
      <c r="BH381" s="63" t="str">
        <f aca="false">IF(ISBLANK($C381),"",AZ381)</f>
        <v/>
      </c>
      <c r="BI381" s="66" t="str">
        <f aca="false">IF(ISBLANK($C381),"",IF(BH381=Constants!$B$4,COUNTA($C$8:$C$507)+2,IF(BH381=Constants!$B$5,COUNTA($C$8:$C$507)+1,IF(BH381=Constants!$B$6,COUNTA($C$8:$C$507),BH381))))</f>
        <v/>
      </c>
      <c r="BJ381" s="5"/>
      <c r="BK381" s="67" t="n">
        <f aca="false">IF(OR(ISNUMBER(BH381),BH381=Constants!$B$4,BH381=Constants!$B$6,BH381=Constants!$B$5),1,0)</f>
        <v>0</v>
      </c>
      <c r="BL381" s="67" t="n">
        <v>374</v>
      </c>
      <c r="BM381" s="67" t="str">
        <f aca="false">IF(ISBLANK($C381),"",IF(ISNUMBER(BI381),BI381+ROW($B381)/1000,""))</f>
        <v/>
      </c>
      <c r="BN381" s="67" t="str">
        <f aca="false">IF(ISNUMBER(BM381),RANK(BM381,$BM$8:$BM$507,1),"")</f>
        <v/>
      </c>
      <c r="BO381" s="67" t="str">
        <f aca="false">IF(ISBLANK($C381),"",$B381)</f>
        <v/>
      </c>
      <c r="BP381" s="67" t="str">
        <f aca="false">IF(ISBLANK($C381),"",$C381)</f>
        <v/>
      </c>
      <c r="BQ381" s="67" t="str">
        <f aca="false">IF(ISBLANK($C381),"",$D381)</f>
        <v/>
      </c>
      <c r="BR381" s="68" t="str">
        <f aca="false">BF381</f>
        <v/>
      </c>
      <c r="BS381" s="69" t="str">
        <f aca="false">BE381</f>
        <v/>
      </c>
      <c r="BT381" s="67" t="str">
        <f aca="false">IF(ISBLANK($C381),"",BH381)</f>
        <v/>
      </c>
      <c r="BU381" s="70" t="str">
        <f aca="false">IF($BL381&gt;$BK$7,"",VLOOKUP($BL381,$BN$8:$BT$507,7,FALSE()))</f>
        <v/>
      </c>
      <c r="BV381" s="71" t="str">
        <f aca="false">IF($BL381&gt;$BK$7,"",VLOOKUP($BL381,$BN$8:$BT$507,2,FALSE()))</f>
        <v/>
      </c>
      <c r="BW381" s="71" t="str">
        <f aca="false">IF($BL381&gt;$BK$7,"",VLOOKUP($BL381,$BN$8:$BT$507,3,FALSE()))</f>
        <v/>
      </c>
      <c r="BX381" s="71" t="str">
        <f aca="false">IF($BL381&gt;$BK$7,"",VLOOKUP($BL381,$BN$8:$BT$507,4,FALSE()))</f>
        <v/>
      </c>
      <c r="BY381" s="71" t="str">
        <f aca="false">IF($BL381&gt;$BK$7,"",VLOOKUP($BL381,$BN$8:$BT$507,5,FALSE()))</f>
        <v/>
      </c>
      <c r="BZ381" s="72" t="str">
        <f aca="false">IF($BL381&gt;$BK$7,"",VLOOKUP($BL381,$BN$8:$BT$507,6,FALSE()))</f>
        <v/>
      </c>
      <c r="CA381" s="48"/>
    </row>
    <row r="382" customFormat="false" ht="15.75" hidden="false" customHeight="false" outlineLevel="0" collapsed="false">
      <c r="A382" s="5"/>
      <c r="B382" s="121"/>
      <c r="C382" s="50"/>
      <c r="D382" s="51"/>
      <c r="E382" s="74"/>
      <c r="F382" s="122"/>
      <c r="G382" s="54"/>
      <c r="H382" s="123"/>
      <c r="I382" s="124"/>
      <c r="J382" s="54"/>
      <c r="K382" s="123"/>
      <c r="L382" s="54"/>
      <c r="M382" s="123"/>
      <c r="N382" s="54"/>
      <c r="O382" s="123"/>
      <c r="P382" s="54"/>
      <c r="Q382" s="123"/>
      <c r="R382" s="54"/>
      <c r="S382" s="74"/>
      <c r="T382" s="58"/>
      <c r="U382" s="59" t="str">
        <f aca="false">IF(ISBLANK($C382),"",IF(E382=Constants!$B$2, TRUE(), IF(E382=Constants!$B$3, FALSE(), TRUE())))</f>
        <v/>
      </c>
      <c r="V382" s="59" t="str">
        <f aca="false">IF(ISBLANK($C382),"",IF(F382=Constants!$B$2, TRUE(), IF(F382=Constants!$B$3, FALSE(), TRUE())))</f>
        <v/>
      </c>
      <c r="W382" s="59" t="str">
        <f aca="false">IF(ISBLANK($C382),"",IF(G382=Constants!$B$15,Constants!$B$8,IF(G382=Constants!$B$16,Constants!$B$9,Constants!$B$10)))</f>
        <v/>
      </c>
      <c r="X382" s="59" t="str">
        <f aca="false">IF(ISBLANK($C382),"",IF(H382=Constants!$B$2, TRUE(), IF(H382=Constants!$B$3, FALSE(), TRUE())))</f>
        <v/>
      </c>
      <c r="Y382" s="59" t="str">
        <f aca="false">IF(ISBLANK($C382),"",IF(I382=Constants!$B$19,Constants!$B$19,Constants!$B$18))</f>
        <v/>
      </c>
      <c r="Z382" s="59" t="str">
        <f aca="false">IF(ISBLANK($C382),"",IF(ISNUMBER(J382),IF(J382&gt;=0,J382,""),""))</f>
        <v/>
      </c>
      <c r="AA382" s="59" t="str">
        <f aca="false">IF(ISBLANK($C382),"",IF(K382=Constants!$B$19,Constants!$B$19,Constants!$B$18))</f>
        <v/>
      </c>
      <c r="AB382" s="59" t="str">
        <f aca="false">IF(ISBLANK($C382),"",IF(ISNUMBER(L382),IF(L382&gt;=0,L382,""),""))</f>
        <v/>
      </c>
      <c r="AC382" s="59" t="str">
        <f aca="false">IF(ISBLANK($C382),"",IF(M382=Constants!$B$19,Constants!$B$19,Constants!$B$18))</f>
        <v/>
      </c>
      <c r="AD382" s="59" t="str">
        <f aca="false">IF(ISBLANK($C382),"",IF(ISNUMBER(N382),IF(N382&gt;=0,N382,""),""))</f>
        <v/>
      </c>
      <c r="AE382" s="59" t="str">
        <f aca="false">IF(ISBLANK($C382),"",IF(O382=Constants!$B$19,Constants!$B$19,Constants!$B$18))</f>
        <v/>
      </c>
      <c r="AF382" s="59" t="str">
        <f aca="false">IF(ISBLANK($C382),"",IF(ISNUMBER(P382),IF(P382&gt;=0,P382,""),""))</f>
        <v/>
      </c>
      <c r="AG382" s="59" t="str">
        <f aca="false">IF(ISBLANK($C382),"",IF(Q382=Constants!$B$19,Constants!$B$19,Constants!$B$18))</f>
        <v/>
      </c>
      <c r="AH382" s="59" t="str">
        <f aca="false">IF(ISBLANK($C382),"",IF(ISNUMBER(R382),IF(R382&gt;=0,R382,""),""))</f>
        <v/>
      </c>
      <c r="AI382" s="59" t="str">
        <f aca="false">IF(ISBLANK($C382),"",IF(S382=Constants!$B$2, TRUE(), IF(S382=Constants!$B$3, FALSE(), FALSE())))</f>
        <v/>
      </c>
      <c r="AJ382" s="59" t="str">
        <f aca="false">IF(ISBLANK($C382),"",IF(AI382,Constants!$B$4,IF(COUNTA(E382:R382)=0,Constants!$B$5,IF(COUNTA(J382,L382,N382,P382,R382)=0,Constants!$B$6,Constants!$B$7))))</f>
        <v/>
      </c>
      <c r="AK382" s="59" t="str">
        <f aca="false">IF(ISBLANK($C382),"",IF($AJ382&lt;&gt;Constants!$B$7,$AJ382,IF(OR(NOT(X382),AND(NOT(U382),COUNTIFS(Y382:AG382,Constants!$B$18,Z382:AH382,"&gt;=0")&gt;0),AND(NOT(V382),COUNTIFS(Y382:AG382,Constants!$B$19,Z382:AH382,"&gt;=0")&gt;0)),Constants!$B$12,Constants!$B$11)))</f>
        <v/>
      </c>
      <c r="AL382" s="59" t="str">
        <f aca="false">IF($AJ382=Constants!$B$7,IF(Z382="",Constants!$B$13,Z382),"")</f>
        <v/>
      </c>
      <c r="AM382" s="59" t="str">
        <f aca="false">IF($AJ382=Constants!$B$7,IF(AB382="",Constants!$B$13,AB382),"")</f>
        <v/>
      </c>
      <c r="AN382" s="59" t="str">
        <f aca="false">IF($AJ382=Constants!$B$7,IF(AD382="",Constants!$B$13,AD382),"")</f>
        <v/>
      </c>
      <c r="AO382" s="59" t="str">
        <f aca="false">IF($AJ382=Constants!$B$7,IF(AF382="",Constants!$B$13,AF382),"")</f>
        <v/>
      </c>
      <c r="AP382" s="59" t="str">
        <f aca="false">IF($AJ382=Constants!$B$7,IF(AH382="",Constants!$B$13,AH382),"")</f>
        <v/>
      </c>
      <c r="AQ382" s="59" t="str">
        <f aca="false">IF($AJ382=Constants!$B$7,IF(SUMPRODUCT(--($AL382:$AP382&gt;AL382))+SUMPRODUCT(--($AL382:AL382=AL382))=1,1,IF(SUMPRODUCT(--($AL382:$AP382&gt;AM382))+SUMPRODUCT(--($AL382:AM382=AM382))=1,2,IF(SUMPRODUCT(--($AL382:$AP382&gt;AN382))+SUMPRODUCT(--($AL382:AN382=AN382))=1,3,IF(SUMPRODUCT(--($AL382:$AP382&gt;AO382))+SUMPRODUCT(--($AL382:AO382=AO382))=1,4,5)))),"")</f>
        <v/>
      </c>
      <c r="AR382" s="59" t="str">
        <f aca="false">IF($AJ382=Constants!$B$7,IF(SUMPRODUCT(--($AL382:$AP382&gt;AL382))+SUMPRODUCT(--($AL382:AL382=AL382))=2,1,IF(SUMPRODUCT(--($AL382:$AP382&gt;AM382))+SUMPRODUCT(--($AL382:AM382=AM382))=2,2,IF(SUMPRODUCT(--($AL382:$AP382&gt;AN382))+SUMPRODUCT(--($AL382:AN382=AN382))=2,3,IF(SUMPRODUCT(--($AL382:$AP382&gt;AO382))+SUMPRODUCT(--($AL382:AO382=AO382))=2,4,5)))),"")</f>
        <v/>
      </c>
      <c r="AS382" s="59" t="str">
        <f aca="false">IF($AJ382=Constants!$B$7,IF(SUMPRODUCT(--($AL382:$AP382&gt;AL382))+SUMPRODUCT(--($AL382:AL382=AL382))=3,1,IF(SUMPRODUCT(--($AL382:$AP382&gt;AM382))+SUMPRODUCT(--($AL382:AM382=AM382))=3,2,IF(SUMPRODUCT(--($AL382:$AP382&gt;AN382))+SUMPRODUCT(--($AL382:AN382=AN382))=3,3,IF(SUMPRODUCT(--($AL382:$AP382&gt;AO382))+SUMPRODUCT(--($AL382:AO382=AO382))=3,4,5)))),"")</f>
        <v/>
      </c>
      <c r="AT382" s="59" t="str">
        <f aca="false">IF($AJ382=Constants!$B$7,LARGE(AL382:AP382,1)+LARGE(AL382:AP382,2)+LARGE(AL382:AP382,3),"")</f>
        <v/>
      </c>
      <c r="AU382" s="59" t="str">
        <f aca="false">IF(ISBLANK($C382),"",IF($AJ382&lt;&gt;Constants!$B$7,$AJ382,AT382*W382))</f>
        <v/>
      </c>
      <c r="AV382" s="59" t="str">
        <f aca="false">IF(ISBLANK($C382),"",IF($AJ382=Constants!$B$7,IF(ISNUMBER(AU382),RANK(AU382,$AU$8:$AU$507),Constants!$B$14),$AJ382))</f>
        <v/>
      </c>
      <c r="AW382" s="59" t="str">
        <f aca="false">IF(ISBLANK($C382),"",IF($AJ382=Constants!$B$7,IF(ISNUMBER(AV382),COUNTIFS($AK$8:$AK$507,"&lt;"&amp;$AK382)+COUNTIFS($AK$8:$AK$507,$AK382,$AV$8:$AV$507,"&lt;"&amp;$AV382)+1,Constants!$B$14),$AJ382))</f>
        <v/>
      </c>
      <c r="AX382" s="59" t="str">
        <f aca="false">IF(ISBLANK($C382),"",IF($AJ382=Constants!$B$7,LARGE(AL382:AP382,4)*W382,""))</f>
        <v/>
      </c>
      <c r="AY382" s="59" t="str">
        <f aca="false">IF(ISBLANK($C382),"",IF($AJ382=Constants!$B$7,RANK(AX382,$AX$8:$AX$507),$AJ382))</f>
        <v/>
      </c>
      <c r="AZ382" s="59" t="str">
        <f aca="false">IF(ISBLANK($C382),"",IF($AJ382=Constants!$B$7,IF(ISNUMBER(AV382),COUNTIFS($AK$8:$AK$507,"&lt;"&amp;$AK382)+COUNTIFS($AK$8:$AK$507,$AK382,$AV$8:$AV$507,"&lt;"&amp;$AV382)+COUNTIFS($AK$8:$AK$507,$AK382,$AV$8:$AV$507,$AV382,$AY$8:$AY$507,"&lt;"&amp;$AY382)+1,Constants!$B$14),$AJ382))</f>
        <v/>
      </c>
      <c r="BA382" s="59" t="str">
        <f aca="false">IF(ISBLANK($C382),"",IF($AJ382=Constants!$B$7,IF(ISNUMBER(AW382),AW382-AZ382,Constants!$B$14),$AJ382))</f>
        <v/>
      </c>
      <c r="BB382" s="61"/>
      <c r="BC382" s="62" t="str">
        <f aca="false">IF(ISBLANK($C382),"",IF($AJ382&lt;&gt;Constants!$B$7,$AJ382,SMALL(AQ382:AS382,1)&amp;", "&amp;SMALL(AQ382:AS382,2)&amp;", "&amp;SMALL(AQ382:AS382,3)))</f>
        <v/>
      </c>
      <c r="BD382" s="63" t="str">
        <f aca="false">IF(ISBLANK($C382),"",IF($AJ382&lt;&gt;Constants!$B$7,$AJ382,W382))</f>
        <v/>
      </c>
      <c r="BE382" s="64" t="str">
        <f aca="false">IF(ISBLANK($C382),"",IF($AJ382&lt;&gt;Constants!$B$7,$AJ382,AU382))</f>
        <v/>
      </c>
      <c r="BF382" s="65" t="str">
        <f aca="false">IF(ISBLANK($C382),"",IF($AJ382&lt;&gt;Constants!$B$7,$AJ382,AK382))</f>
        <v/>
      </c>
      <c r="BG382" s="63" t="str">
        <f aca="false">IF(ISBLANK($C382),"",BA382)</f>
        <v/>
      </c>
      <c r="BH382" s="63" t="str">
        <f aca="false">IF(ISBLANK($C382),"",AZ382)</f>
        <v/>
      </c>
      <c r="BI382" s="66" t="str">
        <f aca="false">IF(ISBLANK($C382),"",IF(BH382=Constants!$B$4,COUNTA($C$8:$C$507)+2,IF(BH382=Constants!$B$5,COUNTA($C$8:$C$507)+1,IF(BH382=Constants!$B$6,COUNTA($C$8:$C$507),BH382))))</f>
        <v/>
      </c>
      <c r="BJ382" s="5"/>
      <c r="BK382" s="67" t="n">
        <f aca="false">IF(OR(ISNUMBER(BH382),BH382=Constants!$B$4,BH382=Constants!$B$6,BH382=Constants!$B$5),1,0)</f>
        <v>0</v>
      </c>
      <c r="BL382" s="67" t="n">
        <v>375</v>
      </c>
      <c r="BM382" s="67" t="str">
        <f aca="false">IF(ISBLANK($C382),"",IF(ISNUMBER(BI382),BI382+ROW($B382)/1000,""))</f>
        <v/>
      </c>
      <c r="BN382" s="67" t="str">
        <f aca="false">IF(ISNUMBER(BM382),RANK(BM382,$BM$8:$BM$507,1),"")</f>
        <v/>
      </c>
      <c r="BO382" s="67" t="str">
        <f aca="false">IF(ISBLANK($C382),"",$B382)</f>
        <v/>
      </c>
      <c r="BP382" s="67" t="str">
        <f aca="false">IF(ISBLANK($C382),"",$C382)</f>
        <v/>
      </c>
      <c r="BQ382" s="67" t="str">
        <f aca="false">IF(ISBLANK($C382),"",$D382)</f>
        <v/>
      </c>
      <c r="BR382" s="68" t="str">
        <f aca="false">BF382</f>
        <v/>
      </c>
      <c r="BS382" s="69" t="str">
        <f aca="false">BE382</f>
        <v/>
      </c>
      <c r="BT382" s="67" t="str">
        <f aca="false">IF(ISBLANK($C382),"",BH382)</f>
        <v/>
      </c>
      <c r="BU382" s="70" t="str">
        <f aca="false">IF($BL382&gt;$BK$7,"",VLOOKUP($BL382,$BN$8:$BT$507,7,FALSE()))</f>
        <v/>
      </c>
      <c r="BV382" s="71" t="str">
        <f aca="false">IF($BL382&gt;$BK$7,"",VLOOKUP($BL382,$BN$8:$BT$507,2,FALSE()))</f>
        <v/>
      </c>
      <c r="BW382" s="71" t="str">
        <f aca="false">IF($BL382&gt;$BK$7,"",VLOOKUP($BL382,$BN$8:$BT$507,3,FALSE()))</f>
        <v/>
      </c>
      <c r="BX382" s="71" t="str">
        <f aca="false">IF($BL382&gt;$BK$7,"",VLOOKUP($BL382,$BN$8:$BT$507,4,FALSE()))</f>
        <v/>
      </c>
      <c r="BY382" s="71" t="str">
        <f aca="false">IF($BL382&gt;$BK$7,"",VLOOKUP($BL382,$BN$8:$BT$507,5,FALSE()))</f>
        <v/>
      </c>
      <c r="BZ382" s="72" t="str">
        <f aca="false">IF($BL382&gt;$BK$7,"",VLOOKUP($BL382,$BN$8:$BT$507,6,FALSE()))</f>
        <v/>
      </c>
      <c r="CA382" s="48"/>
    </row>
    <row r="383" customFormat="false" ht="15.75" hidden="false" customHeight="false" outlineLevel="0" collapsed="false">
      <c r="A383" s="5"/>
      <c r="B383" s="114"/>
      <c r="C383" s="115"/>
      <c r="D383" s="100"/>
      <c r="E383" s="120"/>
      <c r="F383" s="125"/>
      <c r="G383" s="82"/>
      <c r="H383" s="126"/>
      <c r="I383" s="127"/>
      <c r="J383" s="82"/>
      <c r="K383" s="126"/>
      <c r="L383" s="82"/>
      <c r="M383" s="126"/>
      <c r="N383" s="82"/>
      <c r="O383" s="126"/>
      <c r="P383" s="82"/>
      <c r="Q383" s="126"/>
      <c r="R383" s="82"/>
      <c r="S383" s="120"/>
      <c r="T383" s="86"/>
      <c r="U383" s="87" t="str">
        <f aca="false">IF(ISBLANK($C383),"",IF(E383=Constants!$B$2, TRUE(), IF(E383=Constants!$B$3, FALSE(), TRUE())))</f>
        <v/>
      </c>
      <c r="V383" s="87" t="str">
        <f aca="false">IF(ISBLANK($C383),"",IF(F383=Constants!$B$2, TRUE(), IF(F383=Constants!$B$3, FALSE(), TRUE())))</f>
        <v/>
      </c>
      <c r="W383" s="87" t="str">
        <f aca="false">IF(ISBLANK($C383),"",IF(G383=Constants!$B$15,Constants!$B$8,IF(G383=Constants!$B$16,Constants!$B$9,Constants!$B$10)))</f>
        <v/>
      </c>
      <c r="X383" s="87" t="str">
        <f aca="false">IF(ISBLANK($C383),"",IF(H383=Constants!$B$2, TRUE(), IF(H383=Constants!$B$3, FALSE(), TRUE())))</f>
        <v/>
      </c>
      <c r="Y383" s="87" t="str">
        <f aca="false">IF(ISBLANK($C383),"",IF(I383=Constants!$B$19,Constants!$B$19,Constants!$B$18))</f>
        <v/>
      </c>
      <c r="Z383" s="87" t="str">
        <f aca="false">IF(ISBLANK($C383),"",IF(ISNUMBER(J383),IF(J383&gt;=0,J383,""),""))</f>
        <v/>
      </c>
      <c r="AA383" s="87" t="str">
        <f aca="false">IF(ISBLANK($C383),"",IF(K383=Constants!$B$19,Constants!$B$19,Constants!$B$18))</f>
        <v/>
      </c>
      <c r="AB383" s="87" t="str">
        <f aca="false">IF(ISBLANK($C383),"",IF(ISNUMBER(L383),IF(L383&gt;=0,L383,""),""))</f>
        <v/>
      </c>
      <c r="AC383" s="87" t="str">
        <f aca="false">IF(ISBLANK($C383),"",IF(M383=Constants!$B$19,Constants!$B$19,Constants!$B$18))</f>
        <v/>
      </c>
      <c r="AD383" s="87" t="str">
        <f aca="false">IF(ISBLANK($C383),"",IF(ISNUMBER(N383),IF(N383&gt;=0,N383,""),""))</f>
        <v/>
      </c>
      <c r="AE383" s="87" t="str">
        <f aca="false">IF(ISBLANK($C383),"",IF(O383=Constants!$B$19,Constants!$B$19,Constants!$B$18))</f>
        <v/>
      </c>
      <c r="AF383" s="87" t="str">
        <f aca="false">IF(ISBLANK($C383),"",IF(ISNUMBER(P383),IF(P383&gt;=0,P383,""),""))</f>
        <v/>
      </c>
      <c r="AG383" s="87" t="str">
        <f aca="false">IF(ISBLANK($C383),"",IF(Q383=Constants!$B$19,Constants!$B$19,Constants!$B$18))</f>
        <v/>
      </c>
      <c r="AH383" s="87" t="str">
        <f aca="false">IF(ISBLANK($C383),"",IF(ISNUMBER(R383),IF(R383&gt;=0,R383,""),""))</f>
        <v/>
      </c>
      <c r="AI383" s="87" t="str">
        <f aca="false">IF(ISBLANK($C383),"",IF(S383=Constants!$B$2, TRUE(), IF(S383=Constants!$B$3, FALSE(), FALSE())))</f>
        <v/>
      </c>
      <c r="AJ383" s="87" t="str">
        <f aca="false">IF(ISBLANK($C383),"",IF(AI383,Constants!$B$4,IF(COUNTA(E383:R383)=0,Constants!$B$5,IF(COUNTA(J383,L383,N383,P383,R383)=0,Constants!$B$6,Constants!$B$7))))</f>
        <v/>
      </c>
      <c r="AK383" s="87" t="str">
        <f aca="false">IF(ISBLANK($C383),"",IF($AJ383&lt;&gt;Constants!$B$7,$AJ383,IF(OR(NOT(X383),AND(NOT(U383),COUNTIFS(Y383:AG383,Constants!$B$18,Z383:AH383,"&gt;=0")&gt;0),AND(NOT(V383),COUNTIFS(Y383:AG383,Constants!$B$19,Z383:AH383,"&gt;=0")&gt;0)),Constants!$B$12,Constants!$B$11)))</f>
        <v/>
      </c>
      <c r="AL383" s="87" t="str">
        <f aca="false">IF($AJ383=Constants!$B$7,IF(Z383="",Constants!$B$13,Z383),"")</f>
        <v/>
      </c>
      <c r="AM383" s="87" t="str">
        <f aca="false">IF($AJ383=Constants!$B$7,IF(AB383="",Constants!$B$13,AB383),"")</f>
        <v/>
      </c>
      <c r="AN383" s="87" t="str">
        <f aca="false">IF($AJ383=Constants!$B$7,IF(AD383="",Constants!$B$13,AD383),"")</f>
        <v/>
      </c>
      <c r="AO383" s="87" t="str">
        <f aca="false">IF($AJ383=Constants!$B$7,IF(AF383="",Constants!$B$13,AF383),"")</f>
        <v/>
      </c>
      <c r="AP383" s="87" t="str">
        <f aca="false">IF($AJ383=Constants!$B$7,IF(AH383="",Constants!$B$13,AH383),"")</f>
        <v/>
      </c>
      <c r="AQ383" s="87" t="str">
        <f aca="false">IF($AJ383=Constants!$B$7,IF(SUMPRODUCT(--($AL383:$AP383&gt;AL383))+SUMPRODUCT(--($AL383:AL383=AL383))=1,1,IF(SUMPRODUCT(--($AL383:$AP383&gt;AM383))+SUMPRODUCT(--($AL383:AM383=AM383))=1,2,IF(SUMPRODUCT(--($AL383:$AP383&gt;AN383))+SUMPRODUCT(--($AL383:AN383=AN383))=1,3,IF(SUMPRODUCT(--($AL383:$AP383&gt;AO383))+SUMPRODUCT(--($AL383:AO383=AO383))=1,4,5)))),"")</f>
        <v/>
      </c>
      <c r="AR383" s="87" t="str">
        <f aca="false">IF($AJ383=Constants!$B$7,IF(SUMPRODUCT(--($AL383:$AP383&gt;AL383))+SUMPRODUCT(--($AL383:AL383=AL383))=2,1,IF(SUMPRODUCT(--($AL383:$AP383&gt;AM383))+SUMPRODUCT(--($AL383:AM383=AM383))=2,2,IF(SUMPRODUCT(--($AL383:$AP383&gt;AN383))+SUMPRODUCT(--($AL383:AN383=AN383))=2,3,IF(SUMPRODUCT(--($AL383:$AP383&gt;AO383))+SUMPRODUCT(--($AL383:AO383=AO383))=2,4,5)))),"")</f>
        <v/>
      </c>
      <c r="AS383" s="87" t="str">
        <f aca="false">IF($AJ383=Constants!$B$7,IF(SUMPRODUCT(--($AL383:$AP383&gt;AL383))+SUMPRODUCT(--($AL383:AL383=AL383))=3,1,IF(SUMPRODUCT(--($AL383:$AP383&gt;AM383))+SUMPRODUCT(--($AL383:AM383=AM383))=3,2,IF(SUMPRODUCT(--($AL383:$AP383&gt;AN383))+SUMPRODUCT(--($AL383:AN383=AN383))=3,3,IF(SUMPRODUCT(--($AL383:$AP383&gt;AO383))+SUMPRODUCT(--($AL383:AO383=AO383))=3,4,5)))),"")</f>
        <v/>
      </c>
      <c r="AT383" s="87" t="str">
        <f aca="false">IF($AJ383=Constants!$B$7,LARGE(AL383:AP383,1)+LARGE(AL383:AP383,2)+LARGE(AL383:AP383,3),"")</f>
        <v/>
      </c>
      <c r="AU383" s="87" t="str">
        <f aca="false">IF(ISBLANK($C383),"",IF($AJ383&lt;&gt;Constants!$B$7,$AJ383,AT383*W383))</f>
        <v/>
      </c>
      <c r="AV383" s="87" t="str">
        <f aca="false">IF(ISBLANK($C383),"",IF($AJ383=Constants!$B$7,IF(ISNUMBER(AU383),RANK(AU383,$AU$8:$AU$507),Constants!$B$14),$AJ383))</f>
        <v/>
      </c>
      <c r="AW383" s="87" t="str">
        <f aca="false">IF(ISBLANK($C383),"",IF($AJ383=Constants!$B$7,IF(ISNUMBER(AV383),COUNTIFS($AK$8:$AK$507,"&lt;"&amp;$AK383)+COUNTIFS($AK$8:$AK$507,$AK383,$AV$8:$AV$507,"&lt;"&amp;$AV383)+1,Constants!$B$14),$AJ383))</f>
        <v/>
      </c>
      <c r="AX383" s="87" t="str">
        <f aca="false">IF(ISBLANK($C383),"",IF($AJ383=Constants!$B$7,LARGE(AL383:AP383,4)*W383,""))</f>
        <v/>
      </c>
      <c r="AY383" s="87" t="str">
        <f aca="false">IF(ISBLANK($C383),"",IF($AJ383=Constants!$B$7,RANK(AX383,$AX$8:$AX$507),$AJ383))</f>
        <v/>
      </c>
      <c r="AZ383" s="87" t="str">
        <f aca="false">IF(ISBLANK($C383),"",IF($AJ383=Constants!$B$7,IF(ISNUMBER(AV383),COUNTIFS($AK$8:$AK$507,"&lt;"&amp;$AK383)+COUNTIFS($AK$8:$AK$507,$AK383,$AV$8:$AV$507,"&lt;"&amp;$AV383)+COUNTIFS($AK$8:$AK$507,$AK383,$AV$8:$AV$507,$AV383,$AY$8:$AY$507,"&lt;"&amp;$AY383)+1,Constants!$B$14),$AJ383))</f>
        <v/>
      </c>
      <c r="BA383" s="87" t="str">
        <f aca="false">IF(ISBLANK($C383),"",IF($AJ383=Constants!$B$7,IF(ISNUMBER(AW383),AW383-AZ383,Constants!$B$14),$AJ383))</f>
        <v/>
      </c>
      <c r="BB383" s="88"/>
      <c r="BC383" s="89" t="str">
        <f aca="false">IF(ISBLANK($C383),"",IF($AJ383&lt;&gt;Constants!$B$7,$AJ383,SMALL(AQ383:AS383,1)&amp;", "&amp;SMALL(AQ383:AS383,2)&amp;", "&amp;SMALL(AQ383:AS383,3)))</f>
        <v/>
      </c>
      <c r="BD383" s="90" t="str">
        <f aca="false">IF(ISBLANK($C383),"",IF($AJ383&lt;&gt;Constants!$B$7,$AJ383,W383))</f>
        <v/>
      </c>
      <c r="BE383" s="91" t="str">
        <f aca="false">IF(ISBLANK($C383),"",IF($AJ383&lt;&gt;Constants!$B$7,$AJ383,AU383))</f>
        <v/>
      </c>
      <c r="BF383" s="92" t="str">
        <f aca="false">IF(ISBLANK($C383),"",IF($AJ383&lt;&gt;Constants!$B$7,$AJ383,AK383))</f>
        <v/>
      </c>
      <c r="BG383" s="90" t="str">
        <f aca="false">IF(ISBLANK($C383),"",BA383)</f>
        <v/>
      </c>
      <c r="BH383" s="90" t="str">
        <f aca="false">IF(ISBLANK($C383),"",AZ383)</f>
        <v/>
      </c>
      <c r="BI383" s="93" t="str">
        <f aca="false">IF(ISBLANK($C383),"",IF(BH383=Constants!$B$4,COUNTA($C$8:$C$507)+2,IF(BH383=Constants!$B$5,COUNTA($C$8:$C$507)+1,IF(BH383=Constants!$B$6,COUNTA($C$8:$C$507),BH383))))</f>
        <v/>
      </c>
      <c r="BJ383" s="5"/>
      <c r="BK383" s="94" t="n">
        <f aca="false">IF(OR(ISNUMBER(BH383),BH383=Constants!$B$4,BH383=Constants!$B$6,BH383=Constants!$B$5),1,0)</f>
        <v>0</v>
      </c>
      <c r="BL383" s="94" t="n">
        <v>376</v>
      </c>
      <c r="BM383" s="94" t="str">
        <f aca="false">IF(ISBLANK($C383),"",IF(ISNUMBER(BI383),BI383+ROW($B383)/1000,""))</f>
        <v/>
      </c>
      <c r="BN383" s="94" t="str">
        <f aca="false">IF(ISNUMBER(BM383),RANK(BM383,$BM$8:$BM$507,1),"")</f>
        <v/>
      </c>
      <c r="BO383" s="94" t="str">
        <f aca="false">IF(ISBLANK($C383),"",$B383)</f>
        <v/>
      </c>
      <c r="BP383" s="94" t="str">
        <f aca="false">IF(ISBLANK($C383),"",$C383)</f>
        <v/>
      </c>
      <c r="BQ383" s="94" t="str">
        <f aca="false">IF(ISBLANK($C383),"",$D383)</f>
        <v/>
      </c>
      <c r="BR383" s="95" t="str">
        <f aca="false">BF383</f>
        <v/>
      </c>
      <c r="BS383" s="96" t="str">
        <f aca="false">BE383</f>
        <v/>
      </c>
      <c r="BT383" s="94" t="str">
        <f aca="false">IF(ISBLANK($C383),"",BH383)</f>
        <v/>
      </c>
      <c r="BU383" s="97" t="str">
        <f aca="false">IF($BL383&gt;$BK$7,"",VLOOKUP($BL383,$BN$8:$BT$507,7,FALSE()))</f>
        <v/>
      </c>
      <c r="BV383" s="98" t="str">
        <f aca="false">IF($BL383&gt;$BK$7,"",VLOOKUP($BL383,$BN$8:$BT$507,2,FALSE()))</f>
        <v/>
      </c>
      <c r="BW383" s="98" t="str">
        <f aca="false">IF($BL383&gt;$BK$7,"",VLOOKUP($BL383,$BN$8:$BT$507,3,FALSE()))</f>
        <v/>
      </c>
      <c r="BX383" s="98" t="str">
        <f aca="false">IF($BL383&gt;$BK$7,"",VLOOKUP($BL383,$BN$8:$BT$507,4,FALSE()))</f>
        <v/>
      </c>
      <c r="BY383" s="98" t="str">
        <f aca="false">IF($BL383&gt;$BK$7,"",VLOOKUP($BL383,$BN$8:$BT$507,5,FALSE()))</f>
        <v/>
      </c>
      <c r="BZ383" s="99" t="str">
        <f aca="false">IF($BL383&gt;$BK$7,"",VLOOKUP($BL383,$BN$8:$BT$507,6,FALSE()))</f>
        <v/>
      </c>
      <c r="CA383" s="48"/>
    </row>
    <row r="384" customFormat="false" ht="15.75" hidden="false" customHeight="false" outlineLevel="0" collapsed="false">
      <c r="A384" s="5"/>
      <c r="B384" s="114"/>
      <c r="C384" s="115"/>
      <c r="D384" s="100"/>
      <c r="E384" s="120"/>
      <c r="F384" s="125"/>
      <c r="G384" s="82"/>
      <c r="H384" s="126"/>
      <c r="I384" s="127"/>
      <c r="J384" s="82"/>
      <c r="K384" s="126"/>
      <c r="L384" s="82"/>
      <c r="M384" s="126"/>
      <c r="N384" s="82"/>
      <c r="O384" s="126"/>
      <c r="P384" s="82"/>
      <c r="Q384" s="126"/>
      <c r="R384" s="82"/>
      <c r="S384" s="120"/>
      <c r="T384" s="86"/>
      <c r="U384" s="87" t="str">
        <f aca="false">IF(ISBLANK($C384),"",IF(E384=Constants!$B$2, TRUE(), IF(E384=Constants!$B$3, FALSE(), TRUE())))</f>
        <v/>
      </c>
      <c r="V384" s="87" t="str">
        <f aca="false">IF(ISBLANK($C384),"",IF(F384=Constants!$B$2, TRUE(), IF(F384=Constants!$B$3, FALSE(), TRUE())))</f>
        <v/>
      </c>
      <c r="W384" s="87" t="str">
        <f aca="false">IF(ISBLANK($C384),"",IF(G384=Constants!$B$15,Constants!$B$8,IF(G384=Constants!$B$16,Constants!$B$9,Constants!$B$10)))</f>
        <v/>
      </c>
      <c r="X384" s="87" t="str">
        <f aca="false">IF(ISBLANK($C384),"",IF(H384=Constants!$B$2, TRUE(), IF(H384=Constants!$B$3, FALSE(), TRUE())))</f>
        <v/>
      </c>
      <c r="Y384" s="87" t="str">
        <f aca="false">IF(ISBLANK($C384),"",IF(I384=Constants!$B$19,Constants!$B$19,Constants!$B$18))</f>
        <v/>
      </c>
      <c r="Z384" s="87" t="str">
        <f aca="false">IF(ISBLANK($C384),"",IF(ISNUMBER(J384),IF(J384&gt;=0,J384,""),""))</f>
        <v/>
      </c>
      <c r="AA384" s="87" t="str">
        <f aca="false">IF(ISBLANK($C384),"",IF(K384=Constants!$B$19,Constants!$B$19,Constants!$B$18))</f>
        <v/>
      </c>
      <c r="AB384" s="87" t="str">
        <f aca="false">IF(ISBLANK($C384),"",IF(ISNUMBER(L384),IF(L384&gt;=0,L384,""),""))</f>
        <v/>
      </c>
      <c r="AC384" s="87" t="str">
        <f aca="false">IF(ISBLANK($C384),"",IF(M384=Constants!$B$19,Constants!$B$19,Constants!$B$18))</f>
        <v/>
      </c>
      <c r="AD384" s="87" t="str">
        <f aca="false">IF(ISBLANK($C384),"",IF(ISNUMBER(N384),IF(N384&gt;=0,N384,""),""))</f>
        <v/>
      </c>
      <c r="AE384" s="87" t="str">
        <f aca="false">IF(ISBLANK($C384),"",IF(O384=Constants!$B$19,Constants!$B$19,Constants!$B$18))</f>
        <v/>
      </c>
      <c r="AF384" s="87" t="str">
        <f aca="false">IF(ISBLANK($C384),"",IF(ISNUMBER(P384),IF(P384&gt;=0,P384,""),""))</f>
        <v/>
      </c>
      <c r="AG384" s="87" t="str">
        <f aca="false">IF(ISBLANK($C384),"",IF(Q384=Constants!$B$19,Constants!$B$19,Constants!$B$18))</f>
        <v/>
      </c>
      <c r="AH384" s="87" t="str">
        <f aca="false">IF(ISBLANK($C384),"",IF(ISNUMBER(R384),IF(R384&gt;=0,R384,""),""))</f>
        <v/>
      </c>
      <c r="AI384" s="87" t="str">
        <f aca="false">IF(ISBLANK($C384),"",IF(S384=Constants!$B$2, TRUE(), IF(S384=Constants!$B$3, FALSE(), FALSE())))</f>
        <v/>
      </c>
      <c r="AJ384" s="87" t="str">
        <f aca="false">IF(ISBLANK($C384),"",IF(AI384,Constants!$B$4,IF(COUNTA(E384:R384)=0,Constants!$B$5,IF(COUNTA(J384,L384,N384,P384,R384)=0,Constants!$B$6,Constants!$B$7))))</f>
        <v/>
      </c>
      <c r="AK384" s="87" t="str">
        <f aca="false">IF(ISBLANK($C384),"",IF($AJ384&lt;&gt;Constants!$B$7,$AJ384,IF(OR(NOT(X384),AND(NOT(U384),COUNTIFS(Y384:AG384,Constants!$B$18,Z384:AH384,"&gt;=0")&gt;0),AND(NOT(V384),COUNTIFS(Y384:AG384,Constants!$B$19,Z384:AH384,"&gt;=0")&gt;0)),Constants!$B$12,Constants!$B$11)))</f>
        <v/>
      </c>
      <c r="AL384" s="87" t="str">
        <f aca="false">IF($AJ384=Constants!$B$7,IF(Z384="",Constants!$B$13,Z384),"")</f>
        <v/>
      </c>
      <c r="AM384" s="87" t="str">
        <f aca="false">IF($AJ384=Constants!$B$7,IF(AB384="",Constants!$B$13,AB384),"")</f>
        <v/>
      </c>
      <c r="AN384" s="87" t="str">
        <f aca="false">IF($AJ384=Constants!$B$7,IF(AD384="",Constants!$B$13,AD384),"")</f>
        <v/>
      </c>
      <c r="AO384" s="87" t="str">
        <f aca="false">IF($AJ384=Constants!$B$7,IF(AF384="",Constants!$B$13,AF384),"")</f>
        <v/>
      </c>
      <c r="AP384" s="87" t="str">
        <f aca="false">IF($AJ384=Constants!$B$7,IF(AH384="",Constants!$B$13,AH384),"")</f>
        <v/>
      </c>
      <c r="AQ384" s="87" t="str">
        <f aca="false">IF($AJ384=Constants!$B$7,IF(SUMPRODUCT(--($AL384:$AP384&gt;AL384))+SUMPRODUCT(--($AL384:AL384=AL384))=1,1,IF(SUMPRODUCT(--($AL384:$AP384&gt;AM384))+SUMPRODUCT(--($AL384:AM384=AM384))=1,2,IF(SUMPRODUCT(--($AL384:$AP384&gt;AN384))+SUMPRODUCT(--($AL384:AN384=AN384))=1,3,IF(SUMPRODUCT(--($AL384:$AP384&gt;AO384))+SUMPRODUCT(--($AL384:AO384=AO384))=1,4,5)))),"")</f>
        <v/>
      </c>
      <c r="AR384" s="87" t="str">
        <f aca="false">IF($AJ384=Constants!$B$7,IF(SUMPRODUCT(--($AL384:$AP384&gt;AL384))+SUMPRODUCT(--($AL384:AL384=AL384))=2,1,IF(SUMPRODUCT(--($AL384:$AP384&gt;AM384))+SUMPRODUCT(--($AL384:AM384=AM384))=2,2,IF(SUMPRODUCT(--($AL384:$AP384&gt;AN384))+SUMPRODUCT(--($AL384:AN384=AN384))=2,3,IF(SUMPRODUCT(--($AL384:$AP384&gt;AO384))+SUMPRODUCT(--($AL384:AO384=AO384))=2,4,5)))),"")</f>
        <v/>
      </c>
      <c r="AS384" s="87" t="str">
        <f aca="false">IF($AJ384=Constants!$B$7,IF(SUMPRODUCT(--($AL384:$AP384&gt;AL384))+SUMPRODUCT(--($AL384:AL384=AL384))=3,1,IF(SUMPRODUCT(--($AL384:$AP384&gt;AM384))+SUMPRODUCT(--($AL384:AM384=AM384))=3,2,IF(SUMPRODUCT(--($AL384:$AP384&gt;AN384))+SUMPRODUCT(--($AL384:AN384=AN384))=3,3,IF(SUMPRODUCT(--($AL384:$AP384&gt;AO384))+SUMPRODUCT(--($AL384:AO384=AO384))=3,4,5)))),"")</f>
        <v/>
      </c>
      <c r="AT384" s="87" t="str">
        <f aca="false">IF($AJ384=Constants!$B$7,LARGE(AL384:AP384,1)+LARGE(AL384:AP384,2)+LARGE(AL384:AP384,3),"")</f>
        <v/>
      </c>
      <c r="AU384" s="87" t="str">
        <f aca="false">IF(ISBLANK($C384),"",IF($AJ384&lt;&gt;Constants!$B$7,$AJ384,AT384*W384))</f>
        <v/>
      </c>
      <c r="AV384" s="87" t="str">
        <f aca="false">IF(ISBLANK($C384),"",IF($AJ384=Constants!$B$7,IF(ISNUMBER(AU384),RANK(AU384,$AU$8:$AU$507),Constants!$B$14),$AJ384))</f>
        <v/>
      </c>
      <c r="AW384" s="87" t="str">
        <f aca="false">IF(ISBLANK($C384),"",IF($AJ384=Constants!$B$7,IF(ISNUMBER(AV384),COUNTIFS($AK$8:$AK$507,"&lt;"&amp;$AK384)+COUNTIFS($AK$8:$AK$507,$AK384,$AV$8:$AV$507,"&lt;"&amp;$AV384)+1,Constants!$B$14),$AJ384))</f>
        <v/>
      </c>
      <c r="AX384" s="87" t="str">
        <f aca="false">IF(ISBLANK($C384),"",IF($AJ384=Constants!$B$7,LARGE(AL384:AP384,4)*W384,""))</f>
        <v/>
      </c>
      <c r="AY384" s="87" t="str">
        <f aca="false">IF(ISBLANK($C384),"",IF($AJ384=Constants!$B$7,RANK(AX384,$AX$8:$AX$507),$AJ384))</f>
        <v/>
      </c>
      <c r="AZ384" s="87" t="str">
        <f aca="false">IF(ISBLANK($C384),"",IF($AJ384=Constants!$B$7,IF(ISNUMBER(AV384),COUNTIFS($AK$8:$AK$507,"&lt;"&amp;$AK384)+COUNTIFS($AK$8:$AK$507,$AK384,$AV$8:$AV$507,"&lt;"&amp;$AV384)+COUNTIFS($AK$8:$AK$507,$AK384,$AV$8:$AV$507,$AV384,$AY$8:$AY$507,"&lt;"&amp;$AY384)+1,Constants!$B$14),$AJ384))</f>
        <v/>
      </c>
      <c r="BA384" s="87" t="str">
        <f aca="false">IF(ISBLANK($C384),"",IF($AJ384=Constants!$B$7,IF(ISNUMBER(AW384),AW384-AZ384,Constants!$B$14),$AJ384))</f>
        <v/>
      </c>
      <c r="BB384" s="88"/>
      <c r="BC384" s="89" t="str">
        <f aca="false">IF(ISBLANK($C384),"",IF($AJ384&lt;&gt;Constants!$B$7,$AJ384,SMALL(AQ384:AS384,1)&amp;", "&amp;SMALL(AQ384:AS384,2)&amp;", "&amp;SMALL(AQ384:AS384,3)))</f>
        <v/>
      </c>
      <c r="BD384" s="90" t="str">
        <f aca="false">IF(ISBLANK($C384),"",IF($AJ384&lt;&gt;Constants!$B$7,$AJ384,W384))</f>
        <v/>
      </c>
      <c r="BE384" s="91" t="str">
        <f aca="false">IF(ISBLANK($C384),"",IF($AJ384&lt;&gt;Constants!$B$7,$AJ384,AU384))</f>
        <v/>
      </c>
      <c r="BF384" s="92" t="str">
        <f aca="false">IF(ISBLANK($C384),"",IF($AJ384&lt;&gt;Constants!$B$7,$AJ384,AK384))</f>
        <v/>
      </c>
      <c r="BG384" s="90" t="str">
        <f aca="false">IF(ISBLANK($C384),"",BA384)</f>
        <v/>
      </c>
      <c r="BH384" s="90" t="str">
        <f aca="false">IF(ISBLANK($C384),"",AZ384)</f>
        <v/>
      </c>
      <c r="BI384" s="93" t="str">
        <f aca="false">IF(ISBLANK($C384),"",IF(BH384=Constants!$B$4,COUNTA($C$8:$C$507)+2,IF(BH384=Constants!$B$5,COUNTA($C$8:$C$507)+1,IF(BH384=Constants!$B$6,COUNTA($C$8:$C$507),BH384))))</f>
        <v/>
      </c>
      <c r="BJ384" s="5"/>
      <c r="BK384" s="94" t="n">
        <f aca="false">IF(OR(ISNUMBER(BH384),BH384=Constants!$B$4,BH384=Constants!$B$6,BH384=Constants!$B$5),1,0)</f>
        <v>0</v>
      </c>
      <c r="BL384" s="94" t="n">
        <v>377</v>
      </c>
      <c r="BM384" s="94" t="str">
        <f aca="false">IF(ISBLANK($C384),"",IF(ISNUMBER(BI384),BI384+ROW($B384)/1000,""))</f>
        <v/>
      </c>
      <c r="BN384" s="94" t="str">
        <f aca="false">IF(ISNUMBER(BM384),RANK(BM384,$BM$8:$BM$507,1),"")</f>
        <v/>
      </c>
      <c r="BO384" s="94" t="str">
        <f aca="false">IF(ISBLANK($C384),"",$B384)</f>
        <v/>
      </c>
      <c r="BP384" s="94" t="str">
        <f aca="false">IF(ISBLANK($C384),"",$C384)</f>
        <v/>
      </c>
      <c r="BQ384" s="94" t="str">
        <f aca="false">IF(ISBLANK($C384),"",$D384)</f>
        <v/>
      </c>
      <c r="BR384" s="95" t="str">
        <f aca="false">BF384</f>
        <v/>
      </c>
      <c r="BS384" s="96" t="str">
        <f aca="false">BE384</f>
        <v/>
      </c>
      <c r="BT384" s="94" t="str">
        <f aca="false">IF(ISBLANK($C384),"",BH384)</f>
        <v/>
      </c>
      <c r="BU384" s="97" t="str">
        <f aca="false">IF($BL384&gt;$BK$7,"",VLOOKUP($BL384,$BN$8:$BT$507,7,FALSE()))</f>
        <v/>
      </c>
      <c r="BV384" s="98" t="str">
        <f aca="false">IF($BL384&gt;$BK$7,"",VLOOKUP($BL384,$BN$8:$BT$507,2,FALSE()))</f>
        <v/>
      </c>
      <c r="BW384" s="98" t="str">
        <f aca="false">IF($BL384&gt;$BK$7,"",VLOOKUP($BL384,$BN$8:$BT$507,3,FALSE()))</f>
        <v/>
      </c>
      <c r="BX384" s="98" t="str">
        <f aca="false">IF($BL384&gt;$BK$7,"",VLOOKUP($BL384,$BN$8:$BT$507,4,FALSE()))</f>
        <v/>
      </c>
      <c r="BY384" s="98" t="str">
        <f aca="false">IF($BL384&gt;$BK$7,"",VLOOKUP($BL384,$BN$8:$BT$507,5,FALSE()))</f>
        <v/>
      </c>
      <c r="BZ384" s="99" t="str">
        <f aca="false">IF($BL384&gt;$BK$7,"",VLOOKUP($BL384,$BN$8:$BT$507,6,FALSE()))</f>
        <v/>
      </c>
      <c r="CA384" s="48"/>
    </row>
    <row r="385" customFormat="false" ht="15.75" hidden="false" customHeight="false" outlineLevel="0" collapsed="false">
      <c r="A385" s="5"/>
      <c r="B385" s="114"/>
      <c r="C385" s="115"/>
      <c r="D385" s="100"/>
      <c r="E385" s="120"/>
      <c r="F385" s="125"/>
      <c r="G385" s="82"/>
      <c r="H385" s="126"/>
      <c r="I385" s="127"/>
      <c r="J385" s="82"/>
      <c r="K385" s="126"/>
      <c r="L385" s="82"/>
      <c r="M385" s="126"/>
      <c r="N385" s="82"/>
      <c r="O385" s="126"/>
      <c r="P385" s="82"/>
      <c r="Q385" s="126"/>
      <c r="R385" s="82"/>
      <c r="S385" s="120"/>
      <c r="T385" s="86"/>
      <c r="U385" s="87" t="str">
        <f aca="false">IF(ISBLANK($C385),"",IF(E385=Constants!$B$2, TRUE(), IF(E385=Constants!$B$3, FALSE(), TRUE())))</f>
        <v/>
      </c>
      <c r="V385" s="87" t="str">
        <f aca="false">IF(ISBLANK($C385),"",IF(F385=Constants!$B$2, TRUE(), IF(F385=Constants!$B$3, FALSE(), TRUE())))</f>
        <v/>
      </c>
      <c r="W385" s="87" t="str">
        <f aca="false">IF(ISBLANK($C385),"",IF(G385=Constants!$B$15,Constants!$B$8,IF(G385=Constants!$B$16,Constants!$B$9,Constants!$B$10)))</f>
        <v/>
      </c>
      <c r="X385" s="87" t="str">
        <f aca="false">IF(ISBLANK($C385),"",IF(H385=Constants!$B$2, TRUE(), IF(H385=Constants!$B$3, FALSE(), TRUE())))</f>
        <v/>
      </c>
      <c r="Y385" s="87" t="str">
        <f aca="false">IF(ISBLANK($C385),"",IF(I385=Constants!$B$19,Constants!$B$19,Constants!$B$18))</f>
        <v/>
      </c>
      <c r="Z385" s="87" t="str">
        <f aca="false">IF(ISBLANK($C385),"",IF(ISNUMBER(J385),IF(J385&gt;=0,J385,""),""))</f>
        <v/>
      </c>
      <c r="AA385" s="87" t="str">
        <f aca="false">IF(ISBLANK($C385),"",IF(K385=Constants!$B$19,Constants!$B$19,Constants!$B$18))</f>
        <v/>
      </c>
      <c r="AB385" s="87" t="str">
        <f aca="false">IF(ISBLANK($C385),"",IF(ISNUMBER(L385),IF(L385&gt;=0,L385,""),""))</f>
        <v/>
      </c>
      <c r="AC385" s="87" t="str">
        <f aca="false">IF(ISBLANK($C385),"",IF(M385=Constants!$B$19,Constants!$B$19,Constants!$B$18))</f>
        <v/>
      </c>
      <c r="AD385" s="87" t="str">
        <f aca="false">IF(ISBLANK($C385),"",IF(ISNUMBER(N385),IF(N385&gt;=0,N385,""),""))</f>
        <v/>
      </c>
      <c r="AE385" s="87" t="str">
        <f aca="false">IF(ISBLANK($C385),"",IF(O385=Constants!$B$19,Constants!$B$19,Constants!$B$18))</f>
        <v/>
      </c>
      <c r="AF385" s="87" t="str">
        <f aca="false">IF(ISBLANK($C385),"",IF(ISNUMBER(P385),IF(P385&gt;=0,P385,""),""))</f>
        <v/>
      </c>
      <c r="AG385" s="87" t="str">
        <f aca="false">IF(ISBLANK($C385),"",IF(Q385=Constants!$B$19,Constants!$B$19,Constants!$B$18))</f>
        <v/>
      </c>
      <c r="AH385" s="87" t="str">
        <f aca="false">IF(ISBLANK($C385),"",IF(ISNUMBER(R385),IF(R385&gt;=0,R385,""),""))</f>
        <v/>
      </c>
      <c r="AI385" s="87" t="str">
        <f aca="false">IF(ISBLANK($C385),"",IF(S385=Constants!$B$2, TRUE(), IF(S385=Constants!$B$3, FALSE(), FALSE())))</f>
        <v/>
      </c>
      <c r="AJ385" s="87" t="str">
        <f aca="false">IF(ISBLANK($C385),"",IF(AI385,Constants!$B$4,IF(COUNTA(E385:R385)=0,Constants!$B$5,IF(COUNTA(J385,L385,N385,P385,R385)=0,Constants!$B$6,Constants!$B$7))))</f>
        <v/>
      </c>
      <c r="AK385" s="87" t="str">
        <f aca="false">IF(ISBLANK($C385),"",IF($AJ385&lt;&gt;Constants!$B$7,$AJ385,IF(OR(NOT(X385),AND(NOT(U385),COUNTIFS(Y385:AG385,Constants!$B$18,Z385:AH385,"&gt;=0")&gt;0),AND(NOT(V385),COUNTIFS(Y385:AG385,Constants!$B$19,Z385:AH385,"&gt;=0")&gt;0)),Constants!$B$12,Constants!$B$11)))</f>
        <v/>
      </c>
      <c r="AL385" s="87" t="str">
        <f aca="false">IF($AJ385=Constants!$B$7,IF(Z385="",Constants!$B$13,Z385),"")</f>
        <v/>
      </c>
      <c r="AM385" s="87" t="str">
        <f aca="false">IF($AJ385=Constants!$B$7,IF(AB385="",Constants!$B$13,AB385),"")</f>
        <v/>
      </c>
      <c r="AN385" s="87" t="str">
        <f aca="false">IF($AJ385=Constants!$B$7,IF(AD385="",Constants!$B$13,AD385),"")</f>
        <v/>
      </c>
      <c r="AO385" s="87" t="str">
        <f aca="false">IF($AJ385=Constants!$B$7,IF(AF385="",Constants!$B$13,AF385),"")</f>
        <v/>
      </c>
      <c r="AP385" s="87" t="str">
        <f aca="false">IF($AJ385=Constants!$B$7,IF(AH385="",Constants!$B$13,AH385),"")</f>
        <v/>
      </c>
      <c r="AQ385" s="87" t="str">
        <f aca="false">IF($AJ385=Constants!$B$7,IF(SUMPRODUCT(--($AL385:$AP385&gt;AL385))+SUMPRODUCT(--($AL385:AL385=AL385))=1,1,IF(SUMPRODUCT(--($AL385:$AP385&gt;AM385))+SUMPRODUCT(--($AL385:AM385=AM385))=1,2,IF(SUMPRODUCT(--($AL385:$AP385&gt;AN385))+SUMPRODUCT(--($AL385:AN385=AN385))=1,3,IF(SUMPRODUCT(--($AL385:$AP385&gt;AO385))+SUMPRODUCT(--($AL385:AO385=AO385))=1,4,5)))),"")</f>
        <v/>
      </c>
      <c r="AR385" s="87" t="str">
        <f aca="false">IF($AJ385=Constants!$B$7,IF(SUMPRODUCT(--($AL385:$AP385&gt;AL385))+SUMPRODUCT(--($AL385:AL385=AL385))=2,1,IF(SUMPRODUCT(--($AL385:$AP385&gt;AM385))+SUMPRODUCT(--($AL385:AM385=AM385))=2,2,IF(SUMPRODUCT(--($AL385:$AP385&gt;AN385))+SUMPRODUCT(--($AL385:AN385=AN385))=2,3,IF(SUMPRODUCT(--($AL385:$AP385&gt;AO385))+SUMPRODUCT(--($AL385:AO385=AO385))=2,4,5)))),"")</f>
        <v/>
      </c>
      <c r="AS385" s="87" t="str">
        <f aca="false">IF($AJ385=Constants!$B$7,IF(SUMPRODUCT(--($AL385:$AP385&gt;AL385))+SUMPRODUCT(--($AL385:AL385=AL385))=3,1,IF(SUMPRODUCT(--($AL385:$AP385&gt;AM385))+SUMPRODUCT(--($AL385:AM385=AM385))=3,2,IF(SUMPRODUCT(--($AL385:$AP385&gt;AN385))+SUMPRODUCT(--($AL385:AN385=AN385))=3,3,IF(SUMPRODUCT(--($AL385:$AP385&gt;AO385))+SUMPRODUCT(--($AL385:AO385=AO385))=3,4,5)))),"")</f>
        <v/>
      </c>
      <c r="AT385" s="87" t="str">
        <f aca="false">IF($AJ385=Constants!$B$7,LARGE(AL385:AP385,1)+LARGE(AL385:AP385,2)+LARGE(AL385:AP385,3),"")</f>
        <v/>
      </c>
      <c r="AU385" s="87" t="str">
        <f aca="false">IF(ISBLANK($C385),"",IF($AJ385&lt;&gt;Constants!$B$7,$AJ385,AT385*W385))</f>
        <v/>
      </c>
      <c r="AV385" s="87" t="str">
        <f aca="false">IF(ISBLANK($C385),"",IF($AJ385=Constants!$B$7,IF(ISNUMBER(AU385),RANK(AU385,$AU$8:$AU$507),Constants!$B$14),$AJ385))</f>
        <v/>
      </c>
      <c r="AW385" s="87" t="str">
        <f aca="false">IF(ISBLANK($C385),"",IF($AJ385=Constants!$B$7,IF(ISNUMBER(AV385),COUNTIFS($AK$8:$AK$507,"&lt;"&amp;$AK385)+COUNTIFS($AK$8:$AK$507,$AK385,$AV$8:$AV$507,"&lt;"&amp;$AV385)+1,Constants!$B$14),$AJ385))</f>
        <v/>
      </c>
      <c r="AX385" s="87" t="str">
        <f aca="false">IF(ISBLANK($C385),"",IF($AJ385=Constants!$B$7,LARGE(AL385:AP385,4)*W385,""))</f>
        <v/>
      </c>
      <c r="AY385" s="87" t="str">
        <f aca="false">IF(ISBLANK($C385),"",IF($AJ385=Constants!$B$7,RANK(AX385,$AX$8:$AX$507),$AJ385))</f>
        <v/>
      </c>
      <c r="AZ385" s="87" t="str">
        <f aca="false">IF(ISBLANK($C385),"",IF($AJ385=Constants!$B$7,IF(ISNUMBER(AV385),COUNTIFS($AK$8:$AK$507,"&lt;"&amp;$AK385)+COUNTIFS($AK$8:$AK$507,$AK385,$AV$8:$AV$507,"&lt;"&amp;$AV385)+COUNTIFS($AK$8:$AK$507,$AK385,$AV$8:$AV$507,$AV385,$AY$8:$AY$507,"&lt;"&amp;$AY385)+1,Constants!$B$14),$AJ385))</f>
        <v/>
      </c>
      <c r="BA385" s="87" t="str">
        <f aca="false">IF(ISBLANK($C385),"",IF($AJ385=Constants!$B$7,IF(ISNUMBER(AW385),AW385-AZ385,Constants!$B$14),$AJ385))</f>
        <v/>
      </c>
      <c r="BB385" s="88"/>
      <c r="BC385" s="89" t="str">
        <f aca="false">IF(ISBLANK($C385),"",IF($AJ385&lt;&gt;Constants!$B$7,$AJ385,SMALL(AQ385:AS385,1)&amp;", "&amp;SMALL(AQ385:AS385,2)&amp;", "&amp;SMALL(AQ385:AS385,3)))</f>
        <v/>
      </c>
      <c r="BD385" s="90" t="str">
        <f aca="false">IF(ISBLANK($C385),"",IF($AJ385&lt;&gt;Constants!$B$7,$AJ385,W385))</f>
        <v/>
      </c>
      <c r="BE385" s="91" t="str">
        <f aca="false">IF(ISBLANK($C385),"",IF($AJ385&lt;&gt;Constants!$B$7,$AJ385,AU385))</f>
        <v/>
      </c>
      <c r="BF385" s="92" t="str">
        <f aca="false">IF(ISBLANK($C385),"",IF($AJ385&lt;&gt;Constants!$B$7,$AJ385,AK385))</f>
        <v/>
      </c>
      <c r="BG385" s="90" t="str">
        <f aca="false">IF(ISBLANK($C385),"",BA385)</f>
        <v/>
      </c>
      <c r="BH385" s="90" t="str">
        <f aca="false">IF(ISBLANK($C385),"",AZ385)</f>
        <v/>
      </c>
      <c r="BI385" s="93" t="str">
        <f aca="false">IF(ISBLANK($C385),"",IF(BH385=Constants!$B$4,COUNTA($C$8:$C$507)+2,IF(BH385=Constants!$B$5,COUNTA($C$8:$C$507)+1,IF(BH385=Constants!$B$6,COUNTA($C$8:$C$507),BH385))))</f>
        <v/>
      </c>
      <c r="BJ385" s="5"/>
      <c r="BK385" s="94" t="n">
        <f aca="false">IF(OR(ISNUMBER(BH385),BH385=Constants!$B$4,BH385=Constants!$B$6,BH385=Constants!$B$5),1,0)</f>
        <v>0</v>
      </c>
      <c r="BL385" s="94" t="n">
        <v>378</v>
      </c>
      <c r="BM385" s="94" t="str">
        <f aca="false">IF(ISBLANK($C385),"",IF(ISNUMBER(BI385),BI385+ROW($B385)/1000,""))</f>
        <v/>
      </c>
      <c r="BN385" s="94" t="str">
        <f aca="false">IF(ISNUMBER(BM385),RANK(BM385,$BM$8:$BM$507,1),"")</f>
        <v/>
      </c>
      <c r="BO385" s="94" t="str">
        <f aca="false">IF(ISBLANK($C385),"",$B385)</f>
        <v/>
      </c>
      <c r="BP385" s="94" t="str">
        <f aca="false">IF(ISBLANK($C385),"",$C385)</f>
        <v/>
      </c>
      <c r="BQ385" s="94" t="str">
        <f aca="false">IF(ISBLANK($C385),"",$D385)</f>
        <v/>
      </c>
      <c r="BR385" s="95" t="str">
        <f aca="false">BF385</f>
        <v/>
      </c>
      <c r="BS385" s="96" t="str">
        <f aca="false">BE385</f>
        <v/>
      </c>
      <c r="BT385" s="94" t="str">
        <f aca="false">IF(ISBLANK($C385),"",BH385)</f>
        <v/>
      </c>
      <c r="BU385" s="97" t="str">
        <f aca="false">IF($BL385&gt;$BK$7,"",VLOOKUP($BL385,$BN$8:$BT$507,7,FALSE()))</f>
        <v/>
      </c>
      <c r="BV385" s="98" t="str">
        <f aca="false">IF($BL385&gt;$BK$7,"",VLOOKUP($BL385,$BN$8:$BT$507,2,FALSE()))</f>
        <v/>
      </c>
      <c r="BW385" s="98" t="str">
        <f aca="false">IF($BL385&gt;$BK$7,"",VLOOKUP($BL385,$BN$8:$BT$507,3,FALSE()))</f>
        <v/>
      </c>
      <c r="BX385" s="98" t="str">
        <f aca="false">IF($BL385&gt;$BK$7,"",VLOOKUP($BL385,$BN$8:$BT$507,4,FALSE()))</f>
        <v/>
      </c>
      <c r="BY385" s="98" t="str">
        <f aca="false">IF($BL385&gt;$BK$7,"",VLOOKUP($BL385,$BN$8:$BT$507,5,FALSE()))</f>
        <v/>
      </c>
      <c r="BZ385" s="99" t="str">
        <f aca="false">IF($BL385&gt;$BK$7,"",VLOOKUP($BL385,$BN$8:$BT$507,6,FALSE()))</f>
        <v/>
      </c>
      <c r="CA385" s="48"/>
    </row>
    <row r="386" customFormat="false" ht="15.75" hidden="false" customHeight="false" outlineLevel="0" collapsed="false">
      <c r="A386" s="5"/>
      <c r="B386" s="121"/>
      <c r="C386" s="50"/>
      <c r="D386" s="51"/>
      <c r="E386" s="74"/>
      <c r="F386" s="122"/>
      <c r="G386" s="54"/>
      <c r="H386" s="123"/>
      <c r="I386" s="124"/>
      <c r="J386" s="54"/>
      <c r="K386" s="123"/>
      <c r="L386" s="54"/>
      <c r="M386" s="123"/>
      <c r="N386" s="54"/>
      <c r="O386" s="123"/>
      <c r="P386" s="54"/>
      <c r="Q386" s="123"/>
      <c r="R386" s="54"/>
      <c r="S386" s="74"/>
      <c r="T386" s="58"/>
      <c r="U386" s="59" t="str">
        <f aca="false">IF(ISBLANK($C386),"",IF(E386=Constants!$B$2, TRUE(), IF(E386=Constants!$B$3, FALSE(), TRUE())))</f>
        <v/>
      </c>
      <c r="V386" s="59" t="str">
        <f aca="false">IF(ISBLANK($C386),"",IF(F386=Constants!$B$2, TRUE(), IF(F386=Constants!$B$3, FALSE(), TRUE())))</f>
        <v/>
      </c>
      <c r="W386" s="59" t="str">
        <f aca="false">IF(ISBLANK($C386),"",IF(G386=Constants!$B$15,Constants!$B$8,IF(G386=Constants!$B$16,Constants!$B$9,Constants!$B$10)))</f>
        <v/>
      </c>
      <c r="X386" s="59" t="str">
        <f aca="false">IF(ISBLANK($C386),"",IF(H386=Constants!$B$2, TRUE(), IF(H386=Constants!$B$3, FALSE(), TRUE())))</f>
        <v/>
      </c>
      <c r="Y386" s="59" t="str">
        <f aca="false">IF(ISBLANK($C386),"",IF(I386=Constants!$B$19,Constants!$B$19,Constants!$B$18))</f>
        <v/>
      </c>
      <c r="Z386" s="59" t="str">
        <f aca="false">IF(ISBLANK($C386),"",IF(ISNUMBER(J386),IF(J386&gt;=0,J386,""),""))</f>
        <v/>
      </c>
      <c r="AA386" s="59" t="str">
        <f aca="false">IF(ISBLANK($C386),"",IF(K386=Constants!$B$19,Constants!$B$19,Constants!$B$18))</f>
        <v/>
      </c>
      <c r="AB386" s="59" t="str">
        <f aca="false">IF(ISBLANK($C386),"",IF(ISNUMBER(L386),IF(L386&gt;=0,L386,""),""))</f>
        <v/>
      </c>
      <c r="AC386" s="59" t="str">
        <f aca="false">IF(ISBLANK($C386),"",IF(M386=Constants!$B$19,Constants!$B$19,Constants!$B$18))</f>
        <v/>
      </c>
      <c r="AD386" s="59" t="str">
        <f aca="false">IF(ISBLANK($C386),"",IF(ISNUMBER(N386),IF(N386&gt;=0,N386,""),""))</f>
        <v/>
      </c>
      <c r="AE386" s="59" t="str">
        <f aca="false">IF(ISBLANK($C386),"",IF(O386=Constants!$B$19,Constants!$B$19,Constants!$B$18))</f>
        <v/>
      </c>
      <c r="AF386" s="59" t="str">
        <f aca="false">IF(ISBLANK($C386),"",IF(ISNUMBER(P386),IF(P386&gt;=0,P386,""),""))</f>
        <v/>
      </c>
      <c r="AG386" s="59" t="str">
        <f aca="false">IF(ISBLANK($C386),"",IF(Q386=Constants!$B$19,Constants!$B$19,Constants!$B$18))</f>
        <v/>
      </c>
      <c r="AH386" s="59" t="str">
        <f aca="false">IF(ISBLANK($C386),"",IF(ISNUMBER(R386),IF(R386&gt;=0,R386,""),""))</f>
        <v/>
      </c>
      <c r="AI386" s="59" t="str">
        <f aca="false">IF(ISBLANK($C386),"",IF(S386=Constants!$B$2, TRUE(), IF(S386=Constants!$B$3, FALSE(), FALSE())))</f>
        <v/>
      </c>
      <c r="AJ386" s="59" t="str">
        <f aca="false">IF(ISBLANK($C386),"",IF(AI386,Constants!$B$4,IF(COUNTA(E386:R386)=0,Constants!$B$5,IF(COUNTA(J386,L386,N386,P386,R386)=0,Constants!$B$6,Constants!$B$7))))</f>
        <v/>
      </c>
      <c r="AK386" s="59" t="str">
        <f aca="false">IF(ISBLANK($C386),"",IF($AJ386&lt;&gt;Constants!$B$7,$AJ386,IF(OR(NOT(X386),AND(NOT(U386),COUNTIFS(Y386:AG386,Constants!$B$18,Z386:AH386,"&gt;=0")&gt;0),AND(NOT(V386),COUNTIFS(Y386:AG386,Constants!$B$19,Z386:AH386,"&gt;=0")&gt;0)),Constants!$B$12,Constants!$B$11)))</f>
        <v/>
      </c>
      <c r="AL386" s="59" t="str">
        <f aca="false">IF($AJ386=Constants!$B$7,IF(Z386="",Constants!$B$13,Z386),"")</f>
        <v/>
      </c>
      <c r="AM386" s="59" t="str">
        <f aca="false">IF($AJ386=Constants!$B$7,IF(AB386="",Constants!$B$13,AB386),"")</f>
        <v/>
      </c>
      <c r="AN386" s="59" t="str">
        <f aca="false">IF($AJ386=Constants!$B$7,IF(AD386="",Constants!$B$13,AD386),"")</f>
        <v/>
      </c>
      <c r="AO386" s="59" t="str">
        <f aca="false">IF($AJ386=Constants!$B$7,IF(AF386="",Constants!$B$13,AF386),"")</f>
        <v/>
      </c>
      <c r="AP386" s="59" t="str">
        <f aca="false">IF($AJ386=Constants!$B$7,IF(AH386="",Constants!$B$13,AH386),"")</f>
        <v/>
      </c>
      <c r="AQ386" s="59" t="str">
        <f aca="false">IF($AJ386=Constants!$B$7,IF(SUMPRODUCT(--($AL386:$AP386&gt;AL386))+SUMPRODUCT(--($AL386:AL386=AL386))=1,1,IF(SUMPRODUCT(--($AL386:$AP386&gt;AM386))+SUMPRODUCT(--($AL386:AM386=AM386))=1,2,IF(SUMPRODUCT(--($AL386:$AP386&gt;AN386))+SUMPRODUCT(--($AL386:AN386=AN386))=1,3,IF(SUMPRODUCT(--($AL386:$AP386&gt;AO386))+SUMPRODUCT(--($AL386:AO386=AO386))=1,4,5)))),"")</f>
        <v/>
      </c>
      <c r="AR386" s="59" t="str">
        <f aca="false">IF($AJ386=Constants!$B$7,IF(SUMPRODUCT(--($AL386:$AP386&gt;AL386))+SUMPRODUCT(--($AL386:AL386=AL386))=2,1,IF(SUMPRODUCT(--($AL386:$AP386&gt;AM386))+SUMPRODUCT(--($AL386:AM386=AM386))=2,2,IF(SUMPRODUCT(--($AL386:$AP386&gt;AN386))+SUMPRODUCT(--($AL386:AN386=AN386))=2,3,IF(SUMPRODUCT(--($AL386:$AP386&gt;AO386))+SUMPRODUCT(--($AL386:AO386=AO386))=2,4,5)))),"")</f>
        <v/>
      </c>
      <c r="AS386" s="59" t="str">
        <f aca="false">IF($AJ386=Constants!$B$7,IF(SUMPRODUCT(--($AL386:$AP386&gt;AL386))+SUMPRODUCT(--($AL386:AL386=AL386))=3,1,IF(SUMPRODUCT(--($AL386:$AP386&gt;AM386))+SUMPRODUCT(--($AL386:AM386=AM386))=3,2,IF(SUMPRODUCT(--($AL386:$AP386&gt;AN386))+SUMPRODUCT(--($AL386:AN386=AN386))=3,3,IF(SUMPRODUCT(--($AL386:$AP386&gt;AO386))+SUMPRODUCT(--($AL386:AO386=AO386))=3,4,5)))),"")</f>
        <v/>
      </c>
      <c r="AT386" s="59" t="str">
        <f aca="false">IF($AJ386=Constants!$B$7,LARGE(AL386:AP386,1)+LARGE(AL386:AP386,2)+LARGE(AL386:AP386,3),"")</f>
        <v/>
      </c>
      <c r="AU386" s="59" t="str">
        <f aca="false">IF(ISBLANK($C386),"",IF($AJ386&lt;&gt;Constants!$B$7,$AJ386,AT386*W386))</f>
        <v/>
      </c>
      <c r="AV386" s="59" t="str">
        <f aca="false">IF(ISBLANK($C386),"",IF($AJ386=Constants!$B$7,IF(ISNUMBER(AU386),RANK(AU386,$AU$8:$AU$507),Constants!$B$14),$AJ386))</f>
        <v/>
      </c>
      <c r="AW386" s="59" t="str">
        <f aca="false">IF(ISBLANK($C386),"",IF($AJ386=Constants!$B$7,IF(ISNUMBER(AV386),COUNTIFS($AK$8:$AK$507,"&lt;"&amp;$AK386)+COUNTIFS($AK$8:$AK$507,$AK386,$AV$8:$AV$507,"&lt;"&amp;$AV386)+1,Constants!$B$14),$AJ386))</f>
        <v/>
      </c>
      <c r="AX386" s="59" t="str">
        <f aca="false">IF(ISBLANK($C386),"",IF($AJ386=Constants!$B$7,LARGE(AL386:AP386,4)*W386,""))</f>
        <v/>
      </c>
      <c r="AY386" s="59" t="str">
        <f aca="false">IF(ISBLANK($C386),"",IF($AJ386=Constants!$B$7,RANK(AX386,$AX$8:$AX$507),$AJ386))</f>
        <v/>
      </c>
      <c r="AZ386" s="59" t="str">
        <f aca="false">IF(ISBLANK($C386),"",IF($AJ386=Constants!$B$7,IF(ISNUMBER(AV386),COUNTIFS($AK$8:$AK$507,"&lt;"&amp;$AK386)+COUNTIFS($AK$8:$AK$507,$AK386,$AV$8:$AV$507,"&lt;"&amp;$AV386)+COUNTIFS($AK$8:$AK$507,$AK386,$AV$8:$AV$507,$AV386,$AY$8:$AY$507,"&lt;"&amp;$AY386)+1,Constants!$B$14),$AJ386))</f>
        <v/>
      </c>
      <c r="BA386" s="59" t="str">
        <f aca="false">IF(ISBLANK($C386),"",IF($AJ386=Constants!$B$7,IF(ISNUMBER(AW386),AW386-AZ386,Constants!$B$14),$AJ386))</f>
        <v/>
      </c>
      <c r="BB386" s="61"/>
      <c r="BC386" s="62" t="str">
        <f aca="false">IF(ISBLANK($C386),"",IF($AJ386&lt;&gt;Constants!$B$7,$AJ386,SMALL(AQ386:AS386,1)&amp;", "&amp;SMALL(AQ386:AS386,2)&amp;", "&amp;SMALL(AQ386:AS386,3)))</f>
        <v/>
      </c>
      <c r="BD386" s="63" t="str">
        <f aca="false">IF(ISBLANK($C386),"",IF($AJ386&lt;&gt;Constants!$B$7,$AJ386,W386))</f>
        <v/>
      </c>
      <c r="BE386" s="64" t="str">
        <f aca="false">IF(ISBLANK($C386),"",IF($AJ386&lt;&gt;Constants!$B$7,$AJ386,AU386))</f>
        <v/>
      </c>
      <c r="BF386" s="65" t="str">
        <f aca="false">IF(ISBLANK($C386),"",IF($AJ386&lt;&gt;Constants!$B$7,$AJ386,AK386))</f>
        <v/>
      </c>
      <c r="BG386" s="63" t="str">
        <f aca="false">IF(ISBLANK($C386),"",BA386)</f>
        <v/>
      </c>
      <c r="BH386" s="63" t="str">
        <f aca="false">IF(ISBLANK($C386),"",AZ386)</f>
        <v/>
      </c>
      <c r="BI386" s="66" t="str">
        <f aca="false">IF(ISBLANK($C386),"",IF(BH386=Constants!$B$4,COUNTA($C$8:$C$507)+2,IF(BH386=Constants!$B$5,COUNTA($C$8:$C$507)+1,IF(BH386=Constants!$B$6,COUNTA($C$8:$C$507),BH386))))</f>
        <v/>
      </c>
      <c r="BJ386" s="5"/>
      <c r="BK386" s="67" t="n">
        <f aca="false">IF(OR(ISNUMBER(BH386),BH386=Constants!$B$4,BH386=Constants!$B$6,BH386=Constants!$B$5),1,0)</f>
        <v>0</v>
      </c>
      <c r="BL386" s="67" t="n">
        <v>379</v>
      </c>
      <c r="BM386" s="67" t="str">
        <f aca="false">IF(ISBLANK($C386),"",IF(ISNUMBER(BI386),BI386+ROW($B386)/1000,""))</f>
        <v/>
      </c>
      <c r="BN386" s="67" t="str">
        <f aca="false">IF(ISNUMBER(BM386),RANK(BM386,$BM$8:$BM$507,1),"")</f>
        <v/>
      </c>
      <c r="BO386" s="67" t="str">
        <f aca="false">IF(ISBLANK($C386),"",$B386)</f>
        <v/>
      </c>
      <c r="BP386" s="67" t="str">
        <f aca="false">IF(ISBLANK($C386),"",$C386)</f>
        <v/>
      </c>
      <c r="BQ386" s="67" t="str">
        <f aca="false">IF(ISBLANK($C386),"",$D386)</f>
        <v/>
      </c>
      <c r="BR386" s="68" t="str">
        <f aca="false">BF386</f>
        <v/>
      </c>
      <c r="BS386" s="69" t="str">
        <f aca="false">BE386</f>
        <v/>
      </c>
      <c r="BT386" s="67" t="str">
        <f aca="false">IF(ISBLANK($C386),"",BH386)</f>
        <v/>
      </c>
      <c r="BU386" s="70" t="str">
        <f aca="false">IF($BL386&gt;$BK$7,"",VLOOKUP($BL386,$BN$8:$BT$507,7,FALSE()))</f>
        <v/>
      </c>
      <c r="BV386" s="71" t="str">
        <f aca="false">IF($BL386&gt;$BK$7,"",VLOOKUP($BL386,$BN$8:$BT$507,2,FALSE()))</f>
        <v/>
      </c>
      <c r="BW386" s="71" t="str">
        <f aca="false">IF($BL386&gt;$BK$7,"",VLOOKUP($BL386,$BN$8:$BT$507,3,FALSE()))</f>
        <v/>
      </c>
      <c r="BX386" s="71" t="str">
        <f aca="false">IF($BL386&gt;$BK$7,"",VLOOKUP($BL386,$BN$8:$BT$507,4,FALSE()))</f>
        <v/>
      </c>
      <c r="BY386" s="71" t="str">
        <f aca="false">IF($BL386&gt;$BK$7,"",VLOOKUP($BL386,$BN$8:$BT$507,5,FALSE()))</f>
        <v/>
      </c>
      <c r="BZ386" s="72" t="str">
        <f aca="false">IF($BL386&gt;$BK$7,"",VLOOKUP($BL386,$BN$8:$BT$507,6,FALSE()))</f>
        <v/>
      </c>
      <c r="CA386" s="48"/>
    </row>
    <row r="387" customFormat="false" ht="15.75" hidden="false" customHeight="false" outlineLevel="0" collapsed="false">
      <c r="A387" s="5"/>
      <c r="B387" s="121"/>
      <c r="C387" s="50"/>
      <c r="D387" s="51"/>
      <c r="E387" s="74"/>
      <c r="F387" s="122"/>
      <c r="G387" s="54"/>
      <c r="H387" s="123"/>
      <c r="I387" s="124"/>
      <c r="J387" s="54"/>
      <c r="K387" s="123"/>
      <c r="L387" s="54"/>
      <c r="M387" s="123"/>
      <c r="N387" s="54"/>
      <c r="O387" s="123"/>
      <c r="P387" s="54"/>
      <c r="Q387" s="123"/>
      <c r="R387" s="54"/>
      <c r="S387" s="74"/>
      <c r="T387" s="58"/>
      <c r="U387" s="59" t="str">
        <f aca="false">IF(ISBLANK($C387),"",IF(E387=Constants!$B$2, TRUE(), IF(E387=Constants!$B$3, FALSE(), TRUE())))</f>
        <v/>
      </c>
      <c r="V387" s="59" t="str">
        <f aca="false">IF(ISBLANK($C387),"",IF(F387=Constants!$B$2, TRUE(), IF(F387=Constants!$B$3, FALSE(), TRUE())))</f>
        <v/>
      </c>
      <c r="W387" s="59" t="str">
        <f aca="false">IF(ISBLANK($C387),"",IF(G387=Constants!$B$15,Constants!$B$8,IF(G387=Constants!$B$16,Constants!$B$9,Constants!$B$10)))</f>
        <v/>
      </c>
      <c r="X387" s="59" t="str">
        <f aca="false">IF(ISBLANK($C387),"",IF(H387=Constants!$B$2, TRUE(), IF(H387=Constants!$B$3, FALSE(), TRUE())))</f>
        <v/>
      </c>
      <c r="Y387" s="59" t="str">
        <f aca="false">IF(ISBLANK($C387),"",IF(I387=Constants!$B$19,Constants!$B$19,Constants!$B$18))</f>
        <v/>
      </c>
      <c r="Z387" s="59" t="str">
        <f aca="false">IF(ISBLANK($C387),"",IF(ISNUMBER(J387),IF(J387&gt;=0,J387,""),""))</f>
        <v/>
      </c>
      <c r="AA387" s="59" t="str">
        <f aca="false">IF(ISBLANK($C387),"",IF(K387=Constants!$B$19,Constants!$B$19,Constants!$B$18))</f>
        <v/>
      </c>
      <c r="AB387" s="59" t="str">
        <f aca="false">IF(ISBLANK($C387),"",IF(ISNUMBER(L387),IF(L387&gt;=0,L387,""),""))</f>
        <v/>
      </c>
      <c r="AC387" s="59" t="str">
        <f aca="false">IF(ISBLANK($C387),"",IF(M387=Constants!$B$19,Constants!$B$19,Constants!$B$18))</f>
        <v/>
      </c>
      <c r="AD387" s="59" t="str">
        <f aca="false">IF(ISBLANK($C387),"",IF(ISNUMBER(N387),IF(N387&gt;=0,N387,""),""))</f>
        <v/>
      </c>
      <c r="AE387" s="59" t="str">
        <f aca="false">IF(ISBLANK($C387),"",IF(O387=Constants!$B$19,Constants!$B$19,Constants!$B$18))</f>
        <v/>
      </c>
      <c r="AF387" s="59" t="str">
        <f aca="false">IF(ISBLANK($C387),"",IF(ISNUMBER(P387),IF(P387&gt;=0,P387,""),""))</f>
        <v/>
      </c>
      <c r="AG387" s="59" t="str">
        <f aca="false">IF(ISBLANK($C387),"",IF(Q387=Constants!$B$19,Constants!$B$19,Constants!$B$18))</f>
        <v/>
      </c>
      <c r="AH387" s="59" t="str">
        <f aca="false">IF(ISBLANK($C387),"",IF(ISNUMBER(R387),IF(R387&gt;=0,R387,""),""))</f>
        <v/>
      </c>
      <c r="AI387" s="59" t="str">
        <f aca="false">IF(ISBLANK($C387),"",IF(S387=Constants!$B$2, TRUE(), IF(S387=Constants!$B$3, FALSE(), FALSE())))</f>
        <v/>
      </c>
      <c r="AJ387" s="59" t="str">
        <f aca="false">IF(ISBLANK($C387),"",IF(AI387,Constants!$B$4,IF(COUNTA(E387:R387)=0,Constants!$B$5,IF(COUNTA(J387,L387,N387,P387,R387)=0,Constants!$B$6,Constants!$B$7))))</f>
        <v/>
      </c>
      <c r="AK387" s="59" t="str">
        <f aca="false">IF(ISBLANK($C387),"",IF($AJ387&lt;&gt;Constants!$B$7,$AJ387,IF(OR(NOT(X387),AND(NOT(U387),COUNTIFS(Y387:AG387,Constants!$B$18,Z387:AH387,"&gt;=0")&gt;0),AND(NOT(V387),COUNTIFS(Y387:AG387,Constants!$B$19,Z387:AH387,"&gt;=0")&gt;0)),Constants!$B$12,Constants!$B$11)))</f>
        <v/>
      </c>
      <c r="AL387" s="59" t="str">
        <f aca="false">IF($AJ387=Constants!$B$7,IF(Z387="",Constants!$B$13,Z387),"")</f>
        <v/>
      </c>
      <c r="AM387" s="59" t="str">
        <f aca="false">IF($AJ387=Constants!$B$7,IF(AB387="",Constants!$B$13,AB387),"")</f>
        <v/>
      </c>
      <c r="AN387" s="59" t="str">
        <f aca="false">IF($AJ387=Constants!$B$7,IF(AD387="",Constants!$B$13,AD387),"")</f>
        <v/>
      </c>
      <c r="AO387" s="59" t="str">
        <f aca="false">IF($AJ387=Constants!$B$7,IF(AF387="",Constants!$B$13,AF387),"")</f>
        <v/>
      </c>
      <c r="AP387" s="59" t="str">
        <f aca="false">IF($AJ387=Constants!$B$7,IF(AH387="",Constants!$B$13,AH387),"")</f>
        <v/>
      </c>
      <c r="AQ387" s="59" t="str">
        <f aca="false">IF($AJ387=Constants!$B$7,IF(SUMPRODUCT(--($AL387:$AP387&gt;AL387))+SUMPRODUCT(--($AL387:AL387=AL387))=1,1,IF(SUMPRODUCT(--($AL387:$AP387&gt;AM387))+SUMPRODUCT(--($AL387:AM387=AM387))=1,2,IF(SUMPRODUCT(--($AL387:$AP387&gt;AN387))+SUMPRODUCT(--($AL387:AN387=AN387))=1,3,IF(SUMPRODUCT(--($AL387:$AP387&gt;AO387))+SUMPRODUCT(--($AL387:AO387=AO387))=1,4,5)))),"")</f>
        <v/>
      </c>
      <c r="AR387" s="59" t="str">
        <f aca="false">IF($AJ387=Constants!$B$7,IF(SUMPRODUCT(--($AL387:$AP387&gt;AL387))+SUMPRODUCT(--($AL387:AL387=AL387))=2,1,IF(SUMPRODUCT(--($AL387:$AP387&gt;AM387))+SUMPRODUCT(--($AL387:AM387=AM387))=2,2,IF(SUMPRODUCT(--($AL387:$AP387&gt;AN387))+SUMPRODUCT(--($AL387:AN387=AN387))=2,3,IF(SUMPRODUCT(--($AL387:$AP387&gt;AO387))+SUMPRODUCT(--($AL387:AO387=AO387))=2,4,5)))),"")</f>
        <v/>
      </c>
      <c r="AS387" s="59" t="str">
        <f aca="false">IF($AJ387=Constants!$B$7,IF(SUMPRODUCT(--($AL387:$AP387&gt;AL387))+SUMPRODUCT(--($AL387:AL387=AL387))=3,1,IF(SUMPRODUCT(--($AL387:$AP387&gt;AM387))+SUMPRODUCT(--($AL387:AM387=AM387))=3,2,IF(SUMPRODUCT(--($AL387:$AP387&gt;AN387))+SUMPRODUCT(--($AL387:AN387=AN387))=3,3,IF(SUMPRODUCT(--($AL387:$AP387&gt;AO387))+SUMPRODUCT(--($AL387:AO387=AO387))=3,4,5)))),"")</f>
        <v/>
      </c>
      <c r="AT387" s="59" t="str">
        <f aca="false">IF($AJ387=Constants!$B$7,LARGE(AL387:AP387,1)+LARGE(AL387:AP387,2)+LARGE(AL387:AP387,3),"")</f>
        <v/>
      </c>
      <c r="AU387" s="59" t="str">
        <f aca="false">IF(ISBLANK($C387),"",IF($AJ387&lt;&gt;Constants!$B$7,$AJ387,AT387*W387))</f>
        <v/>
      </c>
      <c r="AV387" s="59" t="str">
        <f aca="false">IF(ISBLANK($C387),"",IF($AJ387=Constants!$B$7,IF(ISNUMBER(AU387),RANK(AU387,$AU$8:$AU$507),Constants!$B$14),$AJ387))</f>
        <v/>
      </c>
      <c r="AW387" s="59" t="str">
        <f aca="false">IF(ISBLANK($C387),"",IF($AJ387=Constants!$B$7,IF(ISNUMBER(AV387),COUNTIFS($AK$8:$AK$507,"&lt;"&amp;$AK387)+COUNTIFS($AK$8:$AK$507,$AK387,$AV$8:$AV$507,"&lt;"&amp;$AV387)+1,Constants!$B$14),$AJ387))</f>
        <v/>
      </c>
      <c r="AX387" s="59" t="str">
        <f aca="false">IF(ISBLANK($C387),"",IF($AJ387=Constants!$B$7,LARGE(AL387:AP387,4)*W387,""))</f>
        <v/>
      </c>
      <c r="AY387" s="59" t="str">
        <f aca="false">IF(ISBLANK($C387),"",IF($AJ387=Constants!$B$7,RANK(AX387,$AX$8:$AX$507),$AJ387))</f>
        <v/>
      </c>
      <c r="AZ387" s="59" t="str">
        <f aca="false">IF(ISBLANK($C387),"",IF($AJ387=Constants!$B$7,IF(ISNUMBER(AV387),COUNTIFS($AK$8:$AK$507,"&lt;"&amp;$AK387)+COUNTIFS($AK$8:$AK$507,$AK387,$AV$8:$AV$507,"&lt;"&amp;$AV387)+COUNTIFS($AK$8:$AK$507,$AK387,$AV$8:$AV$507,$AV387,$AY$8:$AY$507,"&lt;"&amp;$AY387)+1,Constants!$B$14),$AJ387))</f>
        <v/>
      </c>
      <c r="BA387" s="59" t="str">
        <f aca="false">IF(ISBLANK($C387),"",IF($AJ387=Constants!$B$7,IF(ISNUMBER(AW387),AW387-AZ387,Constants!$B$14),$AJ387))</f>
        <v/>
      </c>
      <c r="BB387" s="61"/>
      <c r="BC387" s="62" t="str">
        <f aca="false">IF(ISBLANK($C387),"",IF($AJ387&lt;&gt;Constants!$B$7,$AJ387,SMALL(AQ387:AS387,1)&amp;", "&amp;SMALL(AQ387:AS387,2)&amp;", "&amp;SMALL(AQ387:AS387,3)))</f>
        <v/>
      </c>
      <c r="BD387" s="63" t="str">
        <f aca="false">IF(ISBLANK($C387),"",IF($AJ387&lt;&gt;Constants!$B$7,$AJ387,W387))</f>
        <v/>
      </c>
      <c r="BE387" s="64" t="str">
        <f aca="false">IF(ISBLANK($C387),"",IF($AJ387&lt;&gt;Constants!$B$7,$AJ387,AU387))</f>
        <v/>
      </c>
      <c r="BF387" s="65" t="str">
        <f aca="false">IF(ISBLANK($C387),"",IF($AJ387&lt;&gt;Constants!$B$7,$AJ387,AK387))</f>
        <v/>
      </c>
      <c r="BG387" s="63" t="str">
        <f aca="false">IF(ISBLANK($C387),"",BA387)</f>
        <v/>
      </c>
      <c r="BH387" s="63" t="str">
        <f aca="false">IF(ISBLANK($C387),"",AZ387)</f>
        <v/>
      </c>
      <c r="BI387" s="66" t="str">
        <f aca="false">IF(ISBLANK($C387),"",IF(BH387=Constants!$B$4,COUNTA($C$8:$C$507)+2,IF(BH387=Constants!$B$5,COUNTA($C$8:$C$507)+1,IF(BH387=Constants!$B$6,COUNTA($C$8:$C$507),BH387))))</f>
        <v/>
      </c>
      <c r="BJ387" s="5"/>
      <c r="BK387" s="67" t="n">
        <f aca="false">IF(OR(ISNUMBER(BH387),BH387=Constants!$B$4,BH387=Constants!$B$6,BH387=Constants!$B$5),1,0)</f>
        <v>0</v>
      </c>
      <c r="BL387" s="67" t="n">
        <v>380</v>
      </c>
      <c r="BM387" s="67" t="str">
        <f aca="false">IF(ISBLANK($C387),"",IF(ISNUMBER(BI387),BI387+ROW($B387)/1000,""))</f>
        <v/>
      </c>
      <c r="BN387" s="67" t="str">
        <f aca="false">IF(ISNUMBER(BM387),RANK(BM387,$BM$8:$BM$507,1),"")</f>
        <v/>
      </c>
      <c r="BO387" s="67" t="str">
        <f aca="false">IF(ISBLANK($C387),"",$B387)</f>
        <v/>
      </c>
      <c r="BP387" s="67" t="str">
        <f aca="false">IF(ISBLANK($C387),"",$C387)</f>
        <v/>
      </c>
      <c r="BQ387" s="67" t="str">
        <f aca="false">IF(ISBLANK($C387),"",$D387)</f>
        <v/>
      </c>
      <c r="BR387" s="68" t="str">
        <f aca="false">BF387</f>
        <v/>
      </c>
      <c r="BS387" s="69" t="str">
        <f aca="false">BE387</f>
        <v/>
      </c>
      <c r="BT387" s="67" t="str">
        <f aca="false">IF(ISBLANK($C387),"",BH387)</f>
        <v/>
      </c>
      <c r="BU387" s="70" t="str">
        <f aca="false">IF($BL387&gt;$BK$7,"",VLOOKUP($BL387,$BN$8:$BT$507,7,FALSE()))</f>
        <v/>
      </c>
      <c r="BV387" s="71" t="str">
        <f aca="false">IF($BL387&gt;$BK$7,"",VLOOKUP($BL387,$BN$8:$BT$507,2,FALSE()))</f>
        <v/>
      </c>
      <c r="BW387" s="71" t="str">
        <f aca="false">IF($BL387&gt;$BK$7,"",VLOOKUP($BL387,$BN$8:$BT$507,3,FALSE()))</f>
        <v/>
      </c>
      <c r="BX387" s="71" t="str">
        <f aca="false">IF($BL387&gt;$BK$7,"",VLOOKUP($BL387,$BN$8:$BT$507,4,FALSE()))</f>
        <v/>
      </c>
      <c r="BY387" s="71" t="str">
        <f aca="false">IF($BL387&gt;$BK$7,"",VLOOKUP($BL387,$BN$8:$BT$507,5,FALSE()))</f>
        <v/>
      </c>
      <c r="BZ387" s="72" t="str">
        <f aca="false">IF($BL387&gt;$BK$7,"",VLOOKUP($BL387,$BN$8:$BT$507,6,FALSE()))</f>
        <v/>
      </c>
      <c r="CA387" s="48"/>
    </row>
    <row r="388" customFormat="false" ht="15.75" hidden="false" customHeight="false" outlineLevel="0" collapsed="false">
      <c r="A388" s="5"/>
      <c r="B388" s="121"/>
      <c r="C388" s="50"/>
      <c r="D388" s="51"/>
      <c r="E388" s="74"/>
      <c r="F388" s="122"/>
      <c r="G388" s="54"/>
      <c r="H388" s="123"/>
      <c r="I388" s="124"/>
      <c r="J388" s="54"/>
      <c r="K388" s="123"/>
      <c r="L388" s="54"/>
      <c r="M388" s="123"/>
      <c r="N388" s="54"/>
      <c r="O388" s="123"/>
      <c r="P388" s="54"/>
      <c r="Q388" s="123"/>
      <c r="R388" s="54"/>
      <c r="S388" s="74"/>
      <c r="T388" s="58"/>
      <c r="U388" s="59" t="str">
        <f aca="false">IF(ISBLANK($C388),"",IF(E388=Constants!$B$2, TRUE(), IF(E388=Constants!$B$3, FALSE(), TRUE())))</f>
        <v/>
      </c>
      <c r="V388" s="59" t="str">
        <f aca="false">IF(ISBLANK($C388),"",IF(F388=Constants!$B$2, TRUE(), IF(F388=Constants!$B$3, FALSE(), TRUE())))</f>
        <v/>
      </c>
      <c r="W388" s="59" t="str">
        <f aca="false">IF(ISBLANK($C388),"",IF(G388=Constants!$B$15,Constants!$B$8,IF(G388=Constants!$B$16,Constants!$B$9,Constants!$B$10)))</f>
        <v/>
      </c>
      <c r="X388" s="59" t="str">
        <f aca="false">IF(ISBLANK($C388),"",IF(H388=Constants!$B$2, TRUE(), IF(H388=Constants!$B$3, FALSE(), TRUE())))</f>
        <v/>
      </c>
      <c r="Y388" s="59" t="str">
        <f aca="false">IF(ISBLANK($C388),"",IF(I388=Constants!$B$19,Constants!$B$19,Constants!$B$18))</f>
        <v/>
      </c>
      <c r="Z388" s="59" t="str">
        <f aca="false">IF(ISBLANK($C388),"",IF(ISNUMBER(J388),IF(J388&gt;=0,J388,""),""))</f>
        <v/>
      </c>
      <c r="AA388" s="59" t="str">
        <f aca="false">IF(ISBLANK($C388),"",IF(K388=Constants!$B$19,Constants!$B$19,Constants!$B$18))</f>
        <v/>
      </c>
      <c r="AB388" s="59" t="str">
        <f aca="false">IF(ISBLANK($C388),"",IF(ISNUMBER(L388),IF(L388&gt;=0,L388,""),""))</f>
        <v/>
      </c>
      <c r="AC388" s="59" t="str">
        <f aca="false">IF(ISBLANK($C388),"",IF(M388=Constants!$B$19,Constants!$B$19,Constants!$B$18))</f>
        <v/>
      </c>
      <c r="AD388" s="59" t="str">
        <f aca="false">IF(ISBLANK($C388),"",IF(ISNUMBER(N388),IF(N388&gt;=0,N388,""),""))</f>
        <v/>
      </c>
      <c r="AE388" s="59" t="str">
        <f aca="false">IF(ISBLANK($C388),"",IF(O388=Constants!$B$19,Constants!$B$19,Constants!$B$18))</f>
        <v/>
      </c>
      <c r="AF388" s="59" t="str">
        <f aca="false">IF(ISBLANK($C388),"",IF(ISNUMBER(P388),IF(P388&gt;=0,P388,""),""))</f>
        <v/>
      </c>
      <c r="AG388" s="59" t="str">
        <f aca="false">IF(ISBLANK($C388),"",IF(Q388=Constants!$B$19,Constants!$B$19,Constants!$B$18))</f>
        <v/>
      </c>
      <c r="AH388" s="59" t="str">
        <f aca="false">IF(ISBLANK($C388),"",IF(ISNUMBER(R388),IF(R388&gt;=0,R388,""),""))</f>
        <v/>
      </c>
      <c r="AI388" s="59" t="str">
        <f aca="false">IF(ISBLANK($C388),"",IF(S388=Constants!$B$2, TRUE(), IF(S388=Constants!$B$3, FALSE(), FALSE())))</f>
        <v/>
      </c>
      <c r="AJ388" s="59" t="str">
        <f aca="false">IF(ISBLANK($C388),"",IF(AI388,Constants!$B$4,IF(COUNTA(E388:R388)=0,Constants!$B$5,IF(COUNTA(J388,L388,N388,P388,R388)=0,Constants!$B$6,Constants!$B$7))))</f>
        <v/>
      </c>
      <c r="AK388" s="59" t="str">
        <f aca="false">IF(ISBLANK($C388),"",IF($AJ388&lt;&gt;Constants!$B$7,$AJ388,IF(OR(NOT(X388),AND(NOT(U388),COUNTIFS(Y388:AG388,Constants!$B$18,Z388:AH388,"&gt;=0")&gt;0),AND(NOT(V388),COUNTIFS(Y388:AG388,Constants!$B$19,Z388:AH388,"&gt;=0")&gt;0)),Constants!$B$12,Constants!$B$11)))</f>
        <v/>
      </c>
      <c r="AL388" s="59" t="str">
        <f aca="false">IF($AJ388=Constants!$B$7,IF(Z388="",Constants!$B$13,Z388),"")</f>
        <v/>
      </c>
      <c r="AM388" s="59" t="str">
        <f aca="false">IF($AJ388=Constants!$B$7,IF(AB388="",Constants!$B$13,AB388),"")</f>
        <v/>
      </c>
      <c r="AN388" s="59" t="str">
        <f aca="false">IF($AJ388=Constants!$B$7,IF(AD388="",Constants!$B$13,AD388),"")</f>
        <v/>
      </c>
      <c r="AO388" s="59" t="str">
        <f aca="false">IF($AJ388=Constants!$B$7,IF(AF388="",Constants!$B$13,AF388),"")</f>
        <v/>
      </c>
      <c r="AP388" s="59" t="str">
        <f aca="false">IF($AJ388=Constants!$B$7,IF(AH388="",Constants!$B$13,AH388),"")</f>
        <v/>
      </c>
      <c r="AQ388" s="59" t="str">
        <f aca="false">IF($AJ388=Constants!$B$7,IF(SUMPRODUCT(--($AL388:$AP388&gt;AL388))+SUMPRODUCT(--($AL388:AL388=AL388))=1,1,IF(SUMPRODUCT(--($AL388:$AP388&gt;AM388))+SUMPRODUCT(--($AL388:AM388=AM388))=1,2,IF(SUMPRODUCT(--($AL388:$AP388&gt;AN388))+SUMPRODUCT(--($AL388:AN388=AN388))=1,3,IF(SUMPRODUCT(--($AL388:$AP388&gt;AO388))+SUMPRODUCT(--($AL388:AO388=AO388))=1,4,5)))),"")</f>
        <v/>
      </c>
      <c r="AR388" s="59" t="str">
        <f aca="false">IF($AJ388=Constants!$B$7,IF(SUMPRODUCT(--($AL388:$AP388&gt;AL388))+SUMPRODUCT(--($AL388:AL388=AL388))=2,1,IF(SUMPRODUCT(--($AL388:$AP388&gt;AM388))+SUMPRODUCT(--($AL388:AM388=AM388))=2,2,IF(SUMPRODUCT(--($AL388:$AP388&gt;AN388))+SUMPRODUCT(--($AL388:AN388=AN388))=2,3,IF(SUMPRODUCT(--($AL388:$AP388&gt;AO388))+SUMPRODUCT(--($AL388:AO388=AO388))=2,4,5)))),"")</f>
        <v/>
      </c>
      <c r="AS388" s="59" t="str">
        <f aca="false">IF($AJ388=Constants!$B$7,IF(SUMPRODUCT(--($AL388:$AP388&gt;AL388))+SUMPRODUCT(--($AL388:AL388=AL388))=3,1,IF(SUMPRODUCT(--($AL388:$AP388&gt;AM388))+SUMPRODUCT(--($AL388:AM388=AM388))=3,2,IF(SUMPRODUCT(--($AL388:$AP388&gt;AN388))+SUMPRODUCT(--($AL388:AN388=AN388))=3,3,IF(SUMPRODUCT(--($AL388:$AP388&gt;AO388))+SUMPRODUCT(--($AL388:AO388=AO388))=3,4,5)))),"")</f>
        <v/>
      </c>
      <c r="AT388" s="59" t="str">
        <f aca="false">IF($AJ388=Constants!$B$7,LARGE(AL388:AP388,1)+LARGE(AL388:AP388,2)+LARGE(AL388:AP388,3),"")</f>
        <v/>
      </c>
      <c r="AU388" s="59" t="str">
        <f aca="false">IF(ISBLANK($C388),"",IF($AJ388&lt;&gt;Constants!$B$7,$AJ388,AT388*W388))</f>
        <v/>
      </c>
      <c r="AV388" s="59" t="str">
        <f aca="false">IF(ISBLANK($C388),"",IF($AJ388=Constants!$B$7,IF(ISNUMBER(AU388),RANK(AU388,$AU$8:$AU$507),Constants!$B$14),$AJ388))</f>
        <v/>
      </c>
      <c r="AW388" s="59" t="str">
        <f aca="false">IF(ISBLANK($C388),"",IF($AJ388=Constants!$B$7,IF(ISNUMBER(AV388),COUNTIFS($AK$8:$AK$507,"&lt;"&amp;$AK388)+COUNTIFS($AK$8:$AK$507,$AK388,$AV$8:$AV$507,"&lt;"&amp;$AV388)+1,Constants!$B$14),$AJ388))</f>
        <v/>
      </c>
      <c r="AX388" s="59" t="str">
        <f aca="false">IF(ISBLANK($C388),"",IF($AJ388=Constants!$B$7,LARGE(AL388:AP388,4)*W388,""))</f>
        <v/>
      </c>
      <c r="AY388" s="59" t="str">
        <f aca="false">IF(ISBLANK($C388),"",IF($AJ388=Constants!$B$7,RANK(AX388,$AX$8:$AX$507),$AJ388))</f>
        <v/>
      </c>
      <c r="AZ388" s="59" t="str">
        <f aca="false">IF(ISBLANK($C388),"",IF($AJ388=Constants!$B$7,IF(ISNUMBER(AV388),COUNTIFS($AK$8:$AK$507,"&lt;"&amp;$AK388)+COUNTIFS($AK$8:$AK$507,$AK388,$AV$8:$AV$507,"&lt;"&amp;$AV388)+COUNTIFS($AK$8:$AK$507,$AK388,$AV$8:$AV$507,$AV388,$AY$8:$AY$507,"&lt;"&amp;$AY388)+1,Constants!$B$14),$AJ388))</f>
        <v/>
      </c>
      <c r="BA388" s="59" t="str">
        <f aca="false">IF(ISBLANK($C388),"",IF($AJ388=Constants!$B$7,IF(ISNUMBER(AW388),AW388-AZ388,Constants!$B$14),$AJ388))</f>
        <v/>
      </c>
      <c r="BB388" s="61"/>
      <c r="BC388" s="62" t="str">
        <f aca="false">IF(ISBLANK($C388),"",IF($AJ388&lt;&gt;Constants!$B$7,$AJ388,SMALL(AQ388:AS388,1)&amp;", "&amp;SMALL(AQ388:AS388,2)&amp;", "&amp;SMALL(AQ388:AS388,3)))</f>
        <v/>
      </c>
      <c r="BD388" s="63" t="str">
        <f aca="false">IF(ISBLANK($C388),"",IF($AJ388&lt;&gt;Constants!$B$7,$AJ388,W388))</f>
        <v/>
      </c>
      <c r="BE388" s="64" t="str">
        <f aca="false">IF(ISBLANK($C388),"",IF($AJ388&lt;&gt;Constants!$B$7,$AJ388,AU388))</f>
        <v/>
      </c>
      <c r="BF388" s="65" t="str">
        <f aca="false">IF(ISBLANK($C388),"",IF($AJ388&lt;&gt;Constants!$B$7,$AJ388,AK388))</f>
        <v/>
      </c>
      <c r="BG388" s="63" t="str">
        <f aca="false">IF(ISBLANK($C388),"",BA388)</f>
        <v/>
      </c>
      <c r="BH388" s="63" t="str">
        <f aca="false">IF(ISBLANK($C388),"",AZ388)</f>
        <v/>
      </c>
      <c r="BI388" s="66" t="str">
        <f aca="false">IF(ISBLANK($C388),"",IF(BH388=Constants!$B$4,COUNTA($C$8:$C$507)+2,IF(BH388=Constants!$B$5,COUNTA($C$8:$C$507)+1,IF(BH388=Constants!$B$6,COUNTA($C$8:$C$507),BH388))))</f>
        <v/>
      </c>
      <c r="BJ388" s="5"/>
      <c r="BK388" s="67" t="n">
        <f aca="false">IF(OR(ISNUMBER(BH388),BH388=Constants!$B$4,BH388=Constants!$B$6,BH388=Constants!$B$5),1,0)</f>
        <v>0</v>
      </c>
      <c r="BL388" s="67" t="n">
        <v>381</v>
      </c>
      <c r="BM388" s="67" t="str">
        <f aca="false">IF(ISBLANK($C388),"",IF(ISNUMBER(BI388),BI388+ROW($B388)/1000,""))</f>
        <v/>
      </c>
      <c r="BN388" s="67" t="str">
        <f aca="false">IF(ISNUMBER(BM388),RANK(BM388,$BM$8:$BM$507,1),"")</f>
        <v/>
      </c>
      <c r="BO388" s="67" t="str">
        <f aca="false">IF(ISBLANK($C388),"",$B388)</f>
        <v/>
      </c>
      <c r="BP388" s="67" t="str">
        <f aca="false">IF(ISBLANK($C388),"",$C388)</f>
        <v/>
      </c>
      <c r="BQ388" s="67" t="str">
        <f aca="false">IF(ISBLANK($C388),"",$D388)</f>
        <v/>
      </c>
      <c r="BR388" s="68" t="str">
        <f aca="false">BF388</f>
        <v/>
      </c>
      <c r="BS388" s="69" t="str">
        <f aca="false">BE388</f>
        <v/>
      </c>
      <c r="BT388" s="67" t="str">
        <f aca="false">IF(ISBLANK($C388),"",BH388)</f>
        <v/>
      </c>
      <c r="BU388" s="70" t="str">
        <f aca="false">IF($BL388&gt;$BK$7,"",VLOOKUP($BL388,$BN$8:$BT$507,7,FALSE()))</f>
        <v/>
      </c>
      <c r="BV388" s="71" t="str">
        <f aca="false">IF($BL388&gt;$BK$7,"",VLOOKUP($BL388,$BN$8:$BT$507,2,FALSE()))</f>
        <v/>
      </c>
      <c r="BW388" s="71" t="str">
        <f aca="false">IF($BL388&gt;$BK$7,"",VLOOKUP($BL388,$BN$8:$BT$507,3,FALSE()))</f>
        <v/>
      </c>
      <c r="BX388" s="71" t="str">
        <f aca="false">IF($BL388&gt;$BK$7,"",VLOOKUP($BL388,$BN$8:$BT$507,4,FALSE()))</f>
        <v/>
      </c>
      <c r="BY388" s="71" t="str">
        <f aca="false">IF($BL388&gt;$BK$7,"",VLOOKUP($BL388,$BN$8:$BT$507,5,FALSE()))</f>
        <v/>
      </c>
      <c r="BZ388" s="72" t="str">
        <f aca="false">IF($BL388&gt;$BK$7,"",VLOOKUP($BL388,$BN$8:$BT$507,6,FALSE()))</f>
        <v/>
      </c>
      <c r="CA388" s="48"/>
    </row>
    <row r="389" customFormat="false" ht="15.75" hidden="false" customHeight="false" outlineLevel="0" collapsed="false">
      <c r="A389" s="5"/>
      <c r="B389" s="114"/>
      <c r="C389" s="115"/>
      <c r="D389" s="100"/>
      <c r="E389" s="120"/>
      <c r="F389" s="125"/>
      <c r="G389" s="82"/>
      <c r="H389" s="126"/>
      <c r="I389" s="127"/>
      <c r="J389" s="82"/>
      <c r="K389" s="126"/>
      <c r="L389" s="82"/>
      <c r="M389" s="126"/>
      <c r="N389" s="82"/>
      <c r="O389" s="126"/>
      <c r="P389" s="82"/>
      <c r="Q389" s="126"/>
      <c r="R389" s="82"/>
      <c r="S389" s="120"/>
      <c r="T389" s="86"/>
      <c r="U389" s="87" t="str">
        <f aca="false">IF(ISBLANK($C389),"",IF(E389=Constants!$B$2, TRUE(), IF(E389=Constants!$B$3, FALSE(), TRUE())))</f>
        <v/>
      </c>
      <c r="V389" s="87" t="str">
        <f aca="false">IF(ISBLANK($C389),"",IF(F389=Constants!$B$2, TRUE(), IF(F389=Constants!$B$3, FALSE(), TRUE())))</f>
        <v/>
      </c>
      <c r="W389" s="87" t="str">
        <f aca="false">IF(ISBLANK($C389),"",IF(G389=Constants!$B$15,Constants!$B$8,IF(G389=Constants!$B$16,Constants!$B$9,Constants!$B$10)))</f>
        <v/>
      </c>
      <c r="X389" s="87" t="str">
        <f aca="false">IF(ISBLANK($C389),"",IF(H389=Constants!$B$2, TRUE(), IF(H389=Constants!$B$3, FALSE(), TRUE())))</f>
        <v/>
      </c>
      <c r="Y389" s="87" t="str">
        <f aca="false">IF(ISBLANK($C389),"",IF(I389=Constants!$B$19,Constants!$B$19,Constants!$B$18))</f>
        <v/>
      </c>
      <c r="Z389" s="87" t="str">
        <f aca="false">IF(ISBLANK($C389),"",IF(ISNUMBER(J389),IF(J389&gt;=0,J389,""),""))</f>
        <v/>
      </c>
      <c r="AA389" s="87" t="str">
        <f aca="false">IF(ISBLANK($C389),"",IF(K389=Constants!$B$19,Constants!$B$19,Constants!$B$18))</f>
        <v/>
      </c>
      <c r="AB389" s="87" t="str">
        <f aca="false">IF(ISBLANK($C389),"",IF(ISNUMBER(L389),IF(L389&gt;=0,L389,""),""))</f>
        <v/>
      </c>
      <c r="AC389" s="87" t="str">
        <f aca="false">IF(ISBLANK($C389),"",IF(M389=Constants!$B$19,Constants!$B$19,Constants!$B$18))</f>
        <v/>
      </c>
      <c r="AD389" s="87" t="str">
        <f aca="false">IF(ISBLANK($C389),"",IF(ISNUMBER(N389),IF(N389&gt;=0,N389,""),""))</f>
        <v/>
      </c>
      <c r="AE389" s="87" t="str">
        <f aca="false">IF(ISBLANK($C389),"",IF(O389=Constants!$B$19,Constants!$B$19,Constants!$B$18))</f>
        <v/>
      </c>
      <c r="AF389" s="87" t="str">
        <f aca="false">IF(ISBLANK($C389),"",IF(ISNUMBER(P389),IF(P389&gt;=0,P389,""),""))</f>
        <v/>
      </c>
      <c r="AG389" s="87" t="str">
        <f aca="false">IF(ISBLANK($C389),"",IF(Q389=Constants!$B$19,Constants!$B$19,Constants!$B$18))</f>
        <v/>
      </c>
      <c r="AH389" s="87" t="str">
        <f aca="false">IF(ISBLANK($C389),"",IF(ISNUMBER(R389),IF(R389&gt;=0,R389,""),""))</f>
        <v/>
      </c>
      <c r="AI389" s="87" t="str">
        <f aca="false">IF(ISBLANK($C389),"",IF(S389=Constants!$B$2, TRUE(), IF(S389=Constants!$B$3, FALSE(), FALSE())))</f>
        <v/>
      </c>
      <c r="AJ389" s="87" t="str">
        <f aca="false">IF(ISBLANK($C389),"",IF(AI389,Constants!$B$4,IF(COUNTA(E389:R389)=0,Constants!$B$5,IF(COUNTA(J389,L389,N389,P389,R389)=0,Constants!$B$6,Constants!$B$7))))</f>
        <v/>
      </c>
      <c r="AK389" s="87" t="str">
        <f aca="false">IF(ISBLANK($C389),"",IF($AJ389&lt;&gt;Constants!$B$7,$AJ389,IF(OR(NOT(X389),AND(NOT(U389),COUNTIFS(Y389:AG389,Constants!$B$18,Z389:AH389,"&gt;=0")&gt;0),AND(NOT(V389),COUNTIFS(Y389:AG389,Constants!$B$19,Z389:AH389,"&gt;=0")&gt;0)),Constants!$B$12,Constants!$B$11)))</f>
        <v/>
      </c>
      <c r="AL389" s="87" t="str">
        <f aca="false">IF($AJ389=Constants!$B$7,IF(Z389="",Constants!$B$13,Z389),"")</f>
        <v/>
      </c>
      <c r="AM389" s="87" t="str">
        <f aca="false">IF($AJ389=Constants!$B$7,IF(AB389="",Constants!$B$13,AB389),"")</f>
        <v/>
      </c>
      <c r="AN389" s="87" t="str">
        <f aca="false">IF($AJ389=Constants!$B$7,IF(AD389="",Constants!$B$13,AD389),"")</f>
        <v/>
      </c>
      <c r="AO389" s="87" t="str">
        <f aca="false">IF($AJ389=Constants!$B$7,IF(AF389="",Constants!$B$13,AF389),"")</f>
        <v/>
      </c>
      <c r="AP389" s="87" t="str">
        <f aca="false">IF($AJ389=Constants!$B$7,IF(AH389="",Constants!$B$13,AH389),"")</f>
        <v/>
      </c>
      <c r="AQ389" s="87" t="str">
        <f aca="false">IF($AJ389=Constants!$B$7,IF(SUMPRODUCT(--($AL389:$AP389&gt;AL389))+SUMPRODUCT(--($AL389:AL389=AL389))=1,1,IF(SUMPRODUCT(--($AL389:$AP389&gt;AM389))+SUMPRODUCT(--($AL389:AM389=AM389))=1,2,IF(SUMPRODUCT(--($AL389:$AP389&gt;AN389))+SUMPRODUCT(--($AL389:AN389=AN389))=1,3,IF(SUMPRODUCT(--($AL389:$AP389&gt;AO389))+SUMPRODUCT(--($AL389:AO389=AO389))=1,4,5)))),"")</f>
        <v/>
      </c>
      <c r="AR389" s="87" t="str">
        <f aca="false">IF($AJ389=Constants!$B$7,IF(SUMPRODUCT(--($AL389:$AP389&gt;AL389))+SUMPRODUCT(--($AL389:AL389=AL389))=2,1,IF(SUMPRODUCT(--($AL389:$AP389&gt;AM389))+SUMPRODUCT(--($AL389:AM389=AM389))=2,2,IF(SUMPRODUCT(--($AL389:$AP389&gt;AN389))+SUMPRODUCT(--($AL389:AN389=AN389))=2,3,IF(SUMPRODUCT(--($AL389:$AP389&gt;AO389))+SUMPRODUCT(--($AL389:AO389=AO389))=2,4,5)))),"")</f>
        <v/>
      </c>
      <c r="AS389" s="87" t="str">
        <f aca="false">IF($AJ389=Constants!$B$7,IF(SUMPRODUCT(--($AL389:$AP389&gt;AL389))+SUMPRODUCT(--($AL389:AL389=AL389))=3,1,IF(SUMPRODUCT(--($AL389:$AP389&gt;AM389))+SUMPRODUCT(--($AL389:AM389=AM389))=3,2,IF(SUMPRODUCT(--($AL389:$AP389&gt;AN389))+SUMPRODUCT(--($AL389:AN389=AN389))=3,3,IF(SUMPRODUCT(--($AL389:$AP389&gt;AO389))+SUMPRODUCT(--($AL389:AO389=AO389))=3,4,5)))),"")</f>
        <v/>
      </c>
      <c r="AT389" s="87" t="str">
        <f aca="false">IF($AJ389=Constants!$B$7,LARGE(AL389:AP389,1)+LARGE(AL389:AP389,2)+LARGE(AL389:AP389,3),"")</f>
        <v/>
      </c>
      <c r="AU389" s="87" t="str">
        <f aca="false">IF(ISBLANK($C389),"",IF($AJ389&lt;&gt;Constants!$B$7,$AJ389,AT389*W389))</f>
        <v/>
      </c>
      <c r="AV389" s="87" t="str">
        <f aca="false">IF(ISBLANK($C389),"",IF($AJ389=Constants!$B$7,IF(ISNUMBER(AU389),RANK(AU389,$AU$8:$AU$507),Constants!$B$14),$AJ389))</f>
        <v/>
      </c>
      <c r="AW389" s="87" t="str">
        <f aca="false">IF(ISBLANK($C389),"",IF($AJ389=Constants!$B$7,IF(ISNUMBER(AV389),COUNTIFS($AK$8:$AK$507,"&lt;"&amp;$AK389)+COUNTIFS($AK$8:$AK$507,$AK389,$AV$8:$AV$507,"&lt;"&amp;$AV389)+1,Constants!$B$14),$AJ389))</f>
        <v/>
      </c>
      <c r="AX389" s="87" t="str">
        <f aca="false">IF(ISBLANK($C389),"",IF($AJ389=Constants!$B$7,LARGE(AL389:AP389,4)*W389,""))</f>
        <v/>
      </c>
      <c r="AY389" s="87" t="str">
        <f aca="false">IF(ISBLANK($C389),"",IF($AJ389=Constants!$B$7,RANK(AX389,$AX$8:$AX$507),$AJ389))</f>
        <v/>
      </c>
      <c r="AZ389" s="87" t="str">
        <f aca="false">IF(ISBLANK($C389),"",IF($AJ389=Constants!$B$7,IF(ISNUMBER(AV389),COUNTIFS($AK$8:$AK$507,"&lt;"&amp;$AK389)+COUNTIFS($AK$8:$AK$507,$AK389,$AV$8:$AV$507,"&lt;"&amp;$AV389)+COUNTIFS($AK$8:$AK$507,$AK389,$AV$8:$AV$507,$AV389,$AY$8:$AY$507,"&lt;"&amp;$AY389)+1,Constants!$B$14),$AJ389))</f>
        <v/>
      </c>
      <c r="BA389" s="87" t="str">
        <f aca="false">IF(ISBLANK($C389),"",IF($AJ389=Constants!$B$7,IF(ISNUMBER(AW389),AW389-AZ389,Constants!$B$14),$AJ389))</f>
        <v/>
      </c>
      <c r="BB389" s="88"/>
      <c r="BC389" s="89" t="str">
        <f aca="false">IF(ISBLANK($C389),"",IF($AJ389&lt;&gt;Constants!$B$7,$AJ389,SMALL(AQ389:AS389,1)&amp;", "&amp;SMALL(AQ389:AS389,2)&amp;", "&amp;SMALL(AQ389:AS389,3)))</f>
        <v/>
      </c>
      <c r="BD389" s="90" t="str">
        <f aca="false">IF(ISBLANK($C389),"",IF($AJ389&lt;&gt;Constants!$B$7,$AJ389,W389))</f>
        <v/>
      </c>
      <c r="BE389" s="91" t="str">
        <f aca="false">IF(ISBLANK($C389),"",IF($AJ389&lt;&gt;Constants!$B$7,$AJ389,AU389))</f>
        <v/>
      </c>
      <c r="BF389" s="92" t="str">
        <f aca="false">IF(ISBLANK($C389),"",IF($AJ389&lt;&gt;Constants!$B$7,$AJ389,AK389))</f>
        <v/>
      </c>
      <c r="BG389" s="90" t="str">
        <f aca="false">IF(ISBLANK($C389),"",BA389)</f>
        <v/>
      </c>
      <c r="BH389" s="90" t="str">
        <f aca="false">IF(ISBLANK($C389),"",AZ389)</f>
        <v/>
      </c>
      <c r="BI389" s="93" t="str">
        <f aca="false">IF(ISBLANK($C389),"",IF(BH389=Constants!$B$4,COUNTA($C$8:$C$507)+2,IF(BH389=Constants!$B$5,COUNTA($C$8:$C$507)+1,IF(BH389=Constants!$B$6,COUNTA($C$8:$C$507),BH389))))</f>
        <v/>
      </c>
      <c r="BJ389" s="5"/>
      <c r="BK389" s="94" t="n">
        <f aca="false">IF(OR(ISNUMBER(BH389),BH389=Constants!$B$4,BH389=Constants!$B$6,BH389=Constants!$B$5),1,0)</f>
        <v>0</v>
      </c>
      <c r="BL389" s="94" t="n">
        <v>382</v>
      </c>
      <c r="BM389" s="94" t="str">
        <f aca="false">IF(ISBLANK($C389),"",IF(ISNUMBER(BI389),BI389+ROW($B389)/1000,""))</f>
        <v/>
      </c>
      <c r="BN389" s="94" t="str">
        <f aca="false">IF(ISNUMBER(BM389),RANK(BM389,$BM$8:$BM$507,1),"")</f>
        <v/>
      </c>
      <c r="BO389" s="94" t="str">
        <f aca="false">IF(ISBLANK($C389),"",$B389)</f>
        <v/>
      </c>
      <c r="BP389" s="94" t="str">
        <f aca="false">IF(ISBLANK($C389),"",$C389)</f>
        <v/>
      </c>
      <c r="BQ389" s="94" t="str">
        <f aca="false">IF(ISBLANK($C389),"",$D389)</f>
        <v/>
      </c>
      <c r="BR389" s="95" t="str">
        <f aca="false">BF389</f>
        <v/>
      </c>
      <c r="BS389" s="96" t="str">
        <f aca="false">BE389</f>
        <v/>
      </c>
      <c r="BT389" s="94" t="str">
        <f aca="false">IF(ISBLANK($C389),"",BH389)</f>
        <v/>
      </c>
      <c r="BU389" s="97" t="str">
        <f aca="false">IF($BL389&gt;$BK$7,"",VLOOKUP($BL389,$BN$8:$BT$507,7,FALSE()))</f>
        <v/>
      </c>
      <c r="BV389" s="98" t="str">
        <f aca="false">IF($BL389&gt;$BK$7,"",VLOOKUP($BL389,$BN$8:$BT$507,2,FALSE()))</f>
        <v/>
      </c>
      <c r="BW389" s="98" t="str">
        <f aca="false">IF($BL389&gt;$BK$7,"",VLOOKUP($BL389,$BN$8:$BT$507,3,FALSE()))</f>
        <v/>
      </c>
      <c r="BX389" s="98" t="str">
        <f aca="false">IF($BL389&gt;$BK$7,"",VLOOKUP($BL389,$BN$8:$BT$507,4,FALSE()))</f>
        <v/>
      </c>
      <c r="BY389" s="98" t="str">
        <f aca="false">IF($BL389&gt;$BK$7,"",VLOOKUP($BL389,$BN$8:$BT$507,5,FALSE()))</f>
        <v/>
      </c>
      <c r="BZ389" s="99" t="str">
        <f aca="false">IF($BL389&gt;$BK$7,"",VLOOKUP($BL389,$BN$8:$BT$507,6,FALSE()))</f>
        <v/>
      </c>
      <c r="CA389" s="48"/>
    </row>
    <row r="390" customFormat="false" ht="15.75" hidden="false" customHeight="false" outlineLevel="0" collapsed="false">
      <c r="A390" s="5"/>
      <c r="B390" s="114"/>
      <c r="C390" s="115"/>
      <c r="D390" s="100"/>
      <c r="E390" s="120"/>
      <c r="F390" s="125"/>
      <c r="G390" s="82"/>
      <c r="H390" s="126"/>
      <c r="I390" s="127"/>
      <c r="J390" s="82"/>
      <c r="K390" s="126"/>
      <c r="L390" s="82"/>
      <c r="M390" s="126"/>
      <c r="N390" s="82"/>
      <c r="O390" s="126"/>
      <c r="P390" s="82"/>
      <c r="Q390" s="126"/>
      <c r="R390" s="82"/>
      <c r="S390" s="120"/>
      <c r="T390" s="86"/>
      <c r="U390" s="87" t="str">
        <f aca="false">IF(ISBLANK($C390),"",IF(E390=Constants!$B$2, TRUE(), IF(E390=Constants!$B$3, FALSE(), TRUE())))</f>
        <v/>
      </c>
      <c r="V390" s="87" t="str">
        <f aca="false">IF(ISBLANK($C390),"",IF(F390=Constants!$B$2, TRUE(), IF(F390=Constants!$B$3, FALSE(), TRUE())))</f>
        <v/>
      </c>
      <c r="W390" s="87" t="str">
        <f aca="false">IF(ISBLANK($C390),"",IF(G390=Constants!$B$15,Constants!$B$8,IF(G390=Constants!$B$16,Constants!$B$9,Constants!$B$10)))</f>
        <v/>
      </c>
      <c r="X390" s="87" t="str">
        <f aca="false">IF(ISBLANK($C390),"",IF(H390=Constants!$B$2, TRUE(), IF(H390=Constants!$B$3, FALSE(), TRUE())))</f>
        <v/>
      </c>
      <c r="Y390" s="87" t="str">
        <f aca="false">IF(ISBLANK($C390),"",IF(I390=Constants!$B$19,Constants!$B$19,Constants!$B$18))</f>
        <v/>
      </c>
      <c r="Z390" s="87" t="str">
        <f aca="false">IF(ISBLANK($C390),"",IF(ISNUMBER(J390),IF(J390&gt;=0,J390,""),""))</f>
        <v/>
      </c>
      <c r="AA390" s="87" t="str">
        <f aca="false">IF(ISBLANK($C390),"",IF(K390=Constants!$B$19,Constants!$B$19,Constants!$B$18))</f>
        <v/>
      </c>
      <c r="AB390" s="87" t="str">
        <f aca="false">IF(ISBLANK($C390),"",IF(ISNUMBER(L390),IF(L390&gt;=0,L390,""),""))</f>
        <v/>
      </c>
      <c r="AC390" s="87" t="str">
        <f aca="false">IF(ISBLANK($C390),"",IF(M390=Constants!$B$19,Constants!$B$19,Constants!$B$18))</f>
        <v/>
      </c>
      <c r="AD390" s="87" t="str">
        <f aca="false">IF(ISBLANK($C390),"",IF(ISNUMBER(N390),IF(N390&gt;=0,N390,""),""))</f>
        <v/>
      </c>
      <c r="AE390" s="87" t="str">
        <f aca="false">IF(ISBLANK($C390),"",IF(O390=Constants!$B$19,Constants!$B$19,Constants!$B$18))</f>
        <v/>
      </c>
      <c r="AF390" s="87" t="str">
        <f aca="false">IF(ISBLANK($C390),"",IF(ISNUMBER(P390),IF(P390&gt;=0,P390,""),""))</f>
        <v/>
      </c>
      <c r="AG390" s="87" t="str">
        <f aca="false">IF(ISBLANK($C390),"",IF(Q390=Constants!$B$19,Constants!$B$19,Constants!$B$18))</f>
        <v/>
      </c>
      <c r="AH390" s="87" t="str">
        <f aca="false">IF(ISBLANK($C390),"",IF(ISNUMBER(R390),IF(R390&gt;=0,R390,""),""))</f>
        <v/>
      </c>
      <c r="AI390" s="87" t="str">
        <f aca="false">IF(ISBLANK($C390),"",IF(S390=Constants!$B$2, TRUE(), IF(S390=Constants!$B$3, FALSE(), FALSE())))</f>
        <v/>
      </c>
      <c r="AJ390" s="87" t="str">
        <f aca="false">IF(ISBLANK($C390),"",IF(AI390,Constants!$B$4,IF(COUNTA(E390:R390)=0,Constants!$B$5,IF(COUNTA(J390,L390,N390,P390,R390)=0,Constants!$B$6,Constants!$B$7))))</f>
        <v/>
      </c>
      <c r="AK390" s="87" t="str">
        <f aca="false">IF(ISBLANK($C390),"",IF($AJ390&lt;&gt;Constants!$B$7,$AJ390,IF(OR(NOT(X390),AND(NOT(U390),COUNTIFS(Y390:AG390,Constants!$B$18,Z390:AH390,"&gt;=0")&gt;0),AND(NOT(V390),COUNTIFS(Y390:AG390,Constants!$B$19,Z390:AH390,"&gt;=0")&gt;0)),Constants!$B$12,Constants!$B$11)))</f>
        <v/>
      </c>
      <c r="AL390" s="87" t="str">
        <f aca="false">IF($AJ390=Constants!$B$7,IF(Z390="",Constants!$B$13,Z390),"")</f>
        <v/>
      </c>
      <c r="AM390" s="87" t="str">
        <f aca="false">IF($AJ390=Constants!$B$7,IF(AB390="",Constants!$B$13,AB390),"")</f>
        <v/>
      </c>
      <c r="AN390" s="87" t="str">
        <f aca="false">IF($AJ390=Constants!$B$7,IF(AD390="",Constants!$B$13,AD390),"")</f>
        <v/>
      </c>
      <c r="AO390" s="87" t="str">
        <f aca="false">IF($AJ390=Constants!$B$7,IF(AF390="",Constants!$B$13,AF390),"")</f>
        <v/>
      </c>
      <c r="AP390" s="87" t="str">
        <f aca="false">IF($AJ390=Constants!$B$7,IF(AH390="",Constants!$B$13,AH390),"")</f>
        <v/>
      </c>
      <c r="AQ390" s="87" t="str">
        <f aca="false">IF($AJ390=Constants!$B$7,IF(SUMPRODUCT(--($AL390:$AP390&gt;AL390))+SUMPRODUCT(--($AL390:AL390=AL390))=1,1,IF(SUMPRODUCT(--($AL390:$AP390&gt;AM390))+SUMPRODUCT(--($AL390:AM390=AM390))=1,2,IF(SUMPRODUCT(--($AL390:$AP390&gt;AN390))+SUMPRODUCT(--($AL390:AN390=AN390))=1,3,IF(SUMPRODUCT(--($AL390:$AP390&gt;AO390))+SUMPRODUCT(--($AL390:AO390=AO390))=1,4,5)))),"")</f>
        <v/>
      </c>
      <c r="AR390" s="87" t="str">
        <f aca="false">IF($AJ390=Constants!$B$7,IF(SUMPRODUCT(--($AL390:$AP390&gt;AL390))+SUMPRODUCT(--($AL390:AL390=AL390))=2,1,IF(SUMPRODUCT(--($AL390:$AP390&gt;AM390))+SUMPRODUCT(--($AL390:AM390=AM390))=2,2,IF(SUMPRODUCT(--($AL390:$AP390&gt;AN390))+SUMPRODUCT(--($AL390:AN390=AN390))=2,3,IF(SUMPRODUCT(--($AL390:$AP390&gt;AO390))+SUMPRODUCT(--($AL390:AO390=AO390))=2,4,5)))),"")</f>
        <v/>
      </c>
      <c r="AS390" s="87" t="str">
        <f aca="false">IF($AJ390=Constants!$B$7,IF(SUMPRODUCT(--($AL390:$AP390&gt;AL390))+SUMPRODUCT(--($AL390:AL390=AL390))=3,1,IF(SUMPRODUCT(--($AL390:$AP390&gt;AM390))+SUMPRODUCT(--($AL390:AM390=AM390))=3,2,IF(SUMPRODUCT(--($AL390:$AP390&gt;AN390))+SUMPRODUCT(--($AL390:AN390=AN390))=3,3,IF(SUMPRODUCT(--($AL390:$AP390&gt;AO390))+SUMPRODUCT(--($AL390:AO390=AO390))=3,4,5)))),"")</f>
        <v/>
      </c>
      <c r="AT390" s="87" t="str">
        <f aca="false">IF($AJ390=Constants!$B$7,LARGE(AL390:AP390,1)+LARGE(AL390:AP390,2)+LARGE(AL390:AP390,3),"")</f>
        <v/>
      </c>
      <c r="AU390" s="87" t="str">
        <f aca="false">IF(ISBLANK($C390),"",IF($AJ390&lt;&gt;Constants!$B$7,$AJ390,AT390*W390))</f>
        <v/>
      </c>
      <c r="AV390" s="87" t="str">
        <f aca="false">IF(ISBLANK($C390),"",IF($AJ390=Constants!$B$7,IF(ISNUMBER(AU390),RANK(AU390,$AU$8:$AU$507),Constants!$B$14),$AJ390))</f>
        <v/>
      </c>
      <c r="AW390" s="87" t="str">
        <f aca="false">IF(ISBLANK($C390),"",IF($AJ390=Constants!$B$7,IF(ISNUMBER(AV390),COUNTIFS($AK$8:$AK$507,"&lt;"&amp;$AK390)+COUNTIFS($AK$8:$AK$507,$AK390,$AV$8:$AV$507,"&lt;"&amp;$AV390)+1,Constants!$B$14),$AJ390))</f>
        <v/>
      </c>
      <c r="AX390" s="87" t="str">
        <f aca="false">IF(ISBLANK($C390),"",IF($AJ390=Constants!$B$7,LARGE(AL390:AP390,4)*W390,""))</f>
        <v/>
      </c>
      <c r="AY390" s="87" t="str">
        <f aca="false">IF(ISBLANK($C390),"",IF($AJ390=Constants!$B$7,RANK(AX390,$AX$8:$AX$507),$AJ390))</f>
        <v/>
      </c>
      <c r="AZ390" s="87" t="str">
        <f aca="false">IF(ISBLANK($C390),"",IF($AJ390=Constants!$B$7,IF(ISNUMBER(AV390),COUNTIFS($AK$8:$AK$507,"&lt;"&amp;$AK390)+COUNTIFS($AK$8:$AK$507,$AK390,$AV$8:$AV$507,"&lt;"&amp;$AV390)+COUNTIFS($AK$8:$AK$507,$AK390,$AV$8:$AV$507,$AV390,$AY$8:$AY$507,"&lt;"&amp;$AY390)+1,Constants!$B$14),$AJ390))</f>
        <v/>
      </c>
      <c r="BA390" s="87" t="str">
        <f aca="false">IF(ISBLANK($C390),"",IF($AJ390=Constants!$B$7,IF(ISNUMBER(AW390),AW390-AZ390,Constants!$B$14),$AJ390))</f>
        <v/>
      </c>
      <c r="BB390" s="88"/>
      <c r="BC390" s="89" t="str">
        <f aca="false">IF(ISBLANK($C390),"",IF($AJ390&lt;&gt;Constants!$B$7,$AJ390,SMALL(AQ390:AS390,1)&amp;", "&amp;SMALL(AQ390:AS390,2)&amp;", "&amp;SMALL(AQ390:AS390,3)))</f>
        <v/>
      </c>
      <c r="BD390" s="90" t="str">
        <f aca="false">IF(ISBLANK($C390),"",IF($AJ390&lt;&gt;Constants!$B$7,$AJ390,W390))</f>
        <v/>
      </c>
      <c r="BE390" s="91" t="str">
        <f aca="false">IF(ISBLANK($C390),"",IF($AJ390&lt;&gt;Constants!$B$7,$AJ390,AU390))</f>
        <v/>
      </c>
      <c r="BF390" s="92" t="str">
        <f aca="false">IF(ISBLANK($C390),"",IF($AJ390&lt;&gt;Constants!$B$7,$AJ390,AK390))</f>
        <v/>
      </c>
      <c r="BG390" s="90" t="str">
        <f aca="false">IF(ISBLANK($C390),"",BA390)</f>
        <v/>
      </c>
      <c r="BH390" s="90" t="str">
        <f aca="false">IF(ISBLANK($C390),"",AZ390)</f>
        <v/>
      </c>
      <c r="BI390" s="93" t="str">
        <f aca="false">IF(ISBLANK($C390),"",IF(BH390=Constants!$B$4,COUNTA($C$8:$C$507)+2,IF(BH390=Constants!$B$5,COUNTA($C$8:$C$507)+1,IF(BH390=Constants!$B$6,COUNTA($C$8:$C$507),BH390))))</f>
        <v/>
      </c>
      <c r="BJ390" s="5"/>
      <c r="BK390" s="94" t="n">
        <f aca="false">IF(OR(ISNUMBER(BH390),BH390=Constants!$B$4,BH390=Constants!$B$6,BH390=Constants!$B$5),1,0)</f>
        <v>0</v>
      </c>
      <c r="BL390" s="94" t="n">
        <v>383</v>
      </c>
      <c r="BM390" s="94" t="str">
        <f aca="false">IF(ISBLANK($C390),"",IF(ISNUMBER(BI390),BI390+ROW($B390)/1000,""))</f>
        <v/>
      </c>
      <c r="BN390" s="94" t="str">
        <f aca="false">IF(ISNUMBER(BM390),RANK(BM390,$BM$8:$BM$507,1),"")</f>
        <v/>
      </c>
      <c r="BO390" s="94" t="str">
        <f aca="false">IF(ISBLANK($C390),"",$B390)</f>
        <v/>
      </c>
      <c r="BP390" s="94" t="str">
        <f aca="false">IF(ISBLANK($C390),"",$C390)</f>
        <v/>
      </c>
      <c r="BQ390" s="94" t="str">
        <f aca="false">IF(ISBLANK($C390),"",$D390)</f>
        <v/>
      </c>
      <c r="BR390" s="95" t="str">
        <f aca="false">BF390</f>
        <v/>
      </c>
      <c r="BS390" s="96" t="str">
        <f aca="false">BE390</f>
        <v/>
      </c>
      <c r="BT390" s="94" t="str">
        <f aca="false">IF(ISBLANK($C390),"",BH390)</f>
        <v/>
      </c>
      <c r="BU390" s="97" t="str">
        <f aca="false">IF($BL390&gt;$BK$7,"",VLOOKUP($BL390,$BN$8:$BT$507,7,FALSE()))</f>
        <v/>
      </c>
      <c r="BV390" s="98" t="str">
        <f aca="false">IF($BL390&gt;$BK$7,"",VLOOKUP($BL390,$BN$8:$BT$507,2,FALSE()))</f>
        <v/>
      </c>
      <c r="BW390" s="98" t="str">
        <f aca="false">IF($BL390&gt;$BK$7,"",VLOOKUP($BL390,$BN$8:$BT$507,3,FALSE()))</f>
        <v/>
      </c>
      <c r="BX390" s="98" t="str">
        <f aca="false">IF($BL390&gt;$BK$7,"",VLOOKUP($BL390,$BN$8:$BT$507,4,FALSE()))</f>
        <v/>
      </c>
      <c r="BY390" s="98" t="str">
        <f aca="false">IF($BL390&gt;$BK$7,"",VLOOKUP($BL390,$BN$8:$BT$507,5,FALSE()))</f>
        <v/>
      </c>
      <c r="BZ390" s="99" t="str">
        <f aca="false">IF($BL390&gt;$BK$7,"",VLOOKUP($BL390,$BN$8:$BT$507,6,FALSE()))</f>
        <v/>
      </c>
      <c r="CA390" s="48"/>
    </row>
    <row r="391" customFormat="false" ht="15.75" hidden="false" customHeight="false" outlineLevel="0" collapsed="false">
      <c r="A391" s="5"/>
      <c r="B391" s="114"/>
      <c r="C391" s="115"/>
      <c r="D391" s="100"/>
      <c r="E391" s="120"/>
      <c r="F391" s="125"/>
      <c r="G391" s="82"/>
      <c r="H391" s="126"/>
      <c r="I391" s="127"/>
      <c r="J391" s="82"/>
      <c r="K391" s="126"/>
      <c r="L391" s="82"/>
      <c r="M391" s="126"/>
      <c r="N391" s="82"/>
      <c r="O391" s="126"/>
      <c r="P391" s="82"/>
      <c r="Q391" s="126"/>
      <c r="R391" s="82"/>
      <c r="S391" s="120"/>
      <c r="T391" s="86"/>
      <c r="U391" s="87" t="str">
        <f aca="false">IF(ISBLANK($C391),"",IF(E391=Constants!$B$2, TRUE(), IF(E391=Constants!$B$3, FALSE(), TRUE())))</f>
        <v/>
      </c>
      <c r="V391" s="87" t="str">
        <f aca="false">IF(ISBLANK($C391),"",IF(F391=Constants!$B$2, TRUE(), IF(F391=Constants!$B$3, FALSE(), TRUE())))</f>
        <v/>
      </c>
      <c r="W391" s="87" t="str">
        <f aca="false">IF(ISBLANK($C391),"",IF(G391=Constants!$B$15,Constants!$B$8,IF(G391=Constants!$B$16,Constants!$B$9,Constants!$B$10)))</f>
        <v/>
      </c>
      <c r="X391" s="87" t="str">
        <f aca="false">IF(ISBLANK($C391),"",IF(H391=Constants!$B$2, TRUE(), IF(H391=Constants!$B$3, FALSE(), TRUE())))</f>
        <v/>
      </c>
      <c r="Y391" s="87" t="str">
        <f aca="false">IF(ISBLANK($C391),"",IF(I391=Constants!$B$19,Constants!$B$19,Constants!$B$18))</f>
        <v/>
      </c>
      <c r="Z391" s="87" t="str">
        <f aca="false">IF(ISBLANK($C391),"",IF(ISNUMBER(J391),IF(J391&gt;=0,J391,""),""))</f>
        <v/>
      </c>
      <c r="AA391" s="87" t="str">
        <f aca="false">IF(ISBLANK($C391),"",IF(K391=Constants!$B$19,Constants!$B$19,Constants!$B$18))</f>
        <v/>
      </c>
      <c r="AB391" s="87" t="str">
        <f aca="false">IF(ISBLANK($C391),"",IF(ISNUMBER(L391),IF(L391&gt;=0,L391,""),""))</f>
        <v/>
      </c>
      <c r="AC391" s="87" t="str">
        <f aca="false">IF(ISBLANK($C391),"",IF(M391=Constants!$B$19,Constants!$B$19,Constants!$B$18))</f>
        <v/>
      </c>
      <c r="AD391" s="87" t="str">
        <f aca="false">IF(ISBLANK($C391),"",IF(ISNUMBER(N391),IF(N391&gt;=0,N391,""),""))</f>
        <v/>
      </c>
      <c r="AE391" s="87" t="str">
        <f aca="false">IF(ISBLANK($C391),"",IF(O391=Constants!$B$19,Constants!$B$19,Constants!$B$18))</f>
        <v/>
      </c>
      <c r="AF391" s="87" t="str">
        <f aca="false">IF(ISBLANK($C391),"",IF(ISNUMBER(P391),IF(P391&gt;=0,P391,""),""))</f>
        <v/>
      </c>
      <c r="AG391" s="87" t="str">
        <f aca="false">IF(ISBLANK($C391),"",IF(Q391=Constants!$B$19,Constants!$B$19,Constants!$B$18))</f>
        <v/>
      </c>
      <c r="AH391" s="87" t="str">
        <f aca="false">IF(ISBLANK($C391),"",IF(ISNUMBER(R391),IF(R391&gt;=0,R391,""),""))</f>
        <v/>
      </c>
      <c r="AI391" s="87" t="str">
        <f aca="false">IF(ISBLANK($C391),"",IF(S391=Constants!$B$2, TRUE(), IF(S391=Constants!$B$3, FALSE(), FALSE())))</f>
        <v/>
      </c>
      <c r="AJ391" s="87" t="str">
        <f aca="false">IF(ISBLANK($C391),"",IF(AI391,Constants!$B$4,IF(COUNTA(E391:R391)=0,Constants!$B$5,IF(COUNTA(J391,L391,N391,P391,R391)=0,Constants!$B$6,Constants!$B$7))))</f>
        <v/>
      </c>
      <c r="AK391" s="87" t="str">
        <f aca="false">IF(ISBLANK($C391),"",IF($AJ391&lt;&gt;Constants!$B$7,$AJ391,IF(OR(NOT(X391),AND(NOT(U391),COUNTIFS(Y391:AG391,Constants!$B$18,Z391:AH391,"&gt;=0")&gt;0),AND(NOT(V391),COUNTIFS(Y391:AG391,Constants!$B$19,Z391:AH391,"&gt;=0")&gt;0)),Constants!$B$12,Constants!$B$11)))</f>
        <v/>
      </c>
      <c r="AL391" s="87" t="str">
        <f aca="false">IF($AJ391=Constants!$B$7,IF(Z391="",Constants!$B$13,Z391),"")</f>
        <v/>
      </c>
      <c r="AM391" s="87" t="str">
        <f aca="false">IF($AJ391=Constants!$B$7,IF(AB391="",Constants!$B$13,AB391),"")</f>
        <v/>
      </c>
      <c r="AN391" s="87" t="str">
        <f aca="false">IF($AJ391=Constants!$B$7,IF(AD391="",Constants!$B$13,AD391),"")</f>
        <v/>
      </c>
      <c r="AO391" s="87" t="str">
        <f aca="false">IF($AJ391=Constants!$B$7,IF(AF391="",Constants!$B$13,AF391),"")</f>
        <v/>
      </c>
      <c r="AP391" s="87" t="str">
        <f aca="false">IF($AJ391=Constants!$B$7,IF(AH391="",Constants!$B$13,AH391),"")</f>
        <v/>
      </c>
      <c r="AQ391" s="87" t="str">
        <f aca="false">IF($AJ391=Constants!$B$7,IF(SUMPRODUCT(--($AL391:$AP391&gt;AL391))+SUMPRODUCT(--($AL391:AL391=AL391))=1,1,IF(SUMPRODUCT(--($AL391:$AP391&gt;AM391))+SUMPRODUCT(--($AL391:AM391=AM391))=1,2,IF(SUMPRODUCT(--($AL391:$AP391&gt;AN391))+SUMPRODUCT(--($AL391:AN391=AN391))=1,3,IF(SUMPRODUCT(--($AL391:$AP391&gt;AO391))+SUMPRODUCT(--($AL391:AO391=AO391))=1,4,5)))),"")</f>
        <v/>
      </c>
      <c r="AR391" s="87" t="str">
        <f aca="false">IF($AJ391=Constants!$B$7,IF(SUMPRODUCT(--($AL391:$AP391&gt;AL391))+SUMPRODUCT(--($AL391:AL391=AL391))=2,1,IF(SUMPRODUCT(--($AL391:$AP391&gt;AM391))+SUMPRODUCT(--($AL391:AM391=AM391))=2,2,IF(SUMPRODUCT(--($AL391:$AP391&gt;AN391))+SUMPRODUCT(--($AL391:AN391=AN391))=2,3,IF(SUMPRODUCT(--($AL391:$AP391&gt;AO391))+SUMPRODUCT(--($AL391:AO391=AO391))=2,4,5)))),"")</f>
        <v/>
      </c>
      <c r="AS391" s="87" t="str">
        <f aca="false">IF($AJ391=Constants!$B$7,IF(SUMPRODUCT(--($AL391:$AP391&gt;AL391))+SUMPRODUCT(--($AL391:AL391=AL391))=3,1,IF(SUMPRODUCT(--($AL391:$AP391&gt;AM391))+SUMPRODUCT(--($AL391:AM391=AM391))=3,2,IF(SUMPRODUCT(--($AL391:$AP391&gt;AN391))+SUMPRODUCT(--($AL391:AN391=AN391))=3,3,IF(SUMPRODUCT(--($AL391:$AP391&gt;AO391))+SUMPRODUCT(--($AL391:AO391=AO391))=3,4,5)))),"")</f>
        <v/>
      </c>
      <c r="AT391" s="87" t="str">
        <f aca="false">IF($AJ391=Constants!$B$7,LARGE(AL391:AP391,1)+LARGE(AL391:AP391,2)+LARGE(AL391:AP391,3),"")</f>
        <v/>
      </c>
      <c r="AU391" s="87" t="str">
        <f aca="false">IF(ISBLANK($C391),"",IF($AJ391&lt;&gt;Constants!$B$7,$AJ391,AT391*W391))</f>
        <v/>
      </c>
      <c r="AV391" s="87" t="str">
        <f aca="false">IF(ISBLANK($C391),"",IF($AJ391=Constants!$B$7,IF(ISNUMBER(AU391),RANK(AU391,$AU$8:$AU$507),Constants!$B$14),$AJ391))</f>
        <v/>
      </c>
      <c r="AW391" s="87" t="str">
        <f aca="false">IF(ISBLANK($C391),"",IF($AJ391=Constants!$B$7,IF(ISNUMBER(AV391),COUNTIFS($AK$8:$AK$507,"&lt;"&amp;$AK391)+COUNTIFS($AK$8:$AK$507,$AK391,$AV$8:$AV$507,"&lt;"&amp;$AV391)+1,Constants!$B$14),$AJ391))</f>
        <v/>
      </c>
      <c r="AX391" s="87" t="str">
        <f aca="false">IF(ISBLANK($C391),"",IF($AJ391=Constants!$B$7,LARGE(AL391:AP391,4)*W391,""))</f>
        <v/>
      </c>
      <c r="AY391" s="87" t="str">
        <f aca="false">IF(ISBLANK($C391),"",IF($AJ391=Constants!$B$7,RANK(AX391,$AX$8:$AX$507),$AJ391))</f>
        <v/>
      </c>
      <c r="AZ391" s="87" t="str">
        <f aca="false">IF(ISBLANK($C391),"",IF($AJ391=Constants!$B$7,IF(ISNUMBER(AV391),COUNTIFS($AK$8:$AK$507,"&lt;"&amp;$AK391)+COUNTIFS($AK$8:$AK$507,$AK391,$AV$8:$AV$507,"&lt;"&amp;$AV391)+COUNTIFS($AK$8:$AK$507,$AK391,$AV$8:$AV$507,$AV391,$AY$8:$AY$507,"&lt;"&amp;$AY391)+1,Constants!$B$14),$AJ391))</f>
        <v/>
      </c>
      <c r="BA391" s="87" t="str">
        <f aca="false">IF(ISBLANK($C391),"",IF($AJ391=Constants!$B$7,IF(ISNUMBER(AW391),AW391-AZ391,Constants!$B$14),$AJ391))</f>
        <v/>
      </c>
      <c r="BB391" s="88"/>
      <c r="BC391" s="89" t="str">
        <f aca="false">IF(ISBLANK($C391),"",IF($AJ391&lt;&gt;Constants!$B$7,$AJ391,SMALL(AQ391:AS391,1)&amp;", "&amp;SMALL(AQ391:AS391,2)&amp;", "&amp;SMALL(AQ391:AS391,3)))</f>
        <v/>
      </c>
      <c r="BD391" s="90" t="str">
        <f aca="false">IF(ISBLANK($C391),"",IF($AJ391&lt;&gt;Constants!$B$7,$AJ391,W391))</f>
        <v/>
      </c>
      <c r="BE391" s="91" t="str">
        <f aca="false">IF(ISBLANK($C391),"",IF($AJ391&lt;&gt;Constants!$B$7,$AJ391,AU391))</f>
        <v/>
      </c>
      <c r="BF391" s="92" t="str">
        <f aca="false">IF(ISBLANK($C391),"",IF($AJ391&lt;&gt;Constants!$B$7,$AJ391,AK391))</f>
        <v/>
      </c>
      <c r="BG391" s="90" t="str">
        <f aca="false">IF(ISBLANK($C391),"",BA391)</f>
        <v/>
      </c>
      <c r="BH391" s="90" t="str">
        <f aca="false">IF(ISBLANK($C391),"",AZ391)</f>
        <v/>
      </c>
      <c r="BI391" s="93" t="str">
        <f aca="false">IF(ISBLANK($C391),"",IF(BH391=Constants!$B$4,COUNTA($C$8:$C$507)+2,IF(BH391=Constants!$B$5,COUNTA($C$8:$C$507)+1,IF(BH391=Constants!$B$6,COUNTA($C$8:$C$507),BH391))))</f>
        <v/>
      </c>
      <c r="BJ391" s="5"/>
      <c r="BK391" s="94" t="n">
        <f aca="false">IF(OR(ISNUMBER(BH391),BH391=Constants!$B$4,BH391=Constants!$B$6,BH391=Constants!$B$5),1,0)</f>
        <v>0</v>
      </c>
      <c r="BL391" s="94" t="n">
        <v>384</v>
      </c>
      <c r="BM391" s="94" t="str">
        <f aca="false">IF(ISBLANK($C391),"",IF(ISNUMBER(BI391),BI391+ROW($B391)/1000,""))</f>
        <v/>
      </c>
      <c r="BN391" s="94" t="str">
        <f aca="false">IF(ISNUMBER(BM391),RANK(BM391,$BM$8:$BM$507,1),"")</f>
        <v/>
      </c>
      <c r="BO391" s="94" t="str">
        <f aca="false">IF(ISBLANK($C391),"",$B391)</f>
        <v/>
      </c>
      <c r="BP391" s="94" t="str">
        <f aca="false">IF(ISBLANK($C391),"",$C391)</f>
        <v/>
      </c>
      <c r="BQ391" s="94" t="str">
        <f aca="false">IF(ISBLANK($C391),"",$D391)</f>
        <v/>
      </c>
      <c r="BR391" s="95" t="str">
        <f aca="false">BF391</f>
        <v/>
      </c>
      <c r="BS391" s="96" t="str">
        <f aca="false">BE391</f>
        <v/>
      </c>
      <c r="BT391" s="94" t="str">
        <f aca="false">IF(ISBLANK($C391),"",BH391)</f>
        <v/>
      </c>
      <c r="BU391" s="97" t="str">
        <f aca="false">IF($BL391&gt;$BK$7,"",VLOOKUP($BL391,$BN$8:$BT$507,7,FALSE()))</f>
        <v/>
      </c>
      <c r="BV391" s="98" t="str">
        <f aca="false">IF($BL391&gt;$BK$7,"",VLOOKUP($BL391,$BN$8:$BT$507,2,FALSE()))</f>
        <v/>
      </c>
      <c r="BW391" s="98" t="str">
        <f aca="false">IF($BL391&gt;$BK$7,"",VLOOKUP($BL391,$BN$8:$BT$507,3,FALSE()))</f>
        <v/>
      </c>
      <c r="BX391" s="98" t="str">
        <f aca="false">IF($BL391&gt;$BK$7,"",VLOOKUP($BL391,$BN$8:$BT$507,4,FALSE()))</f>
        <v/>
      </c>
      <c r="BY391" s="98" t="str">
        <f aca="false">IF($BL391&gt;$BK$7,"",VLOOKUP($BL391,$BN$8:$BT$507,5,FALSE()))</f>
        <v/>
      </c>
      <c r="BZ391" s="99" t="str">
        <f aca="false">IF($BL391&gt;$BK$7,"",VLOOKUP($BL391,$BN$8:$BT$507,6,FALSE()))</f>
        <v/>
      </c>
      <c r="CA391" s="48"/>
    </row>
    <row r="392" customFormat="false" ht="15.75" hidden="false" customHeight="false" outlineLevel="0" collapsed="false">
      <c r="A392" s="5"/>
      <c r="B392" s="121"/>
      <c r="C392" s="50"/>
      <c r="D392" s="51"/>
      <c r="E392" s="74"/>
      <c r="F392" s="122"/>
      <c r="G392" s="54"/>
      <c r="H392" s="123"/>
      <c r="I392" s="124"/>
      <c r="J392" s="54"/>
      <c r="K392" s="123"/>
      <c r="L392" s="54"/>
      <c r="M392" s="123"/>
      <c r="N392" s="54"/>
      <c r="O392" s="123"/>
      <c r="P392" s="54"/>
      <c r="Q392" s="123"/>
      <c r="R392" s="54"/>
      <c r="S392" s="74"/>
      <c r="T392" s="58"/>
      <c r="U392" s="59" t="str">
        <f aca="false">IF(ISBLANK($C392),"",IF(E392=Constants!$B$2, TRUE(), IF(E392=Constants!$B$3, FALSE(), TRUE())))</f>
        <v/>
      </c>
      <c r="V392" s="59" t="str">
        <f aca="false">IF(ISBLANK($C392),"",IF(F392=Constants!$B$2, TRUE(), IF(F392=Constants!$B$3, FALSE(), TRUE())))</f>
        <v/>
      </c>
      <c r="W392" s="59" t="str">
        <f aca="false">IF(ISBLANK($C392),"",IF(G392=Constants!$B$15,Constants!$B$8,IF(G392=Constants!$B$16,Constants!$B$9,Constants!$B$10)))</f>
        <v/>
      </c>
      <c r="X392" s="59" t="str">
        <f aca="false">IF(ISBLANK($C392),"",IF(H392=Constants!$B$2, TRUE(), IF(H392=Constants!$B$3, FALSE(), TRUE())))</f>
        <v/>
      </c>
      <c r="Y392" s="59" t="str">
        <f aca="false">IF(ISBLANK($C392),"",IF(I392=Constants!$B$19,Constants!$B$19,Constants!$B$18))</f>
        <v/>
      </c>
      <c r="Z392" s="59" t="str">
        <f aca="false">IF(ISBLANK($C392),"",IF(ISNUMBER(J392),IF(J392&gt;=0,J392,""),""))</f>
        <v/>
      </c>
      <c r="AA392" s="59" t="str">
        <f aca="false">IF(ISBLANK($C392),"",IF(K392=Constants!$B$19,Constants!$B$19,Constants!$B$18))</f>
        <v/>
      </c>
      <c r="AB392" s="59" t="str">
        <f aca="false">IF(ISBLANK($C392),"",IF(ISNUMBER(L392),IF(L392&gt;=0,L392,""),""))</f>
        <v/>
      </c>
      <c r="AC392" s="59" t="str">
        <f aca="false">IF(ISBLANK($C392),"",IF(M392=Constants!$B$19,Constants!$B$19,Constants!$B$18))</f>
        <v/>
      </c>
      <c r="AD392" s="59" t="str">
        <f aca="false">IF(ISBLANK($C392),"",IF(ISNUMBER(N392),IF(N392&gt;=0,N392,""),""))</f>
        <v/>
      </c>
      <c r="AE392" s="59" t="str">
        <f aca="false">IF(ISBLANK($C392),"",IF(O392=Constants!$B$19,Constants!$B$19,Constants!$B$18))</f>
        <v/>
      </c>
      <c r="AF392" s="59" t="str">
        <f aca="false">IF(ISBLANK($C392),"",IF(ISNUMBER(P392),IF(P392&gt;=0,P392,""),""))</f>
        <v/>
      </c>
      <c r="AG392" s="59" t="str">
        <f aca="false">IF(ISBLANK($C392),"",IF(Q392=Constants!$B$19,Constants!$B$19,Constants!$B$18))</f>
        <v/>
      </c>
      <c r="AH392" s="59" t="str">
        <f aca="false">IF(ISBLANK($C392),"",IF(ISNUMBER(R392),IF(R392&gt;=0,R392,""),""))</f>
        <v/>
      </c>
      <c r="AI392" s="59" t="str">
        <f aca="false">IF(ISBLANK($C392),"",IF(S392=Constants!$B$2, TRUE(), IF(S392=Constants!$B$3, FALSE(), FALSE())))</f>
        <v/>
      </c>
      <c r="AJ392" s="59" t="str">
        <f aca="false">IF(ISBLANK($C392),"",IF(AI392,Constants!$B$4,IF(COUNTA(E392:R392)=0,Constants!$B$5,IF(COUNTA(J392,L392,N392,P392,R392)=0,Constants!$B$6,Constants!$B$7))))</f>
        <v/>
      </c>
      <c r="AK392" s="59" t="str">
        <f aca="false">IF(ISBLANK($C392),"",IF($AJ392&lt;&gt;Constants!$B$7,$AJ392,IF(OR(NOT(X392),AND(NOT(U392),COUNTIFS(Y392:AG392,Constants!$B$18,Z392:AH392,"&gt;=0")&gt;0),AND(NOT(V392),COUNTIFS(Y392:AG392,Constants!$B$19,Z392:AH392,"&gt;=0")&gt;0)),Constants!$B$12,Constants!$B$11)))</f>
        <v/>
      </c>
      <c r="AL392" s="59" t="str">
        <f aca="false">IF($AJ392=Constants!$B$7,IF(Z392="",Constants!$B$13,Z392),"")</f>
        <v/>
      </c>
      <c r="AM392" s="59" t="str">
        <f aca="false">IF($AJ392=Constants!$B$7,IF(AB392="",Constants!$B$13,AB392),"")</f>
        <v/>
      </c>
      <c r="AN392" s="59" t="str">
        <f aca="false">IF($AJ392=Constants!$B$7,IF(AD392="",Constants!$B$13,AD392),"")</f>
        <v/>
      </c>
      <c r="AO392" s="59" t="str">
        <f aca="false">IF($AJ392=Constants!$B$7,IF(AF392="",Constants!$B$13,AF392),"")</f>
        <v/>
      </c>
      <c r="AP392" s="59" t="str">
        <f aca="false">IF($AJ392=Constants!$B$7,IF(AH392="",Constants!$B$13,AH392),"")</f>
        <v/>
      </c>
      <c r="AQ392" s="59" t="str">
        <f aca="false">IF($AJ392=Constants!$B$7,IF(SUMPRODUCT(--($AL392:$AP392&gt;AL392))+SUMPRODUCT(--($AL392:AL392=AL392))=1,1,IF(SUMPRODUCT(--($AL392:$AP392&gt;AM392))+SUMPRODUCT(--($AL392:AM392=AM392))=1,2,IF(SUMPRODUCT(--($AL392:$AP392&gt;AN392))+SUMPRODUCT(--($AL392:AN392=AN392))=1,3,IF(SUMPRODUCT(--($AL392:$AP392&gt;AO392))+SUMPRODUCT(--($AL392:AO392=AO392))=1,4,5)))),"")</f>
        <v/>
      </c>
      <c r="AR392" s="59" t="str">
        <f aca="false">IF($AJ392=Constants!$B$7,IF(SUMPRODUCT(--($AL392:$AP392&gt;AL392))+SUMPRODUCT(--($AL392:AL392=AL392))=2,1,IF(SUMPRODUCT(--($AL392:$AP392&gt;AM392))+SUMPRODUCT(--($AL392:AM392=AM392))=2,2,IF(SUMPRODUCT(--($AL392:$AP392&gt;AN392))+SUMPRODUCT(--($AL392:AN392=AN392))=2,3,IF(SUMPRODUCT(--($AL392:$AP392&gt;AO392))+SUMPRODUCT(--($AL392:AO392=AO392))=2,4,5)))),"")</f>
        <v/>
      </c>
      <c r="AS392" s="59" t="str">
        <f aca="false">IF($AJ392=Constants!$B$7,IF(SUMPRODUCT(--($AL392:$AP392&gt;AL392))+SUMPRODUCT(--($AL392:AL392=AL392))=3,1,IF(SUMPRODUCT(--($AL392:$AP392&gt;AM392))+SUMPRODUCT(--($AL392:AM392=AM392))=3,2,IF(SUMPRODUCT(--($AL392:$AP392&gt;AN392))+SUMPRODUCT(--($AL392:AN392=AN392))=3,3,IF(SUMPRODUCT(--($AL392:$AP392&gt;AO392))+SUMPRODUCT(--($AL392:AO392=AO392))=3,4,5)))),"")</f>
        <v/>
      </c>
      <c r="AT392" s="59" t="str">
        <f aca="false">IF($AJ392=Constants!$B$7,LARGE(AL392:AP392,1)+LARGE(AL392:AP392,2)+LARGE(AL392:AP392,3),"")</f>
        <v/>
      </c>
      <c r="AU392" s="59" t="str">
        <f aca="false">IF(ISBLANK($C392),"",IF($AJ392&lt;&gt;Constants!$B$7,$AJ392,AT392*W392))</f>
        <v/>
      </c>
      <c r="AV392" s="59" t="str">
        <f aca="false">IF(ISBLANK($C392),"",IF($AJ392=Constants!$B$7,IF(ISNUMBER(AU392),RANK(AU392,$AU$8:$AU$507),Constants!$B$14),$AJ392))</f>
        <v/>
      </c>
      <c r="AW392" s="59" t="str">
        <f aca="false">IF(ISBLANK($C392),"",IF($AJ392=Constants!$B$7,IF(ISNUMBER(AV392),COUNTIFS($AK$8:$AK$507,"&lt;"&amp;$AK392)+COUNTIFS($AK$8:$AK$507,$AK392,$AV$8:$AV$507,"&lt;"&amp;$AV392)+1,Constants!$B$14),$AJ392))</f>
        <v/>
      </c>
      <c r="AX392" s="59" t="str">
        <f aca="false">IF(ISBLANK($C392),"",IF($AJ392=Constants!$B$7,LARGE(AL392:AP392,4)*W392,""))</f>
        <v/>
      </c>
      <c r="AY392" s="59" t="str">
        <f aca="false">IF(ISBLANK($C392),"",IF($AJ392=Constants!$B$7,RANK(AX392,$AX$8:$AX$507),$AJ392))</f>
        <v/>
      </c>
      <c r="AZ392" s="59" t="str">
        <f aca="false">IF(ISBLANK($C392),"",IF($AJ392=Constants!$B$7,IF(ISNUMBER(AV392),COUNTIFS($AK$8:$AK$507,"&lt;"&amp;$AK392)+COUNTIFS($AK$8:$AK$507,$AK392,$AV$8:$AV$507,"&lt;"&amp;$AV392)+COUNTIFS($AK$8:$AK$507,$AK392,$AV$8:$AV$507,$AV392,$AY$8:$AY$507,"&lt;"&amp;$AY392)+1,Constants!$B$14),$AJ392))</f>
        <v/>
      </c>
      <c r="BA392" s="59" t="str">
        <f aca="false">IF(ISBLANK($C392),"",IF($AJ392=Constants!$B$7,IF(ISNUMBER(AW392),AW392-AZ392,Constants!$B$14),$AJ392))</f>
        <v/>
      </c>
      <c r="BB392" s="61"/>
      <c r="BC392" s="62" t="str">
        <f aca="false">IF(ISBLANK($C392),"",IF($AJ392&lt;&gt;Constants!$B$7,$AJ392,SMALL(AQ392:AS392,1)&amp;", "&amp;SMALL(AQ392:AS392,2)&amp;", "&amp;SMALL(AQ392:AS392,3)))</f>
        <v/>
      </c>
      <c r="BD392" s="63" t="str">
        <f aca="false">IF(ISBLANK($C392),"",IF($AJ392&lt;&gt;Constants!$B$7,$AJ392,W392))</f>
        <v/>
      </c>
      <c r="BE392" s="64" t="str">
        <f aca="false">IF(ISBLANK($C392),"",IF($AJ392&lt;&gt;Constants!$B$7,$AJ392,AU392))</f>
        <v/>
      </c>
      <c r="BF392" s="65" t="str">
        <f aca="false">IF(ISBLANK($C392),"",IF($AJ392&lt;&gt;Constants!$B$7,$AJ392,AK392))</f>
        <v/>
      </c>
      <c r="BG392" s="63" t="str">
        <f aca="false">IF(ISBLANK($C392),"",BA392)</f>
        <v/>
      </c>
      <c r="BH392" s="63" t="str">
        <f aca="false">IF(ISBLANK($C392),"",AZ392)</f>
        <v/>
      </c>
      <c r="BI392" s="66" t="str">
        <f aca="false">IF(ISBLANK($C392),"",IF(BH392=Constants!$B$4,COUNTA($C$8:$C$507)+2,IF(BH392=Constants!$B$5,COUNTA($C$8:$C$507)+1,IF(BH392=Constants!$B$6,COUNTA($C$8:$C$507),BH392))))</f>
        <v/>
      </c>
      <c r="BJ392" s="5"/>
      <c r="BK392" s="67" t="n">
        <f aca="false">IF(OR(ISNUMBER(BH392),BH392=Constants!$B$4,BH392=Constants!$B$6,BH392=Constants!$B$5),1,0)</f>
        <v>0</v>
      </c>
      <c r="BL392" s="67" t="n">
        <v>385</v>
      </c>
      <c r="BM392" s="67" t="str">
        <f aca="false">IF(ISBLANK($C392),"",IF(ISNUMBER(BI392),BI392+ROW($B392)/1000,""))</f>
        <v/>
      </c>
      <c r="BN392" s="67" t="str">
        <f aca="false">IF(ISNUMBER(BM392),RANK(BM392,$BM$8:$BM$507,1),"")</f>
        <v/>
      </c>
      <c r="BO392" s="67" t="str">
        <f aca="false">IF(ISBLANK($C392),"",$B392)</f>
        <v/>
      </c>
      <c r="BP392" s="67" t="str">
        <f aca="false">IF(ISBLANK($C392),"",$C392)</f>
        <v/>
      </c>
      <c r="BQ392" s="67" t="str">
        <f aca="false">IF(ISBLANK($C392),"",$D392)</f>
        <v/>
      </c>
      <c r="BR392" s="68" t="str">
        <f aca="false">BF392</f>
        <v/>
      </c>
      <c r="BS392" s="69" t="str">
        <f aca="false">BE392</f>
        <v/>
      </c>
      <c r="BT392" s="67" t="str">
        <f aca="false">IF(ISBLANK($C392),"",BH392)</f>
        <v/>
      </c>
      <c r="BU392" s="70" t="str">
        <f aca="false">IF($BL392&gt;$BK$7,"",VLOOKUP($BL392,$BN$8:$BT$507,7,FALSE()))</f>
        <v/>
      </c>
      <c r="BV392" s="71" t="str">
        <f aca="false">IF($BL392&gt;$BK$7,"",VLOOKUP($BL392,$BN$8:$BT$507,2,FALSE()))</f>
        <v/>
      </c>
      <c r="BW392" s="71" t="str">
        <f aca="false">IF($BL392&gt;$BK$7,"",VLOOKUP($BL392,$BN$8:$BT$507,3,FALSE()))</f>
        <v/>
      </c>
      <c r="BX392" s="71" t="str">
        <f aca="false">IF($BL392&gt;$BK$7,"",VLOOKUP($BL392,$BN$8:$BT$507,4,FALSE()))</f>
        <v/>
      </c>
      <c r="BY392" s="71" t="str">
        <f aca="false">IF($BL392&gt;$BK$7,"",VLOOKUP($BL392,$BN$8:$BT$507,5,FALSE()))</f>
        <v/>
      </c>
      <c r="BZ392" s="72" t="str">
        <f aca="false">IF($BL392&gt;$BK$7,"",VLOOKUP($BL392,$BN$8:$BT$507,6,FALSE()))</f>
        <v/>
      </c>
      <c r="CA392" s="48"/>
    </row>
    <row r="393" customFormat="false" ht="15.75" hidden="false" customHeight="false" outlineLevel="0" collapsed="false">
      <c r="A393" s="5"/>
      <c r="B393" s="121"/>
      <c r="C393" s="50"/>
      <c r="D393" s="51"/>
      <c r="E393" s="74"/>
      <c r="F393" s="122"/>
      <c r="G393" s="54"/>
      <c r="H393" s="123"/>
      <c r="I393" s="124"/>
      <c r="J393" s="54"/>
      <c r="K393" s="123"/>
      <c r="L393" s="54"/>
      <c r="M393" s="123"/>
      <c r="N393" s="54"/>
      <c r="O393" s="123"/>
      <c r="P393" s="54"/>
      <c r="Q393" s="123"/>
      <c r="R393" s="54"/>
      <c r="S393" s="74"/>
      <c r="T393" s="58"/>
      <c r="U393" s="59" t="str">
        <f aca="false">IF(ISBLANK($C393),"",IF(E393=Constants!$B$2, TRUE(), IF(E393=Constants!$B$3, FALSE(), TRUE())))</f>
        <v/>
      </c>
      <c r="V393" s="59" t="str">
        <f aca="false">IF(ISBLANK($C393),"",IF(F393=Constants!$B$2, TRUE(), IF(F393=Constants!$B$3, FALSE(), TRUE())))</f>
        <v/>
      </c>
      <c r="W393" s="59" t="str">
        <f aca="false">IF(ISBLANK($C393),"",IF(G393=Constants!$B$15,Constants!$B$8,IF(G393=Constants!$B$16,Constants!$B$9,Constants!$B$10)))</f>
        <v/>
      </c>
      <c r="X393" s="59" t="str">
        <f aca="false">IF(ISBLANK($C393),"",IF(H393=Constants!$B$2, TRUE(), IF(H393=Constants!$B$3, FALSE(), TRUE())))</f>
        <v/>
      </c>
      <c r="Y393" s="59" t="str">
        <f aca="false">IF(ISBLANK($C393),"",IF(I393=Constants!$B$19,Constants!$B$19,Constants!$B$18))</f>
        <v/>
      </c>
      <c r="Z393" s="59" t="str">
        <f aca="false">IF(ISBLANK($C393),"",IF(ISNUMBER(J393),IF(J393&gt;=0,J393,""),""))</f>
        <v/>
      </c>
      <c r="AA393" s="59" t="str">
        <f aca="false">IF(ISBLANK($C393),"",IF(K393=Constants!$B$19,Constants!$B$19,Constants!$B$18))</f>
        <v/>
      </c>
      <c r="AB393" s="59" t="str">
        <f aca="false">IF(ISBLANK($C393),"",IF(ISNUMBER(L393),IF(L393&gt;=0,L393,""),""))</f>
        <v/>
      </c>
      <c r="AC393" s="59" t="str">
        <f aca="false">IF(ISBLANK($C393),"",IF(M393=Constants!$B$19,Constants!$B$19,Constants!$B$18))</f>
        <v/>
      </c>
      <c r="AD393" s="59" t="str">
        <f aca="false">IF(ISBLANK($C393),"",IF(ISNUMBER(N393),IF(N393&gt;=0,N393,""),""))</f>
        <v/>
      </c>
      <c r="AE393" s="59" t="str">
        <f aca="false">IF(ISBLANK($C393),"",IF(O393=Constants!$B$19,Constants!$B$19,Constants!$B$18))</f>
        <v/>
      </c>
      <c r="AF393" s="59" t="str">
        <f aca="false">IF(ISBLANK($C393),"",IF(ISNUMBER(P393),IF(P393&gt;=0,P393,""),""))</f>
        <v/>
      </c>
      <c r="AG393" s="59" t="str">
        <f aca="false">IF(ISBLANK($C393),"",IF(Q393=Constants!$B$19,Constants!$B$19,Constants!$B$18))</f>
        <v/>
      </c>
      <c r="AH393" s="59" t="str">
        <f aca="false">IF(ISBLANK($C393),"",IF(ISNUMBER(R393),IF(R393&gt;=0,R393,""),""))</f>
        <v/>
      </c>
      <c r="AI393" s="59" t="str">
        <f aca="false">IF(ISBLANK($C393),"",IF(S393=Constants!$B$2, TRUE(), IF(S393=Constants!$B$3, FALSE(), FALSE())))</f>
        <v/>
      </c>
      <c r="AJ393" s="59" t="str">
        <f aca="false">IF(ISBLANK($C393),"",IF(AI393,Constants!$B$4,IF(COUNTA(E393:R393)=0,Constants!$B$5,IF(COUNTA(J393,L393,N393,P393,R393)=0,Constants!$B$6,Constants!$B$7))))</f>
        <v/>
      </c>
      <c r="AK393" s="59" t="str">
        <f aca="false">IF(ISBLANK($C393),"",IF($AJ393&lt;&gt;Constants!$B$7,$AJ393,IF(OR(NOT(X393),AND(NOT(U393),COUNTIFS(Y393:AG393,Constants!$B$18,Z393:AH393,"&gt;=0")&gt;0),AND(NOT(V393),COUNTIFS(Y393:AG393,Constants!$B$19,Z393:AH393,"&gt;=0")&gt;0)),Constants!$B$12,Constants!$B$11)))</f>
        <v/>
      </c>
      <c r="AL393" s="59" t="str">
        <f aca="false">IF($AJ393=Constants!$B$7,IF(Z393="",Constants!$B$13,Z393),"")</f>
        <v/>
      </c>
      <c r="AM393" s="59" t="str">
        <f aca="false">IF($AJ393=Constants!$B$7,IF(AB393="",Constants!$B$13,AB393),"")</f>
        <v/>
      </c>
      <c r="AN393" s="59" t="str">
        <f aca="false">IF($AJ393=Constants!$B$7,IF(AD393="",Constants!$B$13,AD393),"")</f>
        <v/>
      </c>
      <c r="AO393" s="59" t="str">
        <f aca="false">IF($AJ393=Constants!$B$7,IF(AF393="",Constants!$B$13,AF393),"")</f>
        <v/>
      </c>
      <c r="AP393" s="59" t="str">
        <f aca="false">IF($AJ393=Constants!$B$7,IF(AH393="",Constants!$B$13,AH393),"")</f>
        <v/>
      </c>
      <c r="AQ393" s="59" t="str">
        <f aca="false">IF($AJ393=Constants!$B$7,IF(SUMPRODUCT(--($AL393:$AP393&gt;AL393))+SUMPRODUCT(--($AL393:AL393=AL393))=1,1,IF(SUMPRODUCT(--($AL393:$AP393&gt;AM393))+SUMPRODUCT(--($AL393:AM393=AM393))=1,2,IF(SUMPRODUCT(--($AL393:$AP393&gt;AN393))+SUMPRODUCT(--($AL393:AN393=AN393))=1,3,IF(SUMPRODUCT(--($AL393:$AP393&gt;AO393))+SUMPRODUCT(--($AL393:AO393=AO393))=1,4,5)))),"")</f>
        <v/>
      </c>
      <c r="AR393" s="59" t="str">
        <f aca="false">IF($AJ393=Constants!$B$7,IF(SUMPRODUCT(--($AL393:$AP393&gt;AL393))+SUMPRODUCT(--($AL393:AL393=AL393))=2,1,IF(SUMPRODUCT(--($AL393:$AP393&gt;AM393))+SUMPRODUCT(--($AL393:AM393=AM393))=2,2,IF(SUMPRODUCT(--($AL393:$AP393&gt;AN393))+SUMPRODUCT(--($AL393:AN393=AN393))=2,3,IF(SUMPRODUCT(--($AL393:$AP393&gt;AO393))+SUMPRODUCT(--($AL393:AO393=AO393))=2,4,5)))),"")</f>
        <v/>
      </c>
      <c r="AS393" s="59" t="str">
        <f aca="false">IF($AJ393=Constants!$B$7,IF(SUMPRODUCT(--($AL393:$AP393&gt;AL393))+SUMPRODUCT(--($AL393:AL393=AL393))=3,1,IF(SUMPRODUCT(--($AL393:$AP393&gt;AM393))+SUMPRODUCT(--($AL393:AM393=AM393))=3,2,IF(SUMPRODUCT(--($AL393:$AP393&gt;AN393))+SUMPRODUCT(--($AL393:AN393=AN393))=3,3,IF(SUMPRODUCT(--($AL393:$AP393&gt;AO393))+SUMPRODUCT(--($AL393:AO393=AO393))=3,4,5)))),"")</f>
        <v/>
      </c>
      <c r="AT393" s="59" t="str">
        <f aca="false">IF($AJ393=Constants!$B$7,LARGE(AL393:AP393,1)+LARGE(AL393:AP393,2)+LARGE(AL393:AP393,3),"")</f>
        <v/>
      </c>
      <c r="AU393" s="59" t="str">
        <f aca="false">IF(ISBLANK($C393),"",IF($AJ393&lt;&gt;Constants!$B$7,$AJ393,AT393*W393))</f>
        <v/>
      </c>
      <c r="AV393" s="59" t="str">
        <f aca="false">IF(ISBLANK($C393),"",IF($AJ393=Constants!$B$7,IF(ISNUMBER(AU393),RANK(AU393,$AU$8:$AU$507),Constants!$B$14),$AJ393))</f>
        <v/>
      </c>
      <c r="AW393" s="59" t="str">
        <f aca="false">IF(ISBLANK($C393),"",IF($AJ393=Constants!$B$7,IF(ISNUMBER(AV393),COUNTIFS($AK$8:$AK$507,"&lt;"&amp;$AK393)+COUNTIFS($AK$8:$AK$507,$AK393,$AV$8:$AV$507,"&lt;"&amp;$AV393)+1,Constants!$B$14),$AJ393))</f>
        <v/>
      </c>
      <c r="AX393" s="59" t="str">
        <f aca="false">IF(ISBLANK($C393),"",IF($AJ393=Constants!$B$7,LARGE(AL393:AP393,4)*W393,""))</f>
        <v/>
      </c>
      <c r="AY393" s="59" t="str">
        <f aca="false">IF(ISBLANK($C393),"",IF($AJ393=Constants!$B$7,RANK(AX393,$AX$8:$AX$507),$AJ393))</f>
        <v/>
      </c>
      <c r="AZ393" s="59" t="str">
        <f aca="false">IF(ISBLANK($C393),"",IF($AJ393=Constants!$B$7,IF(ISNUMBER(AV393),COUNTIFS($AK$8:$AK$507,"&lt;"&amp;$AK393)+COUNTIFS($AK$8:$AK$507,$AK393,$AV$8:$AV$507,"&lt;"&amp;$AV393)+COUNTIFS($AK$8:$AK$507,$AK393,$AV$8:$AV$507,$AV393,$AY$8:$AY$507,"&lt;"&amp;$AY393)+1,Constants!$B$14),$AJ393))</f>
        <v/>
      </c>
      <c r="BA393" s="59" t="str">
        <f aca="false">IF(ISBLANK($C393),"",IF($AJ393=Constants!$B$7,IF(ISNUMBER(AW393),AW393-AZ393,Constants!$B$14),$AJ393))</f>
        <v/>
      </c>
      <c r="BB393" s="61"/>
      <c r="BC393" s="62" t="str">
        <f aca="false">IF(ISBLANK($C393),"",IF($AJ393&lt;&gt;Constants!$B$7,$AJ393,SMALL(AQ393:AS393,1)&amp;", "&amp;SMALL(AQ393:AS393,2)&amp;", "&amp;SMALL(AQ393:AS393,3)))</f>
        <v/>
      </c>
      <c r="BD393" s="63" t="str">
        <f aca="false">IF(ISBLANK($C393),"",IF($AJ393&lt;&gt;Constants!$B$7,$AJ393,W393))</f>
        <v/>
      </c>
      <c r="BE393" s="64" t="str">
        <f aca="false">IF(ISBLANK($C393),"",IF($AJ393&lt;&gt;Constants!$B$7,$AJ393,AU393))</f>
        <v/>
      </c>
      <c r="BF393" s="65" t="str">
        <f aca="false">IF(ISBLANK($C393),"",IF($AJ393&lt;&gt;Constants!$B$7,$AJ393,AK393))</f>
        <v/>
      </c>
      <c r="BG393" s="63" t="str">
        <f aca="false">IF(ISBLANK($C393),"",BA393)</f>
        <v/>
      </c>
      <c r="BH393" s="63" t="str">
        <f aca="false">IF(ISBLANK($C393),"",AZ393)</f>
        <v/>
      </c>
      <c r="BI393" s="66" t="str">
        <f aca="false">IF(ISBLANK($C393),"",IF(BH393=Constants!$B$4,COUNTA($C$8:$C$507)+2,IF(BH393=Constants!$B$5,COUNTA($C$8:$C$507)+1,IF(BH393=Constants!$B$6,COUNTA($C$8:$C$507),BH393))))</f>
        <v/>
      </c>
      <c r="BJ393" s="5"/>
      <c r="BK393" s="67" t="n">
        <f aca="false">IF(OR(ISNUMBER(BH393),BH393=Constants!$B$4,BH393=Constants!$B$6,BH393=Constants!$B$5),1,0)</f>
        <v>0</v>
      </c>
      <c r="BL393" s="67" t="n">
        <v>386</v>
      </c>
      <c r="BM393" s="67" t="str">
        <f aca="false">IF(ISBLANK($C393),"",IF(ISNUMBER(BI393),BI393+ROW($B393)/1000,""))</f>
        <v/>
      </c>
      <c r="BN393" s="67" t="str">
        <f aca="false">IF(ISNUMBER(BM393),RANK(BM393,$BM$8:$BM$507,1),"")</f>
        <v/>
      </c>
      <c r="BO393" s="67" t="str">
        <f aca="false">IF(ISBLANK($C393),"",$B393)</f>
        <v/>
      </c>
      <c r="BP393" s="67" t="str">
        <f aca="false">IF(ISBLANK($C393),"",$C393)</f>
        <v/>
      </c>
      <c r="BQ393" s="67" t="str">
        <f aca="false">IF(ISBLANK($C393),"",$D393)</f>
        <v/>
      </c>
      <c r="BR393" s="68" t="str">
        <f aca="false">BF393</f>
        <v/>
      </c>
      <c r="BS393" s="69" t="str">
        <f aca="false">BE393</f>
        <v/>
      </c>
      <c r="BT393" s="67" t="str">
        <f aca="false">IF(ISBLANK($C393),"",BH393)</f>
        <v/>
      </c>
      <c r="BU393" s="70" t="str">
        <f aca="false">IF($BL393&gt;$BK$7,"",VLOOKUP($BL393,$BN$8:$BT$507,7,FALSE()))</f>
        <v/>
      </c>
      <c r="BV393" s="71" t="str">
        <f aca="false">IF($BL393&gt;$BK$7,"",VLOOKUP($BL393,$BN$8:$BT$507,2,FALSE()))</f>
        <v/>
      </c>
      <c r="BW393" s="71" t="str">
        <f aca="false">IF($BL393&gt;$BK$7,"",VLOOKUP($BL393,$BN$8:$BT$507,3,FALSE()))</f>
        <v/>
      </c>
      <c r="BX393" s="71" t="str">
        <f aca="false">IF($BL393&gt;$BK$7,"",VLOOKUP($BL393,$BN$8:$BT$507,4,FALSE()))</f>
        <v/>
      </c>
      <c r="BY393" s="71" t="str">
        <f aca="false">IF($BL393&gt;$BK$7,"",VLOOKUP($BL393,$BN$8:$BT$507,5,FALSE()))</f>
        <v/>
      </c>
      <c r="BZ393" s="72" t="str">
        <f aca="false">IF($BL393&gt;$BK$7,"",VLOOKUP($BL393,$BN$8:$BT$507,6,FALSE()))</f>
        <v/>
      </c>
      <c r="CA393" s="48"/>
    </row>
    <row r="394" customFormat="false" ht="15.75" hidden="false" customHeight="false" outlineLevel="0" collapsed="false">
      <c r="A394" s="5"/>
      <c r="B394" s="121"/>
      <c r="C394" s="50"/>
      <c r="D394" s="51"/>
      <c r="E394" s="74"/>
      <c r="F394" s="122"/>
      <c r="G394" s="54"/>
      <c r="H394" s="123"/>
      <c r="I394" s="124"/>
      <c r="J394" s="54"/>
      <c r="K394" s="123"/>
      <c r="L394" s="54"/>
      <c r="M394" s="123"/>
      <c r="N394" s="54"/>
      <c r="O394" s="123"/>
      <c r="P394" s="54"/>
      <c r="Q394" s="123"/>
      <c r="R394" s="54"/>
      <c r="S394" s="74"/>
      <c r="T394" s="58"/>
      <c r="U394" s="59" t="str">
        <f aca="false">IF(ISBLANK($C394),"",IF(E394=Constants!$B$2, TRUE(), IF(E394=Constants!$B$3, FALSE(), TRUE())))</f>
        <v/>
      </c>
      <c r="V394" s="59" t="str">
        <f aca="false">IF(ISBLANK($C394),"",IF(F394=Constants!$B$2, TRUE(), IF(F394=Constants!$B$3, FALSE(), TRUE())))</f>
        <v/>
      </c>
      <c r="W394" s="59" t="str">
        <f aca="false">IF(ISBLANK($C394),"",IF(G394=Constants!$B$15,Constants!$B$8,IF(G394=Constants!$B$16,Constants!$B$9,Constants!$B$10)))</f>
        <v/>
      </c>
      <c r="X394" s="59" t="str">
        <f aca="false">IF(ISBLANK($C394),"",IF(H394=Constants!$B$2, TRUE(), IF(H394=Constants!$B$3, FALSE(), TRUE())))</f>
        <v/>
      </c>
      <c r="Y394" s="59" t="str">
        <f aca="false">IF(ISBLANK($C394),"",IF(I394=Constants!$B$19,Constants!$B$19,Constants!$B$18))</f>
        <v/>
      </c>
      <c r="Z394" s="59" t="str">
        <f aca="false">IF(ISBLANK($C394),"",IF(ISNUMBER(J394),IF(J394&gt;=0,J394,""),""))</f>
        <v/>
      </c>
      <c r="AA394" s="59" t="str">
        <f aca="false">IF(ISBLANK($C394),"",IF(K394=Constants!$B$19,Constants!$B$19,Constants!$B$18))</f>
        <v/>
      </c>
      <c r="AB394" s="59" t="str">
        <f aca="false">IF(ISBLANK($C394),"",IF(ISNUMBER(L394),IF(L394&gt;=0,L394,""),""))</f>
        <v/>
      </c>
      <c r="AC394" s="59" t="str">
        <f aca="false">IF(ISBLANK($C394),"",IF(M394=Constants!$B$19,Constants!$B$19,Constants!$B$18))</f>
        <v/>
      </c>
      <c r="AD394" s="59" t="str">
        <f aca="false">IF(ISBLANK($C394),"",IF(ISNUMBER(N394),IF(N394&gt;=0,N394,""),""))</f>
        <v/>
      </c>
      <c r="AE394" s="59" t="str">
        <f aca="false">IF(ISBLANK($C394),"",IF(O394=Constants!$B$19,Constants!$B$19,Constants!$B$18))</f>
        <v/>
      </c>
      <c r="AF394" s="59" t="str">
        <f aca="false">IF(ISBLANK($C394),"",IF(ISNUMBER(P394),IF(P394&gt;=0,P394,""),""))</f>
        <v/>
      </c>
      <c r="AG394" s="59" t="str">
        <f aca="false">IF(ISBLANK($C394),"",IF(Q394=Constants!$B$19,Constants!$B$19,Constants!$B$18))</f>
        <v/>
      </c>
      <c r="AH394" s="59" t="str">
        <f aca="false">IF(ISBLANK($C394),"",IF(ISNUMBER(R394),IF(R394&gt;=0,R394,""),""))</f>
        <v/>
      </c>
      <c r="AI394" s="59" t="str">
        <f aca="false">IF(ISBLANK($C394),"",IF(S394=Constants!$B$2, TRUE(), IF(S394=Constants!$B$3, FALSE(), FALSE())))</f>
        <v/>
      </c>
      <c r="AJ394" s="59" t="str">
        <f aca="false">IF(ISBLANK($C394),"",IF(AI394,Constants!$B$4,IF(COUNTA(E394:R394)=0,Constants!$B$5,IF(COUNTA(J394,L394,N394,P394,R394)=0,Constants!$B$6,Constants!$B$7))))</f>
        <v/>
      </c>
      <c r="AK394" s="59" t="str">
        <f aca="false">IF(ISBLANK($C394),"",IF($AJ394&lt;&gt;Constants!$B$7,$AJ394,IF(OR(NOT(X394),AND(NOT(U394),COUNTIFS(Y394:AG394,Constants!$B$18,Z394:AH394,"&gt;=0")&gt;0),AND(NOT(V394),COUNTIFS(Y394:AG394,Constants!$B$19,Z394:AH394,"&gt;=0")&gt;0)),Constants!$B$12,Constants!$B$11)))</f>
        <v/>
      </c>
      <c r="AL394" s="59" t="str">
        <f aca="false">IF($AJ394=Constants!$B$7,IF(Z394="",Constants!$B$13,Z394),"")</f>
        <v/>
      </c>
      <c r="AM394" s="59" t="str">
        <f aca="false">IF($AJ394=Constants!$B$7,IF(AB394="",Constants!$B$13,AB394),"")</f>
        <v/>
      </c>
      <c r="AN394" s="59" t="str">
        <f aca="false">IF($AJ394=Constants!$B$7,IF(AD394="",Constants!$B$13,AD394),"")</f>
        <v/>
      </c>
      <c r="AO394" s="59" t="str">
        <f aca="false">IF($AJ394=Constants!$B$7,IF(AF394="",Constants!$B$13,AF394),"")</f>
        <v/>
      </c>
      <c r="AP394" s="59" t="str">
        <f aca="false">IF($AJ394=Constants!$B$7,IF(AH394="",Constants!$B$13,AH394),"")</f>
        <v/>
      </c>
      <c r="AQ394" s="59" t="str">
        <f aca="false">IF($AJ394=Constants!$B$7,IF(SUMPRODUCT(--($AL394:$AP394&gt;AL394))+SUMPRODUCT(--($AL394:AL394=AL394))=1,1,IF(SUMPRODUCT(--($AL394:$AP394&gt;AM394))+SUMPRODUCT(--($AL394:AM394=AM394))=1,2,IF(SUMPRODUCT(--($AL394:$AP394&gt;AN394))+SUMPRODUCT(--($AL394:AN394=AN394))=1,3,IF(SUMPRODUCT(--($AL394:$AP394&gt;AO394))+SUMPRODUCT(--($AL394:AO394=AO394))=1,4,5)))),"")</f>
        <v/>
      </c>
      <c r="AR394" s="59" t="str">
        <f aca="false">IF($AJ394=Constants!$B$7,IF(SUMPRODUCT(--($AL394:$AP394&gt;AL394))+SUMPRODUCT(--($AL394:AL394=AL394))=2,1,IF(SUMPRODUCT(--($AL394:$AP394&gt;AM394))+SUMPRODUCT(--($AL394:AM394=AM394))=2,2,IF(SUMPRODUCT(--($AL394:$AP394&gt;AN394))+SUMPRODUCT(--($AL394:AN394=AN394))=2,3,IF(SUMPRODUCT(--($AL394:$AP394&gt;AO394))+SUMPRODUCT(--($AL394:AO394=AO394))=2,4,5)))),"")</f>
        <v/>
      </c>
      <c r="AS394" s="59" t="str">
        <f aca="false">IF($AJ394=Constants!$B$7,IF(SUMPRODUCT(--($AL394:$AP394&gt;AL394))+SUMPRODUCT(--($AL394:AL394=AL394))=3,1,IF(SUMPRODUCT(--($AL394:$AP394&gt;AM394))+SUMPRODUCT(--($AL394:AM394=AM394))=3,2,IF(SUMPRODUCT(--($AL394:$AP394&gt;AN394))+SUMPRODUCT(--($AL394:AN394=AN394))=3,3,IF(SUMPRODUCT(--($AL394:$AP394&gt;AO394))+SUMPRODUCT(--($AL394:AO394=AO394))=3,4,5)))),"")</f>
        <v/>
      </c>
      <c r="AT394" s="59" t="str">
        <f aca="false">IF($AJ394=Constants!$B$7,LARGE(AL394:AP394,1)+LARGE(AL394:AP394,2)+LARGE(AL394:AP394,3),"")</f>
        <v/>
      </c>
      <c r="AU394" s="59" t="str">
        <f aca="false">IF(ISBLANK($C394),"",IF($AJ394&lt;&gt;Constants!$B$7,$AJ394,AT394*W394))</f>
        <v/>
      </c>
      <c r="AV394" s="59" t="str">
        <f aca="false">IF(ISBLANK($C394),"",IF($AJ394=Constants!$B$7,IF(ISNUMBER(AU394),RANK(AU394,$AU$8:$AU$507),Constants!$B$14),$AJ394))</f>
        <v/>
      </c>
      <c r="AW394" s="59" t="str">
        <f aca="false">IF(ISBLANK($C394),"",IF($AJ394=Constants!$B$7,IF(ISNUMBER(AV394),COUNTIFS($AK$8:$AK$507,"&lt;"&amp;$AK394)+COUNTIFS($AK$8:$AK$507,$AK394,$AV$8:$AV$507,"&lt;"&amp;$AV394)+1,Constants!$B$14),$AJ394))</f>
        <v/>
      </c>
      <c r="AX394" s="59" t="str">
        <f aca="false">IF(ISBLANK($C394),"",IF($AJ394=Constants!$B$7,LARGE(AL394:AP394,4)*W394,""))</f>
        <v/>
      </c>
      <c r="AY394" s="59" t="str">
        <f aca="false">IF(ISBLANK($C394),"",IF($AJ394=Constants!$B$7,RANK(AX394,$AX$8:$AX$507),$AJ394))</f>
        <v/>
      </c>
      <c r="AZ394" s="59" t="str">
        <f aca="false">IF(ISBLANK($C394),"",IF($AJ394=Constants!$B$7,IF(ISNUMBER(AV394),COUNTIFS($AK$8:$AK$507,"&lt;"&amp;$AK394)+COUNTIFS($AK$8:$AK$507,$AK394,$AV$8:$AV$507,"&lt;"&amp;$AV394)+COUNTIFS($AK$8:$AK$507,$AK394,$AV$8:$AV$507,$AV394,$AY$8:$AY$507,"&lt;"&amp;$AY394)+1,Constants!$B$14),$AJ394))</f>
        <v/>
      </c>
      <c r="BA394" s="59" t="str">
        <f aca="false">IF(ISBLANK($C394),"",IF($AJ394=Constants!$B$7,IF(ISNUMBER(AW394),AW394-AZ394,Constants!$B$14),$AJ394))</f>
        <v/>
      </c>
      <c r="BB394" s="61"/>
      <c r="BC394" s="62" t="str">
        <f aca="false">IF(ISBLANK($C394),"",IF($AJ394&lt;&gt;Constants!$B$7,$AJ394,SMALL(AQ394:AS394,1)&amp;", "&amp;SMALL(AQ394:AS394,2)&amp;", "&amp;SMALL(AQ394:AS394,3)))</f>
        <v/>
      </c>
      <c r="BD394" s="63" t="str">
        <f aca="false">IF(ISBLANK($C394),"",IF($AJ394&lt;&gt;Constants!$B$7,$AJ394,W394))</f>
        <v/>
      </c>
      <c r="BE394" s="64" t="str">
        <f aca="false">IF(ISBLANK($C394),"",IF($AJ394&lt;&gt;Constants!$B$7,$AJ394,AU394))</f>
        <v/>
      </c>
      <c r="BF394" s="65" t="str">
        <f aca="false">IF(ISBLANK($C394),"",IF($AJ394&lt;&gt;Constants!$B$7,$AJ394,AK394))</f>
        <v/>
      </c>
      <c r="BG394" s="63" t="str">
        <f aca="false">IF(ISBLANK($C394),"",BA394)</f>
        <v/>
      </c>
      <c r="BH394" s="63" t="str">
        <f aca="false">IF(ISBLANK($C394),"",AZ394)</f>
        <v/>
      </c>
      <c r="BI394" s="66" t="str">
        <f aca="false">IF(ISBLANK($C394),"",IF(BH394=Constants!$B$4,COUNTA($C$8:$C$507)+2,IF(BH394=Constants!$B$5,COUNTA($C$8:$C$507)+1,IF(BH394=Constants!$B$6,COUNTA($C$8:$C$507),BH394))))</f>
        <v/>
      </c>
      <c r="BJ394" s="5"/>
      <c r="BK394" s="67" t="n">
        <f aca="false">IF(OR(ISNUMBER(BH394),BH394=Constants!$B$4,BH394=Constants!$B$6,BH394=Constants!$B$5),1,0)</f>
        <v>0</v>
      </c>
      <c r="BL394" s="67" t="n">
        <v>387</v>
      </c>
      <c r="BM394" s="67" t="str">
        <f aca="false">IF(ISBLANK($C394),"",IF(ISNUMBER(BI394),BI394+ROW($B394)/1000,""))</f>
        <v/>
      </c>
      <c r="BN394" s="67" t="str">
        <f aca="false">IF(ISNUMBER(BM394),RANK(BM394,$BM$8:$BM$507,1),"")</f>
        <v/>
      </c>
      <c r="BO394" s="67" t="str">
        <f aca="false">IF(ISBLANK($C394),"",$B394)</f>
        <v/>
      </c>
      <c r="BP394" s="67" t="str">
        <f aca="false">IF(ISBLANK($C394),"",$C394)</f>
        <v/>
      </c>
      <c r="BQ394" s="67" t="str">
        <f aca="false">IF(ISBLANK($C394),"",$D394)</f>
        <v/>
      </c>
      <c r="BR394" s="68" t="str">
        <f aca="false">BF394</f>
        <v/>
      </c>
      <c r="BS394" s="69" t="str">
        <f aca="false">BE394</f>
        <v/>
      </c>
      <c r="BT394" s="67" t="str">
        <f aca="false">IF(ISBLANK($C394),"",BH394)</f>
        <v/>
      </c>
      <c r="BU394" s="70" t="str">
        <f aca="false">IF($BL394&gt;$BK$7,"",VLOOKUP($BL394,$BN$8:$BT$507,7,FALSE()))</f>
        <v/>
      </c>
      <c r="BV394" s="71" t="str">
        <f aca="false">IF($BL394&gt;$BK$7,"",VLOOKUP($BL394,$BN$8:$BT$507,2,FALSE()))</f>
        <v/>
      </c>
      <c r="BW394" s="71" t="str">
        <f aca="false">IF($BL394&gt;$BK$7,"",VLOOKUP($BL394,$BN$8:$BT$507,3,FALSE()))</f>
        <v/>
      </c>
      <c r="BX394" s="71" t="str">
        <f aca="false">IF($BL394&gt;$BK$7,"",VLOOKUP($BL394,$BN$8:$BT$507,4,FALSE()))</f>
        <v/>
      </c>
      <c r="BY394" s="71" t="str">
        <f aca="false">IF($BL394&gt;$BK$7,"",VLOOKUP($BL394,$BN$8:$BT$507,5,FALSE()))</f>
        <v/>
      </c>
      <c r="BZ394" s="72" t="str">
        <f aca="false">IF($BL394&gt;$BK$7,"",VLOOKUP($BL394,$BN$8:$BT$507,6,FALSE()))</f>
        <v/>
      </c>
      <c r="CA394" s="48"/>
    </row>
    <row r="395" customFormat="false" ht="15.75" hidden="false" customHeight="false" outlineLevel="0" collapsed="false">
      <c r="A395" s="5"/>
      <c r="B395" s="114"/>
      <c r="C395" s="115"/>
      <c r="D395" s="100"/>
      <c r="E395" s="120"/>
      <c r="F395" s="125"/>
      <c r="G395" s="82"/>
      <c r="H395" s="126"/>
      <c r="I395" s="127"/>
      <c r="J395" s="82"/>
      <c r="K395" s="126"/>
      <c r="L395" s="82"/>
      <c r="M395" s="126"/>
      <c r="N395" s="82"/>
      <c r="O395" s="126"/>
      <c r="P395" s="82"/>
      <c r="Q395" s="126"/>
      <c r="R395" s="82"/>
      <c r="S395" s="120"/>
      <c r="T395" s="86"/>
      <c r="U395" s="87" t="str">
        <f aca="false">IF(ISBLANK($C395),"",IF(E395=Constants!$B$2, TRUE(), IF(E395=Constants!$B$3, FALSE(), TRUE())))</f>
        <v/>
      </c>
      <c r="V395" s="87" t="str">
        <f aca="false">IF(ISBLANK($C395),"",IF(F395=Constants!$B$2, TRUE(), IF(F395=Constants!$B$3, FALSE(), TRUE())))</f>
        <v/>
      </c>
      <c r="W395" s="87" t="str">
        <f aca="false">IF(ISBLANK($C395),"",IF(G395=Constants!$B$15,Constants!$B$8,IF(G395=Constants!$B$16,Constants!$B$9,Constants!$B$10)))</f>
        <v/>
      </c>
      <c r="X395" s="87" t="str">
        <f aca="false">IF(ISBLANK($C395),"",IF(H395=Constants!$B$2, TRUE(), IF(H395=Constants!$B$3, FALSE(), TRUE())))</f>
        <v/>
      </c>
      <c r="Y395" s="87" t="str">
        <f aca="false">IF(ISBLANK($C395),"",IF(I395=Constants!$B$19,Constants!$B$19,Constants!$B$18))</f>
        <v/>
      </c>
      <c r="Z395" s="87" t="str">
        <f aca="false">IF(ISBLANK($C395),"",IF(ISNUMBER(J395),IF(J395&gt;=0,J395,""),""))</f>
        <v/>
      </c>
      <c r="AA395" s="87" t="str">
        <f aca="false">IF(ISBLANK($C395),"",IF(K395=Constants!$B$19,Constants!$B$19,Constants!$B$18))</f>
        <v/>
      </c>
      <c r="AB395" s="87" t="str">
        <f aca="false">IF(ISBLANK($C395),"",IF(ISNUMBER(L395),IF(L395&gt;=0,L395,""),""))</f>
        <v/>
      </c>
      <c r="AC395" s="87" t="str">
        <f aca="false">IF(ISBLANK($C395),"",IF(M395=Constants!$B$19,Constants!$B$19,Constants!$B$18))</f>
        <v/>
      </c>
      <c r="AD395" s="87" t="str">
        <f aca="false">IF(ISBLANK($C395),"",IF(ISNUMBER(N395),IF(N395&gt;=0,N395,""),""))</f>
        <v/>
      </c>
      <c r="AE395" s="87" t="str">
        <f aca="false">IF(ISBLANK($C395),"",IF(O395=Constants!$B$19,Constants!$B$19,Constants!$B$18))</f>
        <v/>
      </c>
      <c r="AF395" s="87" t="str">
        <f aca="false">IF(ISBLANK($C395),"",IF(ISNUMBER(P395),IF(P395&gt;=0,P395,""),""))</f>
        <v/>
      </c>
      <c r="AG395" s="87" t="str">
        <f aca="false">IF(ISBLANK($C395),"",IF(Q395=Constants!$B$19,Constants!$B$19,Constants!$B$18))</f>
        <v/>
      </c>
      <c r="AH395" s="87" t="str">
        <f aca="false">IF(ISBLANK($C395),"",IF(ISNUMBER(R395),IF(R395&gt;=0,R395,""),""))</f>
        <v/>
      </c>
      <c r="AI395" s="87" t="str">
        <f aca="false">IF(ISBLANK($C395),"",IF(S395=Constants!$B$2, TRUE(), IF(S395=Constants!$B$3, FALSE(), FALSE())))</f>
        <v/>
      </c>
      <c r="AJ395" s="87" t="str">
        <f aca="false">IF(ISBLANK($C395),"",IF(AI395,Constants!$B$4,IF(COUNTA(E395:R395)=0,Constants!$B$5,IF(COUNTA(J395,L395,N395,P395,R395)=0,Constants!$B$6,Constants!$B$7))))</f>
        <v/>
      </c>
      <c r="AK395" s="87" t="str">
        <f aca="false">IF(ISBLANK($C395),"",IF($AJ395&lt;&gt;Constants!$B$7,$AJ395,IF(OR(NOT(X395),AND(NOT(U395),COUNTIFS(Y395:AG395,Constants!$B$18,Z395:AH395,"&gt;=0")&gt;0),AND(NOT(V395),COUNTIFS(Y395:AG395,Constants!$B$19,Z395:AH395,"&gt;=0")&gt;0)),Constants!$B$12,Constants!$B$11)))</f>
        <v/>
      </c>
      <c r="AL395" s="87" t="str">
        <f aca="false">IF($AJ395=Constants!$B$7,IF(Z395="",Constants!$B$13,Z395),"")</f>
        <v/>
      </c>
      <c r="AM395" s="87" t="str">
        <f aca="false">IF($AJ395=Constants!$B$7,IF(AB395="",Constants!$B$13,AB395),"")</f>
        <v/>
      </c>
      <c r="AN395" s="87" t="str">
        <f aca="false">IF($AJ395=Constants!$B$7,IF(AD395="",Constants!$B$13,AD395),"")</f>
        <v/>
      </c>
      <c r="AO395" s="87" t="str">
        <f aca="false">IF($AJ395=Constants!$B$7,IF(AF395="",Constants!$B$13,AF395),"")</f>
        <v/>
      </c>
      <c r="AP395" s="87" t="str">
        <f aca="false">IF($AJ395=Constants!$B$7,IF(AH395="",Constants!$B$13,AH395),"")</f>
        <v/>
      </c>
      <c r="AQ395" s="87" t="str">
        <f aca="false">IF($AJ395=Constants!$B$7,IF(SUMPRODUCT(--($AL395:$AP395&gt;AL395))+SUMPRODUCT(--($AL395:AL395=AL395))=1,1,IF(SUMPRODUCT(--($AL395:$AP395&gt;AM395))+SUMPRODUCT(--($AL395:AM395=AM395))=1,2,IF(SUMPRODUCT(--($AL395:$AP395&gt;AN395))+SUMPRODUCT(--($AL395:AN395=AN395))=1,3,IF(SUMPRODUCT(--($AL395:$AP395&gt;AO395))+SUMPRODUCT(--($AL395:AO395=AO395))=1,4,5)))),"")</f>
        <v/>
      </c>
      <c r="AR395" s="87" t="str">
        <f aca="false">IF($AJ395=Constants!$B$7,IF(SUMPRODUCT(--($AL395:$AP395&gt;AL395))+SUMPRODUCT(--($AL395:AL395=AL395))=2,1,IF(SUMPRODUCT(--($AL395:$AP395&gt;AM395))+SUMPRODUCT(--($AL395:AM395=AM395))=2,2,IF(SUMPRODUCT(--($AL395:$AP395&gt;AN395))+SUMPRODUCT(--($AL395:AN395=AN395))=2,3,IF(SUMPRODUCT(--($AL395:$AP395&gt;AO395))+SUMPRODUCT(--($AL395:AO395=AO395))=2,4,5)))),"")</f>
        <v/>
      </c>
      <c r="AS395" s="87" t="str">
        <f aca="false">IF($AJ395=Constants!$B$7,IF(SUMPRODUCT(--($AL395:$AP395&gt;AL395))+SUMPRODUCT(--($AL395:AL395=AL395))=3,1,IF(SUMPRODUCT(--($AL395:$AP395&gt;AM395))+SUMPRODUCT(--($AL395:AM395=AM395))=3,2,IF(SUMPRODUCT(--($AL395:$AP395&gt;AN395))+SUMPRODUCT(--($AL395:AN395=AN395))=3,3,IF(SUMPRODUCT(--($AL395:$AP395&gt;AO395))+SUMPRODUCT(--($AL395:AO395=AO395))=3,4,5)))),"")</f>
        <v/>
      </c>
      <c r="AT395" s="87" t="str">
        <f aca="false">IF($AJ395=Constants!$B$7,LARGE(AL395:AP395,1)+LARGE(AL395:AP395,2)+LARGE(AL395:AP395,3),"")</f>
        <v/>
      </c>
      <c r="AU395" s="87" t="str">
        <f aca="false">IF(ISBLANK($C395),"",IF($AJ395&lt;&gt;Constants!$B$7,$AJ395,AT395*W395))</f>
        <v/>
      </c>
      <c r="AV395" s="87" t="str">
        <f aca="false">IF(ISBLANK($C395),"",IF($AJ395=Constants!$B$7,IF(ISNUMBER(AU395),RANK(AU395,$AU$8:$AU$507),Constants!$B$14),$AJ395))</f>
        <v/>
      </c>
      <c r="AW395" s="87" t="str">
        <f aca="false">IF(ISBLANK($C395),"",IF($AJ395=Constants!$B$7,IF(ISNUMBER(AV395),COUNTIFS($AK$8:$AK$507,"&lt;"&amp;$AK395)+COUNTIFS($AK$8:$AK$507,$AK395,$AV$8:$AV$507,"&lt;"&amp;$AV395)+1,Constants!$B$14),$AJ395))</f>
        <v/>
      </c>
      <c r="AX395" s="87" t="str">
        <f aca="false">IF(ISBLANK($C395),"",IF($AJ395=Constants!$B$7,LARGE(AL395:AP395,4)*W395,""))</f>
        <v/>
      </c>
      <c r="AY395" s="87" t="str">
        <f aca="false">IF(ISBLANK($C395),"",IF($AJ395=Constants!$B$7,RANK(AX395,$AX$8:$AX$507),$AJ395))</f>
        <v/>
      </c>
      <c r="AZ395" s="87" t="str">
        <f aca="false">IF(ISBLANK($C395),"",IF($AJ395=Constants!$B$7,IF(ISNUMBER(AV395),COUNTIFS($AK$8:$AK$507,"&lt;"&amp;$AK395)+COUNTIFS($AK$8:$AK$507,$AK395,$AV$8:$AV$507,"&lt;"&amp;$AV395)+COUNTIFS($AK$8:$AK$507,$AK395,$AV$8:$AV$507,$AV395,$AY$8:$AY$507,"&lt;"&amp;$AY395)+1,Constants!$B$14),$AJ395))</f>
        <v/>
      </c>
      <c r="BA395" s="87" t="str">
        <f aca="false">IF(ISBLANK($C395),"",IF($AJ395=Constants!$B$7,IF(ISNUMBER(AW395),AW395-AZ395,Constants!$B$14),$AJ395))</f>
        <v/>
      </c>
      <c r="BB395" s="88"/>
      <c r="BC395" s="89" t="str">
        <f aca="false">IF(ISBLANK($C395),"",IF($AJ395&lt;&gt;Constants!$B$7,$AJ395,SMALL(AQ395:AS395,1)&amp;", "&amp;SMALL(AQ395:AS395,2)&amp;", "&amp;SMALL(AQ395:AS395,3)))</f>
        <v/>
      </c>
      <c r="BD395" s="90" t="str">
        <f aca="false">IF(ISBLANK($C395),"",IF($AJ395&lt;&gt;Constants!$B$7,$AJ395,W395))</f>
        <v/>
      </c>
      <c r="BE395" s="91" t="str">
        <f aca="false">IF(ISBLANK($C395),"",IF($AJ395&lt;&gt;Constants!$B$7,$AJ395,AU395))</f>
        <v/>
      </c>
      <c r="BF395" s="92" t="str">
        <f aca="false">IF(ISBLANK($C395),"",IF($AJ395&lt;&gt;Constants!$B$7,$AJ395,AK395))</f>
        <v/>
      </c>
      <c r="BG395" s="90" t="str">
        <f aca="false">IF(ISBLANK($C395),"",BA395)</f>
        <v/>
      </c>
      <c r="BH395" s="90" t="str">
        <f aca="false">IF(ISBLANK($C395),"",AZ395)</f>
        <v/>
      </c>
      <c r="BI395" s="93" t="str">
        <f aca="false">IF(ISBLANK($C395),"",IF(BH395=Constants!$B$4,COUNTA($C$8:$C$507)+2,IF(BH395=Constants!$B$5,COUNTA($C$8:$C$507)+1,IF(BH395=Constants!$B$6,COUNTA($C$8:$C$507),BH395))))</f>
        <v/>
      </c>
      <c r="BJ395" s="5"/>
      <c r="BK395" s="94" t="n">
        <f aca="false">IF(OR(ISNUMBER(BH395),BH395=Constants!$B$4,BH395=Constants!$B$6,BH395=Constants!$B$5),1,0)</f>
        <v>0</v>
      </c>
      <c r="BL395" s="94" t="n">
        <v>388</v>
      </c>
      <c r="BM395" s="94" t="str">
        <f aca="false">IF(ISBLANK($C395),"",IF(ISNUMBER(BI395),BI395+ROW($B395)/1000,""))</f>
        <v/>
      </c>
      <c r="BN395" s="94" t="str">
        <f aca="false">IF(ISNUMBER(BM395),RANK(BM395,$BM$8:$BM$507,1),"")</f>
        <v/>
      </c>
      <c r="BO395" s="94" t="str">
        <f aca="false">IF(ISBLANK($C395),"",$B395)</f>
        <v/>
      </c>
      <c r="BP395" s="94" t="str">
        <f aca="false">IF(ISBLANK($C395),"",$C395)</f>
        <v/>
      </c>
      <c r="BQ395" s="94" t="str">
        <f aca="false">IF(ISBLANK($C395),"",$D395)</f>
        <v/>
      </c>
      <c r="BR395" s="95" t="str">
        <f aca="false">BF395</f>
        <v/>
      </c>
      <c r="BS395" s="96" t="str">
        <f aca="false">BE395</f>
        <v/>
      </c>
      <c r="BT395" s="94" t="str">
        <f aca="false">IF(ISBLANK($C395),"",BH395)</f>
        <v/>
      </c>
      <c r="BU395" s="97" t="str">
        <f aca="false">IF($BL395&gt;$BK$7,"",VLOOKUP($BL395,$BN$8:$BT$507,7,FALSE()))</f>
        <v/>
      </c>
      <c r="BV395" s="98" t="str">
        <f aca="false">IF($BL395&gt;$BK$7,"",VLOOKUP($BL395,$BN$8:$BT$507,2,FALSE()))</f>
        <v/>
      </c>
      <c r="BW395" s="98" t="str">
        <f aca="false">IF($BL395&gt;$BK$7,"",VLOOKUP($BL395,$BN$8:$BT$507,3,FALSE()))</f>
        <v/>
      </c>
      <c r="BX395" s="98" t="str">
        <f aca="false">IF($BL395&gt;$BK$7,"",VLOOKUP($BL395,$BN$8:$BT$507,4,FALSE()))</f>
        <v/>
      </c>
      <c r="BY395" s="98" t="str">
        <f aca="false">IF($BL395&gt;$BK$7,"",VLOOKUP($BL395,$BN$8:$BT$507,5,FALSE()))</f>
        <v/>
      </c>
      <c r="BZ395" s="99" t="str">
        <f aca="false">IF($BL395&gt;$BK$7,"",VLOOKUP($BL395,$BN$8:$BT$507,6,FALSE()))</f>
        <v/>
      </c>
      <c r="CA395" s="48"/>
    </row>
    <row r="396" customFormat="false" ht="15.75" hidden="false" customHeight="false" outlineLevel="0" collapsed="false">
      <c r="A396" s="5"/>
      <c r="B396" s="114"/>
      <c r="C396" s="115"/>
      <c r="D396" s="100"/>
      <c r="E396" s="120"/>
      <c r="F396" s="125"/>
      <c r="G396" s="82"/>
      <c r="H396" s="126"/>
      <c r="I396" s="127"/>
      <c r="J396" s="82"/>
      <c r="K396" s="126"/>
      <c r="L396" s="82"/>
      <c r="M396" s="126"/>
      <c r="N396" s="82"/>
      <c r="O396" s="126"/>
      <c r="P396" s="82"/>
      <c r="Q396" s="126"/>
      <c r="R396" s="82"/>
      <c r="S396" s="120"/>
      <c r="T396" s="86"/>
      <c r="U396" s="87" t="str">
        <f aca="false">IF(ISBLANK($C396),"",IF(E396=Constants!$B$2, TRUE(), IF(E396=Constants!$B$3, FALSE(), TRUE())))</f>
        <v/>
      </c>
      <c r="V396" s="87" t="str">
        <f aca="false">IF(ISBLANK($C396),"",IF(F396=Constants!$B$2, TRUE(), IF(F396=Constants!$B$3, FALSE(), TRUE())))</f>
        <v/>
      </c>
      <c r="W396" s="87" t="str">
        <f aca="false">IF(ISBLANK($C396),"",IF(G396=Constants!$B$15,Constants!$B$8,IF(G396=Constants!$B$16,Constants!$B$9,Constants!$B$10)))</f>
        <v/>
      </c>
      <c r="X396" s="87" t="str">
        <f aca="false">IF(ISBLANK($C396),"",IF(H396=Constants!$B$2, TRUE(), IF(H396=Constants!$B$3, FALSE(), TRUE())))</f>
        <v/>
      </c>
      <c r="Y396" s="87" t="str">
        <f aca="false">IF(ISBLANK($C396),"",IF(I396=Constants!$B$19,Constants!$B$19,Constants!$B$18))</f>
        <v/>
      </c>
      <c r="Z396" s="87" t="str">
        <f aca="false">IF(ISBLANK($C396),"",IF(ISNUMBER(J396),IF(J396&gt;=0,J396,""),""))</f>
        <v/>
      </c>
      <c r="AA396" s="87" t="str">
        <f aca="false">IF(ISBLANK($C396),"",IF(K396=Constants!$B$19,Constants!$B$19,Constants!$B$18))</f>
        <v/>
      </c>
      <c r="AB396" s="87" t="str">
        <f aca="false">IF(ISBLANK($C396),"",IF(ISNUMBER(L396),IF(L396&gt;=0,L396,""),""))</f>
        <v/>
      </c>
      <c r="AC396" s="87" t="str">
        <f aca="false">IF(ISBLANK($C396),"",IF(M396=Constants!$B$19,Constants!$B$19,Constants!$B$18))</f>
        <v/>
      </c>
      <c r="AD396" s="87" t="str">
        <f aca="false">IF(ISBLANK($C396),"",IF(ISNUMBER(N396),IF(N396&gt;=0,N396,""),""))</f>
        <v/>
      </c>
      <c r="AE396" s="87" t="str">
        <f aca="false">IF(ISBLANK($C396),"",IF(O396=Constants!$B$19,Constants!$B$19,Constants!$B$18))</f>
        <v/>
      </c>
      <c r="AF396" s="87" t="str">
        <f aca="false">IF(ISBLANK($C396),"",IF(ISNUMBER(P396),IF(P396&gt;=0,P396,""),""))</f>
        <v/>
      </c>
      <c r="AG396" s="87" t="str">
        <f aca="false">IF(ISBLANK($C396),"",IF(Q396=Constants!$B$19,Constants!$B$19,Constants!$B$18))</f>
        <v/>
      </c>
      <c r="AH396" s="87" t="str">
        <f aca="false">IF(ISBLANK($C396),"",IF(ISNUMBER(R396),IF(R396&gt;=0,R396,""),""))</f>
        <v/>
      </c>
      <c r="AI396" s="87" t="str">
        <f aca="false">IF(ISBLANK($C396),"",IF(S396=Constants!$B$2, TRUE(), IF(S396=Constants!$B$3, FALSE(), FALSE())))</f>
        <v/>
      </c>
      <c r="AJ396" s="87" t="str">
        <f aca="false">IF(ISBLANK($C396),"",IF(AI396,Constants!$B$4,IF(COUNTA(E396:R396)=0,Constants!$B$5,IF(COUNTA(J396,L396,N396,P396,R396)=0,Constants!$B$6,Constants!$B$7))))</f>
        <v/>
      </c>
      <c r="AK396" s="87" t="str">
        <f aca="false">IF(ISBLANK($C396),"",IF($AJ396&lt;&gt;Constants!$B$7,$AJ396,IF(OR(NOT(X396),AND(NOT(U396),COUNTIFS(Y396:AG396,Constants!$B$18,Z396:AH396,"&gt;=0")&gt;0),AND(NOT(V396),COUNTIFS(Y396:AG396,Constants!$B$19,Z396:AH396,"&gt;=0")&gt;0)),Constants!$B$12,Constants!$B$11)))</f>
        <v/>
      </c>
      <c r="AL396" s="87" t="str">
        <f aca="false">IF($AJ396=Constants!$B$7,IF(Z396="",Constants!$B$13,Z396),"")</f>
        <v/>
      </c>
      <c r="AM396" s="87" t="str">
        <f aca="false">IF($AJ396=Constants!$B$7,IF(AB396="",Constants!$B$13,AB396),"")</f>
        <v/>
      </c>
      <c r="AN396" s="87" t="str">
        <f aca="false">IF($AJ396=Constants!$B$7,IF(AD396="",Constants!$B$13,AD396),"")</f>
        <v/>
      </c>
      <c r="AO396" s="87" t="str">
        <f aca="false">IF($AJ396=Constants!$B$7,IF(AF396="",Constants!$B$13,AF396),"")</f>
        <v/>
      </c>
      <c r="AP396" s="87" t="str">
        <f aca="false">IF($AJ396=Constants!$B$7,IF(AH396="",Constants!$B$13,AH396),"")</f>
        <v/>
      </c>
      <c r="AQ396" s="87" t="str">
        <f aca="false">IF($AJ396=Constants!$B$7,IF(SUMPRODUCT(--($AL396:$AP396&gt;AL396))+SUMPRODUCT(--($AL396:AL396=AL396))=1,1,IF(SUMPRODUCT(--($AL396:$AP396&gt;AM396))+SUMPRODUCT(--($AL396:AM396=AM396))=1,2,IF(SUMPRODUCT(--($AL396:$AP396&gt;AN396))+SUMPRODUCT(--($AL396:AN396=AN396))=1,3,IF(SUMPRODUCT(--($AL396:$AP396&gt;AO396))+SUMPRODUCT(--($AL396:AO396=AO396))=1,4,5)))),"")</f>
        <v/>
      </c>
      <c r="AR396" s="87" t="str">
        <f aca="false">IF($AJ396=Constants!$B$7,IF(SUMPRODUCT(--($AL396:$AP396&gt;AL396))+SUMPRODUCT(--($AL396:AL396=AL396))=2,1,IF(SUMPRODUCT(--($AL396:$AP396&gt;AM396))+SUMPRODUCT(--($AL396:AM396=AM396))=2,2,IF(SUMPRODUCT(--($AL396:$AP396&gt;AN396))+SUMPRODUCT(--($AL396:AN396=AN396))=2,3,IF(SUMPRODUCT(--($AL396:$AP396&gt;AO396))+SUMPRODUCT(--($AL396:AO396=AO396))=2,4,5)))),"")</f>
        <v/>
      </c>
      <c r="AS396" s="87" t="str">
        <f aca="false">IF($AJ396=Constants!$B$7,IF(SUMPRODUCT(--($AL396:$AP396&gt;AL396))+SUMPRODUCT(--($AL396:AL396=AL396))=3,1,IF(SUMPRODUCT(--($AL396:$AP396&gt;AM396))+SUMPRODUCT(--($AL396:AM396=AM396))=3,2,IF(SUMPRODUCT(--($AL396:$AP396&gt;AN396))+SUMPRODUCT(--($AL396:AN396=AN396))=3,3,IF(SUMPRODUCT(--($AL396:$AP396&gt;AO396))+SUMPRODUCT(--($AL396:AO396=AO396))=3,4,5)))),"")</f>
        <v/>
      </c>
      <c r="AT396" s="87" t="str">
        <f aca="false">IF($AJ396=Constants!$B$7,LARGE(AL396:AP396,1)+LARGE(AL396:AP396,2)+LARGE(AL396:AP396,3),"")</f>
        <v/>
      </c>
      <c r="AU396" s="87" t="str">
        <f aca="false">IF(ISBLANK($C396),"",IF($AJ396&lt;&gt;Constants!$B$7,$AJ396,AT396*W396))</f>
        <v/>
      </c>
      <c r="AV396" s="87" t="str">
        <f aca="false">IF(ISBLANK($C396),"",IF($AJ396=Constants!$B$7,IF(ISNUMBER(AU396),RANK(AU396,$AU$8:$AU$507),Constants!$B$14),$AJ396))</f>
        <v/>
      </c>
      <c r="AW396" s="87" t="str">
        <f aca="false">IF(ISBLANK($C396),"",IF($AJ396=Constants!$B$7,IF(ISNUMBER(AV396),COUNTIFS($AK$8:$AK$507,"&lt;"&amp;$AK396)+COUNTIFS($AK$8:$AK$507,$AK396,$AV$8:$AV$507,"&lt;"&amp;$AV396)+1,Constants!$B$14),$AJ396))</f>
        <v/>
      </c>
      <c r="AX396" s="87" t="str">
        <f aca="false">IF(ISBLANK($C396),"",IF($AJ396=Constants!$B$7,LARGE(AL396:AP396,4)*W396,""))</f>
        <v/>
      </c>
      <c r="AY396" s="87" t="str">
        <f aca="false">IF(ISBLANK($C396),"",IF($AJ396=Constants!$B$7,RANK(AX396,$AX$8:$AX$507),$AJ396))</f>
        <v/>
      </c>
      <c r="AZ396" s="87" t="str">
        <f aca="false">IF(ISBLANK($C396),"",IF($AJ396=Constants!$B$7,IF(ISNUMBER(AV396),COUNTIFS($AK$8:$AK$507,"&lt;"&amp;$AK396)+COUNTIFS($AK$8:$AK$507,$AK396,$AV$8:$AV$507,"&lt;"&amp;$AV396)+COUNTIFS($AK$8:$AK$507,$AK396,$AV$8:$AV$507,$AV396,$AY$8:$AY$507,"&lt;"&amp;$AY396)+1,Constants!$B$14),$AJ396))</f>
        <v/>
      </c>
      <c r="BA396" s="87" t="str">
        <f aca="false">IF(ISBLANK($C396),"",IF($AJ396=Constants!$B$7,IF(ISNUMBER(AW396),AW396-AZ396,Constants!$B$14),$AJ396))</f>
        <v/>
      </c>
      <c r="BB396" s="88"/>
      <c r="BC396" s="89" t="str">
        <f aca="false">IF(ISBLANK($C396),"",IF($AJ396&lt;&gt;Constants!$B$7,$AJ396,SMALL(AQ396:AS396,1)&amp;", "&amp;SMALL(AQ396:AS396,2)&amp;", "&amp;SMALL(AQ396:AS396,3)))</f>
        <v/>
      </c>
      <c r="BD396" s="90" t="str">
        <f aca="false">IF(ISBLANK($C396),"",IF($AJ396&lt;&gt;Constants!$B$7,$AJ396,W396))</f>
        <v/>
      </c>
      <c r="BE396" s="91" t="str">
        <f aca="false">IF(ISBLANK($C396),"",IF($AJ396&lt;&gt;Constants!$B$7,$AJ396,AU396))</f>
        <v/>
      </c>
      <c r="BF396" s="92" t="str">
        <f aca="false">IF(ISBLANK($C396),"",IF($AJ396&lt;&gt;Constants!$B$7,$AJ396,AK396))</f>
        <v/>
      </c>
      <c r="BG396" s="90" t="str">
        <f aca="false">IF(ISBLANK($C396),"",BA396)</f>
        <v/>
      </c>
      <c r="BH396" s="90" t="str">
        <f aca="false">IF(ISBLANK($C396),"",AZ396)</f>
        <v/>
      </c>
      <c r="BI396" s="93" t="str">
        <f aca="false">IF(ISBLANK($C396),"",IF(BH396=Constants!$B$4,COUNTA($C$8:$C$507)+2,IF(BH396=Constants!$B$5,COUNTA($C$8:$C$507)+1,IF(BH396=Constants!$B$6,COUNTA($C$8:$C$507),BH396))))</f>
        <v/>
      </c>
      <c r="BJ396" s="5"/>
      <c r="BK396" s="94" t="n">
        <f aca="false">IF(OR(ISNUMBER(BH396),BH396=Constants!$B$4,BH396=Constants!$B$6,BH396=Constants!$B$5),1,0)</f>
        <v>0</v>
      </c>
      <c r="BL396" s="94" t="n">
        <v>389</v>
      </c>
      <c r="BM396" s="94" t="str">
        <f aca="false">IF(ISBLANK($C396),"",IF(ISNUMBER(BI396),BI396+ROW($B396)/1000,""))</f>
        <v/>
      </c>
      <c r="BN396" s="94" t="str">
        <f aca="false">IF(ISNUMBER(BM396),RANK(BM396,$BM$8:$BM$507,1),"")</f>
        <v/>
      </c>
      <c r="BO396" s="94" t="str">
        <f aca="false">IF(ISBLANK($C396),"",$B396)</f>
        <v/>
      </c>
      <c r="BP396" s="94" t="str">
        <f aca="false">IF(ISBLANK($C396),"",$C396)</f>
        <v/>
      </c>
      <c r="BQ396" s="94" t="str">
        <f aca="false">IF(ISBLANK($C396),"",$D396)</f>
        <v/>
      </c>
      <c r="BR396" s="95" t="str">
        <f aca="false">BF396</f>
        <v/>
      </c>
      <c r="BS396" s="96" t="str">
        <f aca="false">BE396</f>
        <v/>
      </c>
      <c r="BT396" s="94" t="str">
        <f aca="false">IF(ISBLANK($C396),"",BH396)</f>
        <v/>
      </c>
      <c r="BU396" s="97" t="str">
        <f aca="false">IF($BL396&gt;$BK$7,"",VLOOKUP($BL396,$BN$8:$BT$507,7,FALSE()))</f>
        <v/>
      </c>
      <c r="BV396" s="98" t="str">
        <f aca="false">IF($BL396&gt;$BK$7,"",VLOOKUP($BL396,$BN$8:$BT$507,2,FALSE()))</f>
        <v/>
      </c>
      <c r="BW396" s="98" t="str">
        <f aca="false">IF($BL396&gt;$BK$7,"",VLOOKUP($BL396,$BN$8:$BT$507,3,FALSE()))</f>
        <v/>
      </c>
      <c r="BX396" s="98" t="str">
        <f aca="false">IF($BL396&gt;$BK$7,"",VLOOKUP($BL396,$BN$8:$BT$507,4,FALSE()))</f>
        <v/>
      </c>
      <c r="BY396" s="98" t="str">
        <f aca="false">IF($BL396&gt;$BK$7,"",VLOOKUP($BL396,$BN$8:$BT$507,5,FALSE()))</f>
        <v/>
      </c>
      <c r="BZ396" s="99" t="str">
        <f aca="false">IF($BL396&gt;$BK$7,"",VLOOKUP($BL396,$BN$8:$BT$507,6,FALSE()))</f>
        <v/>
      </c>
      <c r="CA396" s="48"/>
    </row>
    <row r="397" customFormat="false" ht="15.75" hidden="false" customHeight="false" outlineLevel="0" collapsed="false">
      <c r="A397" s="5"/>
      <c r="B397" s="114"/>
      <c r="C397" s="115"/>
      <c r="D397" s="100"/>
      <c r="E397" s="120"/>
      <c r="F397" s="125"/>
      <c r="G397" s="82"/>
      <c r="H397" s="126"/>
      <c r="I397" s="127"/>
      <c r="J397" s="82"/>
      <c r="K397" s="126"/>
      <c r="L397" s="82"/>
      <c r="M397" s="126"/>
      <c r="N397" s="82"/>
      <c r="O397" s="126"/>
      <c r="P397" s="82"/>
      <c r="Q397" s="126"/>
      <c r="R397" s="82"/>
      <c r="S397" s="120"/>
      <c r="T397" s="86"/>
      <c r="U397" s="87" t="str">
        <f aca="false">IF(ISBLANK($C397),"",IF(E397=Constants!$B$2, TRUE(), IF(E397=Constants!$B$3, FALSE(), TRUE())))</f>
        <v/>
      </c>
      <c r="V397" s="87" t="str">
        <f aca="false">IF(ISBLANK($C397),"",IF(F397=Constants!$B$2, TRUE(), IF(F397=Constants!$B$3, FALSE(), TRUE())))</f>
        <v/>
      </c>
      <c r="W397" s="87" t="str">
        <f aca="false">IF(ISBLANK($C397),"",IF(G397=Constants!$B$15,Constants!$B$8,IF(G397=Constants!$B$16,Constants!$B$9,Constants!$B$10)))</f>
        <v/>
      </c>
      <c r="X397" s="87" t="str">
        <f aca="false">IF(ISBLANK($C397),"",IF(H397=Constants!$B$2, TRUE(), IF(H397=Constants!$B$3, FALSE(), TRUE())))</f>
        <v/>
      </c>
      <c r="Y397" s="87" t="str">
        <f aca="false">IF(ISBLANK($C397),"",IF(I397=Constants!$B$19,Constants!$B$19,Constants!$B$18))</f>
        <v/>
      </c>
      <c r="Z397" s="87" t="str">
        <f aca="false">IF(ISBLANK($C397),"",IF(ISNUMBER(J397),IF(J397&gt;=0,J397,""),""))</f>
        <v/>
      </c>
      <c r="AA397" s="87" t="str">
        <f aca="false">IF(ISBLANK($C397),"",IF(K397=Constants!$B$19,Constants!$B$19,Constants!$B$18))</f>
        <v/>
      </c>
      <c r="AB397" s="87" t="str">
        <f aca="false">IF(ISBLANK($C397),"",IF(ISNUMBER(L397),IF(L397&gt;=0,L397,""),""))</f>
        <v/>
      </c>
      <c r="AC397" s="87" t="str">
        <f aca="false">IF(ISBLANK($C397),"",IF(M397=Constants!$B$19,Constants!$B$19,Constants!$B$18))</f>
        <v/>
      </c>
      <c r="AD397" s="87" t="str">
        <f aca="false">IF(ISBLANK($C397),"",IF(ISNUMBER(N397),IF(N397&gt;=0,N397,""),""))</f>
        <v/>
      </c>
      <c r="AE397" s="87" t="str">
        <f aca="false">IF(ISBLANK($C397),"",IF(O397=Constants!$B$19,Constants!$B$19,Constants!$B$18))</f>
        <v/>
      </c>
      <c r="AF397" s="87" t="str">
        <f aca="false">IF(ISBLANK($C397),"",IF(ISNUMBER(P397),IF(P397&gt;=0,P397,""),""))</f>
        <v/>
      </c>
      <c r="AG397" s="87" t="str">
        <f aca="false">IF(ISBLANK($C397),"",IF(Q397=Constants!$B$19,Constants!$B$19,Constants!$B$18))</f>
        <v/>
      </c>
      <c r="AH397" s="87" t="str">
        <f aca="false">IF(ISBLANK($C397),"",IF(ISNUMBER(R397),IF(R397&gt;=0,R397,""),""))</f>
        <v/>
      </c>
      <c r="AI397" s="87" t="str">
        <f aca="false">IF(ISBLANK($C397),"",IF(S397=Constants!$B$2, TRUE(), IF(S397=Constants!$B$3, FALSE(), FALSE())))</f>
        <v/>
      </c>
      <c r="AJ397" s="87" t="str">
        <f aca="false">IF(ISBLANK($C397),"",IF(AI397,Constants!$B$4,IF(COUNTA(E397:R397)=0,Constants!$B$5,IF(COUNTA(J397,L397,N397,P397,R397)=0,Constants!$B$6,Constants!$B$7))))</f>
        <v/>
      </c>
      <c r="AK397" s="87" t="str">
        <f aca="false">IF(ISBLANK($C397),"",IF($AJ397&lt;&gt;Constants!$B$7,$AJ397,IF(OR(NOT(X397),AND(NOT(U397),COUNTIFS(Y397:AG397,Constants!$B$18,Z397:AH397,"&gt;=0")&gt;0),AND(NOT(V397),COUNTIFS(Y397:AG397,Constants!$B$19,Z397:AH397,"&gt;=0")&gt;0)),Constants!$B$12,Constants!$B$11)))</f>
        <v/>
      </c>
      <c r="AL397" s="87" t="str">
        <f aca="false">IF($AJ397=Constants!$B$7,IF(Z397="",Constants!$B$13,Z397),"")</f>
        <v/>
      </c>
      <c r="AM397" s="87" t="str">
        <f aca="false">IF($AJ397=Constants!$B$7,IF(AB397="",Constants!$B$13,AB397),"")</f>
        <v/>
      </c>
      <c r="AN397" s="87" t="str">
        <f aca="false">IF($AJ397=Constants!$B$7,IF(AD397="",Constants!$B$13,AD397),"")</f>
        <v/>
      </c>
      <c r="AO397" s="87" t="str">
        <f aca="false">IF($AJ397=Constants!$B$7,IF(AF397="",Constants!$B$13,AF397),"")</f>
        <v/>
      </c>
      <c r="AP397" s="87" t="str">
        <f aca="false">IF($AJ397=Constants!$B$7,IF(AH397="",Constants!$B$13,AH397),"")</f>
        <v/>
      </c>
      <c r="AQ397" s="87" t="str">
        <f aca="false">IF($AJ397=Constants!$B$7,IF(SUMPRODUCT(--($AL397:$AP397&gt;AL397))+SUMPRODUCT(--($AL397:AL397=AL397))=1,1,IF(SUMPRODUCT(--($AL397:$AP397&gt;AM397))+SUMPRODUCT(--($AL397:AM397=AM397))=1,2,IF(SUMPRODUCT(--($AL397:$AP397&gt;AN397))+SUMPRODUCT(--($AL397:AN397=AN397))=1,3,IF(SUMPRODUCT(--($AL397:$AP397&gt;AO397))+SUMPRODUCT(--($AL397:AO397=AO397))=1,4,5)))),"")</f>
        <v/>
      </c>
      <c r="AR397" s="87" t="str">
        <f aca="false">IF($AJ397=Constants!$B$7,IF(SUMPRODUCT(--($AL397:$AP397&gt;AL397))+SUMPRODUCT(--($AL397:AL397=AL397))=2,1,IF(SUMPRODUCT(--($AL397:$AP397&gt;AM397))+SUMPRODUCT(--($AL397:AM397=AM397))=2,2,IF(SUMPRODUCT(--($AL397:$AP397&gt;AN397))+SUMPRODUCT(--($AL397:AN397=AN397))=2,3,IF(SUMPRODUCT(--($AL397:$AP397&gt;AO397))+SUMPRODUCT(--($AL397:AO397=AO397))=2,4,5)))),"")</f>
        <v/>
      </c>
      <c r="AS397" s="87" t="str">
        <f aca="false">IF($AJ397=Constants!$B$7,IF(SUMPRODUCT(--($AL397:$AP397&gt;AL397))+SUMPRODUCT(--($AL397:AL397=AL397))=3,1,IF(SUMPRODUCT(--($AL397:$AP397&gt;AM397))+SUMPRODUCT(--($AL397:AM397=AM397))=3,2,IF(SUMPRODUCT(--($AL397:$AP397&gt;AN397))+SUMPRODUCT(--($AL397:AN397=AN397))=3,3,IF(SUMPRODUCT(--($AL397:$AP397&gt;AO397))+SUMPRODUCT(--($AL397:AO397=AO397))=3,4,5)))),"")</f>
        <v/>
      </c>
      <c r="AT397" s="87" t="str">
        <f aca="false">IF($AJ397=Constants!$B$7,LARGE(AL397:AP397,1)+LARGE(AL397:AP397,2)+LARGE(AL397:AP397,3),"")</f>
        <v/>
      </c>
      <c r="AU397" s="87" t="str">
        <f aca="false">IF(ISBLANK($C397),"",IF($AJ397&lt;&gt;Constants!$B$7,$AJ397,AT397*W397))</f>
        <v/>
      </c>
      <c r="AV397" s="87" t="str">
        <f aca="false">IF(ISBLANK($C397),"",IF($AJ397=Constants!$B$7,IF(ISNUMBER(AU397),RANK(AU397,$AU$8:$AU$507),Constants!$B$14),$AJ397))</f>
        <v/>
      </c>
      <c r="AW397" s="87" t="str">
        <f aca="false">IF(ISBLANK($C397),"",IF($AJ397=Constants!$B$7,IF(ISNUMBER(AV397),COUNTIFS($AK$8:$AK$507,"&lt;"&amp;$AK397)+COUNTIFS($AK$8:$AK$507,$AK397,$AV$8:$AV$507,"&lt;"&amp;$AV397)+1,Constants!$B$14),$AJ397))</f>
        <v/>
      </c>
      <c r="AX397" s="87" t="str">
        <f aca="false">IF(ISBLANK($C397),"",IF($AJ397=Constants!$B$7,LARGE(AL397:AP397,4)*W397,""))</f>
        <v/>
      </c>
      <c r="AY397" s="87" t="str">
        <f aca="false">IF(ISBLANK($C397),"",IF($AJ397=Constants!$B$7,RANK(AX397,$AX$8:$AX$507),$AJ397))</f>
        <v/>
      </c>
      <c r="AZ397" s="87" t="str">
        <f aca="false">IF(ISBLANK($C397),"",IF($AJ397=Constants!$B$7,IF(ISNUMBER(AV397),COUNTIFS($AK$8:$AK$507,"&lt;"&amp;$AK397)+COUNTIFS($AK$8:$AK$507,$AK397,$AV$8:$AV$507,"&lt;"&amp;$AV397)+COUNTIFS($AK$8:$AK$507,$AK397,$AV$8:$AV$507,$AV397,$AY$8:$AY$507,"&lt;"&amp;$AY397)+1,Constants!$B$14),$AJ397))</f>
        <v/>
      </c>
      <c r="BA397" s="87" t="str">
        <f aca="false">IF(ISBLANK($C397),"",IF($AJ397=Constants!$B$7,IF(ISNUMBER(AW397),AW397-AZ397,Constants!$B$14),$AJ397))</f>
        <v/>
      </c>
      <c r="BB397" s="88"/>
      <c r="BC397" s="89" t="str">
        <f aca="false">IF(ISBLANK($C397),"",IF($AJ397&lt;&gt;Constants!$B$7,$AJ397,SMALL(AQ397:AS397,1)&amp;", "&amp;SMALL(AQ397:AS397,2)&amp;", "&amp;SMALL(AQ397:AS397,3)))</f>
        <v/>
      </c>
      <c r="BD397" s="90" t="str">
        <f aca="false">IF(ISBLANK($C397),"",IF($AJ397&lt;&gt;Constants!$B$7,$AJ397,W397))</f>
        <v/>
      </c>
      <c r="BE397" s="91" t="str">
        <f aca="false">IF(ISBLANK($C397),"",IF($AJ397&lt;&gt;Constants!$B$7,$AJ397,AU397))</f>
        <v/>
      </c>
      <c r="BF397" s="92" t="str">
        <f aca="false">IF(ISBLANK($C397),"",IF($AJ397&lt;&gt;Constants!$B$7,$AJ397,AK397))</f>
        <v/>
      </c>
      <c r="BG397" s="90" t="str">
        <f aca="false">IF(ISBLANK($C397),"",BA397)</f>
        <v/>
      </c>
      <c r="BH397" s="90" t="str">
        <f aca="false">IF(ISBLANK($C397),"",AZ397)</f>
        <v/>
      </c>
      <c r="BI397" s="93" t="str">
        <f aca="false">IF(ISBLANK($C397),"",IF(BH397=Constants!$B$4,COUNTA($C$8:$C$507)+2,IF(BH397=Constants!$B$5,COUNTA($C$8:$C$507)+1,IF(BH397=Constants!$B$6,COUNTA($C$8:$C$507),BH397))))</f>
        <v/>
      </c>
      <c r="BJ397" s="5"/>
      <c r="BK397" s="94" t="n">
        <f aca="false">IF(OR(ISNUMBER(BH397),BH397=Constants!$B$4,BH397=Constants!$B$6,BH397=Constants!$B$5),1,0)</f>
        <v>0</v>
      </c>
      <c r="BL397" s="94" t="n">
        <v>390</v>
      </c>
      <c r="BM397" s="94" t="str">
        <f aca="false">IF(ISBLANK($C397),"",IF(ISNUMBER(BI397),BI397+ROW($B397)/1000,""))</f>
        <v/>
      </c>
      <c r="BN397" s="94" t="str">
        <f aca="false">IF(ISNUMBER(BM397),RANK(BM397,$BM$8:$BM$507,1),"")</f>
        <v/>
      </c>
      <c r="BO397" s="94" t="str">
        <f aca="false">IF(ISBLANK($C397),"",$B397)</f>
        <v/>
      </c>
      <c r="BP397" s="94" t="str">
        <f aca="false">IF(ISBLANK($C397),"",$C397)</f>
        <v/>
      </c>
      <c r="BQ397" s="94" t="str">
        <f aca="false">IF(ISBLANK($C397),"",$D397)</f>
        <v/>
      </c>
      <c r="BR397" s="95" t="str">
        <f aca="false">BF397</f>
        <v/>
      </c>
      <c r="BS397" s="96" t="str">
        <f aca="false">BE397</f>
        <v/>
      </c>
      <c r="BT397" s="94" t="str">
        <f aca="false">IF(ISBLANK($C397),"",BH397)</f>
        <v/>
      </c>
      <c r="BU397" s="97" t="str">
        <f aca="false">IF($BL397&gt;$BK$7,"",VLOOKUP($BL397,$BN$8:$BT$507,7,FALSE()))</f>
        <v/>
      </c>
      <c r="BV397" s="98" t="str">
        <f aca="false">IF($BL397&gt;$BK$7,"",VLOOKUP($BL397,$BN$8:$BT$507,2,FALSE()))</f>
        <v/>
      </c>
      <c r="BW397" s="98" t="str">
        <f aca="false">IF($BL397&gt;$BK$7,"",VLOOKUP($BL397,$BN$8:$BT$507,3,FALSE()))</f>
        <v/>
      </c>
      <c r="BX397" s="98" t="str">
        <f aca="false">IF($BL397&gt;$BK$7,"",VLOOKUP($BL397,$BN$8:$BT$507,4,FALSE()))</f>
        <v/>
      </c>
      <c r="BY397" s="98" t="str">
        <f aca="false">IF($BL397&gt;$BK$7,"",VLOOKUP($BL397,$BN$8:$BT$507,5,FALSE()))</f>
        <v/>
      </c>
      <c r="BZ397" s="99" t="str">
        <f aca="false">IF($BL397&gt;$BK$7,"",VLOOKUP($BL397,$BN$8:$BT$507,6,FALSE()))</f>
        <v/>
      </c>
      <c r="CA397" s="48"/>
    </row>
    <row r="398" customFormat="false" ht="15.75" hidden="false" customHeight="false" outlineLevel="0" collapsed="false">
      <c r="A398" s="5"/>
      <c r="B398" s="121"/>
      <c r="C398" s="50"/>
      <c r="D398" s="51"/>
      <c r="E398" s="74"/>
      <c r="F398" s="122"/>
      <c r="G398" s="54"/>
      <c r="H398" s="123"/>
      <c r="I398" s="124"/>
      <c r="J398" s="54"/>
      <c r="K398" s="123"/>
      <c r="L398" s="54"/>
      <c r="M398" s="123"/>
      <c r="N398" s="54"/>
      <c r="O398" s="123"/>
      <c r="P398" s="54"/>
      <c r="Q398" s="123"/>
      <c r="R398" s="54"/>
      <c r="S398" s="74"/>
      <c r="T398" s="58"/>
      <c r="U398" s="59" t="str">
        <f aca="false">IF(ISBLANK($C398),"",IF(E398=Constants!$B$2, TRUE(), IF(E398=Constants!$B$3, FALSE(), TRUE())))</f>
        <v/>
      </c>
      <c r="V398" s="59" t="str">
        <f aca="false">IF(ISBLANK($C398),"",IF(F398=Constants!$B$2, TRUE(), IF(F398=Constants!$B$3, FALSE(), TRUE())))</f>
        <v/>
      </c>
      <c r="W398" s="59" t="str">
        <f aca="false">IF(ISBLANK($C398),"",IF(G398=Constants!$B$15,Constants!$B$8,IF(G398=Constants!$B$16,Constants!$B$9,Constants!$B$10)))</f>
        <v/>
      </c>
      <c r="X398" s="59" t="str">
        <f aca="false">IF(ISBLANK($C398),"",IF(H398=Constants!$B$2, TRUE(), IF(H398=Constants!$B$3, FALSE(), TRUE())))</f>
        <v/>
      </c>
      <c r="Y398" s="59" t="str">
        <f aca="false">IF(ISBLANK($C398),"",IF(I398=Constants!$B$19,Constants!$B$19,Constants!$B$18))</f>
        <v/>
      </c>
      <c r="Z398" s="59" t="str">
        <f aca="false">IF(ISBLANK($C398),"",IF(ISNUMBER(J398),IF(J398&gt;=0,J398,""),""))</f>
        <v/>
      </c>
      <c r="AA398" s="59" t="str">
        <f aca="false">IF(ISBLANK($C398),"",IF(K398=Constants!$B$19,Constants!$B$19,Constants!$B$18))</f>
        <v/>
      </c>
      <c r="AB398" s="59" t="str">
        <f aca="false">IF(ISBLANK($C398),"",IF(ISNUMBER(L398),IF(L398&gt;=0,L398,""),""))</f>
        <v/>
      </c>
      <c r="AC398" s="59" t="str">
        <f aca="false">IF(ISBLANK($C398),"",IF(M398=Constants!$B$19,Constants!$B$19,Constants!$B$18))</f>
        <v/>
      </c>
      <c r="AD398" s="59" t="str">
        <f aca="false">IF(ISBLANK($C398),"",IF(ISNUMBER(N398),IF(N398&gt;=0,N398,""),""))</f>
        <v/>
      </c>
      <c r="AE398" s="59" t="str">
        <f aca="false">IF(ISBLANK($C398),"",IF(O398=Constants!$B$19,Constants!$B$19,Constants!$B$18))</f>
        <v/>
      </c>
      <c r="AF398" s="59" t="str">
        <f aca="false">IF(ISBLANK($C398),"",IF(ISNUMBER(P398),IF(P398&gt;=0,P398,""),""))</f>
        <v/>
      </c>
      <c r="AG398" s="59" t="str">
        <f aca="false">IF(ISBLANK($C398),"",IF(Q398=Constants!$B$19,Constants!$B$19,Constants!$B$18))</f>
        <v/>
      </c>
      <c r="AH398" s="59" t="str">
        <f aca="false">IF(ISBLANK($C398),"",IF(ISNUMBER(R398),IF(R398&gt;=0,R398,""),""))</f>
        <v/>
      </c>
      <c r="AI398" s="59" t="str">
        <f aca="false">IF(ISBLANK($C398),"",IF(S398=Constants!$B$2, TRUE(), IF(S398=Constants!$B$3, FALSE(), FALSE())))</f>
        <v/>
      </c>
      <c r="AJ398" s="59" t="str">
        <f aca="false">IF(ISBLANK($C398),"",IF(AI398,Constants!$B$4,IF(COUNTA(E398:R398)=0,Constants!$B$5,IF(COUNTA(J398,L398,N398,P398,R398)=0,Constants!$B$6,Constants!$B$7))))</f>
        <v/>
      </c>
      <c r="AK398" s="59" t="str">
        <f aca="false">IF(ISBLANK($C398),"",IF($AJ398&lt;&gt;Constants!$B$7,$AJ398,IF(OR(NOT(X398),AND(NOT(U398),COUNTIFS(Y398:AG398,Constants!$B$18,Z398:AH398,"&gt;=0")&gt;0),AND(NOT(V398),COUNTIFS(Y398:AG398,Constants!$B$19,Z398:AH398,"&gt;=0")&gt;0)),Constants!$B$12,Constants!$B$11)))</f>
        <v/>
      </c>
      <c r="AL398" s="59" t="str">
        <f aca="false">IF($AJ398=Constants!$B$7,IF(Z398="",Constants!$B$13,Z398),"")</f>
        <v/>
      </c>
      <c r="AM398" s="59" t="str">
        <f aca="false">IF($AJ398=Constants!$B$7,IF(AB398="",Constants!$B$13,AB398),"")</f>
        <v/>
      </c>
      <c r="AN398" s="59" t="str">
        <f aca="false">IF($AJ398=Constants!$B$7,IF(AD398="",Constants!$B$13,AD398),"")</f>
        <v/>
      </c>
      <c r="AO398" s="59" t="str">
        <f aca="false">IF($AJ398=Constants!$B$7,IF(AF398="",Constants!$B$13,AF398),"")</f>
        <v/>
      </c>
      <c r="AP398" s="59" t="str">
        <f aca="false">IF($AJ398=Constants!$B$7,IF(AH398="",Constants!$B$13,AH398),"")</f>
        <v/>
      </c>
      <c r="AQ398" s="59" t="str">
        <f aca="false">IF($AJ398=Constants!$B$7,IF(SUMPRODUCT(--($AL398:$AP398&gt;AL398))+SUMPRODUCT(--($AL398:AL398=AL398))=1,1,IF(SUMPRODUCT(--($AL398:$AP398&gt;AM398))+SUMPRODUCT(--($AL398:AM398=AM398))=1,2,IF(SUMPRODUCT(--($AL398:$AP398&gt;AN398))+SUMPRODUCT(--($AL398:AN398=AN398))=1,3,IF(SUMPRODUCT(--($AL398:$AP398&gt;AO398))+SUMPRODUCT(--($AL398:AO398=AO398))=1,4,5)))),"")</f>
        <v/>
      </c>
      <c r="AR398" s="59" t="str">
        <f aca="false">IF($AJ398=Constants!$B$7,IF(SUMPRODUCT(--($AL398:$AP398&gt;AL398))+SUMPRODUCT(--($AL398:AL398=AL398))=2,1,IF(SUMPRODUCT(--($AL398:$AP398&gt;AM398))+SUMPRODUCT(--($AL398:AM398=AM398))=2,2,IF(SUMPRODUCT(--($AL398:$AP398&gt;AN398))+SUMPRODUCT(--($AL398:AN398=AN398))=2,3,IF(SUMPRODUCT(--($AL398:$AP398&gt;AO398))+SUMPRODUCT(--($AL398:AO398=AO398))=2,4,5)))),"")</f>
        <v/>
      </c>
      <c r="AS398" s="59" t="str">
        <f aca="false">IF($AJ398=Constants!$B$7,IF(SUMPRODUCT(--($AL398:$AP398&gt;AL398))+SUMPRODUCT(--($AL398:AL398=AL398))=3,1,IF(SUMPRODUCT(--($AL398:$AP398&gt;AM398))+SUMPRODUCT(--($AL398:AM398=AM398))=3,2,IF(SUMPRODUCT(--($AL398:$AP398&gt;AN398))+SUMPRODUCT(--($AL398:AN398=AN398))=3,3,IF(SUMPRODUCT(--($AL398:$AP398&gt;AO398))+SUMPRODUCT(--($AL398:AO398=AO398))=3,4,5)))),"")</f>
        <v/>
      </c>
      <c r="AT398" s="59" t="str">
        <f aca="false">IF($AJ398=Constants!$B$7,LARGE(AL398:AP398,1)+LARGE(AL398:AP398,2)+LARGE(AL398:AP398,3),"")</f>
        <v/>
      </c>
      <c r="AU398" s="59" t="str">
        <f aca="false">IF(ISBLANK($C398),"",IF($AJ398&lt;&gt;Constants!$B$7,$AJ398,AT398*W398))</f>
        <v/>
      </c>
      <c r="AV398" s="59" t="str">
        <f aca="false">IF(ISBLANK($C398),"",IF($AJ398=Constants!$B$7,IF(ISNUMBER(AU398),RANK(AU398,$AU$8:$AU$507),Constants!$B$14),$AJ398))</f>
        <v/>
      </c>
      <c r="AW398" s="59" t="str">
        <f aca="false">IF(ISBLANK($C398),"",IF($AJ398=Constants!$B$7,IF(ISNUMBER(AV398),COUNTIFS($AK$8:$AK$507,"&lt;"&amp;$AK398)+COUNTIFS($AK$8:$AK$507,$AK398,$AV$8:$AV$507,"&lt;"&amp;$AV398)+1,Constants!$B$14),$AJ398))</f>
        <v/>
      </c>
      <c r="AX398" s="59" t="str">
        <f aca="false">IF(ISBLANK($C398),"",IF($AJ398=Constants!$B$7,LARGE(AL398:AP398,4)*W398,""))</f>
        <v/>
      </c>
      <c r="AY398" s="59" t="str">
        <f aca="false">IF(ISBLANK($C398),"",IF($AJ398=Constants!$B$7,RANK(AX398,$AX$8:$AX$507),$AJ398))</f>
        <v/>
      </c>
      <c r="AZ398" s="59" t="str">
        <f aca="false">IF(ISBLANK($C398),"",IF($AJ398=Constants!$B$7,IF(ISNUMBER(AV398),COUNTIFS($AK$8:$AK$507,"&lt;"&amp;$AK398)+COUNTIFS($AK$8:$AK$507,$AK398,$AV$8:$AV$507,"&lt;"&amp;$AV398)+COUNTIFS($AK$8:$AK$507,$AK398,$AV$8:$AV$507,$AV398,$AY$8:$AY$507,"&lt;"&amp;$AY398)+1,Constants!$B$14),$AJ398))</f>
        <v/>
      </c>
      <c r="BA398" s="59" t="str">
        <f aca="false">IF(ISBLANK($C398),"",IF($AJ398=Constants!$B$7,IF(ISNUMBER(AW398),AW398-AZ398,Constants!$B$14),$AJ398))</f>
        <v/>
      </c>
      <c r="BB398" s="61"/>
      <c r="BC398" s="62" t="str">
        <f aca="false">IF(ISBLANK($C398),"",IF($AJ398&lt;&gt;Constants!$B$7,$AJ398,SMALL(AQ398:AS398,1)&amp;", "&amp;SMALL(AQ398:AS398,2)&amp;", "&amp;SMALL(AQ398:AS398,3)))</f>
        <v/>
      </c>
      <c r="BD398" s="63" t="str">
        <f aca="false">IF(ISBLANK($C398),"",IF($AJ398&lt;&gt;Constants!$B$7,$AJ398,W398))</f>
        <v/>
      </c>
      <c r="BE398" s="64" t="str">
        <f aca="false">IF(ISBLANK($C398),"",IF($AJ398&lt;&gt;Constants!$B$7,$AJ398,AU398))</f>
        <v/>
      </c>
      <c r="BF398" s="65" t="str">
        <f aca="false">IF(ISBLANK($C398),"",IF($AJ398&lt;&gt;Constants!$B$7,$AJ398,AK398))</f>
        <v/>
      </c>
      <c r="BG398" s="63" t="str">
        <f aca="false">IF(ISBLANK($C398),"",BA398)</f>
        <v/>
      </c>
      <c r="BH398" s="63" t="str">
        <f aca="false">IF(ISBLANK($C398),"",AZ398)</f>
        <v/>
      </c>
      <c r="BI398" s="66" t="str">
        <f aca="false">IF(ISBLANK($C398),"",IF(BH398=Constants!$B$4,COUNTA($C$8:$C$507)+2,IF(BH398=Constants!$B$5,COUNTA($C$8:$C$507)+1,IF(BH398=Constants!$B$6,COUNTA($C$8:$C$507),BH398))))</f>
        <v/>
      </c>
      <c r="BJ398" s="5"/>
      <c r="BK398" s="67" t="n">
        <f aca="false">IF(OR(ISNUMBER(BH398),BH398=Constants!$B$4,BH398=Constants!$B$6,BH398=Constants!$B$5),1,0)</f>
        <v>0</v>
      </c>
      <c r="BL398" s="67" t="n">
        <v>391</v>
      </c>
      <c r="BM398" s="67" t="str">
        <f aca="false">IF(ISBLANK($C398),"",IF(ISNUMBER(BI398),BI398+ROW($B398)/1000,""))</f>
        <v/>
      </c>
      <c r="BN398" s="67" t="str">
        <f aca="false">IF(ISNUMBER(BM398),RANK(BM398,$BM$8:$BM$507,1),"")</f>
        <v/>
      </c>
      <c r="BO398" s="67" t="str">
        <f aca="false">IF(ISBLANK($C398),"",$B398)</f>
        <v/>
      </c>
      <c r="BP398" s="67" t="str">
        <f aca="false">IF(ISBLANK($C398),"",$C398)</f>
        <v/>
      </c>
      <c r="BQ398" s="67" t="str">
        <f aca="false">IF(ISBLANK($C398),"",$D398)</f>
        <v/>
      </c>
      <c r="BR398" s="68" t="str">
        <f aca="false">BF398</f>
        <v/>
      </c>
      <c r="BS398" s="69" t="str">
        <f aca="false">BE398</f>
        <v/>
      </c>
      <c r="BT398" s="67" t="str">
        <f aca="false">IF(ISBLANK($C398),"",BH398)</f>
        <v/>
      </c>
      <c r="BU398" s="70" t="str">
        <f aca="false">IF($BL398&gt;$BK$7,"",VLOOKUP($BL398,$BN$8:$BT$507,7,FALSE()))</f>
        <v/>
      </c>
      <c r="BV398" s="71" t="str">
        <f aca="false">IF($BL398&gt;$BK$7,"",VLOOKUP($BL398,$BN$8:$BT$507,2,FALSE()))</f>
        <v/>
      </c>
      <c r="BW398" s="71" t="str">
        <f aca="false">IF($BL398&gt;$BK$7,"",VLOOKUP($BL398,$BN$8:$BT$507,3,FALSE()))</f>
        <v/>
      </c>
      <c r="BX398" s="71" t="str">
        <f aca="false">IF($BL398&gt;$BK$7,"",VLOOKUP($BL398,$BN$8:$BT$507,4,FALSE()))</f>
        <v/>
      </c>
      <c r="BY398" s="71" t="str">
        <f aca="false">IF($BL398&gt;$BK$7,"",VLOOKUP($BL398,$BN$8:$BT$507,5,FALSE()))</f>
        <v/>
      </c>
      <c r="BZ398" s="72" t="str">
        <f aca="false">IF($BL398&gt;$BK$7,"",VLOOKUP($BL398,$BN$8:$BT$507,6,FALSE()))</f>
        <v/>
      </c>
      <c r="CA398" s="48"/>
    </row>
    <row r="399" customFormat="false" ht="15.75" hidden="false" customHeight="false" outlineLevel="0" collapsed="false">
      <c r="A399" s="5"/>
      <c r="B399" s="121"/>
      <c r="C399" s="50"/>
      <c r="D399" s="51"/>
      <c r="E399" s="74"/>
      <c r="F399" s="122"/>
      <c r="G399" s="54"/>
      <c r="H399" s="123"/>
      <c r="I399" s="124"/>
      <c r="J399" s="54"/>
      <c r="K399" s="123"/>
      <c r="L399" s="54"/>
      <c r="M399" s="123"/>
      <c r="N399" s="54"/>
      <c r="O399" s="123"/>
      <c r="P399" s="54"/>
      <c r="Q399" s="123"/>
      <c r="R399" s="54"/>
      <c r="S399" s="74"/>
      <c r="T399" s="58"/>
      <c r="U399" s="59" t="str">
        <f aca="false">IF(ISBLANK($C399),"",IF(E399=Constants!$B$2, TRUE(), IF(E399=Constants!$B$3, FALSE(), TRUE())))</f>
        <v/>
      </c>
      <c r="V399" s="59" t="str">
        <f aca="false">IF(ISBLANK($C399),"",IF(F399=Constants!$B$2, TRUE(), IF(F399=Constants!$B$3, FALSE(), TRUE())))</f>
        <v/>
      </c>
      <c r="W399" s="59" t="str">
        <f aca="false">IF(ISBLANK($C399),"",IF(G399=Constants!$B$15,Constants!$B$8,IF(G399=Constants!$B$16,Constants!$B$9,Constants!$B$10)))</f>
        <v/>
      </c>
      <c r="X399" s="59" t="str">
        <f aca="false">IF(ISBLANK($C399),"",IF(H399=Constants!$B$2, TRUE(), IF(H399=Constants!$B$3, FALSE(), TRUE())))</f>
        <v/>
      </c>
      <c r="Y399" s="59" t="str">
        <f aca="false">IF(ISBLANK($C399),"",IF(I399=Constants!$B$19,Constants!$B$19,Constants!$B$18))</f>
        <v/>
      </c>
      <c r="Z399" s="59" t="str">
        <f aca="false">IF(ISBLANK($C399),"",IF(ISNUMBER(J399),IF(J399&gt;=0,J399,""),""))</f>
        <v/>
      </c>
      <c r="AA399" s="59" t="str">
        <f aca="false">IF(ISBLANK($C399),"",IF(K399=Constants!$B$19,Constants!$B$19,Constants!$B$18))</f>
        <v/>
      </c>
      <c r="AB399" s="59" t="str">
        <f aca="false">IF(ISBLANK($C399),"",IF(ISNUMBER(L399),IF(L399&gt;=0,L399,""),""))</f>
        <v/>
      </c>
      <c r="AC399" s="59" t="str">
        <f aca="false">IF(ISBLANK($C399),"",IF(M399=Constants!$B$19,Constants!$B$19,Constants!$B$18))</f>
        <v/>
      </c>
      <c r="AD399" s="59" t="str">
        <f aca="false">IF(ISBLANK($C399),"",IF(ISNUMBER(N399),IF(N399&gt;=0,N399,""),""))</f>
        <v/>
      </c>
      <c r="AE399" s="59" t="str">
        <f aca="false">IF(ISBLANK($C399),"",IF(O399=Constants!$B$19,Constants!$B$19,Constants!$B$18))</f>
        <v/>
      </c>
      <c r="AF399" s="59" t="str">
        <f aca="false">IF(ISBLANK($C399),"",IF(ISNUMBER(P399),IF(P399&gt;=0,P399,""),""))</f>
        <v/>
      </c>
      <c r="AG399" s="59" t="str">
        <f aca="false">IF(ISBLANK($C399),"",IF(Q399=Constants!$B$19,Constants!$B$19,Constants!$B$18))</f>
        <v/>
      </c>
      <c r="AH399" s="59" t="str">
        <f aca="false">IF(ISBLANK($C399),"",IF(ISNUMBER(R399),IF(R399&gt;=0,R399,""),""))</f>
        <v/>
      </c>
      <c r="AI399" s="59" t="str">
        <f aca="false">IF(ISBLANK($C399),"",IF(S399=Constants!$B$2, TRUE(), IF(S399=Constants!$B$3, FALSE(), FALSE())))</f>
        <v/>
      </c>
      <c r="AJ399" s="59" t="str">
        <f aca="false">IF(ISBLANK($C399),"",IF(AI399,Constants!$B$4,IF(COUNTA(E399:R399)=0,Constants!$B$5,IF(COUNTA(J399,L399,N399,P399,R399)=0,Constants!$B$6,Constants!$B$7))))</f>
        <v/>
      </c>
      <c r="AK399" s="59" t="str">
        <f aca="false">IF(ISBLANK($C399),"",IF($AJ399&lt;&gt;Constants!$B$7,$AJ399,IF(OR(NOT(X399),AND(NOT(U399),COUNTIFS(Y399:AG399,Constants!$B$18,Z399:AH399,"&gt;=0")&gt;0),AND(NOT(V399),COUNTIFS(Y399:AG399,Constants!$B$19,Z399:AH399,"&gt;=0")&gt;0)),Constants!$B$12,Constants!$B$11)))</f>
        <v/>
      </c>
      <c r="AL399" s="59" t="str">
        <f aca="false">IF($AJ399=Constants!$B$7,IF(Z399="",Constants!$B$13,Z399),"")</f>
        <v/>
      </c>
      <c r="AM399" s="59" t="str">
        <f aca="false">IF($AJ399=Constants!$B$7,IF(AB399="",Constants!$B$13,AB399),"")</f>
        <v/>
      </c>
      <c r="AN399" s="59" t="str">
        <f aca="false">IF($AJ399=Constants!$B$7,IF(AD399="",Constants!$B$13,AD399),"")</f>
        <v/>
      </c>
      <c r="AO399" s="59" t="str">
        <f aca="false">IF($AJ399=Constants!$B$7,IF(AF399="",Constants!$B$13,AF399),"")</f>
        <v/>
      </c>
      <c r="AP399" s="59" t="str">
        <f aca="false">IF($AJ399=Constants!$B$7,IF(AH399="",Constants!$B$13,AH399),"")</f>
        <v/>
      </c>
      <c r="AQ399" s="59" t="str">
        <f aca="false">IF($AJ399=Constants!$B$7,IF(SUMPRODUCT(--($AL399:$AP399&gt;AL399))+SUMPRODUCT(--($AL399:AL399=AL399))=1,1,IF(SUMPRODUCT(--($AL399:$AP399&gt;AM399))+SUMPRODUCT(--($AL399:AM399=AM399))=1,2,IF(SUMPRODUCT(--($AL399:$AP399&gt;AN399))+SUMPRODUCT(--($AL399:AN399=AN399))=1,3,IF(SUMPRODUCT(--($AL399:$AP399&gt;AO399))+SUMPRODUCT(--($AL399:AO399=AO399))=1,4,5)))),"")</f>
        <v/>
      </c>
      <c r="AR399" s="59" t="str">
        <f aca="false">IF($AJ399=Constants!$B$7,IF(SUMPRODUCT(--($AL399:$AP399&gt;AL399))+SUMPRODUCT(--($AL399:AL399=AL399))=2,1,IF(SUMPRODUCT(--($AL399:$AP399&gt;AM399))+SUMPRODUCT(--($AL399:AM399=AM399))=2,2,IF(SUMPRODUCT(--($AL399:$AP399&gt;AN399))+SUMPRODUCT(--($AL399:AN399=AN399))=2,3,IF(SUMPRODUCT(--($AL399:$AP399&gt;AO399))+SUMPRODUCT(--($AL399:AO399=AO399))=2,4,5)))),"")</f>
        <v/>
      </c>
      <c r="AS399" s="59" t="str">
        <f aca="false">IF($AJ399=Constants!$B$7,IF(SUMPRODUCT(--($AL399:$AP399&gt;AL399))+SUMPRODUCT(--($AL399:AL399=AL399))=3,1,IF(SUMPRODUCT(--($AL399:$AP399&gt;AM399))+SUMPRODUCT(--($AL399:AM399=AM399))=3,2,IF(SUMPRODUCT(--($AL399:$AP399&gt;AN399))+SUMPRODUCT(--($AL399:AN399=AN399))=3,3,IF(SUMPRODUCT(--($AL399:$AP399&gt;AO399))+SUMPRODUCT(--($AL399:AO399=AO399))=3,4,5)))),"")</f>
        <v/>
      </c>
      <c r="AT399" s="59" t="str">
        <f aca="false">IF($AJ399=Constants!$B$7,LARGE(AL399:AP399,1)+LARGE(AL399:AP399,2)+LARGE(AL399:AP399,3),"")</f>
        <v/>
      </c>
      <c r="AU399" s="59" t="str">
        <f aca="false">IF(ISBLANK($C399),"",IF($AJ399&lt;&gt;Constants!$B$7,$AJ399,AT399*W399))</f>
        <v/>
      </c>
      <c r="AV399" s="59" t="str">
        <f aca="false">IF(ISBLANK($C399),"",IF($AJ399=Constants!$B$7,IF(ISNUMBER(AU399),RANK(AU399,$AU$8:$AU$507),Constants!$B$14),$AJ399))</f>
        <v/>
      </c>
      <c r="AW399" s="59" t="str">
        <f aca="false">IF(ISBLANK($C399),"",IF($AJ399=Constants!$B$7,IF(ISNUMBER(AV399),COUNTIFS($AK$8:$AK$507,"&lt;"&amp;$AK399)+COUNTIFS($AK$8:$AK$507,$AK399,$AV$8:$AV$507,"&lt;"&amp;$AV399)+1,Constants!$B$14),$AJ399))</f>
        <v/>
      </c>
      <c r="AX399" s="59" t="str">
        <f aca="false">IF(ISBLANK($C399),"",IF($AJ399=Constants!$B$7,LARGE(AL399:AP399,4)*W399,""))</f>
        <v/>
      </c>
      <c r="AY399" s="59" t="str">
        <f aca="false">IF(ISBLANK($C399),"",IF($AJ399=Constants!$B$7,RANK(AX399,$AX$8:$AX$507),$AJ399))</f>
        <v/>
      </c>
      <c r="AZ399" s="59" t="str">
        <f aca="false">IF(ISBLANK($C399),"",IF($AJ399=Constants!$B$7,IF(ISNUMBER(AV399),COUNTIFS($AK$8:$AK$507,"&lt;"&amp;$AK399)+COUNTIFS($AK$8:$AK$507,$AK399,$AV$8:$AV$507,"&lt;"&amp;$AV399)+COUNTIFS($AK$8:$AK$507,$AK399,$AV$8:$AV$507,$AV399,$AY$8:$AY$507,"&lt;"&amp;$AY399)+1,Constants!$B$14),$AJ399))</f>
        <v/>
      </c>
      <c r="BA399" s="59" t="str">
        <f aca="false">IF(ISBLANK($C399),"",IF($AJ399=Constants!$B$7,IF(ISNUMBER(AW399),AW399-AZ399,Constants!$B$14),$AJ399))</f>
        <v/>
      </c>
      <c r="BB399" s="61"/>
      <c r="BC399" s="62" t="str">
        <f aca="false">IF(ISBLANK($C399),"",IF($AJ399&lt;&gt;Constants!$B$7,$AJ399,SMALL(AQ399:AS399,1)&amp;", "&amp;SMALL(AQ399:AS399,2)&amp;", "&amp;SMALL(AQ399:AS399,3)))</f>
        <v/>
      </c>
      <c r="BD399" s="63" t="str">
        <f aca="false">IF(ISBLANK($C399),"",IF($AJ399&lt;&gt;Constants!$B$7,$AJ399,W399))</f>
        <v/>
      </c>
      <c r="BE399" s="64" t="str">
        <f aca="false">IF(ISBLANK($C399),"",IF($AJ399&lt;&gt;Constants!$B$7,$AJ399,AU399))</f>
        <v/>
      </c>
      <c r="BF399" s="65" t="str">
        <f aca="false">IF(ISBLANK($C399),"",IF($AJ399&lt;&gt;Constants!$B$7,$AJ399,AK399))</f>
        <v/>
      </c>
      <c r="BG399" s="63" t="str">
        <f aca="false">IF(ISBLANK($C399),"",BA399)</f>
        <v/>
      </c>
      <c r="BH399" s="63" t="str">
        <f aca="false">IF(ISBLANK($C399),"",AZ399)</f>
        <v/>
      </c>
      <c r="BI399" s="66" t="str">
        <f aca="false">IF(ISBLANK($C399),"",IF(BH399=Constants!$B$4,COUNTA($C$8:$C$507)+2,IF(BH399=Constants!$B$5,COUNTA($C$8:$C$507)+1,IF(BH399=Constants!$B$6,COUNTA($C$8:$C$507),BH399))))</f>
        <v/>
      </c>
      <c r="BJ399" s="5"/>
      <c r="BK399" s="67" t="n">
        <f aca="false">IF(OR(ISNUMBER(BH399),BH399=Constants!$B$4,BH399=Constants!$B$6,BH399=Constants!$B$5),1,0)</f>
        <v>0</v>
      </c>
      <c r="BL399" s="67" t="n">
        <v>392</v>
      </c>
      <c r="BM399" s="67" t="str">
        <f aca="false">IF(ISBLANK($C399),"",IF(ISNUMBER(BI399),BI399+ROW($B399)/1000,""))</f>
        <v/>
      </c>
      <c r="BN399" s="67" t="str">
        <f aca="false">IF(ISNUMBER(BM399),RANK(BM399,$BM$8:$BM$507,1),"")</f>
        <v/>
      </c>
      <c r="BO399" s="67" t="str">
        <f aca="false">IF(ISBLANK($C399),"",$B399)</f>
        <v/>
      </c>
      <c r="BP399" s="67" t="str">
        <f aca="false">IF(ISBLANK($C399),"",$C399)</f>
        <v/>
      </c>
      <c r="BQ399" s="67" t="str">
        <f aca="false">IF(ISBLANK($C399),"",$D399)</f>
        <v/>
      </c>
      <c r="BR399" s="68" t="str">
        <f aca="false">BF399</f>
        <v/>
      </c>
      <c r="BS399" s="69" t="str">
        <f aca="false">BE399</f>
        <v/>
      </c>
      <c r="BT399" s="67" t="str">
        <f aca="false">IF(ISBLANK($C399),"",BH399)</f>
        <v/>
      </c>
      <c r="BU399" s="70" t="str">
        <f aca="false">IF($BL399&gt;$BK$7,"",VLOOKUP($BL399,$BN$8:$BT$507,7,FALSE()))</f>
        <v/>
      </c>
      <c r="BV399" s="71" t="str">
        <f aca="false">IF($BL399&gt;$BK$7,"",VLOOKUP($BL399,$BN$8:$BT$507,2,FALSE()))</f>
        <v/>
      </c>
      <c r="BW399" s="71" t="str">
        <f aca="false">IF($BL399&gt;$BK$7,"",VLOOKUP($BL399,$BN$8:$BT$507,3,FALSE()))</f>
        <v/>
      </c>
      <c r="BX399" s="71" t="str">
        <f aca="false">IF($BL399&gt;$BK$7,"",VLOOKUP($BL399,$BN$8:$BT$507,4,FALSE()))</f>
        <v/>
      </c>
      <c r="BY399" s="71" t="str">
        <f aca="false">IF($BL399&gt;$BK$7,"",VLOOKUP($BL399,$BN$8:$BT$507,5,FALSE()))</f>
        <v/>
      </c>
      <c r="BZ399" s="72" t="str">
        <f aca="false">IF($BL399&gt;$BK$7,"",VLOOKUP($BL399,$BN$8:$BT$507,6,FALSE()))</f>
        <v/>
      </c>
      <c r="CA399" s="48"/>
    </row>
    <row r="400" customFormat="false" ht="15.75" hidden="false" customHeight="false" outlineLevel="0" collapsed="false">
      <c r="A400" s="5"/>
      <c r="B400" s="121"/>
      <c r="C400" s="50"/>
      <c r="D400" s="51"/>
      <c r="E400" s="74"/>
      <c r="F400" s="122"/>
      <c r="G400" s="54"/>
      <c r="H400" s="123"/>
      <c r="I400" s="124"/>
      <c r="J400" s="54"/>
      <c r="K400" s="123"/>
      <c r="L400" s="54"/>
      <c r="M400" s="123"/>
      <c r="N400" s="54"/>
      <c r="O400" s="123"/>
      <c r="P400" s="54"/>
      <c r="Q400" s="123"/>
      <c r="R400" s="54"/>
      <c r="S400" s="74"/>
      <c r="T400" s="58"/>
      <c r="U400" s="59" t="str">
        <f aca="false">IF(ISBLANK($C400),"",IF(E400=Constants!$B$2, TRUE(), IF(E400=Constants!$B$3, FALSE(), TRUE())))</f>
        <v/>
      </c>
      <c r="V400" s="59" t="str">
        <f aca="false">IF(ISBLANK($C400),"",IF(F400=Constants!$B$2, TRUE(), IF(F400=Constants!$B$3, FALSE(), TRUE())))</f>
        <v/>
      </c>
      <c r="W400" s="59" t="str">
        <f aca="false">IF(ISBLANK($C400),"",IF(G400=Constants!$B$15,Constants!$B$8,IF(G400=Constants!$B$16,Constants!$B$9,Constants!$B$10)))</f>
        <v/>
      </c>
      <c r="X400" s="59" t="str">
        <f aca="false">IF(ISBLANK($C400),"",IF(H400=Constants!$B$2, TRUE(), IF(H400=Constants!$B$3, FALSE(), TRUE())))</f>
        <v/>
      </c>
      <c r="Y400" s="59" t="str">
        <f aca="false">IF(ISBLANK($C400),"",IF(I400=Constants!$B$19,Constants!$B$19,Constants!$B$18))</f>
        <v/>
      </c>
      <c r="Z400" s="59" t="str">
        <f aca="false">IF(ISBLANK($C400),"",IF(ISNUMBER(J400),IF(J400&gt;=0,J400,""),""))</f>
        <v/>
      </c>
      <c r="AA400" s="59" t="str">
        <f aca="false">IF(ISBLANK($C400),"",IF(K400=Constants!$B$19,Constants!$B$19,Constants!$B$18))</f>
        <v/>
      </c>
      <c r="AB400" s="59" t="str">
        <f aca="false">IF(ISBLANK($C400),"",IF(ISNUMBER(L400),IF(L400&gt;=0,L400,""),""))</f>
        <v/>
      </c>
      <c r="AC400" s="59" t="str">
        <f aca="false">IF(ISBLANK($C400),"",IF(M400=Constants!$B$19,Constants!$B$19,Constants!$B$18))</f>
        <v/>
      </c>
      <c r="AD400" s="59" t="str">
        <f aca="false">IF(ISBLANK($C400),"",IF(ISNUMBER(N400),IF(N400&gt;=0,N400,""),""))</f>
        <v/>
      </c>
      <c r="AE400" s="59" t="str">
        <f aca="false">IF(ISBLANK($C400),"",IF(O400=Constants!$B$19,Constants!$B$19,Constants!$B$18))</f>
        <v/>
      </c>
      <c r="AF400" s="59" t="str">
        <f aca="false">IF(ISBLANK($C400),"",IF(ISNUMBER(P400),IF(P400&gt;=0,P400,""),""))</f>
        <v/>
      </c>
      <c r="AG400" s="59" t="str">
        <f aca="false">IF(ISBLANK($C400),"",IF(Q400=Constants!$B$19,Constants!$B$19,Constants!$B$18))</f>
        <v/>
      </c>
      <c r="AH400" s="59" t="str">
        <f aca="false">IF(ISBLANK($C400),"",IF(ISNUMBER(R400),IF(R400&gt;=0,R400,""),""))</f>
        <v/>
      </c>
      <c r="AI400" s="59" t="str">
        <f aca="false">IF(ISBLANK($C400),"",IF(S400=Constants!$B$2, TRUE(), IF(S400=Constants!$B$3, FALSE(), FALSE())))</f>
        <v/>
      </c>
      <c r="AJ400" s="59" t="str">
        <f aca="false">IF(ISBLANK($C400),"",IF(AI400,Constants!$B$4,IF(COUNTA(E400:R400)=0,Constants!$B$5,IF(COUNTA(J400,L400,N400,P400,R400)=0,Constants!$B$6,Constants!$B$7))))</f>
        <v/>
      </c>
      <c r="AK400" s="59" t="str">
        <f aca="false">IF(ISBLANK($C400),"",IF($AJ400&lt;&gt;Constants!$B$7,$AJ400,IF(OR(NOT(X400),AND(NOT(U400),COUNTIFS(Y400:AG400,Constants!$B$18,Z400:AH400,"&gt;=0")&gt;0),AND(NOT(V400),COUNTIFS(Y400:AG400,Constants!$B$19,Z400:AH400,"&gt;=0")&gt;0)),Constants!$B$12,Constants!$B$11)))</f>
        <v/>
      </c>
      <c r="AL400" s="59" t="str">
        <f aca="false">IF($AJ400=Constants!$B$7,IF(Z400="",Constants!$B$13,Z400),"")</f>
        <v/>
      </c>
      <c r="AM400" s="59" t="str">
        <f aca="false">IF($AJ400=Constants!$B$7,IF(AB400="",Constants!$B$13,AB400),"")</f>
        <v/>
      </c>
      <c r="AN400" s="59" t="str">
        <f aca="false">IF($AJ400=Constants!$B$7,IF(AD400="",Constants!$B$13,AD400),"")</f>
        <v/>
      </c>
      <c r="AO400" s="59" t="str">
        <f aca="false">IF($AJ400=Constants!$B$7,IF(AF400="",Constants!$B$13,AF400),"")</f>
        <v/>
      </c>
      <c r="AP400" s="59" t="str">
        <f aca="false">IF($AJ400=Constants!$B$7,IF(AH400="",Constants!$B$13,AH400),"")</f>
        <v/>
      </c>
      <c r="AQ400" s="59" t="str">
        <f aca="false">IF($AJ400=Constants!$B$7,IF(SUMPRODUCT(--($AL400:$AP400&gt;AL400))+SUMPRODUCT(--($AL400:AL400=AL400))=1,1,IF(SUMPRODUCT(--($AL400:$AP400&gt;AM400))+SUMPRODUCT(--($AL400:AM400=AM400))=1,2,IF(SUMPRODUCT(--($AL400:$AP400&gt;AN400))+SUMPRODUCT(--($AL400:AN400=AN400))=1,3,IF(SUMPRODUCT(--($AL400:$AP400&gt;AO400))+SUMPRODUCT(--($AL400:AO400=AO400))=1,4,5)))),"")</f>
        <v/>
      </c>
      <c r="AR400" s="59" t="str">
        <f aca="false">IF($AJ400=Constants!$B$7,IF(SUMPRODUCT(--($AL400:$AP400&gt;AL400))+SUMPRODUCT(--($AL400:AL400=AL400))=2,1,IF(SUMPRODUCT(--($AL400:$AP400&gt;AM400))+SUMPRODUCT(--($AL400:AM400=AM400))=2,2,IF(SUMPRODUCT(--($AL400:$AP400&gt;AN400))+SUMPRODUCT(--($AL400:AN400=AN400))=2,3,IF(SUMPRODUCT(--($AL400:$AP400&gt;AO400))+SUMPRODUCT(--($AL400:AO400=AO400))=2,4,5)))),"")</f>
        <v/>
      </c>
      <c r="AS400" s="59" t="str">
        <f aca="false">IF($AJ400=Constants!$B$7,IF(SUMPRODUCT(--($AL400:$AP400&gt;AL400))+SUMPRODUCT(--($AL400:AL400=AL400))=3,1,IF(SUMPRODUCT(--($AL400:$AP400&gt;AM400))+SUMPRODUCT(--($AL400:AM400=AM400))=3,2,IF(SUMPRODUCT(--($AL400:$AP400&gt;AN400))+SUMPRODUCT(--($AL400:AN400=AN400))=3,3,IF(SUMPRODUCT(--($AL400:$AP400&gt;AO400))+SUMPRODUCT(--($AL400:AO400=AO400))=3,4,5)))),"")</f>
        <v/>
      </c>
      <c r="AT400" s="59" t="str">
        <f aca="false">IF($AJ400=Constants!$B$7,LARGE(AL400:AP400,1)+LARGE(AL400:AP400,2)+LARGE(AL400:AP400,3),"")</f>
        <v/>
      </c>
      <c r="AU400" s="59" t="str">
        <f aca="false">IF(ISBLANK($C400),"",IF($AJ400&lt;&gt;Constants!$B$7,$AJ400,AT400*W400))</f>
        <v/>
      </c>
      <c r="AV400" s="59" t="str">
        <f aca="false">IF(ISBLANK($C400),"",IF($AJ400=Constants!$B$7,IF(ISNUMBER(AU400),RANK(AU400,$AU$8:$AU$507),Constants!$B$14),$AJ400))</f>
        <v/>
      </c>
      <c r="AW400" s="59" t="str">
        <f aca="false">IF(ISBLANK($C400),"",IF($AJ400=Constants!$B$7,IF(ISNUMBER(AV400),COUNTIFS($AK$8:$AK$507,"&lt;"&amp;$AK400)+COUNTIFS($AK$8:$AK$507,$AK400,$AV$8:$AV$507,"&lt;"&amp;$AV400)+1,Constants!$B$14),$AJ400))</f>
        <v/>
      </c>
      <c r="AX400" s="59" t="str">
        <f aca="false">IF(ISBLANK($C400),"",IF($AJ400=Constants!$B$7,LARGE(AL400:AP400,4)*W400,""))</f>
        <v/>
      </c>
      <c r="AY400" s="59" t="str">
        <f aca="false">IF(ISBLANK($C400),"",IF($AJ400=Constants!$B$7,RANK(AX400,$AX$8:$AX$507),$AJ400))</f>
        <v/>
      </c>
      <c r="AZ400" s="59" t="str">
        <f aca="false">IF(ISBLANK($C400),"",IF($AJ400=Constants!$B$7,IF(ISNUMBER(AV400),COUNTIFS($AK$8:$AK$507,"&lt;"&amp;$AK400)+COUNTIFS($AK$8:$AK$507,$AK400,$AV$8:$AV$507,"&lt;"&amp;$AV400)+COUNTIFS($AK$8:$AK$507,$AK400,$AV$8:$AV$507,$AV400,$AY$8:$AY$507,"&lt;"&amp;$AY400)+1,Constants!$B$14),$AJ400))</f>
        <v/>
      </c>
      <c r="BA400" s="59" t="str">
        <f aca="false">IF(ISBLANK($C400),"",IF($AJ400=Constants!$B$7,IF(ISNUMBER(AW400),AW400-AZ400,Constants!$B$14),$AJ400))</f>
        <v/>
      </c>
      <c r="BB400" s="61"/>
      <c r="BC400" s="62" t="str">
        <f aca="false">IF(ISBLANK($C400),"",IF($AJ400&lt;&gt;Constants!$B$7,$AJ400,SMALL(AQ400:AS400,1)&amp;", "&amp;SMALL(AQ400:AS400,2)&amp;", "&amp;SMALL(AQ400:AS400,3)))</f>
        <v/>
      </c>
      <c r="BD400" s="63" t="str">
        <f aca="false">IF(ISBLANK($C400),"",IF($AJ400&lt;&gt;Constants!$B$7,$AJ400,W400))</f>
        <v/>
      </c>
      <c r="BE400" s="64" t="str">
        <f aca="false">IF(ISBLANK($C400),"",IF($AJ400&lt;&gt;Constants!$B$7,$AJ400,AU400))</f>
        <v/>
      </c>
      <c r="BF400" s="65" t="str">
        <f aca="false">IF(ISBLANK($C400),"",IF($AJ400&lt;&gt;Constants!$B$7,$AJ400,AK400))</f>
        <v/>
      </c>
      <c r="BG400" s="63" t="str">
        <f aca="false">IF(ISBLANK($C400),"",BA400)</f>
        <v/>
      </c>
      <c r="BH400" s="63" t="str">
        <f aca="false">IF(ISBLANK($C400),"",AZ400)</f>
        <v/>
      </c>
      <c r="BI400" s="66" t="str">
        <f aca="false">IF(ISBLANK($C400),"",IF(BH400=Constants!$B$4,COUNTA($C$8:$C$507)+2,IF(BH400=Constants!$B$5,COUNTA($C$8:$C$507)+1,IF(BH400=Constants!$B$6,COUNTA($C$8:$C$507),BH400))))</f>
        <v/>
      </c>
      <c r="BJ400" s="5"/>
      <c r="BK400" s="67" t="n">
        <f aca="false">IF(OR(ISNUMBER(BH400),BH400=Constants!$B$4,BH400=Constants!$B$6,BH400=Constants!$B$5),1,0)</f>
        <v>0</v>
      </c>
      <c r="BL400" s="67" t="n">
        <v>393</v>
      </c>
      <c r="BM400" s="67" t="str">
        <f aca="false">IF(ISBLANK($C400),"",IF(ISNUMBER(BI400),BI400+ROW($B400)/1000,""))</f>
        <v/>
      </c>
      <c r="BN400" s="67" t="str">
        <f aca="false">IF(ISNUMBER(BM400),RANK(BM400,$BM$8:$BM$507,1),"")</f>
        <v/>
      </c>
      <c r="BO400" s="67" t="str">
        <f aca="false">IF(ISBLANK($C400),"",$B400)</f>
        <v/>
      </c>
      <c r="BP400" s="67" t="str">
        <f aca="false">IF(ISBLANK($C400),"",$C400)</f>
        <v/>
      </c>
      <c r="BQ400" s="67" t="str">
        <f aca="false">IF(ISBLANK($C400),"",$D400)</f>
        <v/>
      </c>
      <c r="BR400" s="68" t="str">
        <f aca="false">BF400</f>
        <v/>
      </c>
      <c r="BS400" s="69" t="str">
        <f aca="false">BE400</f>
        <v/>
      </c>
      <c r="BT400" s="67" t="str">
        <f aca="false">IF(ISBLANK($C400),"",BH400)</f>
        <v/>
      </c>
      <c r="BU400" s="70" t="str">
        <f aca="false">IF($BL400&gt;$BK$7,"",VLOOKUP($BL400,$BN$8:$BT$507,7,FALSE()))</f>
        <v/>
      </c>
      <c r="BV400" s="71" t="str">
        <f aca="false">IF($BL400&gt;$BK$7,"",VLOOKUP($BL400,$BN$8:$BT$507,2,FALSE()))</f>
        <v/>
      </c>
      <c r="BW400" s="71" t="str">
        <f aca="false">IF($BL400&gt;$BK$7,"",VLOOKUP($BL400,$BN$8:$BT$507,3,FALSE()))</f>
        <v/>
      </c>
      <c r="BX400" s="71" t="str">
        <f aca="false">IF($BL400&gt;$BK$7,"",VLOOKUP($BL400,$BN$8:$BT$507,4,FALSE()))</f>
        <v/>
      </c>
      <c r="BY400" s="71" t="str">
        <f aca="false">IF($BL400&gt;$BK$7,"",VLOOKUP($BL400,$BN$8:$BT$507,5,FALSE()))</f>
        <v/>
      </c>
      <c r="BZ400" s="72" t="str">
        <f aca="false">IF($BL400&gt;$BK$7,"",VLOOKUP($BL400,$BN$8:$BT$507,6,FALSE()))</f>
        <v/>
      </c>
      <c r="CA400" s="48"/>
    </row>
    <row r="401" customFormat="false" ht="15.75" hidden="false" customHeight="false" outlineLevel="0" collapsed="false">
      <c r="A401" s="5"/>
      <c r="B401" s="114"/>
      <c r="C401" s="115"/>
      <c r="D401" s="100"/>
      <c r="E401" s="120"/>
      <c r="F401" s="125"/>
      <c r="G401" s="82"/>
      <c r="H401" s="126"/>
      <c r="I401" s="127"/>
      <c r="J401" s="82"/>
      <c r="K401" s="126"/>
      <c r="L401" s="82"/>
      <c r="M401" s="126"/>
      <c r="N401" s="82"/>
      <c r="O401" s="126"/>
      <c r="P401" s="82"/>
      <c r="Q401" s="126"/>
      <c r="R401" s="82"/>
      <c r="S401" s="120"/>
      <c r="T401" s="86"/>
      <c r="U401" s="87" t="str">
        <f aca="false">IF(ISBLANK($C401),"",IF(E401=Constants!$B$2, TRUE(), IF(E401=Constants!$B$3, FALSE(), TRUE())))</f>
        <v/>
      </c>
      <c r="V401" s="87" t="str">
        <f aca="false">IF(ISBLANK($C401),"",IF(F401=Constants!$B$2, TRUE(), IF(F401=Constants!$B$3, FALSE(), TRUE())))</f>
        <v/>
      </c>
      <c r="W401" s="87" t="str">
        <f aca="false">IF(ISBLANK($C401),"",IF(G401=Constants!$B$15,Constants!$B$8,IF(G401=Constants!$B$16,Constants!$B$9,Constants!$B$10)))</f>
        <v/>
      </c>
      <c r="X401" s="87" t="str">
        <f aca="false">IF(ISBLANK($C401),"",IF(H401=Constants!$B$2, TRUE(), IF(H401=Constants!$B$3, FALSE(), TRUE())))</f>
        <v/>
      </c>
      <c r="Y401" s="87" t="str">
        <f aca="false">IF(ISBLANK($C401),"",IF(I401=Constants!$B$19,Constants!$B$19,Constants!$B$18))</f>
        <v/>
      </c>
      <c r="Z401" s="87" t="str">
        <f aca="false">IF(ISBLANK($C401),"",IF(ISNUMBER(J401),IF(J401&gt;=0,J401,""),""))</f>
        <v/>
      </c>
      <c r="AA401" s="87" t="str">
        <f aca="false">IF(ISBLANK($C401),"",IF(K401=Constants!$B$19,Constants!$B$19,Constants!$B$18))</f>
        <v/>
      </c>
      <c r="AB401" s="87" t="str">
        <f aca="false">IF(ISBLANK($C401),"",IF(ISNUMBER(L401),IF(L401&gt;=0,L401,""),""))</f>
        <v/>
      </c>
      <c r="AC401" s="87" t="str">
        <f aca="false">IF(ISBLANK($C401),"",IF(M401=Constants!$B$19,Constants!$B$19,Constants!$B$18))</f>
        <v/>
      </c>
      <c r="AD401" s="87" t="str">
        <f aca="false">IF(ISBLANK($C401),"",IF(ISNUMBER(N401),IF(N401&gt;=0,N401,""),""))</f>
        <v/>
      </c>
      <c r="AE401" s="87" t="str">
        <f aca="false">IF(ISBLANK($C401),"",IF(O401=Constants!$B$19,Constants!$B$19,Constants!$B$18))</f>
        <v/>
      </c>
      <c r="AF401" s="87" t="str">
        <f aca="false">IF(ISBLANK($C401),"",IF(ISNUMBER(P401),IF(P401&gt;=0,P401,""),""))</f>
        <v/>
      </c>
      <c r="AG401" s="87" t="str">
        <f aca="false">IF(ISBLANK($C401),"",IF(Q401=Constants!$B$19,Constants!$B$19,Constants!$B$18))</f>
        <v/>
      </c>
      <c r="AH401" s="87" t="str">
        <f aca="false">IF(ISBLANK($C401),"",IF(ISNUMBER(R401),IF(R401&gt;=0,R401,""),""))</f>
        <v/>
      </c>
      <c r="AI401" s="87" t="str">
        <f aca="false">IF(ISBLANK($C401),"",IF(S401=Constants!$B$2, TRUE(), IF(S401=Constants!$B$3, FALSE(), FALSE())))</f>
        <v/>
      </c>
      <c r="AJ401" s="87" t="str">
        <f aca="false">IF(ISBLANK($C401),"",IF(AI401,Constants!$B$4,IF(COUNTA(E401:R401)=0,Constants!$B$5,IF(COUNTA(J401,L401,N401,P401,R401)=0,Constants!$B$6,Constants!$B$7))))</f>
        <v/>
      </c>
      <c r="AK401" s="87" t="str">
        <f aca="false">IF(ISBLANK($C401),"",IF($AJ401&lt;&gt;Constants!$B$7,$AJ401,IF(OR(NOT(X401),AND(NOT(U401),COUNTIFS(Y401:AG401,Constants!$B$18,Z401:AH401,"&gt;=0")&gt;0),AND(NOT(V401),COUNTIFS(Y401:AG401,Constants!$B$19,Z401:AH401,"&gt;=0")&gt;0)),Constants!$B$12,Constants!$B$11)))</f>
        <v/>
      </c>
      <c r="AL401" s="87" t="str">
        <f aca="false">IF($AJ401=Constants!$B$7,IF(Z401="",Constants!$B$13,Z401),"")</f>
        <v/>
      </c>
      <c r="AM401" s="87" t="str">
        <f aca="false">IF($AJ401=Constants!$B$7,IF(AB401="",Constants!$B$13,AB401),"")</f>
        <v/>
      </c>
      <c r="AN401" s="87" t="str">
        <f aca="false">IF($AJ401=Constants!$B$7,IF(AD401="",Constants!$B$13,AD401),"")</f>
        <v/>
      </c>
      <c r="AO401" s="87" t="str">
        <f aca="false">IF($AJ401=Constants!$B$7,IF(AF401="",Constants!$B$13,AF401),"")</f>
        <v/>
      </c>
      <c r="AP401" s="87" t="str">
        <f aca="false">IF($AJ401=Constants!$B$7,IF(AH401="",Constants!$B$13,AH401),"")</f>
        <v/>
      </c>
      <c r="AQ401" s="87" t="str">
        <f aca="false">IF($AJ401=Constants!$B$7,IF(SUMPRODUCT(--($AL401:$AP401&gt;AL401))+SUMPRODUCT(--($AL401:AL401=AL401))=1,1,IF(SUMPRODUCT(--($AL401:$AP401&gt;AM401))+SUMPRODUCT(--($AL401:AM401=AM401))=1,2,IF(SUMPRODUCT(--($AL401:$AP401&gt;AN401))+SUMPRODUCT(--($AL401:AN401=AN401))=1,3,IF(SUMPRODUCT(--($AL401:$AP401&gt;AO401))+SUMPRODUCT(--($AL401:AO401=AO401))=1,4,5)))),"")</f>
        <v/>
      </c>
      <c r="AR401" s="87" t="str">
        <f aca="false">IF($AJ401=Constants!$B$7,IF(SUMPRODUCT(--($AL401:$AP401&gt;AL401))+SUMPRODUCT(--($AL401:AL401=AL401))=2,1,IF(SUMPRODUCT(--($AL401:$AP401&gt;AM401))+SUMPRODUCT(--($AL401:AM401=AM401))=2,2,IF(SUMPRODUCT(--($AL401:$AP401&gt;AN401))+SUMPRODUCT(--($AL401:AN401=AN401))=2,3,IF(SUMPRODUCT(--($AL401:$AP401&gt;AO401))+SUMPRODUCT(--($AL401:AO401=AO401))=2,4,5)))),"")</f>
        <v/>
      </c>
      <c r="AS401" s="87" t="str">
        <f aca="false">IF($AJ401=Constants!$B$7,IF(SUMPRODUCT(--($AL401:$AP401&gt;AL401))+SUMPRODUCT(--($AL401:AL401=AL401))=3,1,IF(SUMPRODUCT(--($AL401:$AP401&gt;AM401))+SUMPRODUCT(--($AL401:AM401=AM401))=3,2,IF(SUMPRODUCT(--($AL401:$AP401&gt;AN401))+SUMPRODUCT(--($AL401:AN401=AN401))=3,3,IF(SUMPRODUCT(--($AL401:$AP401&gt;AO401))+SUMPRODUCT(--($AL401:AO401=AO401))=3,4,5)))),"")</f>
        <v/>
      </c>
      <c r="AT401" s="87" t="str">
        <f aca="false">IF($AJ401=Constants!$B$7,LARGE(AL401:AP401,1)+LARGE(AL401:AP401,2)+LARGE(AL401:AP401,3),"")</f>
        <v/>
      </c>
      <c r="AU401" s="87" t="str">
        <f aca="false">IF(ISBLANK($C401),"",IF($AJ401&lt;&gt;Constants!$B$7,$AJ401,AT401*W401))</f>
        <v/>
      </c>
      <c r="AV401" s="87" t="str">
        <f aca="false">IF(ISBLANK($C401),"",IF($AJ401=Constants!$B$7,IF(ISNUMBER(AU401),RANK(AU401,$AU$8:$AU$507),Constants!$B$14),$AJ401))</f>
        <v/>
      </c>
      <c r="AW401" s="87" t="str">
        <f aca="false">IF(ISBLANK($C401),"",IF($AJ401=Constants!$B$7,IF(ISNUMBER(AV401),COUNTIFS($AK$8:$AK$507,"&lt;"&amp;$AK401)+COUNTIFS($AK$8:$AK$507,$AK401,$AV$8:$AV$507,"&lt;"&amp;$AV401)+1,Constants!$B$14),$AJ401))</f>
        <v/>
      </c>
      <c r="AX401" s="87" t="str">
        <f aca="false">IF(ISBLANK($C401),"",IF($AJ401=Constants!$B$7,LARGE(AL401:AP401,4)*W401,""))</f>
        <v/>
      </c>
      <c r="AY401" s="87" t="str">
        <f aca="false">IF(ISBLANK($C401),"",IF($AJ401=Constants!$B$7,RANK(AX401,$AX$8:$AX$507),$AJ401))</f>
        <v/>
      </c>
      <c r="AZ401" s="87" t="str">
        <f aca="false">IF(ISBLANK($C401),"",IF($AJ401=Constants!$B$7,IF(ISNUMBER(AV401),COUNTIFS($AK$8:$AK$507,"&lt;"&amp;$AK401)+COUNTIFS($AK$8:$AK$507,$AK401,$AV$8:$AV$507,"&lt;"&amp;$AV401)+COUNTIFS($AK$8:$AK$507,$AK401,$AV$8:$AV$507,$AV401,$AY$8:$AY$507,"&lt;"&amp;$AY401)+1,Constants!$B$14),$AJ401))</f>
        <v/>
      </c>
      <c r="BA401" s="87" t="str">
        <f aca="false">IF(ISBLANK($C401),"",IF($AJ401=Constants!$B$7,IF(ISNUMBER(AW401),AW401-AZ401,Constants!$B$14),$AJ401))</f>
        <v/>
      </c>
      <c r="BB401" s="88"/>
      <c r="BC401" s="89" t="str">
        <f aca="false">IF(ISBLANK($C401),"",IF($AJ401&lt;&gt;Constants!$B$7,$AJ401,SMALL(AQ401:AS401,1)&amp;", "&amp;SMALL(AQ401:AS401,2)&amp;", "&amp;SMALL(AQ401:AS401,3)))</f>
        <v/>
      </c>
      <c r="BD401" s="90" t="str">
        <f aca="false">IF(ISBLANK($C401),"",IF($AJ401&lt;&gt;Constants!$B$7,$AJ401,W401))</f>
        <v/>
      </c>
      <c r="BE401" s="91" t="str">
        <f aca="false">IF(ISBLANK($C401),"",IF($AJ401&lt;&gt;Constants!$B$7,$AJ401,AU401))</f>
        <v/>
      </c>
      <c r="BF401" s="92" t="str">
        <f aca="false">IF(ISBLANK($C401),"",IF($AJ401&lt;&gt;Constants!$B$7,$AJ401,AK401))</f>
        <v/>
      </c>
      <c r="BG401" s="90" t="str">
        <f aca="false">IF(ISBLANK($C401),"",BA401)</f>
        <v/>
      </c>
      <c r="BH401" s="90" t="str">
        <f aca="false">IF(ISBLANK($C401),"",AZ401)</f>
        <v/>
      </c>
      <c r="BI401" s="93" t="str">
        <f aca="false">IF(ISBLANK($C401),"",IF(BH401=Constants!$B$4,COUNTA($C$8:$C$507)+2,IF(BH401=Constants!$B$5,COUNTA($C$8:$C$507)+1,IF(BH401=Constants!$B$6,COUNTA($C$8:$C$507),BH401))))</f>
        <v/>
      </c>
      <c r="BJ401" s="5"/>
      <c r="BK401" s="94" t="n">
        <f aca="false">IF(OR(ISNUMBER(BH401),BH401=Constants!$B$4,BH401=Constants!$B$6,BH401=Constants!$B$5),1,0)</f>
        <v>0</v>
      </c>
      <c r="BL401" s="94" t="n">
        <v>394</v>
      </c>
      <c r="BM401" s="94" t="str">
        <f aca="false">IF(ISBLANK($C401),"",IF(ISNUMBER(BI401),BI401+ROW($B401)/1000,""))</f>
        <v/>
      </c>
      <c r="BN401" s="94" t="str">
        <f aca="false">IF(ISNUMBER(BM401),RANK(BM401,$BM$8:$BM$507,1),"")</f>
        <v/>
      </c>
      <c r="BO401" s="94" t="str">
        <f aca="false">IF(ISBLANK($C401),"",$B401)</f>
        <v/>
      </c>
      <c r="BP401" s="94" t="str">
        <f aca="false">IF(ISBLANK($C401),"",$C401)</f>
        <v/>
      </c>
      <c r="BQ401" s="94" t="str">
        <f aca="false">IF(ISBLANK($C401),"",$D401)</f>
        <v/>
      </c>
      <c r="BR401" s="95" t="str">
        <f aca="false">BF401</f>
        <v/>
      </c>
      <c r="BS401" s="96" t="str">
        <f aca="false">BE401</f>
        <v/>
      </c>
      <c r="BT401" s="94" t="str">
        <f aca="false">IF(ISBLANK($C401),"",BH401)</f>
        <v/>
      </c>
      <c r="BU401" s="97" t="str">
        <f aca="false">IF($BL401&gt;$BK$7,"",VLOOKUP($BL401,$BN$8:$BT$507,7,FALSE()))</f>
        <v/>
      </c>
      <c r="BV401" s="98" t="str">
        <f aca="false">IF($BL401&gt;$BK$7,"",VLOOKUP($BL401,$BN$8:$BT$507,2,FALSE()))</f>
        <v/>
      </c>
      <c r="BW401" s="98" t="str">
        <f aca="false">IF($BL401&gt;$BK$7,"",VLOOKUP($BL401,$BN$8:$BT$507,3,FALSE()))</f>
        <v/>
      </c>
      <c r="BX401" s="98" t="str">
        <f aca="false">IF($BL401&gt;$BK$7,"",VLOOKUP($BL401,$BN$8:$BT$507,4,FALSE()))</f>
        <v/>
      </c>
      <c r="BY401" s="98" t="str">
        <f aca="false">IF($BL401&gt;$BK$7,"",VLOOKUP($BL401,$BN$8:$BT$507,5,FALSE()))</f>
        <v/>
      </c>
      <c r="BZ401" s="99" t="str">
        <f aca="false">IF($BL401&gt;$BK$7,"",VLOOKUP($BL401,$BN$8:$BT$507,6,FALSE()))</f>
        <v/>
      </c>
      <c r="CA401" s="48"/>
    </row>
    <row r="402" customFormat="false" ht="15.75" hidden="false" customHeight="false" outlineLevel="0" collapsed="false">
      <c r="A402" s="5"/>
      <c r="B402" s="114"/>
      <c r="C402" s="115"/>
      <c r="D402" s="100"/>
      <c r="E402" s="120"/>
      <c r="F402" s="125"/>
      <c r="G402" s="82"/>
      <c r="H402" s="126"/>
      <c r="I402" s="127"/>
      <c r="J402" s="82"/>
      <c r="K402" s="126"/>
      <c r="L402" s="82"/>
      <c r="M402" s="126"/>
      <c r="N402" s="82"/>
      <c r="O402" s="126"/>
      <c r="P402" s="82"/>
      <c r="Q402" s="126"/>
      <c r="R402" s="82"/>
      <c r="S402" s="120"/>
      <c r="T402" s="86"/>
      <c r="U402" s="87" t="str">
        <f aca="false">IF(ISBLANK($C402),"",IF(E402=Constants!$B$2, TRUE(), IF(E402=Constants!$B$3, FALSE(), TRUE())))</f>
        <v/>
      </c>
      <c r="V402" s="87" t="str">
        <f aca="false">IF(ISBLANK($C402),"",IF(F402=Constants!$B$2, TRUE(), IF(F402=Constants!$B$3, FALSE(), TRUE())))</f>
        <v/>
      </c>
      <c r="W402" s="87" t="str">
        <f aca="false">IF(ISBLANK($C402),"",IF(G402=Constants!$B$15,Constants!$B$8,IF(G402=Constants!$B$16,Constants!$B$9,Constants!$B$10)))</f>
        <v/>
      </c>
      <c r="X402" s="87" t="str">
        <f aca="false">IF(ISBLANK($C402),"",IF(H402=Constants!$B$2, TRUE(), IF(H402=Constants!$B$3, FALSE(), TRUE())))</f>
        <v/>
      </c>
      <c r="Y402" s="87" t="str">
        <f aca="false">IF(ISBLANK($C402),"",IF(I402=Constants!$B$19,Constants!$B$19,Constants!$B$18))</f>
        <v/>
      </c>
      <c r="Z402" s="87" t="str">
        <f aca="false">IF(ISBLANK($C402),"",IF(ISNUMBER(J402),IF(J402&gt;=0,J402,""),""))</f>
        <v/>
      </c>
      <c r="AA402" s="87" t="str">
        <f aca="false">IF(ISBLANK($C402),"",IF(K402=Constants!$B$19,Constants!$B$19,Constants!$B$18))</f>
        <v/>
      </c>
      <c r="AB402" s="87" t="str">
        <f aca="false">IF(ISBLANK($C402),"",IF(ISNUMBER(L402),IF(L402&gt;=0,L402,""),""))</f>
        <v/>
      </c>
      <c r="AC402" s="87" t="str">
        <f aca="false">IF(ISBLANK($C402),"",IF(M402=Constants!$B$19,Constants!$B$19,Constants!$B$18))</f>
        <v/>
      </c>
      <c r="AD402" s="87" t="str">
        <f aca="false">IF(ISBLANK($C402),"",IF(ISNUMBER(N402),IF(N402&gt;=0,N402,""),""))</f>
        <v/>
      </c>
      <c r="AE402" s="87" t="str">
        <f aca="false">IF(ISBLANK($C402),"",IF(O402=Constants!$B$19,Constants!$B$19,Constants!$B$18))</f>
        <v/>
      </c>
      <c r="AF402" s="87" t="str">
        <f aca="false">IF(ISBLANK($C402),"",IF(ISNUMBER(P402),IF(P402&gt;=0,P402,""),""))</f>
        <v/>
      </c>
      <c r="AG402" s="87" t="str">
        <f aca="false">IF(ISBLANK($C402),"",IF(Q402=Constants!$B$19,Constants!$B$19,Constants!$B$18))</f>
        <v/>
      </c>
      <c r="AH402" s="87" t="str">
        <f aca="false">IF(ISBLANK($C402),"",IF(ISNUMBER(R402),IF(R402&gt;=0,R402,""),""))</f>
        <v/>
      </c>
      <c r="AI402" s="87" t="str">
        <f aca="false">IF(ISBLANK($C402),"",IF(S402=Constants!$B$2, TRUE(), IF(S402=Constants!$B$3, FALSE(), FALSE())))</f>
        <v/>
      </c>
      <c r="AJ402" s="87" t="str">
        <f aca="false">IF(ISBLANK($C402),"",IF(AI402,Constants!$B$4,IF(COUNTA(E402:R402)=0,Constants!$B$5,IF(COUNTA(J402,L402,N402,P402,R402)=0,Constants!$B$6,Constants!$B$7))))</f>
        <v/>
      </c>
      <c r="AK402" s="87" t="str">
        <f aca="false">IF(ISBLANK($C402),"",IF($AJ402&lt;&gt;Constants!$B$7,$AJ402,IF(OR(NOT(X402),AND(NOT(U402),COUNTIFS(Y402:AG402,Constants!$B$18,Z402:AH402,"&gt;=0")&gt;0),AND(NOT(V402),COUNTIFS(Y402:AG402,Constants!$B$19,Z402:AH402,"&gt;=0")&gt;0)),Constants!$B$12,Constants!$B$11)))</f>
        <v/>
      </c>
      <c r="AL402" s="87" t="str">
        <f aca="false">IF($AJ402=Constants!$B$7,IF(Z402="",Constants!$B$13,Z402),"")</f>
        <v/>
      </c>
      <c r="AM402" s="87" t="str">
        <f aca="false">IF($AJ402=Constants!$B$7,IF(AB402="",Constants!$B$13,AB402),"")</f>
        <v/>
      </c>
      <c r="AN402" s="87" t="str">
        <f aca="false">IF($AJ402=Constants!$B$7,IF(AD402="",Constants!$B$13,AD402),"")</f>
        <v/>
      </c>
      <c r="AO402" s="87" t="str">
        <f aca="false">IF($AJ402=Constants!$B$7,IF(AF402="",Constants!$B$13,AF402),"")</f>
        <v/>
      </c>
      <c r="AP402" s="87" t="str">
        <f aca="false">IF($AJ402=Constants!$B$7,IF(AH402="",Constants!$B$13,AH402),"")</f>
        <v/>
      </c>
      <c r="AQ402" s="87" t="str">
        <f aca="false">IF($AJ402=Constants!$B$7,IF(SUMPRODUCT(--($AL402:$AP402&gt;AL402))+SUMPRODUCT(--($AL402:AL402=AL402))=1,1,IF(SUMPRODUCT(--($AL402:$AP402&gt;AM402))+SUMPRODUCT(--($AL402:AM402=AM402))=1,2,IF(SUMPRODUCT(--($AL402:$AP402&gt;AN402))+SUMPRODUCT(--($AL402:AN402=AN402))=1,3,IF(SUMPRODUCT(--($AL402:$AP402&gt;AO402))+SUMPRODUCT(--($AL402:AO402=AO402))=1,4,5)))),"")</f>
        <v/>
      </c>
      <c r="AR402" s="87" t="str">
        <f aca="false">IF($AJ402=Constants!$B$7,IF(SUMPRODUCT(--($AL402:$AP402&gt;AL402))+SUMPRODUCT(--($AL402:AL402=AL402))=2,1,IF(SUMPRODUCT(--($AL402:$AP402&gt;AM402))+SUMPRODUCT(--($AL402:AM402=AM402))=2,2,IF(SUMPRODUCT(--($AL402:$AP402&gt;AN402))+SUMPRODUCT(--($AL402:AN402=AN402))=2,3,IF(SUMPRODUCT(--($AL402:$AP402&gt;AO402))+SUMPRODUCT(--($AL402:AO402=AO402))=2,4,5)))),"")</f>
        <v/>
      </c>
      <c r="AS402" s="87" t="str">
        <f aca="false">IF($AJ402=Constants!$B$7,IF(SUMPRODUCT(--($AL402:$AP402&gt;AL402))+SUMPRODUCT(--($AL402:AL402=AL402))=3,1,IF(SUMPRODUCT(--($AL402:$AP402&gt;AM402))+SUMPRODUCT(--($AL402:AM402=AM402))=3,2,IF(SUMPRODUCT(--($AL402:$AP402&gt;AN402))+SUMPRODUCT(--($AL402:AN402=AN402))=3,3,IF(SUMPRODUCT(--($AL402:$AP402&gt;AO402))+SUMPRODUCT(--($AL402:AO402=AO402))=3,4,5)))),"")</f>
        <v/>
      </c>
      <c r="AT402" s="87" t="str">
        <f aca="false">IF($AJ402=Constants!$B$7,LARGE(AL402:AP402,1)+LARGE(AL402:AP402,2)+LARGE(AL402:AP402,3),"")</f>
        <v/>
      </c>
      <c r="AU402" s="87" t="str">
        <f aca="false">IF(ISBLANK($C402),"",IF($AJ402&lt;&gt;Constants!$B$7,$AJ402,AT402*W402))</f>
        <v/>
      </c>
      <c r="AV402" s="87" t="str">
        <f aca="false">IF(ISBLANK($C402),"",IF($AJ402=Constants!$B$7,IF(ISNUMBER(AU402),RANK(AU402,$AU$8:$AU$507),Constants!$B$14),$AJ402))</f>
        <v/>
      </c>
      <c r="AW402" s="87" t="str">
        <f aca="false">IF(ISBLANK($C402),"",IF($AJ402=Constants!$B$7,IF(ISNUMBER(AV402),COUNTIFS($AK$8:$AK$507,"&lt;"&amp;$AK402)+COUNTIFS($AK$8:$AK$507,$AK402,$AV$8:$AV$507,"&lt;"&amp;$AV402)+1,Constants!$B$14),$AJ402))</f>
        <v/>
      </c>
      <c r="AX402" s="87" t="str">
        <f aca="false">IF(ISBLANK($C402),"",IF($AJ402=Constants!$B$7,LARGE(AL402:AP402,4)*W402,""))</f>
        <v/>
      </c>
      <c r="AY402" s="87" t="str">
        <f aca="false">IF(ISBLANK($C402),"",IF($AJ402=Constants!$B$7,RANK(AX402,$AX$8:$AX$507),$AJ402))</f>
        <v/>
      </c>
      <c r="AZ402" s="87" t="str">
        <f aca="false">IF(ISBLANK($C402),"",IF($AJ402=Constants!$B$7,IF(ISNUMBER(AV402),COUNTIFS($AK$8:$AK$507,"&lt;"&amp;$AK402)+COUNTIFS($AK$8:$AK$507,$AK402,$AV$8:$AV$507,"&lt;"&amp;$AV402)+COUNTIFS($AK$8:$AK$507,$AK402,$AV$8:$AV$507,$AV402,$AY$8:$AY$507,"&lt;"&amp;$AY402)+1,Constants!$B$14),$AJ402))</f>
        <v/>
      </c>
      <c r="BA402" s="87" t="str">
        <f aca="false">IF(ISBLANK($C402),"",IF($AJ402=Constants!$B$7,IF(ISNUMBER(AW402),AW402-AZ402,Constants!$B$14),$AJ402))</f>
        <v/>
      </c>
      <c r="BB402" s="88"/>
      <c r="BC402" s="89" t="str">
        <f aca="false">IF(ISBLANK($C402),"",IF($AJ402&lt;&gt;Constants!$B$7,$AJ402,SMALL(AQ402:AS402,1)&amp;", "&amp;SMALL(AQ402:AS402,2)&amp;", "&amp;SMALL(AQ402:AS402,3)))</f>
        <v/>
      </c>
      <c r="BD402" s="90" t="str">
        <f aca="false">IF(ISBLANK($C402),"",IF($AJ402&lt;&gt;Constants!$B$7,$AJ402,W402))</f>
        <v/>
      </c>
      <c r="BE402" s="91" t="str">
        <f aca="false">IF(ISBLANK($C402),"",IF($AJ402&lt;&gt;Constants!$B$7,$AJ402,AU402))</f>
        <v/>
      </c>
      <c r="BF402" s="92" t="str">
        <f aca="false">IF(ISBLANK($C402),"",IF($AJ402&lt;&gt;Constants!$B$7,$AJ402,AK402))</f>
        <v/>
      </c>
      <c r="BG402" s="90" t="str">
        <f aca="false">IF(ISBLANK($C402),"",BA402)</f>
        <v/>
      </c>
      <c r="BH402" s="90" t="str">
        <f aca="false">IF(ISBLANK($C402),"",AZ402)</f>
        <v/>
      </c>
      <c r="BI402" s="93" t="str">
        <f aca="false">IF(ISBLANK($C402),"",IF(BH402=Constants!$B$4,COUNTA($C$8:$C$507)+2,IF(BH402=Constants!$B$5,COUNTA($C$8:$C$507)+1,IF(BH402=Constants!$B$6,COUNTA($C$8:$C$507),BH402))))</f>
        <v/>
      </c>
      <c r="BJ402" s="5"/>
      <c r="BK402" s="94" t="n">
        <f aca="false">IF(OR(ISNUMBER(BH402),BH402=Constants!$B$4,BH402=Constants!$B$6,BH402=Constants!$B$5),1,0)</f>
        <v>0</v>
      </c>
      <c r="BL402" s="94" t="n">
        <v>395</v>
      </c>
      <c r="BM402" s="94" t="str">
        <f aca="false">IF(ISBLANK($C402),"",IF(ISNUMBER(BI402),BI402+ROW($B402)/1000,""))</f>
        <v/>
      </c>
      <c r="BN402" s="94" t="str">
        <f aca="false">IF(ISNUMBER(BM402),RANK(BM402,$BM$8:$BM$507,1),"")</f>
        <v/>
      </c>
      <c r="BO402" s="94" t="str">
        <f aca="false">IF(ISBLANK($C402),"",$B402)</f>
        <v/>
      </c>
      <c r="BP402" s="94" t="str">
        <f aca="false">IF(ISBLANK($C402),"",$C402)</f>
        <v/>
      </c>
      <c r="BQ402" s="94" t="str">
        <f aca="false">IF(ISBLANK($C402),"",$D402)</f>
        <v/>
      </c>
      <c r="BR402" s="95" t="str">
        <f aca="false">BF402</f>
        <v/>
      </c>
      <c r="BS402" s="96" t="str">
        <f aca="false">BE402</f>
        <v/>
      </c>
      <c r="BT402" s="94" t="str">
        <f aca="false">IF(ISBLANK($C402),"",BH402)</f>
        <v/>
      </c>
      <c r="BU402" s="97" t="str">
        <f aca="false">IF($BL402&gt;$BK$7,"",VLOOKUP($BL402,$BN$8:$BT$507,7,FALSE()))</f>
        <v/>
      </c>
      <c r="BV402" s="98" t="str">
        <f aca="false">IF($BL402&gt;$BK$7,"",VLOOKUP($BL402,$BN$8:$BT$507,2,FALSE()))</f>
        <v/>
      </c>
      <c r="BW402" s="98" t="str">
        <f aca="false">IF($BL402&gt;$BK$7,"",VLOOKUP($BL402,$BN$8:$BT$507,3,FALSE()))</f>
        <v/>
      </c>
      <c r="BX402" s="98" t="str">
        <f aca="false">IF($BL402&gt;$BK$7,"",VLOOKUP($BL402,$BN$8:$BT$507,4,FALSE()))</f>
        <v/>
      </c>
      <c r="BY402" s="98" t="str">
        <f aca="false">IF($BL402&gt;$BK$7,"",VLOOKUP($BL402,$BN$8:$BT$507,5,FALSE()))</f>
        <v/>
      </c>
      <c r="BZ402" s="99" t="str">
        <f aca="false">IF($BL402&gt;$BK$7,"",VLOOKUP($BL402,$BN$8:$BT$507,6,FALSE()))</f>
        <v/>
      </c>
      <c r="CA402" s="48"/>
    </row>
    <row r="403" customFormat="false" ht="15.75" hidden="false" customHeight="false" outlineLevel="0" collapsed="false">
      <c r="A403" s="5"/>
      <c r="B403" s="114"/>
      <c r="C403" s="115"/>
      <c r="D403" s="100"/>
      <c r="E403" s="120"/>
      <c r="F403" s="125"/>
      <c r="G403" s="82"/>
      <c r="H403" s="126"/>
      <c r="I403" s="127"/>
      <c r="J403" s="82"/>
      <c r="K403" s="126"/>
      <c r="L403" s="82"/>
      <c r="M403" s="126"/>
      <c r="N403" s="82"/>
      <c r="O403" s="126"/>
      <c r="P403" s="82"/>
      <c r="Q403" s="126"/>
      <c r="R403" s="82"/>
      <c r="S403" s="120"/>
      <c r="T403" s="86"/>
      <c r="U403" s="87" t="str">
        <f aca="false">IF(ISBLANK($C403),"",IF(E403=Constants!$B$2, TRUE(), IF(E403=Constants!$B$3, FALSE(), TRUE())))</f>
        <v/>
      </c>
      <c r="V403" s="87" t="str">
        <f aca="false">IF(ISBLANK($C403),"",IF(F403=Constants!$B$2, TRUE(), IF(F403=Constants!$B$3, FALSE(), TRUE())))</f>
        <v/>
      </c>
      <c r="W403" s="87" t="str">
        <f aca="false">IF(ISBLANK($C403),"",IF(G403=Constants!$B$15,Constants!$B$8,IF(G403=Constants!$B$16,Constants!$B$9,Constants!$B$10)))</f>
        <v/>
      </c>
      <c r="X403" s="87" t="str">
        <f aca="false">IF(ISBLANK($C403),"",IF(H403=Constants!$B$2, TRUE(), IF(H403=Constants!$B$3, FALSE(), TRUE())))</f>
        <v/>
      </c>
      <c r="Y403" s="87" t="str">
        <f aca="false">IF(ISBLANK($C403),"",IF(I403=Constants!$B$19,Constants!$B$19,Constants!$B$18))</f>
        <v/>
      </c>
      <c r="Z403" s="87" t="str">
        <f aca="false">IF(ISBLANK($C403),"",IF(ISNUMBER(J403),IF(J403&gt;=0,J403,""),""))</f>
        <v/>
      </c>
      <c r="AA403" s="87" t="str">
        <f aca="false">IF(ISBLANK($C403),"",IF(K403=Constants!$B$19,Constants!$B$19,Constants!$B$18))</f>
        <v/>
      </c>
      <c r="AB403" s="87" t="str">
        <f aca="false">IF(ISBLANK($C403),"",IF(ISNUMBER(L403),IF(L403&gt;=0,L403,""),""))</f>
        <v/>
      </c>
      <c r="AC403" s="87" t="str">
        <f aca="false">IF(ISBLANK($C403),"",IF(M403=Constants!$B$19,Constants!$B$19,Constants!$B$18))</f>
        <v/>
      </c>
      <c r="AD403" s="87" t="str">
        <f aca="false">IF(ISBLANK($C403),"",IF(ISNUMBER(N403),IF(N403&gt;=0,N403,""),""))</f>
        <v/>
      </c>
      <c r="AE403" s="87" t="str">
        <f aca="false">IF(ISBLANK($C403),"",IF(O403=Constants!$B$19,Constants!$B$19,Constants!$B$18))</f>
        <v/>
      </c>
      <c r="AF403" s="87" t="str">
        <f aca="false">IF(ISBLANK($C403),"",IF(ISNUMBER(P403),IF(P403&gt;=0,P403,""),""))</f>
        <v/>
      </c>
      <c r="AG403" s="87" t="str">
        <f aca="false">IF(ISBLANK($C403),"",IF(Q403=Constants!$B$19,Constants!$B$19,Constants!$B$18))</f>
        <v/>
      </c>
      <c r="AH403" s="87" t="str">
        <f aca="false">IF(ISBLANK($C403),"",IF(ISNUMBER(R403),IF(R403&gt;=0,R403,""),""))</f>
        <v/>
      </c>
      <c r="AI403" s="87" t="str">
        <f aca="false">IF(ISBLANK($C403),"",IF(S403=Constants!$B$2, TRUE(), IF(S403=Constants!$B$3, FALSE(), FALSE())))</f>
        <v/>
      </c>
      <c r="AJ403" s="87" t="str">
        <f aca="false">IF(ISBLANK($C403),"",IF(AI403,Constants!$B$4,IF(COUNTA(E403:R403)=0,Constants!$B$5,IF(COUNTA(J403,L403,N403,P403,R403)=0,Constants!$B$6,Constants!$B$7))))</f>
        <v/>
      </c>
      <c r="AK403" s="87" t="str">
        <f aca="false">IF(ISBLANK($C403),"",IF($AJ403&lt;&gt;Constants!$B$7,$AJ403,IF(OR(NOT(X403),AND(NOT(U403),COUNTIFS(Y403:AG403,Constants!$B$18,Z403:AH403,"&gt;=0")&gt;0),AND(NOT(V403),COUNTIFS(Y403:AG403,Constants!$B$19,Z403:AH403,"&gt;=0")&gt;0)),Constants!$B$12,Constants!$B$11)))</f>
        <v/>
      </c>
      <c r="AL403" s="87" t="str">
        <f aca="false">IF($AJ403=Constants!$B$7,IF(Z403="",Constants!$B$13,Z403),"")</f>
        <v/>
      </c>
      <c r="AM403" s="87" t="str">
        <f aca="false">IF($AJ403=Constants!$B$7,IF(AB403="",Constants!$B$13,AB403),"")</f>
        <v/>
      </c>
      <c r="AN403" s="87" t="str">
        <f aca="false">IF($AJ403=Constants!$B$7,IF(AD403="",Constants!$B$13,AD403),"")</f>
        <v/>
      </c>
      <c r="AO403" s="87" t="str">
        <f aca="false">IF($AJ403=Constants!$B$7,IF(AF403="",Constants!$B$13,AF403),"")</f>
        <v/>
      </c>
      <c r="AP403" s="87" t="str">
        <f aca="false">IF($AJ403=Constants!$B$7,IF(AH403="",Constants!$B$13,AH403),"")</f>
        <v/>
      </c>
      <c r="AQ403" s="87" t="str">
        <f aca="false">IF($AJ403=Constants!$B$7,IF(SUMPRODUCT(--($AL403:$AP403&gt;AL403))+SUMPRODUCT(--($AL403:AL403=AL403))=1,1,IF(SUMPRODUCT(--($AL403:$AP403&gt;AM403))+SUMPRODUCT(--($AL403:AM403=AM403))=1,2,IF(SUMPRODUCT(--($AL403:$AP403&gt;AN403))+SUMPRODUCT(--($AL403:AN403=AN403))=1,3,IF(SUMPRODUCT(--($AL403:$AP403&gt;AO403))+SUMPRODUCT(--($AL403:AO403=AO403))=1,4,5)))),"")</f>
        <v/>
      </c>
      <c r="AR403" s="87" t="str">
        <f aca="false">IF($AJ403=Constants!$B$7,IF(SUMPRODUCT(--($AL403:$AP403&gt;AL403))+SUMPRODUCT(--($AL403:AL403=AL403))=2,1,IF(SUMPRODUCT(--($AL403:$AP403&gt;AM403))+SUMPRODUCT(--($AL403:AM403=AM403))=2,2,IF(SUMPRODUCT(--($AL403:$AP403&gt;AN403))+SUMPRODUCT(--($AL403:AN403=AN403))=2,3,IF(SUMPRODUCT(--($AL403:$AP403&gt;AO403))+SUMPRODUCT(--($AL403:AO403=AO403))=2,4,5)))),"")</f>
        <v/>
      </c>
      <c r="AS403" s="87" t="str">
        <f aca="false">IF($AJ403=Constants!$B$7,IF(SUMPRODUCT(--($AL403:$AP403&gt;AL403))+SUMPRODUCT(--($AL403:AL403=AL403))=3,1,IF(SUMPRODUCT(--($AL403:$AP403&gt;AM403))+SUMPRODUCT(--($AL403:AM403=AM403))=3,2,IF(SUMPRODUCT(--($AL403:$AP403&gt;AN403))+SUMPRODUCT(--($AL403:AN403=AN403))=3,3,IF(SUMPRODUCT(--($AL403:$AP403&gt;AO403))+SUMPRODUCT(--($AL403:AO403=AO403))=3,4,5)))),"")</f>
        <v/>
      </c>
      <c r="AT403" s="87" t="str">
        <f aca="false">IF($AJ403=Constants!$B$7,LARGE(AL403:AP403,1)+LARGE(AL403:AP403,2)+LARGE(AL403:AP403,3),"")</f>
        <v/>
      </c>
      <c r="AU403" s="87" t="str">
        <f aca="false">IF(ISBLANK($C403),"",IF($AJ403&lt;&gt;Constants!$B$7,$AJ403,AT403*W403))</f>
        <v/>
      </c>
      <c r="AV403" s="87" t="str">
        <f aca="false">IF(ISBLANK($C403),"",IF($AJ403=Constants!$B$7,IF(ISNUMBER(AU403),RANK(AU403,$AU$8:$AU$507),Constants!$B$14),$AJ403))</f>
        <v/>
      </c>
      <c r="AW403" s="87" t="str">
        <f aca="false">IF(ISBLANK($C403),"",IF($AJ403=Constants!$B$7,IF(ISNUMBER(AV403),COUNTIFS($AK$8:$AK$507,"&lt;"&amp;$AK403)+COUNTIFS($AK$8:$AK$507,$AK403,$AV$8:$AV$507,"&lt;"&amp;$AV403)+1,Constants!$B$14),$AJ403))</f>
        <v/>
      </c>
      <c r="AX403" s="87" t="str">
        <f aca="false">IF(ISBLANK($C403),"",IF($AJ403=Constants!$B$7,LARGE(AL403:AP403,4)*W403,""))</f>
        <v/>
      </c>
      <c r="AY403" s="87" t="str">
        <f aca="false">IF(ISBLANK($C403),"",IF($AJ403=Constants!$B$7,RANK(AX403,$AX$8:$AX$507),$AJ403))</f>
        <v/>
      </c>
      <c r="AZ403" s="87" t="str">
        <f aca="false">IF(ISBLANK($C403),"",IF($AJ403=Constants!$B$7,IF(ISNUMBER(AV403),COUNTIFS($AK$8:$AK$507,"&lt;"&amp;$AK403)+COUNTIFS($AK$8:$AK$507,$AK403,$AV$8:$AV$507,"&lt;"&amp;$AV403)+COUNTIFS($AK$8:$AK$507,$AK403,$AV$8:$AV$507,$AV403,$AY$8:$AY$507,"&lt;"&amp;$AY403)+1,Constants!$B$14),$AJ403))</f>
        <v/>
      </c>
      <c r="BA403" s="87" t="str">
        <f aca="false">IF(ISBLANK($C403),"",IF($AJ403=Constants!$B$7,IF(ISNUMBER(AW403),AW403-AZ403,Constants!$B$14),$AJ403))</f>
        <v/>
      </c>
      <c r="BB403" s="88"/>
      <c r="BC403" s="89" t="str">
        <f aca="false">IF(ISBLANK($C403),"",IF($AJ403&lt;&gt;Constants!$B$7,$AJ403,SMALL(AQ403:AS403,1)&amp;", "&amp;SMALL(AQ403:AS403,2)&amp;", "&amp;SMALL(AQ403:AS403,3)))</f>
        <v/>
      </c>
      <c r="BD403" s="90" t="str">
        <f aca="false">IF(ISBLANK($C403),"",IF($AJ403&lt;&gt;Constants!$B$7,$AJ403,W403))</f>
        <v/>
      </c>
      <c r="BE403" s="91" t="str">
        <f aca="false">IF(ISBLANK($C403),"",IF($AJ403&lt;&gt;Constants!$B$7,$AJ403,AU403))</f>
        <v/>
      </c>
      <c r="BF403" s="92" t="str">
        <f aca="false">IF(ISBLANK($C403),"",IF($AJ403&lt;&gt;Constants!$B$7,$AJ403,AK403))</f>
        <v/>
      </c>
      <c r="BG403" s="90" t="str">
        <f aca="false">IF(ISBLANK($C403),"",BA403)</f>
        <v/>
      </c>
      <c r="BH403" s="90" t="str">
        <f aca="false">IF(ISBLANK($C403),"",AZ403)</f>
        <v/>
      </c>
      <c r="BI403" s="93" t="str">
        <f aca="false">IF(ISBLANK($C403),"",IF(BH403=Constants!$B$4,COUNTA($C$8:$C$507)+2,IF(BH403=Constants!$B$5,COUNTA($C$8:$C$507)+1,IF(BH403=Constants!$B$6,COUNTA($C$8:$C$507),BH403))))</f>
        <v/>
      </c>
      <c r="BJ403" s="5"/>
      <c r="BK403" s="94" t="n">
        <f aca="false">IF(OR(ISNUMBER(BH403),BH403=Constants!$B$4,BH403=Constants!$B$6,BH403=Constants!$B$5),1,0)</f>
        <v>0</v>
      </c>
      <c r="BL403" s="94" t="n">
        <v>396</v>
      </c>
      <c r="BM403" s="94" t="str">
        <f aca="false">IF(ISBLANK($C403),"",IF(ISNUMBER(BI403),BI403+ROW($B403)/1000,""))</f>
        <v/>
      </c>
      <c r="BN403" s="94" t="str">
        <f aca="false">IF(ISNUMBER(BM403),RANK(BM403,$BM$8:$BM$507,1),"")</f>
        <v/>
      </c>
      <c r="BO403" s="94" t="str">
        <f aca="false">IF(ISBLANK($C403),"",$B403)</f>
        <v/>
      </c>
      <c r="BP403" s="94" t="str">
        <f aca="false">IF(ISBLANK($C403),"",$C403)</f>
        <v/>
      </c>
      <c r="BQ403" s="94" t="str">
        <f aca="false">IF(ISBLANK($C403),"",$D403)</f>
        <v/>
      </c>
      <c r="BR403" s="95" t="str">
        <f aca="false">BF403</f>
        <v/>
      </c>
      <c r="BS403" s="96" t="str">
        <f aca="false">BE403</f>
        <v/>
      </c>
      <c r="BT403" s="94" t="str">
        <f aca="false">IF(ISBLANK($C403),"",BH403)</f>
        <v/>
      </c>
      <c r="BU403" s="97" t="str">
        <f aca="false">IF($BL403&gt;$BK$7,"",VLOOKUP($BL403,$BN$8:$BT$507,7,FALSE()))</f>
        <v/>
      </c>
      <c r="BV403" s="98" t="str">
        <f aca="false">IF($BL403&gt;$BK$7,"",VLOOKUP($BL403,$BN$8:$BT$507,2,FALSE()))</f>
        <v/>
      </c>
      <c r="BW403" s="98" t="str">
        <f aca="false">IF($BL403&gt;$BK$7,"",VLOOKUP($BL403,$BN$8:$BT$507,3,FALSE()))</f>
        <v/>
      </c>
      <c r="BX403" s="98" t="str">
        <f aca="false">IF($BL403&gt;$BK$7,"",VLOOKUP($BL403,$BN$8:$BT$507,4,FALSE()))</f>
        <v/>
      </c>
      <c r="BY403" s="98" t="str">
        <f aca="false">IF($BL403&gt;$BK$7,"",VLOOKUP($BL403,$BN$8:$BT$507,5,FALSE()))</f>
        <v/>
      </c>
      <c r="BZ403" s="99" t="str">
        <f aca="false">IF($BL403&gt;$BK$7,"",VLOOKUP($BL403,$BN$8:$BT$507,6,FALSE()))</f>
        <v/>
      </c>
      <c r="CA403" s="48"/>
    </row>
    <row r="404" customFormat="false" ht="15.75" hidden="false" customHeight="false" outlineLevel="0" collapsed="false">
      <c r="A404" s="5"/>
      <c r="B404" s="121"/>
      <c r="C404" s="50"/>
      <c r="D404" s="51"/>
      <c r="E404" s="74"/>
      <c r="F404" s="122"/>
      <c r="G404" s="54"/>
      <c r="H404" s="123"/>
      <c r="I404" s="124"/>
      <c r="J404" s="54"/>
      <c r="K404" s="123"/>
      <c r="L404" s="54"/>
      <c r="M404" s="123"/>
      <c r="N404" s="54"/>
      <c r="O404" s="123"/>
      <c r="P404" s="54"/>
      <c r="Q404" s="123"/>
      <c r="R404" s="54"/>
      <c r="S404" s="74"/>
      <c r="T404" s="58"/>
      <c r="U404" s="59" t="str">
        <f aca="false">IF(ISBLANK($C404),"",IF(E404=Constants!$B$2, TRUE(), IF(E404=Constants!$B$3, FALSE(), TRUE())))</f>
        <v/>
      </c>
      <c r="V404" s="59" t="str">
        <f aca="false">IF(ISBLANK($C404),"",IF(F404=Constants!$B$2, TRUE(), IF(F404=Constants!$B$3, FALSE(), TRUE())))</f>
        <v/>
      </c>
      <c r="W404" s="59" t="str">
        <f aca="false">IF(ISBLANK($C404),"",IF(G404=Constants!$B$15,Constants!$B$8,IF(G404=Constants!$B$16,Constants!$B$9,Constants!$B$10)))</f>
        <v/>
      </c>
      <c r="X404" s="59" t="str">
        <f aca="false">IF(ISBLANK($C404),"",IF(H404=Constants!$B$2, TRUE(), IF(H404=Constants!$B$3, FALSE(), TRUE())))</f>
        <v/>
      </c>
      <c r="Y404" s="59" t="str">
        <f aca="false">IF(ISBLANK($C404),"",IF(I404=Constants!$B$19,Constants!$B$19,Constants!$B$18))</f>
        <v/>
      </c>
      <c r="Z404" s="59" t="str">
        <f aca="false">IF(ISBLANK($C404),"",IF(ISNUMBER(J404),IF(J404&gt;=0,J404,""),""))</f>
        <v/>
      </c>
      <c r="AA404" s="59" t="str">
        <f aca="false">IF(ISBLANK($C404),"",IF(K404=Constants!$B$19,Constants!$B$19,Constants!$B$18))</f>
        <v/>
      </c>
      <c r="AB404" s="59" t="str">
        <f aca="false">IF(ISBLANK($C404),"",IF(ISNUMBER(L404),IF(L404&gt;=0,L404,""),""))</f>
        <v/>
      </c>
      <c r="AC404" s="59" t="str">
        <f aca="false">IF(ISBLANK($C404),"",IF(M404=Constants!$B$19,Constants!$B$19,Constants!$B$18))</f>
        <v/>
      </c>
      <c r="AD404" s="59" t="str">
        <f aca="false">IF(ISBLANK($C404),"",IF(ISNUMBER(N404),IF(N404&gt;=0,N404,""),""))</f>
        <v/>
      </c>
      <c r="AE404" s="59" t="str">
        <f aca="false">IF(ISBLANK($C404),"",IF(O404=Constants!$B$19,Constants!$B$19,Constants!$B$18))</f>
        <v/>
      </c>
      <c r="AF404" s="59" t="str">
        <f aca="false">IF(ISBLANK($C404),"",IF(ISNUMBER(P404),IF(P404&gt;=0,P404,""),""))</f>
        <v/>
      </c>
      <c r="AG404" s="59" t="str">
        <f aca="false">IF(ISBLANK($C404),"",IF(Q404=Constants!$B$19,Constants!$B$19,Constants!$B$18))</f>
        <v/>
      </c>
      <c r="AH404" s="59" t="str">
        <f aca="false">IF(ISBLANK($C404),"",IF(ISNUMBER(R404),IF(R404&gt;=0,R404,""),""))</f>
        <v/>
      </c>
      <c r="AI404" s="59" t="str">
        <f aca="false">IF(ISBLANK($C404),"",IF(S404=Constants!$B$2, TRUE(), IF(S404=Constants!$B$3, FALSE(), FALSE())))</f>
        <v/>
      </c>
      <c r="AJ404" s="59" t="str">
        <f aca="false">IF(ISBLANK($C404),"",IF(AI404,Constants!$B$4,IF(COUNTA(E404:R404)=0,Constants!$B$5,IF(COUNTA(J404,L404,N404,P404,R404)=0,Constants!$B$6,Constants!$B$7))))</f>
        <v/>
      </c>
      <c r="AK404" s="59" t="str">
        <f aca="false">IF(ISBLANK($C404),"",IF($AJ404&lt;&gt;Constants!$B$7,$AJ404,IF(OR(NOT(X404),AND(NOT(U404),COUNTIFS(Y404:AG404,Constants!$B$18,Z404:AH404,"&gt;=0")&gt;0),AND(NOT(V404),COUNTIFS(Y404:AG404,Constants!$B$19,Z404:AH404,"&gt;=0")&gt;0)),Constants!$B$12,Constants!$B$11)))</f>
        <v/>
      </c>
      <c r="AL404" s="59" t="str">
        <f aca="false">IF($AJ404=Constants!$B$7,IF(Z404="",Constants!$B$13,Z404),"")</f>
        <v/>
      </c>
      <c r="AM404" s="59" t="str">
        <f aca="false">IF($AJ404=Constants!$B$7,IF(AB404="",Constants!$B$13,AB404),"")</f>
        <v/>
      </c>
      <c r="AN404" s="59" t="str">
        <f aca="false">IF($AJ404=Constants!$B$7,IF(AD404="",Constants!$B$13,AD404),"")</f>
        <v/>
      </c>
      <c r="AO404" s="59" t="str">
        <f aca="false">IF($AJ404=Constants!$B$7,IF(AF404="",Constants!$B$13,AF404),"")</f>
        <v/>
      </c>
      <c r="AP404" s="59" t="str">
        <f aca="false">IF($AJ404=Constants!$B$7,IF(AH404="",Constants!$B$13,AH404),"")</f>
        <v/>
      </c>
      <c r="AQ404" s="59" t="str">
        <f aca="false">IF($AJ404=Constants!$B$7,IF(SUMPRODUCT(--($AL404:$AP404&gt;AL404))+SUMPRODUCT(--($AL404:AL404=AL404))=1,1,IF(SUMPRODUCT(--($AL404:$AP404&gt;AM404))+SUMPRODUCT(--($AL404:AM404=AM404))=1,2,IF(SUMPRODUCT(--($AL404:$AP404&gt;AN404))+SUMPRODUCT(--($AL404:AN404=AN404))=1,3,IF(SUMPRODUCT(--($AL404:$AP404&gt;AO404))+SUMPRODUCT(--($AL404:AO404=AO404))=1,4,5)))),"")</f>
        <v/>
      </c>
      <c r="AR404" s="59" t="str">
        <f aca="false">IF($AJ404=Constants!$B$7,IF(SUMPRODUCT(--($AL404:$AP404&gt;AL404))+SUMPRODUCT(--($AL404:AL404=AL404))=2,1,IF(SUMPRODUCT(--($AL404:$AP404&gt;AM404))+SUMPRODUCT(--($AL404:AM404=AM404))=2,2,IF(SUMPRODUCT(--($AL404:$AP404&gt;AN404))+SUMPRODUCT(--($AL404:AN404=AN404))=2,3,IF(SUMPRODUCT(--($AL404:$AP404&gt;AO404))+SUMPRODUCT(--($AL404:AO404=AO404))=2,4,5)))),"")</f>
        <v/>
      </c>
      <c r="AS404" s="59" t="str">
        <f aca="false">IF($AJ404=Constants!$B$7,IF(SUMPRODUCT(--($AL404:$AP404&gt;AL404))+SUMPRODUCT(--($AL404:AL404=AL404))=3,1,IF(SUMPRODUCT(--($AL404:$AP404&gt;AM404))+SUMPRODUCT(--($AL404:AM404=AM404))=3,2,IF(SUMPRODUCT(--($AL404:$AP404&gt;AN404))+SUMPRODUCT(--($AL404:AN404=AN404))=3,3,IF(SUMPRODUCT(--($AL404:$AP404&gt;AO404))+SUMPRODUCT(--($AL404:AO404=AO404))=3,4,5)))),"")</f>
        <v/>
      </c>
      <c r="AT404" s="59" t="str">
        <f aca="false">IF($AJ404=Constants!$B$7,LARGE(AL404:AP404,1)+LARGE(AL404:AP404,2)+LARGE(AL404:AP404,3),"")</f>
        <v/>
      </c>
      <c r="AU404" s="59" t="str">
        <f aca="false">IF(ISBLANK($C404),"",IF($AJ404&lt;&gt;Constants!$B$7,$AJ404,AT404*W404))</f>
        <v/>
      </c>
      <c r="AV404" s="59" t="str">
        <f aca="false">IF(ISBLANK($C404),"",IF($AJ404=Constants!$B$7,IF(ISNUMBER(AU404),RANK(AU404,$AU$8:$AU$507),Constants!$B$14),$AJ404))</f>
        <v/>
      </c>
      <c r="AW404" s="59" t="str">
        <f aca="false">IF(ISBLANK($C404),"",IF($AJ404=Constants!$B$7,IF(ISNUMBER(AV404),COUNTIFS($AK$8:$AK$507,"&lt;"&amp;$AK404)+COUNTIFS($AK$8:$AK$507,$AK404,$AV$8:$AV$507,"&lt;"&amp;$AV404)+1,Constants!$B$14),$AJ404))</f>
        <v/>
      </c>
      <c r="AX404" s="59" t="str">
        <f aca="false">IF(ISBLANK($C404),"",IF($AJ404=Constants!$B$7,LARGE(AL404:AP404,4)*W404,""))</f>
        <v/>
      </c>
      <c r="AY404" s="59" t="str">
        <f aca="false">IF(ISBLANK($C404),"",IF($AJ404=Constants!$B$7,RANK(AX404,$AX$8:$AX$507),$AJ404))</f>
        <v/>
      </c>
      <c r="AZ404" s="59" t="str">
        <f aca="false">IF(ISBLANK($C404),"",IF($AJ404=Constants!$B$7,IF(ISNUMBER(AV404),COUNTIFS($AK$8:$AK$507,"&lt;"&amp;$AK404)+COUNTIFS($AK$8:$AK$507,$AK404,$AV$8:$AV$507,"&lt;"&amp;$AV404)+COUNTIFS($AK$8:$AK$507,$AK404,$AV$8:$AV$507,$AV404,$AY$8:$AY$507,"&lt;"&amp;$AY404)+1,Constants!$B$14),$AJ404))</f>
        <v/>
      </c>
      <c r="BA404" s="59" t="str">
        <f aca="false">IF(ISBLANK($C404),"",IF($AJ404=Constants!$B$7,IF(ISNUMBER(AW404),AW404-AZ404,Constants!$B$14),$AJ404))</f>
        <v/>
      </c>
      <c r="BB404" s="61"/>
      <c r="BC404" s="62" t="str">
        <f aca="false">IF(ISBLANK($C404),"",IF($AJ404&lt;&gt;Constants!$B$7,$AJ404,SMALL(AQ404:AS404,1)&amp;", "&amp;SMALL(AQ404:AS404,2)&amp;", "&amp;SMALL(AQ404:AS404,3)))</f>
        <v/>
      </c>
      <c r="BD404" s="63" t="str">
        <f aca="false">IF(ISBLANK($C404),"",IF($AJ404&lt;&gt;Constants!$B$7,$AJ404,W404))</f>
        <v/>
      </c>
      <c r="BE404" s="64" t="str">
        <f aca="false">IF(ISBLANK($C404),"",IF($AJ404&lt;&gt;Constants!$B$7,$AJ404,AU404))</f>
        <v/>
      </c>
      <c r="BF404" s="65" t="str">
        <f aca="false">IF(ISBLANK($C404),"",IF($AJ404&lt;&gt;Constants!$B$7,$AJ404,AK404))</f>
        <v/>
      </c>
      <c r="BG404" s="63" t="str">
        <f aca="false">IF(ISBLANK($C404),"",BA404)</f>
        <v/>
      </c>
      <c r="BH404" s="63" t="str">
        <f aca="false">IF(ISBLANK($C404),"",AZ404)</f>
        <v/>
      </c>
      <c r="BI404" s="66" t="str">
        <f aca="false">IF(ISBLANK($C404),"",IF(BH404=Constants!$B$4,COUNTA($C$8:$C$507)+2,IF(BH404=Constants!$B$5,COUNTA($C$8:$C$507)+1,IF(BH404=Constants!$B$6,COUNTA($C$8:$C$507),BH404))))</f>
        <v/>
      </c>
      <c r="BJ404" s="5"/>
      <c r="BK404" s="67" t="n">
        <f aca="false">IF(OR(ISNUMBER(BH404),BH404=Constants!$B$4,BH404=Constants!$B$6,BH404=Constants!$B$5),1,0)</f>
        <v>0</v>
      </c>
      <c r="BL404" s="67" t="n">
        <v>397</v>
      </c>
      <c r="BM404" s="67" t="str">
        <f aca="false">IF(ISBLANK($C404),"",IF(ISNUMBER(BI404),BI404+ROW($B404)/1000,""))</f>
        <v/>
      </c>
      <c r="BN404" s="67" t="str">
        <f aca="false">IF(ISNUMBER(BM404),RANK(BM404,$BM$8:$BM$507,1),"")</f>
        <v/>
      </c>
      <c r="BO404" s="67" t="str">
        <f aca="false">IF(ISBLANK($C404),"",$B404)</f>
        <v/>
      </c>
      <c r="BP404" s="67" t="str">
        <f aca="false">IF(ISBLANK($C404),"",$C404)</f>
        <v/>
      </c>
      <c r="BQ404" s="67" t="str">
        <f aca="false">IF(ISBLANK($C404),"",$D404)</f>
        <v/>
      </c>
      <c r="BR404" s="68" t="str">
        <f aca="false">BF404</f>
        <v/>
      </c>
      <c r="BS404" s="69" t="str">
        <f aca="false">BE404</f>
        <v/>
      </c>
      <c r="BT404" s="67" t="str">
        <f aca="false">IF(ISBLANK($C404),"",BH404)</f>
        <v/>
      </c>
      <c r="BU404" s="70" t="str">
        <f aca="false">IF($BL404&gt;$BK$7,"",VLOOKUP($BL404,$BN$8:$BT$507,7,FALSE()))</f>
        <v/>
      </c>
      <c r="BV404" s="71" t="str">
        <f aca="false">IF($BL404&gt;$BK$7,"",VLOOKUP($BL404,$BN$8:$BT$507,2,FALSE()))</f>
        <v/>
      </c>
      <c r="BW404" s="71" t="str">
        <f aca="false">IF($BL404&gt;$BK$7,"",VLOOKUP($BL404,$BN$8:$BT$507,3,FALSE()))</f>
        <v/>
      </c>
      <c r="BX404" s="71" t="str">
        <f aca="false">IF($BL404&gt;$BK$7,"",VLOOKUP($BL404,$BN$8:$BT$507,4,FALSE()))</f>
        <v/>
      </c>
      <c r="BY404" s="71" t="str">
        <f aca="false">IF($BL404&gt;$BK$7,"",VLOOKUP($BL404,$BN$8:$BT$507,5,FALSE()))</f>
        <v/>
      </c>
      <c r="BZ404" s="72" t="str">
        <f aca="false">IF($BL404&gt;$BK$7,"",VLOOKUP($BL404,$BN$8:$BT$507,6,FALSE()))</f>
        <v/>
      </c>
      <c r="CA404" s="48"/>
    </row>
    <row r="405" customFormat="false" ht="15.75" hidden="false" customHeight="false" outlineLevel="0" collapsed="false">
      <c r="A405" s="5"/>
      <c r="B405" s="121"/>
      <c r="C405" s="50"/>
      <c r="D405" s="51"/>
      <c r="E405" s="74"/>
      <c r="F405" s="122"/>
      <c r="G405" s="54"/>
      <c r="H405" s="123"/>
      <c r="I405" s="124"/>
      <c r="J405" s="54"/>
      <c r="K405" s="123"/>
      <c r="L405" s="54"/>
      <c r="M405" s="123"/>
      <c r="N405" s="54"/>
      <c r="O405" s="123"/>
      <c r="P405" s="54"/>
      <c r="Q405" s="123"/>
      <c r="R405" s="54"/>
      <c r="S405" s="74"/>
      <c r="T405" s="58"/>
      <c r="U405" s="59" t="str">
        <f aca="false">IF(ISBLANK($C405),"",IF(E405=Constants!$B$2, TRUE(), IF(E405=Constants!$B$3, FALSE(), TRUE())))</f>
        <v/>
      </c>
      <c r="V405" s="59" t="str">
        <f aca="false">IF(ISBLANK($C405),"",IF(F405=Constants!$B$2, TRUE(), IF(F405=Constants!$B$3, FALSE(), TRUE())))</f>
        <v/>
      </c>
      <c r="W405" s="59" t="str">
        <f aca="false">IF(ISBLANK($C405),"",IF(G405=Constants!$B$15,Constants!$B$8,IF(G405=Constants!$B$16,Constants!$B$9,Constants!$B$10)))</f>
        <v/>
      </c>
      <c r="X405" s="59" t="str">
        <f aca="false">IF(ISBLANK($C405),"",IF(H405=Constants!$B$2, TRUE(), IF(H405=Constants!$B$3, FALSE(), TRUE())))</f>
        <v/>
      </c>
      <c r="Y405" s="59" t="str">
        <f aca="false">IF(ISBLANK($C405),"",IF(I405=Constants!$B$19,Constants!$B$19,Constants!$B$18))</f>
        <v/>
      </c>
      <c r="Z405" s="59" t="str">
        <f aca="false">IF(ISBLANK($C405),"",IF(ISNUMBER(J405),IF(J405&gt;=0,J405,""),""))</f>
        <v/>
      </c>
      <c r="AA405" s="59" t="str">
        <f aca="false">IF(ISBLANK($C405),"",IF(K405=Constants!$B$19,Constants!$B$19,Constants!$B$18))</f>
        <v/>
      </c>
      <c r="AB405" s="59" t="str">
        <f aca="false">IF(ISBLANK($C405),"",IF(ISNUMBER(L405),IF(L405&gt;=0,L405,""),""))</f>
        <v/>
      </c>
      <c r="AC405" s="59" t="str">
        <f aca="false">IF(ISBLANK($C405),"",IF(M405=Constants!$B$19,Constants!$B$19,Constants!$B$18))</f>
        <v/>
      </c>
      <c r="AD405" s="59" t="str">
        <f aca="false">IF(ISBLANK($C405),"",IF(ISNUMBER(N405),IF(N405&gt;=0,N405,""),""))</f>
        <v/>
      </c>
      <c r="AE405" s="59" t="str">
        <f aca="false">IF(ISBLANK($C405),"",IF(O405=Constants!$B$19,Constants!$B$19,Constants!$B$18))</f>
        <v/>
      </c>
      <c r="AF405" s="59" t="str">
        <f aca="false">IF(ISBLANK($C405),"",IF(ISNUMBER(P405),IF(P405&gt;=0,P405,""),""))</f>
        <v/>
      </c>
      <c r="AG405" s="59" t="str">
        <f aca="false">IF(ISBLANK($C405),"",IF(Q405=Constants!$B$19,Constants!$B$19,Constants!$B$18))</f>
        <v/>
      </c>
      <c r="AH405" s="59" t="str">
        <f aca="false">IF(ISBLANK($C405),"",IF(ISNUMBER(R405),IF(R405&gt;=0,R405,""),""))</f>
        <v/>
      </c>
      <c r="AI405" s="59" t="str">
        <f aca="false">IF(ISBLANK($C405),"",IF(S405=Constants!$B$2, TRUE(), IF(S405=Constants!$B$3, FALSE(), FALSE())))</f>
        <v/>
      </c>
      <c r="AJ405" s="59" t="str">
        <f aca="false">IF(ISBLANK($C405),"",IF(AI405,Constants!$B$4,IF(COUNTA(E405:R405)=0,Constants!$B$5,IF(COUNTA(J405,L405,N405,P405,R405)=0,Constants!$B$6,Constants!$B$7))))</f>
        <v/>
      </c>
      <c r="AK405" s="59" t="str">
        <f aca="false">IF(ISBLANK($C405),"",IF($AJ405&lt;&gt;Constants!$B$7,$AJ405,IF(OR(NOT(X405),AND(NOT(U405),COUNTIFS(Y405:AG405,Constants!$B$18,Z405:AH405,"&gt;=0")&gt;0),AND(NOT(V405),COUNTIFS(Y405:AG405,Constants!$B$19,Z405:AH405,"&gt;=0")&gt;0)),Constants!$B$12,Constants!$B$11)))</f>
        <v/>
      </c>
      <c r="AL405" s="59" t="str">
        <f aca="false">IF($AJ405=Constants!$B$7,IF(Z405="",Constants!$B$13,Z405),"")</f>
        <v/>
      </c>
      <c r="AM405" s="59" t="str">
        <f aca="false">IF($AJ405=Constants!$B$7,IF(AB405="",Constants!$B$13,AB405),"")</f>
        <v/>
      </c>
      <c r="AN405" s="59" t="str">
        <f aca="false">IF($AJ405=Constants!$B$7,IF(AD405="",Constants!$B$13,AD405),"")</f>
        <v/>
      </c>
      <c r="AO405" s="59" t="str">
        <f aca="false">IF($AJ405=Constants!$B$7,IF(AF405="",Constants!$B$13,AF405),"")</f>
        <v/>
      </c>
      <c r="AP405" s="59" t="str">
        <f aca="false">IF($AJ405=Constants!$B$7,IF(AH405="",Constants!$B$13,AH405),"")</f>
        <v/>
      </c>
      <c r="AQ405" s="59" t="str">
        <f aca="false">IF($AJ405=Constants!$B$7,IF(SUMPRODUCT(--($AL405:$AP405&gt;AL405))+SUMPRODUCT(--($AL405:AL405=AL405))=1,1,IF(SUMPRODUCT(--($AL405:$AP405&gt;AM405))+SUMPRODUCT(--($AL405:AM405=AM405))=1,2,IF(SUMPRODUCT(--($AL405:$AP405&gt;AN405))+SUMPRODUCT(--($AL405:AN405=AN405))=1,3,IF(SUMPRODUCT(--($AL405:$AP405&gt;AO405))+SUMPRODUCT(--($AL405:AO405=AO405))=1,4,5)))),"")</f>
        <v/>
      </c>
      <c r="AR405" s="59" t="str">
        <f aca="false">IF($AJ405=Constants!$B$7,IF(SUMPRODUCT(--($AL405:$AP405&gt;AL405))+SUMPRODUCT(--($AL405:AL405=AL405))=2,1,IF(SUMPRODUCT(--($AL405:$AP405&gt;AM405))+SUMPRODUCT(--($AL405:AM405=AM405))=2,2,IF(SUMPRODUCT(--($AL405:$AP405&gt;AN405))+SUMPRODUCT(--($AL405:AN405=AN405))=2,3,IF(SUMPRODUCT(--($AL405:$AP405&gt;AO405))+SUMPRODUCT(--($AL405:AO405=AO405))=2,4,5)))),"")</f>
        <v/>
      </c>
      <c r="AS405" s="59" t="str">
        <f aca="false">IF($AJ405=Constants!$B$7,IF(SUMPRODUCT(--($AL405:$AP405&gt;AL405))+SUMPRODUCT(--($AL405:AL405=AL405))=3,1,IF(SUMPRODUCT(--($AL405:$AP405&gt;AM405))+SUMPRODUCT(--($AL405:AM405=AM405))=3,2,IF(SUMPRODUCT(--($AL405:$AP405&gt;AN405))+SUMPRODUCT(--($AL405:AN405=AN405))=3,3,IF(SUMPRODUCT(--($AL405:$AP405&gt;AO405))+SUMPRODUCT(--($AL405:AO405=AO405))=3,4,5)))),"")</f>
        <v/>
      </c>
      <c r="AT405" s="59" t="str">
        <f aca="false">IF($AJ405=Constants!$B$7,LARGE(AL405:AP405,1)+LARGE(AL405:AP405,2)+LARGE(AL405:AP405,3),"")</f>
        <v/>
      </c>
      <c r="AU405" s="59" t="str">
        <f aca="false">IF(ISBLANK($C405),"",IF($AJ405&lt;&gt;Constants!$B$7,$AJ405,AT405*W405))</f>
        <v/>
      </c>
      <c r="AV405" s="59" t="str">
        <f aca="false">IF(ISBLANK($C405),"",IF($AJ405=Constants!$B$7,IF(ISNUMBER(AU405),RANK(AU405,$AU$8:$AU$507),Constants!$B$14),$AJ405))</f>
        <v/>
      </c>
      <c r="AW405" s="59" t="str">
        <f aca="false">IF(ISBLANK($C405),"",IF($AJ405=Constants!$B$7,IF(ISNUMBER(AV405),COUNTIFS($AK$8:$AK$507,"&lt;"&amp;$AK405)+COUNTIFS($AK$8:$AK$507,$AK405,$AV$8:$AV$507,"&lt;"&amp;$AV405)+1,Constants!$B$14),$AJ405))</f>
        <v/>
      </c>
      <c r="AX405" s="59" t="str">
        <f aca="false">IF(ISBLANK($C405),"",IF($AJ405=Constants!$B$7,LARGE(AL405:AP405,4)*W405,""))</f>
        <v/>
      </c>
      <c r="AY405" s="59" t="str">
        <f aca="false">IF(ISBLANK($C405),"",IF($AJ405=Constants!$B$7,RANK(AX405,$AX$8:$AX$507),$AJ405))</f>
        <v/>
      </c>
      <c r="AZ405" s="59" t="str">
        <f aca="false">IF(ISBLANK($C405),"",IF($AJ405=Constants!$B$7,IF(ISNUMBER(AV405),COUNTIFS($AK$8:$AK$507,"&lt;"&amp;$AK405)+COUNTIFS($AK$8:$AK$507,$AK405,$AV$8:$AV$507,"&lt;"&amp;$AV405)+COUNTIFS($AK$8:$AK$507,$AK405,$AV$8:$AV$507,$AV405,$AY$8:$AY$507,"&lt;"&amp;$AY405)+1,Constants!$B$14),$AJ405))</f>
        <v/>
      </c>
      <c r="BA405" s="59" t="str">
        <f aca="false">IF(ISBLANK($C405),"",IF($AJ405=Constants!$B$7,IF(ISNUMBER(AW405),AW405-AZ405,Constants!$B$14),$AJ405))</f>
        <v/>
      </c>
      <c r="BB405" s="61"/>
      <c r="BC405" s="62" t="str">
        <f aca="false">IF(ISBLANK($C405),"",IF($AJ405&lt;&gt;Constants!$B$7,$AJ405,SMALL(AQ405:AS405,1)&amp;", "&amp;SMALL(AQ405:AS405,2)&amp;", "&amp;SMALL(AQ405:AS405,3)))</f>
        <v/>
      </c>
      <c r="BD405" s="63" t="str">
        <f aca="false">IF(ISBLANK($C405),"",IF($AJ405&lt;&gt;Constants!$B$7,$AJ405,W405))</f>
        <v/>
      </c>
      <c r="BE405" s="64" t="str">
        <f aca="false">IF(ISBLANK($C405),"",IF($AJ405&lt;&gt;Constants!$B$7,$AJ405,AU405))</f>
        <v/>
      </c>
      <c r="BF405" s="65" t="str">
        <f aca="false">IF(ISBLANK($C405),"",IF($AJ405&lt;&gt;Constants!$B$7,$AJ405,AK405))</f>
        <v/>
      </c>
      <c r="BG405" s="63" t="str">
        <f aca="false">IF(ISBLANK($C405),"",BA405)</f>
        <v/>
      </c>
      <c r="BH405" s="63" t="str">
        <f aca="false">IF(ISBLANK($C405),"",AZ405)</f>
        <v/>
      </c>
      <c r="BI405" s="66" t="str">
        <f aca="false">IF(ISBLANK($C405),"",IF(BH405=Constants!$B$4,COUNTA($C$8:$C$507)+2,IF(BH405=Constants!$B$5,COUNTA($C$8:$C$507)+1,IF(BH405=Constants!$B$6,COUNTA($C$8:$C$507),BH405))))</f>
        <v/>
      </c>
      <c r="BJ405" s="5"/>
      <c r="BK405" s="67" t="n">
        <f aca="false">IF(OR(ISNUMBER(BH405),BH405=Constants!$B$4,BH405=Constants!$B$6,BH405=Constants!$B$5),1,0)</f>
        <v>0</v>
      </c>
      <c r="BL405" s="67" t="n">
        <v>398</v>
      </c>
      <c r="BM405" s="67" t="str">
        <f aca="false">IF(ISBLANK($C405),"",IF(ISNUMBER(BI405),BI405+ROW($B405)/1000,""))</f>
        <v/>
      </c>
      <c r="BN405" s="67" t="str">
        <f aca="false">IF(ISNUMBER(BM405),RANK(BM405,$BM$8:$BM$507,1),"")</f>
        <v/>
      </c>
      <c r="BO405" s="67" t="str">
        <f aca="false">IF(ISBLANK($C405),"",$B405)</f>
        <v/>
      </c>
      <c r="BP405" s="67" t="str">
        <f aca="false">IF(ISBLANK($C405),"",$C405)</f>
        <v/>
      </c>
      <c r="BQ405" s="67" t="str">
        <f aca="false">IF(ISBLANK($C405),"",$D405)</f>
        <v/>
      </c>
      <c r="BR405" s="68" t="str">
        <f aca="false">BF405</f>
        <v/>
      </c>
      <c r="BS405" s="69" t="str">
        <f aca="false">BE405</f>
        <v/>
      </c>
      <c r="BT405" s="67" t="str">
        <f aca="false">IF(ISBLANK($C405),"",BH405)</f>
        <v/>
      </c>
      <c r="BU405" s="70" t="str">
        <f aca="false">IF($BL405&gt;$BK$7,"",VLOOKUP($BL405,$BN$8:$BT$507,7,FALSE()))</f>
        <v/>
      </c>
      <c r="BV405" s="71" t="str">
        <f aca="false">IF($BL405&gt;$BK$7,"",VLOOKUP($BL405,$BN$8:$BT$507,2,FALSE()))</f>
        <v/>
      </c>
      <c r="BW405" s="71" t="str">
        <f aca="false">IF($BL405&gt;$BK$7,"",VLOOKUP($BL405,$BN$8:$BT$507,3,FALSE()))</f>
        <v/>
      </c>
      <c r="BX405" s="71" t="str">
        <f aca="false">IF($BL405&gt;$BK$7,"",VLOOKUP($BL405,$BN$8:$BT$507,4,FALSE()))</f>
        <v/>
      </c>
      <c r="BY405" s="71" t="str">
        <f aca="false">IF($BL405&gt;$BK$7,"",VLOOKUP($BL405,$BN$8:$BT$507,5,FALSE()))</f>
        <v/>
      </c>
      <c r="BZ405" s="72" t="str">
        <f aca="false">IF($BL405&gt;$BK$7,"",VLOOKUP($BL405,$BN$8:$BT$507,6,FALSE()))</f>
        <v/>
      </c>
      <c r="CA405" s="48"/>
    </row>
    <row r="406" customFormat="false" ht="15.75" hidden="false" customHeight="false" outlineLevel="0" collapsed="false">
      <c r="A406" s="5"/>
      <c r="B406" s="121"/>
      <c r="C406" s="50"/>
      <c r="D406" s="51"/>
      <c r="E406" s="74"/>
      <c r="F406" s="122"/>
      <c r="G406" s="54"/>
      <c r="H406" s="123"/>
      <c r="I406" s="124"/>
      <c r="J406" s="54"/>
      <c r="K406" s="123"/>
      <c r="L406" s="54"/>
      <c r="M406" s="123"/>
      <c r="N406" s="54"/>
      <c r="O406" s="123"/>
      <c r="P406" s="54"/>
      <c r="Q406" s="123"/>
      <c r="R406" s="54"/>
      <c r="S406" s="74"/>
      <c r="T406" s="58"/>
      <c r="U406" s="59" t="str">
        <f aca="false">IF(ISBLANK($C406),"",IF(E406=Constants!$B$2, TRUE(), IF(E406=Constants!$B$3, FALSE(), TRUE())))</f>
        <v/>
      </c>
      <c r="V406" s="59" t="str">
        <f aca="false">IF(ISBLANK($C406),"",IF(F406=Constants!$B$2, TRUE(), IF(F406=Constants!$B$3, FALSE(), TRUE())))</f>
        <v/>
      </c>
      <c r="W406" s="59" t="str">
        <f aca="false">IF(ISBLANK($C406),"",IF(G406=Constants!$B$15,Constants!$B$8,IF(G406=Constants!$B$16,Constants!$B$9,Constants!$B$10)))</f>
        <v/>
      </c>
      <c r="X406" s="59" t="str">
        <f aca="false">IF(ISBLANK($C406),"",IF(H406=Constants!$B$2, TRUE(), IF(H406=Constants!$B$3, FALSE(), TRUE())))</f>
        <v/>
      </c>
      <c r="Y406" s="59" t="str">
        <f aca="false">IF(ISBLANK($C406),"",IF(I406=Constants!$B$19,Constants!$B$19,Constants!$B$18))</f>
        <v/>
      </c>
      <c r="Z406" s="59" t="str">
        <f aca="false">IF(ISBLANK($C406),"",IF(ISNUMBER(J406),IF(J406&gt;=0,J406,""),""))</f>
        <v/>
      </c>
      <c r="AA406" s="59" t="str">
        <f aca="false">IF(ISBLANK($C406),"",IF(K406=Constants!$B$19,Constants!$B$19,Constants!$B$18))</f>
        <v/>
      </c>
      <c r="AB406" s="59" t="str">
        <f aca="false">IF(ISBLANK($C406),"",IF(ISNUMBER(L406),IF(L406&gt;=0,L406,""),""))</f>
        <v/>
      </c>
      <c r="AC406" s="59" t="str">
        <f aca="false">IF(ISBLANK($C406),"",IF(M406=Constants!$B$19,Constants!$B$19,Constants!$B$18))</f>
        <v/>
      </c>
      <c r="AD406" s="59" t="str">
        <f aca="false">IF(ISBLANK($C406),"",IF(ISNUMBER(N406),IF(N406&gt;=0,N406,""),""))</f>
        <v/>
      </c>
      <c r="AE406" s="59" t="str">
        <f aca="false">IF(ISBLANK($C406),"",IF(O406=Constants!$B$19,Constants!$B$19,Constants!$B$18))</f>
        <v/>
      </c>
      <c r="AF406" s="59" t="str">
        <f aca="false">IF(ISBLANK($C406),"",IF(ISNUMBER(P406),IF(P406&gt;=0,P406,""),""))</f>
        <v/>
      </c>
      <c r="AG406" s="59" t="str">
        <f aca="false">IF(ISBLANK($C406),"",IF(Q406=Constants!$B$19,Constants!$B$19,Constants!$B$18))</f>
        <v/>
      </c>
      <c r="AH406" s="59" t="str">
        <f aca="false">IF(ISBLANK($C406),"",IF(ISNUMBER(R406),IF(R406&gt;=0,R406,""),""))</f>
        <v/>
      </c>
      <c r="AI406" s="59" t="str">
        <f aca="false">IF(ISBLANK($C406),"",IF(S406=Constants!$B$2, TRUE(), IF(S406=Constants!$B$3, FALSE(), FALSE())))</f>
        <v/>
      </c>
      <c r="AJ406" s="59" t="str">
        <f aca="false">IF(ISBLANK($C406),"",IF(AI406,Constants!$B$4,IF(COUNTA(E406:R406)=0,Constants!$B$5,IF(COUNTA(J406,L406,N406,P406,R406)=0,Constants!$B$6,Constants!$B$7))))</f>
        <v/>
      </c>
      <c r="AK406" s="59" t="str">
        <f aca="false">IF(ISBLANK($C406),"",IF($AJ406&lt;&gt;Constants!$B$7,$AJ406,IF(OR(NOT(X406),AND(NOT(U406),COUNTIFS(Y406:AG406,Constants!$B$18,Z406:AH406,"&gt;=0")&gt;0),AND(NOT(V406),COUNTIFS(Y406:AG406,Constants!$B$19,Z406:AH406,"&gt;=0")&gt;0)),Constants!$B$12,Constants!$B$11)))</f>
        <v/>
      </c>
      <c r="AL406" s="59" t="str">
        <f aca="false">IF($AJ406=Constants!$B$7,IF(Z406="",Constants!$B$13,Z406),"")</f>
        <v/>
      </c>
      <c r="AM406" s="59" t="str">
        <f aca="false">IF($AJ406=Constants!$B$7,IF(AB406="",Constants!$B$13,AB406),"")</f>
        <v/>
      </c>
      <c r="AN406" s="59" t="str">
        <f aca="false">IF($AJ406=Constants!$B$7,IF(AD406="",Constants!$B$13,AD406),"")</f>
        <v/>
      </c>
      <c r="AO406" s="59" t="str">
        <f aca="false">IF($AJ406=Constants!$B$7,IF(AF406="",Constants!$B$13,AF406),"")</f>
        <v/>
      </c>
      <c r="AP406" s="59" t="str">
        <f aca="false">IF($AJ406=Constants!$B$7,IF(AH406="",Constants!$B$13,AH406),"")</f>
        <v/>
      </c>
      <c r="AQ406" s="59" t="str">
        <f aca="false">IF($AJ406=Constants!$B$7,IF(SUMPRODUCT(--($AL406:$AP406&gt;AL406))+SUMPRODUCT(--($AL406:AL406=AL406))=1,1,IF(SUMPRODUCT(--($AL406:$AP406&gt;AM406))+SUMPRODUCT(--($AL406:AM406=AM406))=1,2,IF(SUMPRODUCT(--($AL406:$AP406&gt;AN406))+SUMPRODUCT(--($AL406:AN406=AN406))=1,3,IF(SUMPRODUCT(--($AL406:$AP406&gt;AO406))+SUMPRODUCT(--($AL406:AO406=AO406))=1,4,5)))),"")</f>
        <v/>
      </c>
      <c r="AR406" s="59" t="str">
        <f aca="false">IF($AJ406=Constants!$B$7,IF(SUMPRODUCT(--($AL406:$AP406&gt;AL406))+SUMPRODUCT(--($AL406:AL406=AL406))=2,1,IF(SUMPRODUCT(--($AL406:$AP406&gt;AM406))+SUMPRODUCT(--($AL406:AM406=AM406))=2,2,IF(SUMPRODUCT(--($AL406:$AP406&gt;AN406))+SUMPRODUCT(--($AL406:AN406=AN406))=2,3,IF(SUMPRODUCT(--($AL406:$AP406&gt;AO406))+SUMPRODUCT(--($AL406:AO406=AO406))=2,4,5)))),"")</f>
        <v/>
      </c>
      <c r="AS406" s="59" t="str">
        <f aca="false">IF($AJ406=Constants!$B$7,IF(SUMPRODUCT(--($AL406:$AP406&gt;AL406))+SUMPRODUCT(--($AL406:AL406=AL406))=3,1,IF(SUMPRODUCT(--($AL406:$AP406&gt;AM406))+SUMPRODUCT(--($AL406:AM406=AM406))=3,2,IF(SUMPRODUCT(--($AL406:$AP406&gt;AN406))+SUMPRODUCT(--($AL406:AN406=AN406))=3,3,IF(SUMPRODUCT(--($AL406:$AP406&gt;AO406))+SUMPRODUCT(--($AL406:AO406=AO406))=3,4,5)))),"")</f>
        <v/>
      </c>
      <c r="AT406" s="59" t="str">
        <f aca="false">IF($AJ406=Constants!$B$7,LARGE(AL406:AP406,1)+LARGE(AL406:AP406,2)+LARGE(AL406:AP406,3),"")</f>
        <v/>
      </c>
      <c r="AU406" s="59" t="str">
        <f aca="false">IF(ISBLANK($C406),"",IF($AJ406&lt;&gt;Constants!$B$7,$AJ406,AT406*W406))</f>
        <v/>
      </c>
      <c r="AV406" s="59" t="str">
        <f aca="false">IF(ISBLANK($C406),"",IF($AJ406=Constants!$B$7,IF(ISNUMBER(AU406),RANK(AU406,$AU$8:$AU$507),Constants!$B$14),$AJ406))</f>
        <v/>
      </c>
      <c r="AW406" s="59" t="str">
        <f aca="false">IF(ISBLANK($C406),"",IF($AJ406=Constants!$B$7,IF(ISNUMBER(AV406),COUNTIFS($AK$8:$AK$507,"&lt;"&amp;$AK406)+COUNTIFS($AK$8:$AK$507,$AK406,$AV$8:$AV$507,"&lt;"&amp;$AV406)+1,Constants!$B$14),$AJ406))</f>
        <v/>
      </c>
      <c r="AX406" s="59" t="str">
        <f aca="false">IF(ISBLANK($C406),"",IF($AJ406=Constants!$B$7,LARGE(AL406:AP406,4)*W406,""))</f>
        <v/>
      </c>
      <c r="AY406" s="59" t="str">
        <f aca="false">IF(ISBLANK($C406),"",IF($AJ406=Constants!$B$7,RANK(AX406,$AX$8:$AX$507),$AJ406))</f>
        <v/>
      </c>
      <c r="AZ406" s="59" t="str">
        <f aca="false">IF(ISBLANK($C406),"",IF($AJ406=Constants!$B$7,IF(ISNUMBER(AV406),COUNTIFS($AK$8:$AK$507,"&lt;"&amp;$AK406)+COUNTIFS($AK$8:$AK$507,$AK406,$AV$8:$AV$507,"&lt;"&amp;$AV406)+COUNTIFS($AK$8:$AK$507,$AK406,$AV$8:$AV$507,$AV406,$AY$8:$AY$507,"&lt;"&amp;$AY406)+1,Constants!$B$14),$AJ406))</f>
        <v/>
      </c>
      <c r="BA406" s="59" t="str">
        <f aca="false">IF(ISBLANK($C406),"",IF($AJ406=Constants!$B$7,IF(ISNUMBER(AW406),AW406-AZ406,Constants!$B$14),$AJ406))</f>
        <v/>
      </c>
      <c r="BB406" s="61"/>
      <c r="BC406" s="62" t="str">
        <f aca="false">IF(ISBLANK($C406),"",IF($AJ406&lt;&gt;Constants!$B$7,$AJ406,SMALL(AQ406:AS406,1)&amp;", "&amp;SMALL(AQ406:AS406,2)&amp;", "&amp;SMALL(AQ406:AS406,3)))</f>
        <v/>
      </c>
      <c r="BD406" s="63" t="str">
        <f aca="false">IF(ISBLANK($C406),"",IF($AJ406&lt;&gt;Constants!$B$7,$AJ406,W406))</f>
        <v/>
      </c>
      <c r="BE406" s="64" t="str">
        <f aca="false">IF(ISBLANK($C406),"",IF($AJ406&lt;&gt;Constants!$B$7,$AJ406,AU406))</f>
        <v/>
      </c>
      <c r="BF406" s="65" t="str">
        <f aca="false">IF(ISBLANK($C406),"",IF($AJ406&lt;&gt;Constants!$B$7,$AJ406,AK406))</f>
        <v/>
      </c>
      <c r="BG406" s="63" t="str">
        <f aca="false">IF(ISBLANK($C406),"",BA406)</f>
        <v/>
      </c>
      <c r="BH406" s="63" t="str">
        <f aca="false">IF(ISBLANK($C406),"",AZ406)</f>
        <v/>
      </c>
      <c r="BI406" s="66" t="str">
        <f aca="false">IF(ISBLANK($C406),"",IF(BH406=Constants!$B$4,COUNTA($C$8:$C$507)+2,IF(BH406=Constants!$B$5,COUNTA($C$8:$C$507)+1,IF(BH406=Constants!$B$6,COUNTA($C$8:$C$507),BH406))))</f>
        <v/>
      </c>
      <c r="BJ406" s="5"/>
      <c r="BK406" s="67" t="n">
        <f aca="false">IF(OR(ISNUMBER(BH406),BH406=Constants!$B$4,BH406=Constants!$B$6,BH406=Constants!$B$5),1,0)</f>
        <v>0</v>
      </c>
      <c r="BL406" s="67" t="n">
        <v>399</v>
      </c>
      <c r="BM406" s="67" t="str">
        <f aca="false">IF(ISBLANK($C406),"",IF(ISNUMBER(BI406),BI406+ROW($B406)/1000,""))</f>
        <v/>
      </c>
      <c r="BN406" s="67" t="str">
        <f aca="false">IF(ISNUMBER(BM406),RANK(BM406,$BM$8:$BM$507,1),"")</f>
        <v/>
      </c>
      <c r="BO406" s="67" t="str">
        <f aca="false">IF(ISBLANK($C406),"",$B406)</f>
        <v/>
      </c>
      <c r="BP406" s="67" t="str">
        <f aca="false">IF(ISBLANK($C406),"",$C406)</f>
        <v/>
      </c>
      <c r="BQ406" s="67" t="str">
        <f aca="false">IF(ISBLANK($C406),"",$D406)</f>
        <v/>
      </c>
      <c r="BR406" s="68" t="str">
        <f aca="false">BF406</f>
        <v/>
      </c>
      <c r="BS406" s="69" t="str">
        <f aca="false">BE406</f>
        <v/>
      </c>
      <c r="BT406" s="67" t="str">
        <f aca="false">IF(ISBLANK($C406),"",BH406)</f>
        <v/>
      </c>
      <c r="BU406" s="70" t="str">
        <f aca="false">IF($BL406&gt;$BK$7,"",VLOOKUP($BL406,$BN$8:$BT$507,7,FALSE()))</f>
        <v/>
      </c>
      <c r="BV406" s="71" t="str">
        <f aca="false">IF($BL406&gt;$BK$7,"",VLOOKUP($BL406,$BN$8:$BT$507,2,FALSE()))</f>
        <v/>
      </c>
      <c r="BW406" s="71" t="str">
        <f aca="false">IF($BL406&gt;$BK$7,"",VLOOKUP($BL406,$BN$8:$BT$507,3,FALSE()))</f>
        <v/>
      </c>
      <c r="BX406" s="71" t="str">
        <f aca="false">IF($BL406&gt;$BK$7,"",VLOOKUP($BL406,$BN$8:$BT$507,4,FALSE()))</f>
        <v/>
      </c>
      <c r="BY406" s="71" t="str">
        <f aca="false">IF($BL406&gt;$BK$7,"",VLOOKUP($BL406,$BN$8:$BT$507,5,FALSE()))</f>
        <v/>
      </c>
      <c r="BZ406" s="72" t="str">
        <f aca="false">IF($BL406&gt;$BK$7,"",VLOOKUP($BL406,$BN$8:$BT$507,6,FALSE()))</f>
        <v/>
      </c>
      <c r="CA406" s="48"/>
    </row>
    <row r="407" customFormat="false" ht="15.75" hidden="false" customHeight="false" outlineLevel="0" collapsed="false">
      <c r="A407" s="5"/>
      <c r="B407" s="114"/>
      <c r="C407" s="115"/>
      <c r="D407" s="100"/>
      <c r="E407" s="120"/>
      <c r="F407" s="125"/>
      <c r="G407" s="82"/>
      <c r="H407" s="126"/>
      <c r="I407" s="127"/>
      <c r="J407" s="82"/>
      <c r="K407" s="126"/>
      <c r="L407" s="82"/>
      <c r="M407" s="126"/>
      <c r="N407" s="82"/>
      <c r="O407" s="126"/>
      <c r="P407" s="82"/>
      <c r="Q407" s="126"/>
      <c r="R407" s="82"/>
      <c r="S407" s="120"/>
      <c r="T407" s="86"/>
      <c r="U407" s="87" t="str">
        <f aca="false">IF(ISBLANK($C407),"",IF(E407=Constants!$B$2, TRUE(), IF(E407=Constants!$B$3, FALSE(), TRUE())))</f>
        <v/>
      </c>
      <c r="V407" s="87" t="str">
        <f aca="false">IF(ISBLANK($C407),"",IF(F407=Constants!$B$2, TRUE(), IF(F407=Constants!$B$3, FALSE(), TRUE())))</f>
        <v/>
      </c>
      <c r="W407" s="87" t="str">
        <f aca="false">IF(ISBLANK($C407),"",IF(G407=Constants!$B$15,Constants!$B$8,IF(G407=Constants!$B$16,Constants!$B$9,Constants!$B$10)))</f>
        <v/>
      </c>
      <c r="X407" s="87" t="str">
        <f aca="false">IF(ISBLANK($C407),"",IF(H407=Constants!$B$2, TRUE(), IF(H407=Constants!$B$3, FALSE(), TRUE())))</f>
        <v/>
      </c>
      <c r="Y407" s="87" t="str">
        <f aca="false">IF(ISBLANK($C407),"",IF(I407=Constants!$B$19,Constants!$B$19,Constants!$B$18))</f>
        <v/>
      </c>
      <c r="Z407" s="87" t="str">
        <f aca="false">IF(ISBLANK($C407),"",IF(ISNUMBER(J407),IF(J407&gt;=0,J407,""),""))</f>
        <v/>
      </c>
      <c r="AA407" s="87" t="str">
        <f aca="false">IF(ISBLANK($C407),"",IF(K407=Constants!$B$19,Constants!$B$19,Constants!$B$18))</f>
        <v/>
      </c>
      <c r="AB407" s="87" t="str">
        <f aca="false">IF(ISBLANK($C407),"",IF(ISNUMBER(L407),IF(L407&gt;=0,L407,""),""))</f>
        <v/>
      </c>
      <c r="AC407" s="87" t="str">
        <f aca="false">IF(ISBLANK($C407),"",IF(M407=Constants!$B$19,Constants!$B$19,Constants!$B$18))</f>
        <v/>
      </c>
      <c r="AD407" s="87" t="str">
        <f aca="false">IF(ISBLANK($C407),"",IF(ISNUMBER(N407),IF(N407&gt;=0,N407,""),""))</f>
        <v/>
      </c>
      <c r="AE407" s="87" t="str">
        <f aca="false">IF(ISBLANK($C407),"",IF(O407=Constants!$B$19,Constants!$B$19,Constants!$B$18))</f>
        <v/>
      </c>
      <c r="AF407" s="87" t="str">
        <f aca="false">IF(ISBLANK($C407),"",IF(ISNUMBER(P407),IF(P407&gt;=0,P407,""),""))</f>
        <v/>
      </c>
      <c r="AG407" s="87" t="str">
        <f aca="false">IF(ISBLANK($C407),"",IF(Q407=Constants!$B$19,Constants!$B$19,Constants!$B$18))</f>
        <v/>
      </c>
      <c r="AH407" s="87" t="str">
        <f aca="false">IF(ISBLANK($C407),"",IF(ISNUMBER(R407),IF(R407&gt;=0,R407,""),""))</f>
        <v/>
      </c>
      <c r="AI407" s="87" t="str">
        <f aca="false">IF(ISBLANK($C407),"",IF(S407=Constants!$B$2, TRUE(), IF(S407=Constants!$B$3, FALSE(), FALSE())))</f>
        <v/>
      </c>
      <c r="AJ407" s="87" t="str">
        <f aca="false">IF(ISBLANK($C407),"",IF(AI407,Constants!$B$4,IF(COUNTA(E407:R407)=0,Constants!$B$5,IF(COUNTA(J407,L407,N407,P407,R407)=0,Constants!$B$6,Constants!$B$7))))</f>
        <v/>
      </c>
      <c r="AK407" s="87" t="str">
        <f aca="false">IF(ISBLANK($C407),"",IF($AJ407&lt;&gt;Constants!$B$7,$AJ407,IF(OR(NOT(X407),AND(NOT(U407),COUNTIFS(Y407:AG407,Constants!$B$18,Z407:AH407,"&gt;=0")&gt;0),AND(NOT(V407),COUNTIFS(Y407:AG407,Constants!$B$19,Z407:AH407,"&gt;=0")&gt;0)),Constants!$B$12,Constants!$B$11)))</f>
        <v/>
      </c>
      <c r="AL407" s="87" t="str">
        <f aca="false">IF($AJ407=Constants!$B$7,IF(Z407="",Constants!$B$13,Z407),"")</f>
        <v/>
      </c>
      <c r="AM407" s="87" t="str">
        <f aca="false">IF($AJ407=Constants!$B$7,IF(AB407="",Constants!$B$13,AB407),"")</f>
        <v/>
      </c>
      <c r="AN407" s="87" t="str">
        <f aca="false">IF($AJ407=Constants!$B$7,IF(AD407="",Constants!$B$13,AD407),"")</f>
        <v/>
      </c>
      <c r="AO407" s="87" t="str">
        <f aca="false">IF($AJ407=Constants!$B$7,IF(AF407="",Constants!$B$13,AF407),"")</f>
        <v/>
      </c>
      <c r="AP407" s="87" t="str">
        <f aca="false">IF($AJ407=Constants!$B$7,IF(AH407="",Constants!$B$13,AH407),"")</f>
        <v/>
      </c>
      <c r="AQ407" s="87" t="str">
        <f aca="false">IF($AJ407=Constants!$B$7,IF(SUMPRODUCT(--($AL407:$AP407&gt;AL407))+SUMPRODUCT(--($AL407:AL407=AL407))=1,1,IF(SUMPRODUCT(--($AL407:$AP407&gt;AM407))+SUMPRODUCT(--($AL407:AM407=AM407))=1,2,IF(SUMPRODUCT(--($AL407:$AP407&gt;AN407))+SUMPRODUCT(--($AL407:AN407=AN407))=1,3,IF(SUMPRODUCT(--($AL407:$AP407&gt;AO407))+SUMPRODUCT(--($AL407:AO407=AO407))=1,4,5)))),"")</f>
        <v/>
      </c>
      <c r="AR407" s="87" t="str">
        <f aca="false">IF($AJ407=Constants!$B$7,IF(SUMPRODUCT(--($AL407:$AP407&gt;AL407))+SUMPRODUCT(--($AL407:AL407=AL407))=2,1,IF(SUMPRODUCT(--($AL407:$AP407&gt;AM407))+SUMPRODUCT(--($AL407:AM407=AM407))=2,2,IF(SUMPRODUCT(--($AL407:$AP407&gt;AN407))+SUMPRODUCT(--($AL407:AN407=AN407))=2,3,IF(SUMPRODUCT(--($AL407:$AP407&gt;AO407))+SUMPRODUCT(--($AL407:AO407=AO407))=2,4,5)))),"")</f>
        <v/>
      </c>
      <c r="AS407" s="87" t="str">
        <f aca="false">IF($AJ407=Constants!$B$7,IF(SUMPRODUCT(--($AL407:$AP407&gt;AL407))+SUMPRODUCT(--($AL407:AL407=AL407))=3,1,IF(SUMPRODUCT(--($AL407:$AP407&gt;AM407))+SUMPRODUCT(--($AL407:AM407=AM407))=3,2,IF(SUMPRODUCT(--($AL407:$AP407&gt;AN407))+SUMPRODUCT(--($AL407:AN407=AN407))=3,3,IF(SUMPRODUCT(--($AL407:$AP407&gt;AO407))+SUMPRODUCT(--($AL407:AO407=AO407))=3,4,5)))),"")</f>
        <v/>
      </c>
      <c r="AT407" s="87" t="str">
        <f aca="false">IF($AJ407=Constants!$B$7,LARGE(AL407:AP407,1)+LARGE(AL407:AP407,2)+LARGE(AL407:AP407,3),"")</f>
        <v/>
      </c>
      <c r="AU407" s="87" t="str">
        <f aca="false">IF(ISBLANK($C407),"",IF($AJ407&lt;&gt;Constants!$B$7,$AJ407,AT407*W407))</f>
        <v/>
      </c>
      <c r="AV407" s="87" t="str">
        <f aca="false">IF(ISBLANK($C407),"",IF($AJ407=Constants!$B$7,IF(ISNUMBER(AU407),RANK(AU407,$AU$8:$AU$507),Constants!$B$14),$AJ407))</f>
        <v/>
      </c>
      <c r="AW407" s="87" t="str">
        <f aca="false">IF(ISBLANK($C407),"",IF($AJ407=Constants!$B$7,IF(ISNUMBER(AV407),COUNTIFS($AK$8:$AK$507,"&lt;"&amp;$AK407)+COUNTIFS($AK$8:$AK$507,$AK407,$AV$8:$AV$507,"&lt;"&amp;$AV407)+1,Constants!$B$14),$AJ407))</f>
        <v/>
      </c>
      <c r="AX407" s="87" t="str">
        <f aca="false">IF(ISBLANK($C407),"",IF($AJ407=Constants!$B$7,LARGE(AL407:AP407,4)*W407,""))</f>
        <v/>
      </c>
      <c r="AY407" s="87" t="str">
        <f aca="false">IF(ISBLANK($C407),"",IF($AJ407=Constants!$B$7,RANK(AX407,$AX$8:$AX$507),$AJ407))</f>
        <v/>
      </c>
      <c r="AZ407" s="87" t="str">
        <f aca="false">IF(ISBLANK($C407),"",IF($AJ407=Constants!$B$7,IF(ISNUMBER(AV407),COUNTIFS($AK$8:$AK$507,"&lt;"&amp;$AK407)+COUNTIFS($AK$8:$AK$507,$AK407,$AV$8:$AV$507,"&lt;"&amp;$AV407)+COUNTIFS($AK$8:$AK$507,$AK407,$AV$8:$AV$507,$AV407,$AY$8:$AY$507,"&lt;"&amp;$AY407)+1,Constants!$B$14),$AJ407))</f>
        <v/>
      </c>
      <c r="BA407" s="87" t="str">
        <f aca="false">IF(ISBLANK($C407),"",IF($AJ407=Constants!$B$7,IF(ISNUMBER(AW407),AW407-AZ407,Constants!$B$14),$AJ407))</f>
        <v/>
      </c>
      <c r="BB407" s="88"/>
      <c r="BC407" s="89" t="str">
        <f aca="false">IF(ISBLANK($C407),"",IF($AJ407&lt;&gt;Constants!$B$7,$AJ407,SMALL(AQ407:AS407,1)&amp;", "&amp;SMALL(AQ407:AS407,2)&amp;", "&amp;SMALL(AQ407:AS407,3)))</f>
        <v/>
      </c>
      <c r="BD407" s="90" t="str">
        <f aca="false">IF(ISBLANK($C407),"",IF($AJ407&lt;&gt;Constants!$B$7,$AJ407,W407))</f>
        <v/>
      </c>
      <c r="BE407" s="91" t="str">
        <f aca="false">IF(ISBLANK($C407),"",IF($AJ407&lt;&gt;Constants!$B$7,$AJ407,AU407))</f>
        <v/>
      </c>
      <c r="BF407" s="92" t="str">
        <f aca="false">IF(ISBLANK($C407),"",IF($AJ407&lt;&gt;Constants!$B$7,$AJ407,AK407))</f>
        <v/>
      </c>
      <c r="BG407" s="90" t="str">
        <f aca="false">IF(ISBLANK($C407),"",BA407)</f>
        <v/>
      </c>
      <c r="BH407" s="90" t="str">
        <f aca="false">IF(ISBLANK($C407),"",AZ407)</f>
        <v/>
      </c>
      <c r="BI407" s="93" t="str">
        <f aca="false">IF(ISBLANK($C407),"",IF(BH407=Constants!$B$4,COUNTA($C$8:$C$507)+2,IF(BH407=Constants!$B$5,COUNTA($C$8:$C$507)+1,IF(BH407=Constants!$B$6,COUNTA($C$8:$C$507),BH407))))</f>
        <v/>
      </c>
      <c r="BJ407" s="5"/>
      <c r="BK407" s="94" t="n">
        <f aca="false">IF(OR(ISNUMBER(BH407),BH407=Constants!$B$4,BH407=Constants!$B$6,BH407=Constants!$B$5),1,0)</f>
        <v>0</v>
      </c>
      <c r="BL407" s="94" t="n">
        <v>400</v>
      </c>
      <c r="BM407" s="94" t="str">
        <f aca="false">IF(ISBLANK($C407),"",IF(ISNUMBER(BI407),BI407+ROW($B407)/1000,""))</f>
        <v/>
      </c>
      <c r="BN407" s="94" t="str">
        <f aca="false">IF(ISNUMBER(BM407),RANK(BM407,$BM$8:$BM$507,1),"")</f>
        <v/>
      </c>
      <c r="BO407" s="94" t="str">
        <f aca="false">IF(ISBLANK($C407),"",$B407)</f>
        <v/>
      </c>
      <c r="BP407" s="94" t="str">
        <f aca="false">IF(ISBLANK($C407),"",$C407)</f>
        <v/>
      </c>
      <c r="BQ407" s="94" t="str">
        <f aca="false">IF(ISBLANK($C407),"",$D407)</f>
        <v/>
      </c>
      <c r="BR407" s="95" t="str">
        <f aca="false">BF407</f>
        <v/>
      </c>
      <c r="BS407" s="96" t="str">
        <f aca="false">BE407</f>
        <v/>
      </c>
      <c r="BT407" s="94" t="str">
        <f aca="false">IF(ISBLANK($C407),"",BH407)</f>
        <v/>
      </c>
      <c r="BU407" s="97" t="str">
        <f aca="false">IF($BL407&gt;$BK$7,"",VLOOKUP($BL407,$BN$8:$BT$507,7,FALSE()))</f>
        <v/>
      </c>
      <c r="BV407" s="98" t="str">
        <f aca="false">IF($BL407&gt;$BK$7,"",VLOOKUP($BL407,$BN$8:$BT$507,2,FALSE()))</f>
        <v/>
      </c>
      <c r="BW407" s="98" t="str">
        <f aca="false">IF($BL407&gt;$BK$7,"",VLOOKUP($BL407,$BN$8:$BT$507,3,FALSE()))</f>
        <v/>
      </c>
      <c r="BX407" s="98" t="str">
        <f aca="false">IF($BL407&gt;$BK$7,"",VLOOKUP($BL407,$BN$8:$BT$507,4,FALSE()))</f>
        <v/>
      </c>
      <c r="BY407" s="98" t="str">
        <f aca="false">IF($BL407&gt;$BK$7,"",VLOOKUP($BL407,$BN$8:$BT$507,5,FALSE()))</f>
        <v/>
      </c>
      <c r="BZ407" s="99" t="str">
        <f aca="false">IF($BL407&gt;$BK$7,"",VLOOKUP($BL407,$BN$8:$BT$507,6,FALSE()))</f>
        <v/>
      </c>
      <c r="CA407" s="48"/>
    </row>
    <row r="408" customFormat="false" ht="15.75" hidden="false" customHeight="false" outlineLevel="0" collapsed="false">
      <c r="A408" s="5"/>
      <c r="B408" s="114"/>
      <c r="C408" s="115"/>
      <c r="D408" s="100"/>
      <c r="E408" s="120"/>
      <c r="F408" s="125"/>
      <c r="G408" s="82"/>
      <c r="H408" s="126"/>
      <c r="I408" s="127"/>
      <c r="J408" s="82"/>
      <c r="K408" s="126"/>
      <c r="L408" s="82"/>
      <c r="M408" s="126"/>
      <c r="N408" s="82"/>
      <c r="O408" s="126"/>
      <c r="P408" s="82"/>
      <c r="Q408" s="126"/>
      <c r="R408" s="82"/>
      <c r="S408" s="120"/>
      <c r="T408" s="86"/>
      <c r="U408" s="87" t="str">
        <f aca="false">IF(ISBLANK($C408),"",IF(E408=Constants!$B$2, TRUE(), IF(E408=Constants!$B$3, FALSE(), TRUE())))</f>
        <v/>
      </c>
      <c r="V408" s="87" t="str">
        <f aca="false">IF(ISBLANK($C408),"",IF(F408=Constants!$B$2, TRUE(), IF(F408=Constants!$B$3, FALSE(), TRUE())))</f>
        <v/>
      </c>
      <c r="W408" s="87" t="str">
        <f aca="false">IF(ISBLANK($C408),"",IF(G408=Constants!$B$15,Constants!$B$8,IF(G408=Constants!$B$16,Constants!$B$9,Constants!$B$10)))</f>
        <v/>
      </c>
      <c r="X408" s="87" t="str">
        <f aca="false">IF(ISBLANK($C408),"",IF(H408=Constants!$B$2, TRUE(), IF(H408=Constants!$B$3, FALSE(), TRUE())))</f>
        <v/>
      </c>
      <c r="Y408" s="87" t="str">
        <f aca="false">IF(ISBLANK($C408),"",IF(I408=Constants!$B$19,Constants!$B$19,Constants!$B$18))</f>
        <v/>
      </c>
      <c r="Z408" s="87" t="str">
        <f aca="false">IF(ISBLANK($C408),"",IF(ISNUMBER(J408),IF(J408&gt;=0,J408,""),""))</f>
        <v/>
      </c>
      <c r="AA408" s="87" t="str">
        <f aca="false">IF(ISBLANK($C408),"",IF(K408=Constants!$B$19,Constants!$B$19,Constants!$B$18))</f>
        <v/>
      </c>
      <c r="AB408" s="87" t="str">
        <f aca="false">IF(ISBLANK($C408),"",IF(ISNUMBER(L408),IF(L408&gt;=0,L408,""),""))</f>
        <v/>
      </c>
      <c r="AC408" s="87" t="str">
        <f aca="false">IF(ISBLANK($C408),"",IF(M408=Constants!$B$19,Constants!$B$19,Constants!$B$18))</f>
        <v/>
      </c>
      <c r="AD408" s="87" t="str">
        <f aca="false">IF(ISBLANK($C408),"",IF(ISNUMBER(N408),IF(N408&gt;=0,N408,""),""))</f>
        <v/>
      </c>
      <c r="AE408" s="87" t="str">
        <f aca="false">IF(ISBLANK($C408),"",IF(O408=Constants!$B$19,Constants!$B$19,Constants!$B$18))</f>
        <v/>
      </c>
      <c r="AF408" s="87" t="str">
        <f aca="false">IF(ISBLANK($C408),"",IF(ISNUMBER(P408),IF(P408&gt;=0,P408,""),""))</f>
        <v/>
      </c>
      <c r="AG408" s="87" t="str">
        <f aca="false">IF(ISBLANK($C408),"",IF(Q408=Constants!$B$19,Constants!$B$19,Constants!$B$18))</f>
        <v/>
      </c>
      <c r="AH408" s="87" t="str">
        <f aca="false">IF(ISBLANK($C408),"",IF(ISNUMBER(R408),IF(R408&gt;=0,R408,""),""))</f>
        <v/>
      </c>
      <c r="AI408" s="87" t="str">
        <f aca="false">IF(ISBLANK($C408),"",IF(S408=Constants!$B$2, TRUE(), IF(S408=Constants!$B$3, FALSE(), FALSE())))</f>
        <v/>
      </c>
      <c r="AJ408" s="87" t="str">
        <f aca="false">IF(ISBLANK($C408),"",IF(AI408,Constants!$B$4,IF(COUNTA(E408:R408)=0,Constants!$B$5,IF(COUNTA(J408,L408,N408,P408,R408)=0,Constants!$B$6,Constants!$B$7))))</f>
        <v/>
      </c>
      <c r="AK408" s="87" t="str">
        <f aca="false">IF(ISBLANK($C408),"",IF($AJ408&lt;&gt;Constants!$B$7,$AJ408,IF(OR(NOT(X408),AND(NOT(U408),COUNTIFS(Y408:AG408,Constants!$B$18,Z408:AH408,"&gt;=0")&gt;0),AND(NOT(V408),COUNTIFS(Y408:AG408,Constants!$B$19,Z408:AH408,"&gt;=0")&gt;0)),Constants!$B$12,Constants!$B$11)))</f>
        <v/>
      </c>
      <c r="AL408" s="87" t="str">
        <f aca="false">IF($AJ408=Constants!$B$7,IF(Z408="",Constants!$B$13,Z408),"")</f>
        <v/>
      </c>
      <c r="AM408" s="87" t="str">
        <f aca="false">IF($AJ408=Constants!$B$7,IF(AB408="",Constants!$B$13,AB408),"")</f>
        <v/>
      </c>
      <c r="AN408" s="87" t="str">
        <f aca="false">IF($AJ408=Constants!$B$7,IF(AD408="",Constants!$B$13,AD408),"")</f>
        <v/>
      </c>
      <c r="AO408" s="87" t="str">
        <f aca="false">IF($AJ408=Constants!$B$7,IF(AF408="",Constants!$B$13,AF408),"")</f>
        <v/>
      </c>
      <c r="AP408" s="87" t="str">
        <f aca="false">IF($AJ408=Constants!$B$7,IF(AH408="",Constants!$B$13,AH408),"")</f>
        <v/>
      </c>
      <c r="AQ408" s="87" t="str">
        <f aca="false">IF($AJ408=Constants!$B$7,IF(SUMPRODUCT(--($AL408:$AP408&gt;AL408))+SUMPRODUCT(--($AL408:AL408=AL408))=1,1,IF(SUMPRODUCT(--($AL408:$AP408&gt;AM408))+SUMPRODUCT(--($AL408:AM408=AM408))=1,2,IF(SUMPRODUCT(--($AL408:$AP408&gt;AN408))+SUMPRODUCT(--($AL408:AN408=AN408))=1,3,IF(SUMPRODUCT(--($AL408:$AP408&gt;AO408))+SUMPRODUCT(--($AL408:AO408=AO408))=1,4,5)))),"")</f>
        <v/>
      </c>
      <c r="AR408" s="87" t="str">
        <f aca="false">IF($AJ408=Constants!$B$7,IF(SUMPRODUCT(--($AL408:$AP408&gt;AL408))+SUMPRODUCT(--($AL408:AL408=AL408))=2,1,IF(SUMPRODUCT(--($AL408:$AP408&gt;AM408))+SUMPRODUCT(--($AL408:AM408=AM408))=2,2,IF(SUMPRODUCT(--($AL408:$AP408&gt;AN408))+SUMPRODUCT(--($AL408:AN408=AN408))=2,3,IF(SUMPRODUCT(--($AL408:$AP408&gt;AO408))+SUMPRODUCT(--($AL408:AO408=AO408))=2,4,5)))),"")</f>
        <v/>
      </c>
      <c r="AS408" s="87" t="str">
        <f aca="false">IF($AJ408=Constants!$B$7,IF(SUMPRODUCT(--($AL408:$AP408&gt;AL408))+SUMPRODUCT(--($AL408:AL408=AL408))=3,1,IF(SUMPRODUCT(--($AL408:$AP408&gt;AM408))+SUMPRODUCT(--($AL408:AM408=AM408))=3,2,IF(SUMPRODUCT(--($AL408:$AP408&gt;AN408))+SUMPRODUCT(--($AL408:AN408=AN408))=3,3,IF(SUMPRODUCT(--($AL408:$AP408&gt;AO408))+SUMPRODUCT(--($AL408:AO408=AO408))=3,4,5)))),"")</f>
        <v/>
      </c>
      <c r="AT408" s="87" t="str">
        <f aca="false">IF($AJ408=Constants!$B$7,LARGE(AL408:AP408,1)+LARGE(AL408:AP408,2)+LARGE(AL408:AP408,3),"")</f>
        <v/>
      </c>
      <c r="AU408" s="87" t="str">
        <f aca="false">IF(ISBLANK($C408),"",IF($AJ408&lt;&gt;Constants!$B$7,$AJ408,AT408*W408))</f>
        <v/>
      </c>
      <c r="AV408" s="87" t="str">
        <f aca="false">IF(ISBLANK($C408),"",IF($AJ408=Constants!$B$7,IF(ISNUMBER(AU408),RANK(AU408,$AU$8:$AU$507),Constants!$B$14),$AJ408))</f>
        <v/>
      </c>
      <c r="AW408" s="87" t="str">
        <f aca="false">IF(ISBLANK($C408),"",IF($AJ408=Constants!$B$7,IF(ISNUMBER(AV408),COUNTIFS($AK$8:$AK$507,"&lt;"&amp;$AK408)+COUNTIFS($AK$8:$AK$507,$AK408,$AV$8:$AV$507,"&lt;"&amp;$AV408)+1,Constants!$B$14),$AJ408))</f>
        <v/>
      </c>
      <c r="AX408" s="87" t="str">
        <f aca="false">IF(ISBLANK($C408),"",IF($AJ408=Constants!$B$7,LARGE(AL408:AP408,4)*W408,""))</f>
        <v/>
      </c>
      <c r="AY408" s="87" t="str">
        <f aca="false">IF(ISBLANK($C408),"",IF($AJ408=Constants!$B$7,RANK(AX408,$AX$8:$AX$507),$AJ408))</f>
        <v/>
      </c>
      <c r="AZ408" s="87" t="str">
        <f aca="false">IF(ISBLANK($C408),"",IF($AJ408=Constants!$B$7,IF(ISNUMBER(AV408),COUNTIFS($AK$8:$AK$507,"&lt;"&amp;$AK408)+COUNTIFS($AK$8:$AK$507,$AK408,$AV$8:$AV$507,"&lt;"&amp;$AV408)+COUNTIFS($AK$8:$AK$507,$AK408,$AV$8:$AV$507,$AV408,$AY$8:$AY$507,"&lt;"&amp;$AY408)+1,Constants!$B$14),$AJ408))</f>
        <v/>
      </c>
      <c r="BA408" s="87" t="str">
        <f aca="false">IF(ISBLANK($C408),"",IF($AJ408=Constants!$B$7,IF(ISNUMBER(AW408),AW408-AZ408,Constants!$B$14),$AJ408))</f>
        <v/>
      </c>
      <c r="BB408" s="88"/>
      <c r="BC408" s="89" t="str">
        <f aca="false">IF(ISBLANK($C408),"",IF($AJ408&lt;&gt;Constants!$B$7,$AJ408,SMALL(AQ408:AS408,1)&amp;", "&amp;SMALL(AQ408:AS408,2)&amp;", "&amp;SMALL(AQ408:AS408,3)))</f>
        <v/>
      </c>
      <c r="BD408" s="90" t="str">
        <f aca="false">IF(ISBLANK($C408),"",IF($AJ408&lt;&gt;Constants!$B$7,$AJ408,W408))</f>
        <v/>
      </c>
      <c r="BE408" s="91" t="str">
        <f aca="false">IF(ISBLANK($C408),"",IF($AJ408&lt;&gt;Constants!$B$7,$AJ408,AU408))</f>
        <v/>
      </c>
      <c r="BF408" s="92" t="str">
        <f aca="false">IF(ISBLANK($C408),"",IF($AJ408&lt;&gt;Constants!$B$7,$AJ408,AK408))</f>
        <v/>
      </c>
      <c r="BG408" s="90" t="str">
        <f aca="false">IF(ISBLANK($C408),"",BA408)</f>
        <v/>
      </c>
      <c r="BH408" s="90" t="str">
        <f aca="false">IF(ISBLANK($C408),"",AZ408)</f>
        <v/>
      </c>
      <c r="BI408" s="93" t="str">
        <f aca="false">IF(ISBLANK($C408),"",IF(BH408=Constants!$B$4,COUNTA($C$8:$C$507)+2,IF(BH408=Constants!$B$5,COUNTA($C$8:$C$507)+1,IF(BH408=Constants!$B$6,COUNTA($C$8:$C$507),BH408))))</f>
        <v/>
      </c>
      <c r="BJ408" s="5"/>
      <c r="BK408" s="94" t="n">
        <f aca="false">IF(OR(ISNUMBER(BH408),BH408=Constants!$B$4,BH408=Constants!$B$6,BH408=Constants!$B$5),1,0)</f>
        <v>0</v>
      </c>
      <c r="BL408" s="94" t="n">
        <v>401</v>
      </c>
      <c r="BM408" s="94" t="str">
        <f aca="false">IF(ISBLANK($C408),"",IF(ISNUMBER(BI408),BI408+ROW($B408)/1000,""))</f>
        <v/>
      </c>
      <c r="BN408" s="94" t="str">
        <f aca="false">IF(ISNUMBER(BM408),RANK(BM408,$BM$8:$BM$507,1),"")</f>
        <v/>
      </c>
      <c r="BO408" s="94" t="str">
        <f aca="false">IF(ISBLANK($C408),"",$B408)</f>
        <v/>
      </c>
      <c r="BP408" s="94" t="str">
        <f aca="false">IF(ISBLANK($C408),"",$C408)</f>
        <v/>
      </c>
      <c r="BQ408" s="94" t="str">
        <f aca="false">IF(ISBLANK($C408),"",$D408)</f>
        <v/>
      </c>
      <c r="BR408" s="95" t="str">
        <f aca="false">BF408</f>
        <v/>
      </c>
      <c r="BS408" s="96" t="str">
        <f aca="false">BE408</f>
        <v/>
      </c>
      <c r="BT408" s="94" t="str">
        <f aca="false">IF(ISBLANK($C408),"",BH408)</f>
        <v/>
      </c>
      <c r="BU408" s="97" t="str">
        <f aca="false">IF($BL408&gt;$BK$7,"",VLOOKUP($BL408,$BN$8:$BT$507,7,FALSE()))</f>
        <v/>
      </c>
      <c r="BV408" s="98" t="str">
        <f aca="false">IF($BL408&gt;$BK$7,"",VLOOKUP($BL408,$BN$8:$BT$507,2,FALSE()))</f>
        <v/>
      </c>
      <c r="BW408" s="98" t="str">
        <f aca="false">IF($BL408&gt;$BK$7,"",VLOOKUP($BL408,$BN$8:$BT$507,3,FALSE()))</f>
        <v/>
      </c>
      <c r="BX408" s="98" t="str">
        <f aca="false">IF($BL408&gt;$BK$7,"",VLOOKUP($BL408,$BN$8:$BT$507,4,FALSE()))</f>
        <v/>
      </c>
      <c r="BY408" s="98" t="str">
        <f aca="false">IF($BL408&gt;$BK$7,"",VLOOKUP($BL408,$BN$8:$BT$507,5,FALSE()))</f>
        <v/>
      </c>
      <c r="BZ408" s="99" t="str">
        <f aca="false">IF($BL408&gt;$BK$7,"",VLOOKUP($BL408,$BN$8:$BT$507,6,FALSE()))</f>
        <v/>
      </c>
      <c r="CA408" s="48"/>
    </row>
    <row r="409" customFormat="false" ht="15.75" hidden="false" customHeight="false" outlineLevel="0" collapsed="false">
      <c r="A409" s="5"/>
      <c r="B409" s="114"/>
      <c r="C409" s="115"/>
      <c r="D409" s="100"/>
      <c r="E409" s="120"/>
      <c r="F409" s="125"/>
      <c r="G409" s="82"/>
      <c r="H409" s="126"/>
      <c r="I409" s="127"/>
      <c r="J409" s="82"/>
      <c r="K409" s="126"/>
      <c r="L409" s="82"/>
      <c r="M409" s="126"/>
      <c r="N409" s="82"/>
      <c r="O409" s="126"/>
      <c r="P409" s="82"/>
      <c r="Q409" s="126"/>
      <c r="R409" s="82"/>
      <c r="S409" s="120"/>
      <c r="T409" s="86"/>
      <c r="U409" s="87" t="str">
        <f aca="false">IF(ISBLANK($C409),"",IF(E409=Constants!$B$2, TRUE(), IF(E409=Constants!$B$3, FALSE(), TRUE())))</f>
        <v/>
      </c>
      <c r="V409" s="87" t="str">
        <f aca="false">IF(ISBLANK($C409),"",IF(F409=Constants!$B$2, TRUE(), IF(F409=Constants!$B$3, FALSE(), TRUE())))</f>
        <v/>
      </c>
      <c r="W409" s="87" t="str">
        <f aca="false">IF(ISBLANK($C409),"",IF(G409=Constants!$B$15,Constants!$B$8,IF(G409=Constants!$B$16,Constants!$B$9,Constants!$B$10)))</f>
        <v/>
      </c>
      <c r="X409" s="87" t="str">
        <f aca="false">IF(ISBLANK($C409),"",IF(H409=Constants!$B$2, TRUE(), IF(H409=Constants!$B$3, FALSE(), TRUE())))</f>
        <v/>
      </c>
      <c r="Y409" s="87" t="str">
        <f aca="false">IF(ISBLANK($C409),"",IF(I409=Constants!$B$19,Constants!$B$19,Constants!$B$18))</f>
        <v/>
      </c>
      <c r="Z409" s="87" t="str">
        <f aca="false">IF(ISBLANK($C409),"",IF(ISNUMBER(J409),IF(J409&gt;=0,J409,""),""))</f>
        <v/>
      </c>
      <c r="AA409" s="87" t="str">
        <f aca="false">IF(ISBLANK($C409),"",IF(K409=Constants!$B$19,Constants!$B$19,Constants!$B$18))</f>
        <v/>
      </c>
      <c r="AB409" s="87" t="str">
        <f aca="false">IF(ISBLANK($C409),"",IF(ISNUMBER(L409),IF(L409&gt;=0,L409,""),""))</f>
        <v/>
      </c>
      <c r="AC409" s="87" t="str">
        <f aca="false">IF(ISBLANK($C409),"",IF(M409=Constants!$B$19,Constants!$B$19,Constants!$B$18))</f>
        <v/>
      </c>
      <c r="AD409" s="87" t="str">
        <f aca="false">IF(ISBLANK($C409),"",IF(ISNUMBER(N409),IF(N409&gt;=0,N409,""),""))</f>
        <v/>
      </c>
      <c r="AE409" s="87" t="str">
        <f aca="false">IF(ISBLANK($C409),"",IF(O409=Constants!$B$19,Constants!$B$19,Constants!$B$18))</f>
        <v/>
      </c>
      <c r="AF409" s="87" t="str">
        <f aca="false">IF(ISBLANK($C409),"",IF(ISNUMBER(P409),IF(P409&gt;=0,P409,""),""))</f>
        <v/>
      </c>
      <c r="AG409" s="87" t="str">
        <f aca="false">IF(ISBLANK($C409),"",IF(Q409=Constants!$B$19,Constants!$B$19,Constants!$B$18))</f>
        <v/>
      </c>
      <c r="AH409" s="87" t="str">
        <f aca="false">IF(ISBLANK($C409),"",IF(ISNUMBER(R409),IF(R409&gt;=0,R409,""),""))</f>
        <v/>
      </c>
      <c r="AI409" s="87" t="str">
        <f aca="false">IF(ISBLANK($C409),"",IF(S409=Constants!$B$2, TRUE(), IF(S409=Constants!$B$3, FALSE(), FALSE())))</f>
        <v/>
      </c>
      <c r="AJ409" s="87" t="str">
        <f aca="false">IF(ISBLANK($C409),"",IF(AI409,Constants!$B$4,IF(COUNTA(E409:R409)=0,Constants!$B$5,IF(COUNTA(J409,L409,N409,P409,R409)=0,Constants!$B$6,Constants!$B$7))))</f>
        <v/>
      </c>
      <c r="AK409" s="87" t="str">
        <f aca="false">IF(ISBLANK($C409),"",IF($AJ409&lt;&gt;Constants!$B$7,$AJ409,IF(OR(NOT(X409),AND(NOT(U409),COUNTIFS(Y409:AG409,Constants!$B$18,Z409:AH409,"&gt;=0")&gt;0),AND(NOT(V409),COUNTIFS(Y409:AG409,Constants!$B$19,Z409:AH409,"&gt;=0")&gt;0)),Constants!$B$12,Constants!$B$11)))</f>
        <v/>
      </c>
      <c r="AL409" s="87" t="str">
        <f aca="false">IF($AJ409=Constants!$B$7,IF(Z409="",Constants!$B$13,Z409),"")</f>
        <v/>
      </c>
      <c r="AM409" s="87" t="str">
        <f aca="false">IF($AJ409=Constants!$B$7,IF(AB409="",Constants!$B$13,AB409),"")</f>
        <v/>
      </c>
      <c r="AN409" s="87" t="str">
        <f aca="false">IF($AJ409=Constants!$B$7,IF(AD409="",Constants!$B$13,AD409),"")</f>
        <v/>
      </c>
      <c r="AO409" s="87" t="str">
        <f aca="false">IF($AJ409=Constants!$B$7,IF(AF409="",Constants!$B$13,AF409),"")</f>
        <v/>
      </c>
      <c r="AP409" s="87" t="str">
        <f aca="false">IF($AJ409=Constants!$B$7,IF(AH409="",Constants!$B$13,AH409),"")</f>
        <v/>
      </c>
      <c r="AQ409" s="87" t="str">
        <f aca="false">IF($AJ409=Constants!$B$7,IF(SUMPRODUCT(--($AL409:$AP409&gt;AL409))+SUMPRODUCT(--($AL409:AL409=AL409))=1,1,IF(SUMPRODUCT(--($AL409:$AP409&gt;AM409))+SUMPRODUCT(--($AL409:AM409=AM409))=1,2,IF(SUMPRODUCT(--($AL409:$AP409&gt;AN409))+SUMPRODUCT(--($AL409:AN409=AN409))=1,3,IF(SUMPRODUCT(--($AL409:$AP409&gt;AO409))+SUMPRODUCT(--($AL409:AO409=AO409))=1,4,5)))),"")</f>
        <v/>
      </c>
      <c r="AR409" s="87" t="str">
        <f aca="false">IF($AJ409=Constants!$B$7,IF(SUMPRODUCT(--($AL409:$AP409&gt;AL409))+SUMPRODUCT(--($AL409:AL409=AL409))=2,1,IF(SUMPRODUCT(--($AL409:$AP409&gt;AM409))+SUMPRODUCT(--($AL409:AM409=AM409))=2,2,IF(SUMPRODUCT(--($AL409:$AP409&gt;AN409))+SUMPRODUCT(--($AL409:AN409=AN409))=2,3,IF(SUMPRODUCT(--($AL409:$AP409&gt;AO409))+SUMPRODUCT(--($AL409:AO409=AO409))=2,4,5)))),"")</f>
        <v/>
      </c>
      <c r="AS409" s="87" t="str">
        <f aca="false">IF($AJ409=Constants!$B$7,IF(SUMPRODUCT(--($AL409:$AP409&gt;AL409))+SUMPRODUCT(--($AL409:AL409=AL409))=3,1,IF(SUMPRODUCT(--($AL409:$AP409&gt;AM409))+SUMPRODUCT(--($AL409:AM409=AM409))=3,2,IF(SUMPRODUCT(--($AL409:$AP409&gt;AN409))+SUMPRODUCT(--($AL409:AN409=AN409))=3,3,IF(SUMPRODUCT(--($AL409:$AP409&gt;AO409))+SUMPRODUCT(--($AL409:AO409=AO409))=3,4,5)))),"")</f>
        <v/>
      </c>
      <c r="AT409" s="87" t="str">
        <f aca="false">IF($AJ409=Constants!$B$7,LARGE(AL409:AP409,1)+LARGE(AL409:AP409,2)+LARGE(AL409:AP409,3),"")</f>
        <v/>
      </c>
      <c r="AU409" s="87" t="str">
        <f aca="false">IF(ISBLANK($C409),"",IF($AJ409&lt;&gt;Constants!$B$7,$AJ409,AT409*W409))</f>
        <v/>
      </c>
      <c r="AV409" s="87" t="str">
        <f aca="false">IF(ISBLANK($C409),"",IF($AJ409=Constants!$B$7,IF(ISNUMBER(AU409),RANK(AU409,$AU$8:$AU$507),Constants!$B$14),$AJ409))</f>
        <v/>
      </c>
      <c r="AW409" s="87" t="str">
        <f aca="false">IF(ISBLANK($C409),"",IF($AJ409=Constants!$B$7,IF(ISNUMBER(AV409),COUNTIFS($AK$8:$AK$507,"&lt;"&amp;$AK409)+COUNTIFS($AK$8:$AK$507,$AK409,$AV$8:$AV$507,"&lt;"&amp;$AV409)+1,Constants!$B$14),$AJ409))</f>
        <v/>
      </c>
      <c r="AX409" s="87" t="str">
        <f aca="false">IF(ISBLANK($C409),"",IF($AJ409=Constants!$B$7,LARGE(AL409:AP409,4)*W409,""))</f>
        <v/>
      </c>
      <c r="AY409" s="87" t="str">
        <f aca="false">IF(ISBLANK($C409),"",IF($AJ409=Constants!$B$7,RANK(AX409,$AX$8:$AX$507),$AJ409))</f>
        <v/>
      </c>
      <c r="AZ409" s="87" t="str">
        <f aca="false">IF(ISBLANK($C409),"",IF($AJ409=Constants!$B$7,IF(ISNUMBER(AV409),COUNTIFS($AK$8:$AK$507,"&lt;"&amp;$AK409)+COUNTIFS($AK$8:$AK$507,$AK409,$AV$8:$AV$507,"&lt;"&amp;$AV409)+COUNTIFS($AK$8:$AK$507,$AK409,$AV$8:$AV$507,$AV409,$AY$8:$AY$507,"&lt;"&amp;$AY409)+1,Constants!$B$14),$AJ409))</f>
        <v/>
      </c>
      <c r="BA409" s="87" t="str">
        <f aca="false">IF(ISBLANK($C409),"",IF($AJ409=Constants!$B$7,IF(ISNUMBER(AW409),AW409-AZ409,Constants!$B$14),$AJ409))</f>
        <v/>
      </c>
      <c r="BB409" s="88"/>
      <c r="BC409" s="89" t="str">
        <f aca="false">IF(ISBLANK($C409),"",IF($AJ409&lt;&gt;Constants!$B$7,$AJ409,SMALL(AQ409:AS409,1)&amp;", "&amp;SMALL(AQ409:AS409,2)&amp;", "&amp;SMALL(AQ409:AS409,3)))</f>
        <v/>
      </c>
      <c r="BD409" s="90" t="str">
        <f aca="false">IF(ISBLANK($C409),"",IF($AJ409&lt;&gt;Constants!$B$7,$AJ409,W409))</f>
        <v/>
      </c>
      <c r="BE409" s="91" t="str">
        <f aca="false">IF(ISBLANK($C409),"",IF($AJ409&lt;&gt;Constants!$B$7,$AJ409,AU409))</f>
        <v/>
      </c>
      <c r="BF409" s="92" t="str">
        <f aca="false">IF(ISBLANK($C409),"",IF($AJ409&lt;&gt;Constants!$B$7,$AJ409,AK409))</f>
        <v/>
      </c>
      <c r="BG409" s="90" t="str">
        <f aca="false">IF(ISBLANK($C409),"",BA409)</f>
        <v/>
      </c>
      <c r="BH409" s="90" t="str">
        <f aca="false">IF(ISBLANK($C409),"",AZ409)</f>
        <v/>
      </c>
      <c r="BI409" s="93" t="str">
        <f aca="false">IF(ISBLANK($C409),"",IF(BH409=Constants!$B$4,COUNTA($C$8:$C$507)+2,IF(BH409=Constants!$B$5,COUNTA($C$8:$C$507)+1,IF(BH409=Constants!$B$6,COUNTA($C$8:$C$507),BH409))))</f>
        <v/>
      </c>
      <c r="BJ409" s="5"/>
      <c r="BK409" s="94" t="n">
        <f aca="false">IF(OR(ISNUMBER(BH409),BH409=Constants!$B$4,BH409=Constants!$B$6,BH409=Constants!$B$5),1,0)</f>
        <v>0</v>
      </c>
      <c r="BL409" s="94" t="n">
        <v>402</v>
      </c>
      <c r="BM409" s="94" t="str">
        <f aca="false">IF(ISBLANK($C409),"",IF(ISNUMBER(BI409),BI409+ROW($B409)/1000,""))</f>
        <v/>
      </c>
      <c r="BN409" s="94" t="str">
        <f aca="false">IF(ISNUMBER(BM409),RANK(BM409,$BM$8:$BM$507,1),"")</f>
        <v/>
      </c>
      <c r="BO409" s="94" t="str">
        <f aca="false">IF(ISBLANK($C409),"",$B409)</f>
        <v/>
      </c>
      <c r="BP409" s="94" t="str">
        <f aca="false">IF(ISBLANK($C409),"",$C409)</f>
        <v/>
      </c>
      <c r="BQ409" s="94" t="str">
        <f aca="false">IF(ISBLANK($C409),"",$D409)</f>
        <v/>
      </c>
      <c r="BR409" s="95" t="str">
        <f aca="false">BF409</f>
        <v/>
      </c>
      <c r="BS409" s="96" t="str">
        <f aca="false">BE409</f>
        <v/>
      </c>
      <c r="BT409" s="94" t="str">
        <f aca="false">IF(ISBLANK($C409),"",BH409)</f>
        <v/>
      </c>
      <c r="BU409" s="97" t="str">
        <f aca="false">IF($BL409&gt;$BK$7,"",VLOOKUP($BL409,$BN$8:$BT$507,7,FALSE()))</f>
        <v/>
      </c>
      <c r="BV409" s="98" t="str">
        <f aca="false">IF($BL409&gt;$BK$7,"",VLOOKUP($BL409,$BN$8:$BT$507,2,FALSE()))</f>
        <v/>
      </c>
      <c r="BW409" s="98" t="str">
        <f aca="false">IF($BL409&gt;$BK$7,"",VLOOKUP($BL409,$BN$8:$BT$507,3,FALSE()))</f>
        <v/>
      </c>
      <c r="BX409" s="98" t="str">
        <f aca="false">IF($BL409&gt;$BK$7,"",VLOOKUP($BL409,$BN$8:$BT$507,4,FALSE()))</f>
        <v/>
      </c>
      <c r="BY409" s="98" t="str">
        <f aca="false">IF($BL409&gt;$BK$7,"",VLOOKUP($BL409,$BN$8:$BT$507,5,FALSE()))</f>
        <v/>
      </c>
      <c r="BZ409" s="99" t="str">
        <f aca="false">IF($BL409&gt;$BK$7,"",VLOOKUP($BL409,$BN$8:$BT$507,6,FALSE()))</f>
        <v/>
      </c>
      <c r="CA409" s="48"/>
    </row>
    <row r="410" customFormat="false" ht="15.75" hidden="false" customHeight="false" outlineLevel="0" collapsed="false">
      <c r="A410" s="5"/>
      <c r="B410" s="121"/>
      <c r="C410" s="50"/>
      <c r="D410" s="51"/>
      <c r="E410" s="74"/>
      <c r="F410" s="122"/>
      <c r="G410" s="54"/>
      <c r="H410" s="123"/>
      <c r="I410" s="124"/>
      <c r="J410" s="54"/>
      <c r="K410" s="123"/>
      <c r="L410" s="54"/>
      <c r="M410" s="123"/>
      <c r="N410" s="54"/>
      <c r="O410" s="123"/>
      <c r="P410" s="54"/>
      <c r="Q410" s="123"/>
      <c r="R410" s="54"/>
      <c r="S410" s="74"/>
      <c r="T410" s="58"/>
      <c r="U410" s="59" t="str">
        <f aca="false">IF(ISBLANK($C410),"",IF(E410=Constants!$B$2, TRUE(), IF(E410=Constants!$B$3, FALSE(), TRUE())))</f>
        <v/>
      </c>
      <c r="V410" s="59" t="str">
        <f aca="false">IF(ISBLANK($C410),"",IF(F410=Constants!$B$2, TRUE(), IF(F410=Constants!$B$3, FALSE(), TRUE())))</f>
        <v/>
      </c>
      <c r="W410" s="59" t="str">
        <f aca="false">IF(ISBLANK($C410),"",IF(G410=Constants!$B$15,Constants!$B$8,IF(G410=Constants!$B$16,Constants!$B$9,Constants!$B$10)))</f>
        <v/>
      </c>
      <c r="X410" s="59" t="str">
        <f aca="false">IF(ISBLANK($C410),"",IF(H410=Constants!$B$2, TRUE(), IF(H410=Constants!$B$3, FALSE(), TRUE())))</f>
        <v/>
      </c>
      <c r="Y410" s="59" t="str">
        <f aca="false">IF(ISBLANK($C410),"",IF(I410=Constants!$B$19,Constants!$B$19,Constants!$B$18))</f>
        <v/>
      </c>
      <c r="Z410" s="59" t="str">
        <f aca="false">IF(ISBLANK($C410),"",IF(ISNUMBER(J410),IF(J410&gt;=0,J410,""),""))</f>
        <v/>
      </c>
      <c r="AA410" s="59" t="str">
        <f aca="false">IF(ISBLANK($C410),"",IF(K410=Constants!$B$19,Constants!$B$19,Constants!$B$18))</f>
        <v/>
      </c>
      <c r="AB410" s="59" t="str">
        <f aca="false">IF(ISBLANK($C410),"",IF(ISNUMBER(L410),IF(L410&gt;=0,L410,""),""))</f>
        <v/>
      </c>
      <c r="AC410" s="59" t="str">
        <f aca="false">IF(ISBLANK($C410),"",IF(M410=Constants!$B$19,Constants!$B$19,Constants!$B$18))</f>
        <v/>
      </c>
      <c r="AD410" s="59" t="str">
        <f aca="false">IF(ISBLANK($C410),"",IF(ISNUMBER(N410),IF(N410&gt;=0,N410,""),""))</f>
        <v/>
      </c>
      <c r="AE410" s="59" t="str">
        <f aca="false">IF(ISBLANK($C410),"",IF(O410=Constants!$B$19,Constants!$B$19,Constants!$B$18))</f>
        <v/>
      </c>
      <c r="AF410" s="59" t="str">
        <f aca="false">IF(ISBLANK($C410),"",IF(ISNUMBER(P410),IF(P410&gt;=0,P410,""),""))</f>
        <v/>
      </c>
      <c r="AG410" s="59" t="str">
        <f aca="false">IF(ISBLANK($C410),"",IF(Q410=Constants!$B$19,Constants!$B$19,Constants!$B$18))</f>
        <v/>
      </c>
      <c r="AH410" s="59" t="str">
        <f aca="false">IF(ISBLANK($C410),"",IF(ISNUMBER(R410),IF(R410&gt;=0,R410,""),""))</f>
        <v/>
      </c>
      <c r="AI410" s="59" t="str">
        <f aca="false">IF(ISBLANK($C410),"",IF(S410=Constants!$B$2, TRUE(), IF(S410=Constants!$B$3, FALSE(), FALSE())))</f>
        <v/>
      </c>
      <c r="AJ410" s="59" t="str">
        <f aca="false">IF(ISBLANK($C410),"",IF(AI410,Constants!$B$4,IF(COUNTA(E410:R410)=0,Constants!$B$5,IF(COUNTA(J410,L410,N410,P410,R410)=0,Constants!$B$6,Constants!$B$7))))</f>
        <v/>
      </c>
      <c r="AK410" s="59" t="str">
        <f aca="false">IF(ISBLANK($C410),"",IF($AJ410&lt;&gt;Constants!$B$7,$AJ410,IF(OR(NOT(X410),AND(NOT(U410),COUNTIFS(Y410:AG410,Constants!$B$18,Z410:AH410,"&gt;=0")&gt;0),AND(NOT(V410),COUNTIFS(Y410:AG410,Constants!$B$19,Z410:AH410,"&gt;=0")&gt;0)),Constants!$B$12,Constants!$B$11)))</f>
        <v/>
      </c>
      <c r="AL410" s="59" t="str">
        <f aca="false">IF($AJ410=Constants!$B$7,IF(Z410="",Constants!$B$13,Z410),"")</f>
        <v/>
      </c>
      <c r="AM410" s="59" t="str">
        <f aca="false">IF($AJ410=Constants!$B$7,IF(AB410="",Constants!$B$13,AB410),"")</f>
        <v/>
      </c>
      <c r="AN410" s="59" t="str">
        <f aca="false">IF($AJ410=Constants!$B$7,IF(AD410="",Constants!$B$13,AD410),"")</f>
        <v/>
      </c>
      <c r="AO410" s="59" t="str">
        <f aca="false">IF($AJ410=Constants!$B$7,IF(AF410="",Constants!$B$13,AF410),"")</f>
        <v/>
      </c>
      <c r="AP410" s="59" t="str">
        <f aca="false">IF($AJ410=Constants!$B$7,IF(AH410="",Constants!$B$13,AH410),"")</f>
        <v/>
      </c>
      <c r="AQ410" s="59" t="str">
        <f aca="false">IF($AJ410=Constants!$B$7,IF(SUMPRODUCT(--($AL410:$AP410&gt;AL410))+SUMPRODUCT(--($AL410:AL410=AL410))=1,1,IF(SUMPRODUCT(--($AL410:$AP410&gt;AM410))+SUMPRODUCT(--($AL410:AM410=AM410))=1,2,IF(SUMPRODUCT(--($AL410:$AP410&gt;AN410))+SUMPRODUCT(--($AL410:AN410=AN410))=1,3,IF(SUMPRODUCT(--($AL410:$AP410&gt;AO410))+SUMPRODUCT(--($AL410:AO410=AO410))=1,4,5)))),"")</f>
        <v/>
      </c>
      <c r="AR410" s="59" t="str">
        <f aca="false">IF($AJ410=Constants!$B$7,IF(SUMPRODUCT(--($AL410:$AP410&gt;AL410))+SUMPRODUCT(--($AL410:AL410=AL410))=2,1,IF(SUMPRODUCT(--($AL410:$AP410&gt;AM410))+SUMPRODUCT(--($AL410:AM410=AM410))=2,2,IF(SUMPRODUCT(--($AL410:$AP410&gt;AN410))+SUMPRODUCT(--($AL410:AN410=AN410))=2,3,IF(SUMPRODUCT(--($AL410:$AP410&gt;AO410))+SUMPRODUCT(--($AL410:AO410=AO410))=2,4,5)))),"")</f>
        <v/>
      </c>
      <c r="AS410" s="59" t="str">
        <f aca="false">IF($AJ410=Constants!$B$7,IF(SUMPRODUCT(--($AL410:$AP410&gt;AL410))+SUMPRODUCT(--($AL410:AL410=AL410))=3,1,IF(SUMPRODUCT(--($AL410:$AP410&gt;AM410))+SUMPRODUCT(--($AL410:AM410=AM410))=3,2,IF(SUMPRODUCT(--($AL410:$AP410&gt;AN410))+SUMPRODUCT(--($AL410:AN410=AN410))=3,3,IF(SUMPRODUCT(--($AL410:$AP410&gt;AO410))+SUMPRODUCT(--($AL410:AO410=AO410))=3,4,5)))),"")</f>
        <v/>
      </c>
      <c r="AT410" s="59" t="str">
        <f aca="false">IF($AJ410=Constants!$B$7,LARGE(AL410:AP410,1)+LARGE(AL410:AP410,2)+LARGE(AL410:AP410,3),"")</f>
        <v/>
      </c>
      <c r="AU410" s="59" t="str">
        <f aca="false">IF(ISBLANK($C410),"",IF($AJ410&lt;&gt;Constants!$B$7,$AJ410,AT410*W410))</f>
        <v/>
      </c>
      <c r="AV410" s="59" t="str">
        <f aca="false">IF(ISBLANK($C410),"",IF($AJ410=Constants!$B$7,IF(ISNUMBER(AU410),RANK(AU410,$AU$8:$AU$507),Constants!$B$14),$AJ410))</f>
        <v/>
      </c>
      <c r="AW410" s="59" t="str">
        <f aca="false">IF(ISBLANK($C410),"",IF($AJ410=Constants!$B$7,IF(ISNUMBER(AV410),COUNTIFS($AK$8:$AK$507,"&lt;"&amp;$AK410)+COUNTIFS($AK$8:$AK$507,$AK410,$AV$8:$AV$507,"&lt;"&amp;$AV410)+1,Constants!$B$14),$AJ410))</f>
        <v/>
      </c>
      <c r="AX410" s="59" t="str">
        <f aca="false">IF(ISBLANK($C410),"",IF($AJ410=Constants!$B$7,LARGE(AL410:AP410,4)*W410,""))</f>
        <v/>
      </c>
      <c r="AY410" s="59" t="str">
        <f aca="false">IF(ISBLANK($C410),"",IF($AJ410=Constants!$B$7,RANK(AX410,$AX$8:$AX$507),$AJ410))</f>
        <v/>
      </c>
      <c r="AZ410" s="59" t="str">
        <f aca="false">IF(ISBLANK($C410),"",IF($AJ410=Constants!$B$7,IF(ISNUMBER(AV410),COUNTIFS($AK$8:$AK$507,"&lt;"&amp;$AK410)+COUNTIFS($AK$8:$AK$507,$AK410,$AV$8:$AV$507,"&lt;"&amp;$AV410)+COUNTIFS($AK$8:$AK$507,$AK410,$AV$8:$AV$507,$AV410,$AY$8:$AY$507,"&lt;"&amp;$AY410)+1,Constants!$B$14),$AJ410))</f>
        <v/>
      </c>
      <c r="BA410" s="59" t="str">
        <f aca="false">IF(ISBLANK($C410),"",IF($AJ410=Constants!$B$7,IF(ISNUMBER(AW410),AW410-AZ410,Constants!$B$14),$AJ410))</f>
        <v/>
      </c>
      <c r="BB410" s="61"/>
      <c r="BC410" s="62" t="str">
        <f aca="false">IF(ISBLANK($C410),"",IF($AJ410&lt;&gt;Constants!$B$7,$AJ410,SMALL(AQ410:AS410,1)&amp;", "&amp;SMALL(AQ410:AS410,2)&amp;", "&amp;SMALL(AQ410:AS410,3)))</f>
        <v/>
      </c>
      <c r="BD410" s="63" t="str">
        <f aca="false">IF(ISBLANK($C410),"",IF($AJ410&lt;&gt;Constants!$B$7,$AJ410,W410))</f>
        <v/>
      </c>
      <c r="BE410" s="64" t="str">
        <f aca="false">IF(ISBLANK($C410),"",IF($AJ410&lt;&gt;Constants!$B$7,$AJ410,AU410))</f>
        <v/>
      </c>
      <c r="BF410" s="65" t="str">
        <f aca="false">IF(ISBLANK($C410),"",IF($AJ410&lt;&gt;Constants!$B$7,$AJ410,AK410))</f>
        <v/>
      </c>
      <c r="BG410" s="63" t="str">
        <f aca="false">IF(ISBLANK($C410),"",BA410)</f>
        <v/>
      </c>
      <c r="BH410" s="63" t="str">
        <f aca="false">IF(ISBLANK($C410),"",AZ410)</f>
        <v/>
      </c>
      <c r="BI410" s="66" t="str">
        <f aca="false">IF(ISBLANK($C410),"",IF(BH410=Constants!$B$4,COUNTA($C$8:$C$507)+2,IF(BH410=Constants!$B$5,COUNTA($C$8:$C$507)+1,IF(BH410=Constants!$B$6,COUNTA($C$8:$C$507),BH410))))</f>
        <v/>
      </c>
      <c r="BJ410" s="5"/>
      <c r="BK410" s="67" t="n">
        <f aca="false">IF(OR(ISNUMBER(BH410),BH410=Constants!$B$4,BH410=Constants!$B$6,BH410=Constants!$B$5),1,0)</f>
        <v>0</v>
      </c>
      <c r="BL410" s="67" t="n">
        <v>403</v>
      </c>
      <c r="BM410" s="67" t="str">
        <f aca="false">IF(ISBLANK($C410),"",IF(ISNUMBER(BI410),BI410+ROW($B410)/1000,""))</f>
        <v/>
      </c>
      <c r="BN410" s="67" t="str">
        <f aca="false">IF(ISNUMBER(BM410),RANK(BM410,$BM$8:$BM$507,1),"")</f>
        <v/>
      </c>
      <c r="BO410" s="67" t="str">
        <f aca="false">IF(ISBLANK($C410),"",$B410)</f>
        <v/>
      </c>
      <c r="BP410" s="67" t="str">
        <f aca="false">IF(ISBLANK($C410),"",$C410)</f>
        <v/>
      </c>
      <c r="BQ410" s="67" t="str">
        <f aca="false">IF(ISBLANK($C410),"",$D410)</f>
        <v/>
      </c>
      <c r="BR410" s="68" t="str">
        <f aca="false">BF410</f>
        <v/>
      </c>
      <c r="BS410" s="69" t="str">
        <f aca="false">BE410</f>
        <v/>
      </c>
      <c r="BT410" s="67" t="str">
        <f aca="false">IF(ISBLANK($C410),"",BH410)</f>
        <v/>
      </c>
      <c r="BU410" s="70" t="str">
        <f aca="false">IF($BL410&gt;$BK$7,"",VLOOKUP($BL410,$BN$8:$BT$507,7,FALSE()))</f>
        <v/>
      </c>
      <c r="BV410" s="71" t="str">
        <f aca="false">IF($BL410&gt;$BK$7,"",VLOOKUP($BL410,$BN$8:$BT$507,2,FALSE()))</f>
        <v/>
      </c>
      <c r="BW410" s="71" t="str">
        <f aca="false">IF($BL410&gt;$BK$7,"",VLOOKUP($BL410,$BN$8:$BT$507,3,FALSE()))</f>
        <v/>
      </c>
      <c r="BX410" s="71" t="str">
        <f aca="false">IF($BL410&gt;$BK$7,"",VLOOKUP($BL410,$BN$8:$BT$507,4,FALSE()))</f>
        <v/>
      </c>
      <c r="BY410" s="71" t="str">
        <f aca="false">IF($BL410&gt;$BK$7,"",VLOOKUP($BL410,$BN$8:$BT$507,5,FALSE()))</f>
        <v/>
      </c>
      <c r="BZ410" s="72" t="str">
        <f aca="false">IF($BL410&gt;$BK$7,"",VLOOKUP($BL410,$BN$8:$BT$507,6,FALSE()))</f>
        <v/>
      </c>
      <c r="CA410" s="48"/>
    </row>
    <row r="411" customFormat="false" ht="15.75" hidden="false" customHeight="false" outlineLevel="0" collapsed="false">
      <c r="A411" s="5"/>
      <c r="B411" s="121"/>
      <c r="C411" s="50"/>
      <c r="D411" s="51"/>
      <c r="E411" s="74"/>
      <c r="F411" s="122"/>
      <c r="G411" s="54"/>
      <c r="H411" s="123"/>
      <c r="I411" s="124"/>
      <c r="J411" s="54"/>
      <c r="K411" s="123"/>
      <c r="L411" s="54"/>
      <c r="M411" s="123"/>
      <c r="N411" s="54"/>
      <c r="O411" s="123"/>
      <c r="P411" s="54"/>
      <c r="Q411" s="123"/>
      <c r="R411" s="54"/>
      <c r="S411" s="74"/>
      <c r="T411" s="58"/>
      <c r="U411" s="59" t="str">
        <f aca="false">IF(ISBLANK($C411),"",IF(E411=Constants!$B$2, TRUE(), IF(E411=Constants!$B$3, FALSE(), TRUE())))</f>
        <v/>
      </c>
      <c r="V411" s="59" t="str">
        <f aca="false">IF(ISBLANK($C411),"",IF(F411=Constants!$B$2, TRUE(), IF(F411=Constants!$B$3, FALSE(), TRUE())))</f>
        <v/>
      </c>
      <c r="W411" s="59" t="str">
        <f aca="false">IF(ISBLANK($C411),"",IF(G411=Constants!$B$15,Constants!$B$8,IF(G411=Constants!$B$16,Constants!$B$9,Constants!$B$10)))</f>
        <v/>
      </c>
      <c r="X411" s="59" t="str">
        <f aca="false">IF(ISBLANK($C411),"",IF(H411=Constants!$B$2, TRUE(), IF(H411=Constants!$B$3, FALSE(), TRUE())))</f>
        <v/>
      </c>
      <c r="Y411" s="59" t="str">
        <f aca="false">IF(ISBLANK($C411),"",IF(I411=Constants!$B$19,Constants!$B$19,Constants!$B$18))</f>
        <v/>
      </c>
      <c r="Z411" s="59" t="str">
        <f aca="false">IF(ISBLANK($C411),"",IF(ISNUMBER(J411),IF(J411&gt;=0,J411,""),""))</f>
        <v/>
      </c>
      <c r="AA411" s="59" t="str">
        <f aca="false">IF(ISBLANK($C411),"",IF(K411=Constants!$B$19,Constants!$B$19,Constants!$B$18))</f>
        <v/>
      </c>
      <c r="AB411" s="59" t="str">
        <f aca="false">IF(ISBLANK($C411),"",IF(ISNUMBER(L411),IF(L411&gt;=0,L411,""),""))</f>
        <v/>
      </c>
      <c r="AC411" s="59" t="str">
        <f aca="false">IF(ISBLANK($C411),"",IF(M411=Constants!$B$19,Constants!$B$19,Constants!$B$18))</f>
        <v/>
      </c>
      <c r="AD411" s="59" t="str">
        <f aca="false">IF(ISBLANK($C411),"",IF(ISNUMBER(N411),IF(N411&gt;=0,N411,""),""))</f>
        <v/>
      </c>
      <c r="AE411" s="59" t="str">
        <f aca="false">IF(ISBLANK($C411),"",IF(O411=Constants!$B$19,Constants!$B$19,Constants!$B$18))</f>
        <v/>
      </c>
      <c r="AF411" s="59" t="str">
        <f aca="false">IF(ISBLANK($C411),"",IF(ISNUMBER(P411),IF(P411&gt;=0,P411,""),""))</f>
        <v/>
      </c>
      <c r="AG411" s="59" t="str">
        <f aca="false">IF(ISBLANK($C411),"",IF(Q411=Constants!$B$19,Constants!$B$19,Constants!$B$18))</f>
        <v/>
      </c>
      <c r="AH411" s="59" t="str">
        <f aca="false">IF(ISBLANK($C411),"",IF(ISNUMBER(R411),IF(R411&gt;=0,R411,""),""))</f>
        <v/>
      </c>
      <c r="AI411" s="59" t="str">
        <f aca="false">IF(ISBLANK($C411),"",IF(S411=Constants!$B$2, TRUE(), IF(S411=Constants!$B$3, FALSE(), FALSE())))</f>
        <v/>
      </c>
      <c r="AJ411" s="59" t="str">
        <f aca="false">IF(ISBLANK($C411),"",IF(AI411,Constants!$B$4,IF(COUNTA(E411:R411)=0,Constants!$B$5,IF(COUNTA(J411,L411,N411,P411,R411)=0,Constants!$B$6,Constants!$B$7))))</f>
        <v/>
      </c>
      <c r="AK411" s="59" t="str">
        <f aca="false">IF(ISBLANK($C411),"",IF($AJ411&lt;&gt;Constants!$B$7,$AJ411,IF(OR(NOT(X411),AND(NOT(U411),COUNTIFS(Y411:AG411,Constants!$B$18,Z411:AH411,"&gt;=0")&gt;0),AND(NOT(V411),COUNTIFS(Y411:AG411,Constants!$B$19,Z411:AH411,"&gt;=0")&gt;0)),Constants!$B$12,Constants!$B$11)))</f>
        <v/>
      </c>
      <c r="AL411" s="59" t="str">
        <f aca="false">IF($AJ411=Constants!$B$7,IF(Z411="",Constants!$B$13,Z411),"")</f>
        <v/>
      </c>
      <c r="AM411" s="59" t="str">
        <f aca="false">IF($AJ411=Constants!$B$7,IF(AB411="",Constants!$B$13,AB411),"")</f>
        <v/>
      </c>
      <c r="AN411" s="59" t="str">
        <f aca="false">IF($AJ411=Constants!$B$7,IF(AD411="",Constants!$B$13,AD411),"")</f>
        <v/>
      </c>
      <c r="AO411" s="59" t="str">
        <f aca="false">IF($AJ411=Constants!$B$7,IF(AF411="",Constants!$B$13,AF411),"")</f>
        <v/>
      </c>
      <c r="AP411" s="59" t="str">
        <f aca="false">IF($AJ411=Constants!$B$7,IF(AH411="",Constants!$B$13,AH411),"")</f>
        <v/>
      </c>
      <c r="AQ411" s="59" t="str">
        <f aca="false">IF($AJ411=Constants!$B$7,IF(SUMPRODUCT(--($AL411:$AP411&gt;AL411))+SUMPRODUCT(--($AL411:AL411=AL411))=1,1,IF(SUMPRODUCT(--($AL411:$AP411&gt;AM411))+SUMPRODUCT(--($AL411:AM411=AM411))=1,2,IF(SUMPRODUCT(--($AL411:$AP411&gt;AN411))+SUMPRODUCT(--($AL411:AN411=AN411))=1,3,IF(SUMPRODUCT(--($AL411:$AP411&gt;AO411))+SUMPRODUCT(--($AL411:AO411=AO411))=1,4,5)))),"")</f>
        <v/>
      </c>
      <c r="AR411" s="59" t="str">
        <f aca="false">IF($AJ411=Constants!$B$7,IF(SUMPRODUCT(--($AL411:$AP411&gt;AL411))+SUMPRODUCT(--($AL411:AL411=AL411))=2,1,IF(SUMPRODUCT(--($AL411:$AP411&gt;AM411))+SUMPRODUCT(--($AL411:AM411=AM411))=2,2,IF(SUMPRODUCT(--($AL411:$AP411&gt;AN411))+SUMPRODUCT(--($AL411:AN411=AN411))=2,3,IF(SUMPRODUCT(--($AL411:$AP411&gt;AO411))+SUMPRODUCT(--($AL411:AO411=AO411))=2,4,5)))),"")</f>
        <v/>
      </c>
      <c r="AS411" s="59" t="str">
        <f aca="false">IF($AJ411=Constants!$B$7,IF(SUMPRODUCT(--($AL411:$AP411&gt;AL411))+SUMPRODUCT(--($AL411:AL411=AL411))=3,1,IF(SUMPRODUCT(--($AL411:$AP411&gt;AM411))+SUMPRODUCT(--($AL411:AM411=AM411))=3,2,IF(SUMPRODUCT(--($AL411:$AP411&gt;AN411))+SUMPRODUCT(--($AL411:AN411=AN411))=3,3,IF(SUMPRODUCT(--($AL411:$AP411&gt;AO411))+SUMPRODUCT(--($AL411:AO411=AO411))=3,4,5)))),"")</f>
        <v/>
      </c>
      <c r="AT411" s="59" t="str">
        <f aca="false">IF($AJ411=Constants!$B$7,LARGE(AL411:AP411,1)+LARGE(AL411:AP411,2)+LARGE(AL411:AP411,3),"")</f>
        <v/>
      </c>
      <c r="AU411" s="59" t="str">
        <f aca="false">IF(ISBLANK($C411),"",IF($AJ411&lt;&gt;Constants!$B$7,$AJ411,AT411*W411))</f>
        <v/>
      </c>
      <c r="AV411" s="59" t="str">
        <f aca="false">IF(ISBLANK($C411),"",IF($AJ411=Constants!$B$7,IF(ISNUMBER(AU411),RANK(AU411,$AU$8:$AU$507),Constants!$B$14),$AJ411))</f>
        <v/>
      </c>
      <c r="AW411" s="59" t="str">
        <f aca="false">IF(ISBLANK($C411),"",IF($AJ411=Constants!$B$7,IF(ISNUMBER(AV411),COUNTIFS($AK$8:$AK$507,"&lt;"&amp;$AK411)+COUNTIFS($AK$8:$AK$507,$AK411,$AV$8:$AV$507,"&lt;"&amp;$AV411)+1,Constants!$B$14),$AJ411))</f>
        <v/>
      </c>
      <c r="AX411" s="59" t="str">
        <f aca="false">IF(ISBLANK($C411),"",IF($AJ411=Constants!$B$7,LARGE(AL411:AP411,4)*W411,""))</f>
        <v/>
      </c>
      <c r="AY411" s="59" t="str">
        <f aca="false">IF(ISBLANK($C411),"",IF($AJ411=Constants!$B$7,RANK(AX411,$AX$8:$AX$507),$AJ411))</f>
        <v/>
      </c>
      <c r="AZ411" s="59" t="str">
        <f aca="false">IF(ISBLANK($C411),"",IF($AJ411=Constants!$B$7,IF(ISNUMBER(AV411),COUNTIFS($AK$8:$AK$507,"&lt;"&amp;$AK411)+COUNTIFS($AK$8:$AK$507,$AK411,$AV$8:$AV$507,"&lt;"&amp;$AV411)+COUNTIFS($AK$8:$AK$507,$AK411,$AV$8:$AV$507,$AV411,$AY$8:$AY$507,"&lt;"&amp;$AY411)+1,Constants!$B$14),$AJ411))</f>
        <v/>
      </c>
      <c r="BA411" s="59" t="str">
        <f aca="false">IF(ISBLANK($C411),"",IF($AJ411=Constants!$B$7,IF(ISNUMBER(AW411),AW411-AZ411,Constants!$B$14),$AJ411))</f>
        <v/>
      </c>
      <c r="BB411" s="61"/>
      <c r="BC411" s="62" t="str">
        <f aca="false">IF(ISBLANK($C411),"",IF($AJ411&lt;&gt;Constants!$B$7,$AJ411,SMALL(AQ411:AS411,1)&amp;", "&amp;SMALL(AQ411:AS411,2)&amp;", "&amp;SMALL(AQ411:AS411,3)))</f>
        <v/>
      </c>
      <c r="BD411" s="63" t="str">
        <f aca="false">IF(ISBLANK($C411),"",IF($AJ411&lt;&gt;Constants!$B$7,$AJ411,W411))</f>
        <v/>
      </c>
      <c r="BE411" s="64" t="str">
        <f aca="false">IF(ISBLANK($C411),"",IF($AJ411&lt;&gt;Constants!$B$7,$AJ411,AU411))</f>
        <v/>
      </c>
      <c r="BF411" s="65" t="str">
        <f aca="false">IF(ISBLANK($C411),"",IF($AJ411&lt;&gt;Constants!$B$7,$AJ411,AK411))</f>
        <v/>
      </c>
      <c r="BG411" s="63" t="str">
        <f aca="false">IF(ISBLANK($C411),"",BA411)</f>
        <v/>
      </c>
      <c r="BH411" s="63" t="str">
        <f aca="false">IF(ISBLANK($C411),"",AZ411)</f>
        <v/>
      </c>
      <c r="BI411" s="66" t="str">
        <f aca="false">IF(ISBLANK($C411),"",IF(BH411=Constants!$B$4,COUNTA($C$8:$C$507)+2,IF(BH411=Constants!$B$5,COUNTA($C$8:$C$507)+1,IF(BH411=Constants!$B$6,COUNTA($C$8:$C$507),BH411))))</f>
        <v/>
      </c>
      <c r="BJ411" s="5"/>
      <c r="BK411" s="67" t="n">
        <f aca="false">IF(OR(ISNUMBER(BH411),BH411=Constants!$B$4,BH411=Constants!$B$6,BH411=Constants!$B$5),1,0)</f>
        <v>0</v>
      </c>
      <c r="BL411" s="67" t="n">
        <v>404</v>
      </c>
      <c r="BM411" s="67" t="str">
        <f aca="false">IF(ISBLANK($C411),"",IF(ISNUMBER(BI411),BI411+ROW($B411)/1000,""))</f>
        <v/>
      </c>
      <c r="BN411" s="67" t="str">
        <f aca="false">IF(ISNUMBER(BM411),RANK(BM411,$BM$8:$BM$507,1),"")</f>
        <v/>
      </c>
      <c r="BO411" s="67" t="str">
        <f aca="false">IF(ISBLANK($C411),"",$B411)</f>
        <v/>
      </c>
      <c r="BP411" s="67" t="str">
        <f aca="false">IF(ISBLANK($C411),"",$C411)</f>
        <v/>
      </c>
      <c r="BQ411" s="67" t="str">
        <f aca="false">IF(ISBLANK($C411),"",$D411)</f>
        <v/>
      </c>
      <c r="BR411" s="68" t="str">
        <f aca="false">BF411</f>
        <v/>
      </c>
      <c r="BS411" s="69" t="str">
        <f aca="false">BE411</f>
        <v/>
      </c>
      <c r="BT411" s="67" t="str">
        <f aca="false">IF(ISBLANK($C411),"",BH411)</f>
        <v/>
      </c>
      <c r="BU411" s="70" t="str">
        <f aca="false">IF($BL411&gt;$BK$7,"",VLOOKUP($BL411,$BN$8:$BT$507,7,FALSE()))</f>
        <v/>
      </c>
      <c r="BV411" s="71" t="str">
        <f aca="false">IF($BL411&gt;$BK$7,"",VLOOKUP($BL411,$BN$8:$BT$507,2,FALSE()))</f>
        <v/>
      </c>
      <c r="BW411" s="71" t="str">
        <f aca="false">IF($BL411&gt;$BK$7,"",VLOOKUP($BL411,$BN$8:$BT$507,3,FALSE()))</f>
        <v/>
      </c>
      <c r="BX411" s="71" t="str">
        <f aca="false">IF($BL411&gt;$BK$7,"",VLOOKUP($BL411,$BN$8:$BT$507,4,FALSE()))</f>
        <v/>
      </c>
      <c r="BY411" s="71" t="str">
        <f aca="false">IF($BL411&gt;$BK$7,"",VLOOKUP($BL411,$BN$8:$BT$507,5,FALSE()))</f>
        <v/>
      </c>
      <c r="BZ411" s="72" t="str">
        <f aca="false">IF($BL411&gt;$BK$7,"",VLOOKUP($BL411,$BN$8:$BT$507,6,FALSE()))</f>
        <v/>
      </c>
      <c r="CA411" s="48"/>
    </row>
    <row r="412" customFormat="false" ht="15.75" hidden="false" customHeight="false" outlineLevel="0" collapsed="false">
      <c r="A412" s="5"/>
      <c r="B412" s="121"/>
      <c r="C412" s="50"/>
      <c r="D412" s="51"/>
      <c r="E412" s="74"/>
      <c r="F412" s="122"/>
      <c r="G412" s="54"/>
      <c r="H412" s="123"/>
      <c r="I412" s="124"/>
      <c r="J412" s="54"/>
      <c r="K412" s="123"/>
      <c r="L412" s="54"/>
      <c r="M412" s="123"/>
      <c r="N412" s="54"/>
      <c r="O412" s="123"/>
      <c r="P412" s="54"/>
      <c r="Q412" s="123"/>
      <c r="R412" s="54"/>
      <c r="S412" s="74"/>
      <c r="T412" s="58"/>
      <c r="U412" s="59" t="str">
        <f aca="false">IF(ISBLANK($C412),"",IF(E412=Constants!$B$2, TRUE(), IF(E412=Constants!$B$3, FALSE(), TRUE())))</f>
        <v/>
      </c>
      <c r="V412" s="59" t="str">
        <f aca="false">IF(ISBLANK($C412),"",IF(F412=Constants!$B$2, TRUE(), IF(F412=Constants!$B$3, FALSE(), TRUE())))</f>
        <v/>
      </c>
      <c r="W412" s="59" t="str">
        <f aca="false">IF(ISBLANK($C412),"",IF(G412=Constants!$B$15,Constants!$B$8,IF(G412=Constants!$B$16,Constants!$B$9,Constants!$B$10)))</f>
        <v/>
      </c>
      <c r="X412" s="59" t="str">
        <f aca="false">IF(ISBLANK($C412),"",IF(H412=Constants!$B$2, TRUE(), IF(H412=Constants!$B$3, FALSE(), TRUE())))</f>
        <v/>
      </c>
      <c r="Y412" s="59" t="str">
        <f aca="false">IF(ISBLANK($C412),"",IF(I412=Constants!$B$19,Constants!$B$19,Constants!$B$18))</f>
        <v/>
      </c>
      <c r="Z412" s="59" t="str">
        <f aca="false">IF(ISBLANK($C412),"",IF(ISNUMBER(J412),IF(J412&gt;=0,J412,""),""))</f>
        <v/>
      </c>
      <c r="AA412" s="59" t="str">
        <f aca="false">IF(ISBLANK($C412),"",IF(K412=Constants!$B$19,Constants!$B$19,Constants!$B$18))</f>
        <v/>
      </c>
      <c r="AB412" s="59" t="str">
        <f aca="false">IF(ISBLANK($C412),"",IF(ISNUMBER(L412),IF(L412&gt;=0,L412,""),""))</f>
        <v/>
      </c>
      <c r="AC412" s="59" t="str">
        <f aca="false">IF(ISBLANK($C412),"",IF(M412=Constants!$B$19,Constants!$B$19,Constants!$B$18))</f>
        <v/>
      </c>
      <c r="AD412" s="59" t="str">
        <f aca="false">IF(ISBLANK($C412),"",IF(ISNUMBER(N412),IF(N412&gt;=0,N412,""),""))</f>
        <v/>
      </c>
      <c r="AE412" s="59" t="str">
        <f aca="false">IF(ISBLANK($C412),"",IF(O412=Constants!$B$19,Constants!$B$19,Constants!$B$18))</f>
        <v/>
      </c>
      <c r="AF412" s="59" t="str">
        <f aca="false">IF(ISBLANK($C412),"",IF(ISNUMBER(P412),IF(P412&gt;=0,P412,""),""))</f>
        <v/>
      </c>
      <c r="AG412" s="59" t="str">
        <f aca="false">IF(ISBLANK($C412),"",IF(Q412=Constants!$B$19,Constants!$B$19,Constants!$B$18))</f>
        <v/>
      </c>
      <c r="AH412" s="59" t="str">
        <f aca="false">IF(ISBLANK($C412),"",IF(ISNUMBER(R412),IF(R412&gt;=0,R412,""),""))</f>
        <v/>
      </c>
      <c r="AI412" s="59" t="str">
        <f aca="false">IF(ISBLANK($C412),"",IF(S412=Constants!$B$2, TRUE(), IF(S412=Constants!$B$3, FALSE(), FALSE())))</f>
        <v/>
      </c>
      <c r="AJ412" s="59" t="str">
        <f aca="false">IF(ISBLANK($C412),"",IF(AI412,Constants!$B$4,IF(COUNTA(E412:R412)=0,Constants!$B$5,IF(COUNTA(J412,L412,N412,P412,R412)=0,Constants!$B$6,Constants!$B$7))))</f>
        <v/>
      </c>
      <c r="AK412" s="59" t="str">
        <f aca="false">IF(ISBLANK($C412),"",IF($AJ412&lt;&gt;Constants!$B$7,$AJ412,IF(OR(NOT(X412),AND(NOT(U412),COUNTIFS(Y412:AG412,Constants!$B$18,Z412:AH412,"&gt;=0")&gt;0),AND(NOT(V412),COUNTIFS(Y412:AG412,Constants!$B$19,Z412:AH412,"&gt;=0")&gt;0)),Constants!$B$12,Constants!$B$11)))</f>
        <v/>
      </c>
      <c r="AL412" s="59" t="str">
        <f aca="false">IF($AJ412=Constants!$B$7,IF(Z412="",Constants!$B$13,Z412),"")</f>
        <v/>
      </c>
      <c r="AM412" s="59" t="str">
        <f aca="false">IF($AJ412=Constants!$B$7,IF(AB412="",Constants!$B$13,AB412),"")</f>
        <v/>
      </c>
      <c r="AN412" s="59" t="str">
        <f aca="false">IF($AJ412=Constants!$B$7,IF(AD412="",Constants!$B$13,AD412),"")</f>
        <v/>
      </c>
      <c r="AO412" s="59" t="str">
        <f aca="false">IF($AJ412=Constants!$B$7,IF(AF412="",Constants!$B$13,AF412),"")</f>
        <v/>
      </c>
      <c r="AP412" s="59" t="str">
        <f aca="false">IF($AJ412=Constants!$B$7,IF(AH412="",Constants!$B$13,AH412),"")</f>
        <v/>
      </c>
      <c r="AQ412" s="59" t="str">
        <f aca="false">IF($AJ412=Constants!$B$7,IF(SUMPRODUCT(--($AL412:$AP412&gt;AL412))+SUMPRODUCT(--($AL412:AL412=AL412))=1,1,IF(SUMPRODUCT(--($AL412:$AP412&gt;AM412))+SUMPRODUCT(--($AL412:AM412=AM412))=1,2,IF(SUMPRODUCT(--($AL412:$AP412&gt;AN412))+SUMPRODUCT(--($AL412:AN412=AN412))=1,3,IF(SUMPRODUCT(--($AL412:$AP412&gt;AO412))+SUMPRODUCT(--($AL412:AO412=AO412))=1,4,5)))),"")</f>
        <v/>
      </c>
      <c r="AR412" s="59" t="str">
        <f aca="false">IF($AJ412=Constants!$B$7,IF(SUMPRODUCT(--($AL412:$AP412&gt;AL412))+SUMPRODUCT(--($AL412:AL412=AL412))=2,1,IF(SUMPRODUCT(--($AL412:$AP412&gt;AM412))+SUMPRODUCT(--($AL412:AM412=AM412))=2,2,IF(SUMPRODUCT(--($AL412:$AP412&gt;AN412))+SUMPRODUCT(--($AL412:AN412=AN412))=2,3,IF(SUMPRODUCT(--($AL412:$AP412&gt;AO412))+SUMPRODUCT(--($AL412:AO412=AO412))=2,4,5)))),"")</f>
        <v/>
      </c>
      <c r="AS412" s="59" t="str">
        <f aca="false">IF($AJ412=Constants!$B$7,IF(SUMPRODUCT(--($AL412:$AP412&gt;AL412))+SUMPRODUCT(--($AL412:AL412=AL412))=3,1,IF(SUMPRODUCT(--($AL412:$AP412&gt;AM412))+SUMPRODUCT(--($AL412:AM412=AM412))=3,2,IF(SUMPRODUCT(--($AL412:$AP412&gt;AN412))+SUMPRODUCT(--($AL412:AN412=AN412))=3,3,IF(SUMPRODUCT(--($AL412:$AP412&gt;AO412))+SUMPRODUCT(--($AL412:AO412=AO412))=3,4,5)))),"")</f>
        <v/>
      </c>
      <c r="AT412" s="59" t="str">
        <f aca="false">IF($AJ412=Constants!$B$7,LARGE(AL412:AP412,1)+LARGE(AL412:AP412,2)+LARGE(AL412:AP412,3),"")</f>
        <v/>
      </c>
      <c r="AU412" s="59" t="str">
        <f aca="false">IF(ISBLANK($C412),"",IF($AJ412&lt;&gt;Constants!$B$7,$AJ412,AT412*W412))</f>
        <v/>
      </c>
      <c r="AV412" s="59" t="str">
        <f aca="false">IF(ISBLANK($C412),"",IF($AJ412=Constants!$B$7,IF(ISNUMBER(AU412),RANK(AU412,$AU$8:$AU$507),Constants!$B$14),$AJ412))</f>
        <v/>
      </c>
      <c r="AW412" s="59" t="str">
        <f aca="false">IF(ISBLANK($C412),"",IF($AJ412=Constants!$B$7,IF(ISNUMBER(AV412),COUNTIFS($AK$8:$AK$507,"&lt;"&amp;$AK412)+COUNTIFS($AK$8:$AK$507,$AK412,$AV$8:$AV$507,"&lt;"&amp;$AV412)+1,Constants!$B$14),$AJ412))</f>
        <v/>
      </c>
      <c r="AX412" s="59" t="str">
        <f aca="false">IF(ISBLANK($C412),"",IF($AJ412=Constants!$B$7,LARGE(AL412:AP412,4)*W412,""))</f>
        <v/>
      </c>
      <c r="AY412" s="59" t="str">
        <f aca="false">IF(ISBLANK($C412),"",IF($AJ412=Constants!$B$7,RANK(AX412,$AX$8:$AX$507),$AJ412))</f>
        <v/>
      </c>
      <c r="AZ412" s="59" t="str">
        <f aca="false">IF(ISBLANK($C412),"",IF($AJ412=Constants!$B$7,IF(ISNUMBER(AV412),COUNTIFS($AK$8:$AK$507,"&lt;"&amp;$AK412)+COUNTIFS($AK$8:$AK$507,$AK412,$AV$8:$AV$507,"&lt;"&amp;$AV412)+COUNTIFS($AK$8:$AK$507,$AK412,$AV$8:$AV$507,$AV412,$AY$8:$AY$507,"&lt;"&amp;$AY412)+1,Constants!$B$14),$AJ412))</f>
        <v/>
      </c>
      <c r="BA412" s="59" t="str">
        <f aca="false">IF(ISBLANK($C412),"",IF($AJ412=Constants!$B$7,IF(ISNUMBER(AW412),AW412-AZ412,Constants!$B$14),$AJ412))</f>
        <v/>
      </c>
      <c r="BB412" s="61"/>
      <c r="BC412" s="62" t="str">
        <f aca="false">IF(ISBLANK($C412),"",IF($AJ412&lt;&gt;Constants!$B$7,$AJ412,SMALL(AQ412:AS412,1)&amp;", "&amp;SMALL(AQ412:AS412,2)&amp;", "&amp;SMALL(AQ412:AS412,3)))</f>
        <v/>
      </c>
      <c r="BD412" s="63" t="str">
        <f aca="false">IF(ISBLANK($C412),"",IF($AJ412&lt;&gt;Constants!$B$7,$AJ412,W412))</f>
        <v/>
      </c>
      <c r="BE412" s="64" t="str">
        <f aca="false">IF(ISBLANK($C412),"",IF($AJ412&lt;&gt;Constants!$B$7,$AJ412,AU412))</f>
        <v/>
      </c>
      <c r="BF412" s="65" t="str">
        <f aca="false">IF(ISBLANK($C412),"",IF($AJ412&lt;&gt;Constants!$B$7,$AJ412,AK412))</f>
        <v/>
      </c>
      <c r="BG412" s="63" t="str">
        <f aca="false">IF(ISBLANK($C412),"",BA412)</f>
        <v/>
      </c>
      <c r="BH412" s="63" t="str">
        <f aca="false">IF(ISBLANK($C412),"",AZ412)</f>
        <v/>
      </c>
      <c r="BI412" s="66" t="str">
        <f aca="false">IF(ISBLANK($C412),"",IF(BH412=Constants!$B$4,COUNTA($C$8:$C$507)+2,IF(BH412=Constants!$B$5,COUNTA($C$8:$C$507)+1,IF(BH412=Constants!$B$6,COUNTA($C$8:$C$507),BH412))))</f>
        <v/>
      </c>
      <c r="BJ412" s="5"/>
      <c r="BK412" s="67" t="n">
        <f aca="false">IF(OR(ISNUMBER(BH412),BH412=Constants!$B$4,BH412=Constants!$B$6,BH412=Constants!$B$5),1,0)</f>
        <v>0</v>
      </c>
      <c r="BL412" s="67" t="n">
        <v>405</v>
      </c>
      <c r="BM412" s="67" t="str">
        <f aca="false">IF(ISBLANK($C412),"",IF(ISNUMBER(BI412),BI412+ROW($B412)/1000,""))</f>
        <v/>
      </c>
      <c r="BN412" s="67" t="str">
        <f aca="false">IF(ISNUMBER(BM412),RANK(BM412,$BM$8:$BM$507,1),"")</f>
        <v/>
      </c>
      <c r="BO412" s="67" t="str">
        <f aca="false">IF(ISBLANK($C412),"",$B412)</f>
        <v/>
      </c>
      <c r="BP412" s="67" t="str">
        <f aca="false">IF(ISBLANK($C412),"",$C412)</f>
        <v/>
      </c>
      <c r="BQ412" s="67" t="str">
        <f aca="false">IF(ISBLANK($C412),"",$D412)</f>
        <v/>
      </c>
      <c r="BR412" s="68" t="str">
        <f aca="false">BF412</f>
        <v/>
      </c>
      <c r="BS412" s="69" t="str">
        <f aca="false">BE412</f>
        <v/>
      </c>
      <c r="BT412" s="67" t="str">
        <f aca="false">IF(ISBLANK($C412),"",BH412)</f>
        <v/>
      </c>
      <c r="BU412" s="70" t="str">
        <f aca="false">IF($BL412&gt;$BK$7,"",VLOOKUP($BL412,$BN$8:$BT$507,7,FALSE()))</f>
        <v/>
      </c>
      <c r="BV412" s="71" t="str">
        <f aca="false">IF($BL412&gt;$BK$7,"",VLOOKUP($BL412,$BN$8:$BT$507,2,FALSE()))</f>
        <v/>
      </c>
      <c r="BW412" s="71" t="str">
        <f aca="false">IF($BL412&gt;$BK$7,"",VLOOKUP($BL412,$BN$8:$BT$507,3,FALSE()))</f>
        <v/>
      </c>
      <c r="BX412" s="71" t="str">
        <f aca="false">IF($BL412&gt;$BK$7,"",VLOOKUP($BL412,$BN$8:$BT$507,4,FALSE()))</f>
        <v/>
      </c>
      <c r="BY412" s="71" t="str">
        <f aca="false">IF($BL412&gt;$BK$7,"",VLOOKUP($BL412,$BN$8:$BT$507,5,FALSE()))</f>
        <v/>
      </c>
      <c r="BZ412" s="72" t="str">
        <f aca="false">IF($BL412&gt;$BK$7,"",VLOOKUP($BL412,$BN$8:$BT$507,6,FALSE()))</f>
        <v/>
      </c>
      <c r="CA412" s="48"/>
    </row>
    <row r="413" customFormat="false" ht="15.75" hidden="false" customHeight="false" outlineLevel="0" collapsed="false">
      <c r="A413" s="5"/>
      <c r="B413" s="114"/>
      <c r="C413" s="115"/>
      <c r="D413" s="100"/>
      <c r="E413" s="120"/>
      <c r="F413" s="125"/>
      <c r="G413" s="82"/>
      <c r="H413" s="126"/>
      <c r="I413" s="127"/>
      <c r="J413" s="82"/>
      <c r="K413" s="126"/>
      <c r="L413" s="82"/>
      <c r="M413" s="126"/>
      <c r="N413" s="82"/>
      <c r="O413" s="126"/>
      <c r="P413" s="82"/>
      <c r="Q413" s="126"/>
      <c r="R413" s="82"/>
      <c r="S413" s="120"/>
      <c r="T413" s="86"/>
      <c r="U413" s="87" t="str">
        <f aca="false">IF(ISBLANK($C413),"",IF(E413=Constants!$B$2, TRUE(), IF(E413=Constants!$B$3, FALSE(), TRUE())))</f>
        <v/>
      </c>
      <c r="V413" s="87" t="str">
        <f aca="false">IF(ISBLANK($C413),"",IF(F413=Constants!$B$2, TRUE(), IF(F413=Constants!$B$3, FALSE(), TRUE())))</f>
        <v/>
      </c>
      <c r="W413" s="87" t="str">
        <f aca="false">IF(ISBLANK($C413),"",IF(G413=Constants!$B$15,Constants!$B$8,IF(G413=Constants!$B$16,Constants!$B$9,Constants!$B$10)))</f>
        <v/>
      </c>
      <c r="X413" s="87" t="str">
        <f aca="false">IF(ISBLANK($C413),"",IF(H413=Constants!$B$2, TRUE(), IF(H413=Constants!$B$3, FALSE(), TRUE())))</f>
        <v/>
      </c>
      <c r="Y413" s="87" t="str">
        <f aca="false">IF(ISBLANK($C413),"",IF(I413=Constants!$B$19,Constants!$B$19,Constants!$B$18))</f>
        <v/>
      </c>
      <c r="Z413" s="87" t="str">
        <f aca="false">IF(ISBLANK($C413),"",IF(ISNUMBER(J413),IF(J413&gt;=0,J413,""),""))</f>
        <v/>
      </c>
      <c r="AA413" s="87" t="str">
        <f aca="false">IF(ISBLANK($C413),"",IF(K413=Constants!$B$19,Constants!$B$19,Constants!$B$18))</f>
        <v/>
      </c>
      <c r="AB413" s="87" t="str">
        <f aca="false">IF(ISBLANK($C413),"",IF(ISNUMBER(L413),IF(L413&gt;=0,L413,""),""))</f>
        <v/>
      </c>
      <c r="AC413" s="87" t="str">
        <f aca="false">IF(ISBLANK($C413),"",IF(M413=Constants!$B$19,Constants!$B$19,Constants!$B$18))</f>
        <v/>
      </c>
      <c r="AD413" s="87" t="str">
        <f aca="false">IF(ISBLANK($C413),"",IF(ISNUMBER(N413),IF(N413&gt;=0,N413,""),""))</f>
        <v/>
      </c>
      <c r="AE413" s="87" t="str">
        <f aca="false">IF(ISBLANK($C413),"",IF(O413=Constants!$B$19,Constants!$B$19,Constants!$B$18))</f>
        <v/>
      </c>
      <c r="AF413" s="87" t="str">
        <f aca="false">IF(ISBLANK($C413),"",IF(ISNUMBER(P413),IF(P413&gt;=0,P413,""),""))</f>
        <v/>
      </c>
      <c r="AG413" s="87" t="str">
        <f aca="false">IF(ISBLANK($C413),"",IF(Q413=Constants!$B$19,Constants!$B$19,Constants!$B$18))</f>
        <v/>
      </c>
      <c r="AH413" s="87" t="str">
        <f aca="false">IF(ISBLANK($C413),"",IF(ISNUMBER(R413),IF(R413&gt;=0,R413,""),""))</f>
        <v/>
      </c>
      <c r="AI413" s="87" t="str">
        <f aca="false">IF(ISBLANK($C413),"",IF(S413=Constants!$B$2, TRUE(), IF(S413=Constants!$B$3, FALSE(), FALSE())))</f>
        <v/>
      </c>
      <c r="AJ413" s="87" t="str">
        <f aca="false">IF(ISBLANK($C413),"",IF(AI413,Constants!$B$4,IF(COUNTA(E413:R413)=0,Constants!$B$5,IF(COUNTA(J413,L413,N413,P413,R413)=0,Constants!$B$6,Constants!$B$7))))</f>
        <v/>
      </c>
      <c r="AK413" s="87" t="str">
        <f aca="false">IF(ISBLANK($C413),"",IF($AJ413&lt;&gt;Constants!$B$7,$AJ413,IF(OR(NOT(X413),AND(NOT(U413),COUNTIFS(Y413:AG413,Constants!$B$18,Z413:AH413,"&gt;=0")&gt;0),AND(NOT(V413),COUNTIFS(Y413:AG413,Constants!$B$19,Z413:AH413,"&gt;=0")&gt;0)),Constants!$B$12,Constants!$B$11)))</f>
        <v/>
      </c>
      <c r="AL413" s="87" t="str">
        <f aca="false">IF($AJ413=Constants!$B$7,IF(Z413="",Constants!$B$13,Z413),"")</f>
        <v/>
      </c>
      <c r="AM413" s="87" t="str">
        <f aca="false">IF($AJ413=Constants!$B$7,IF(AB413="",Constants!$B$13,AB413),"")</f>
        <v/>
      </c>
      <c r="AN413" s="87" t="str">
        <f aca="false">IF($AJ413=Constants!$B$7,IF(AD413="",Constants!$B$13,AD413),"")</f>
        <v/>
      </c>
      <c r="AO413" s="87" t="str">
        <f aca="false">IF($AJ413=Constants!$B$7,IF(AF413="",Constants!$B$13,AF413),"")</f>
        <v/>
      </c>
      <c r="AP413" s="87" t="str">
        <f aca="false">IF($AJ413=Constants!$B$7,IF(AH413="",Constants!$B$13,AH413),"")</f>
        <v/>
      </c>
      <c r="AQ413" s="87" t="str">
        <f aca="false">IF($AJ413=Constants!$B$7,IF(SUMPRODUCT(--($AL413:$AP413&gt;AL413))+SUMPRODUCT(--($AL413:AL413=AL413))=1,1,IF(SUMPRODUCT(--($AL413:$AP413&gt;AM413))+SUMPRODUCT(--($AL413:AM413=AM413))=1,2,IF(SUMPRODUCT(--($AL413:$AP413&gt;AN413))+SUMPRODUCT(--($AL413:AN413=AN413))=1,3,IF(SUMPRODUCT(--($AL413:$AP413&gt;AO413))+SUMPRODUCT(--($AL413:AO413=AO413))=1,4,5)))),"")</f>
        <v/>
      </c>
      <c r="AR413" s="87" t="str">
        <f aca="false">IF($AJ413=Constants!$B$7,IF(SUMPRODUCT(--($AL413:$AP413&gt;AL413))+SUMPRODUCT(--($AL413:AL413=AL413))=2,1,IF(SUMPRODUCT(--($AL413:$AP413&gt;AM413))+SUMPRODUCT(--($AL413:AM413=AM413))=2,2,IF(SUMPRODUCT(--($AL413:$AP413&gt;AN413))+SUMPRODUCT(--($AL413:AN413=AN413))=2,3,IF(SUMPRODUCT(--($AL413:$AP413&gt;AO413))+SUMPRODUCT(--($AL413:AO413=AO413))=2,4,5)))),"")</f>
        <v/>
      </c>
      <c r="AS413" s="87" t="str">
        <f aca="false">IF($AJ413=Constants!$B$7,IF(SUMPRODUCT(--($AL413:$AP413&gt;AL413))+SUMPRODUCT(--($AL413:AL413=AL413))=3,1,IF(SUMPRODUCT(--($AL413:$AP413&gt;AM413))+SUMPRODUCT(--($AL413:AM413=AM413))=3,2,IF(SUMPRODUCT(--($AL413:$AP413&gt;AN413))+SUMPRODUCT(--($AL413:AN413=AN413))=3,3,IF(SUMPRODUCT(--($AL413:$AP413&gt;AO413))+SUMPRODUCT(--($AL413:AO413=AO413))=3,4,5)))),"")</f>
        <v/>
      </c>
      <c r="AT413" s="87" t="str">
        <f aca="false">IF($AJ413=Constants!$B$7,LARGE(AL413:AP413,1)+LARGE(AL413:AP413,2)+LARGE(AL413:AP413,3),"")</f>
        <v/>
      </c>
      <c r="AU413" s="87" t="str">
        <f aca="false">IF(ISBLANK($C413),"",IF($AJ413&lt;&gt;Constants!$B$7,$AJ413,AT413*W413))</f>
        <v/>
      </c>
      <c r="AV413" s="87" t="str">
        <f aca="false">IF(ISBLANK($C413),"",IF($AJ413=Constants!$B$7,IF(ISNUMBER(AU413),RANK(AU413,$AU$8:$AU$507),Constants!$B$14),$AJ413))</f>
        <v/>
      </c>
      <c r="AW413" s="87" t="str">
        <f aca="false">IF(ISBLANK($C413),"",IF($AJ413=Constants!$B$7,IF(ISNUMBER(AV413),COUNTIFS($AK$8:$AK$507,"&lt;"&amp;$AK413)+COUNTIFS($AK$8:$AK$507,$AK413,$AV$8:$AV$507,"&lt;"&amp;$AV413)+1,Constants!$B$14),$AJ413))</f>
        <v/>
      </c>
      <c r="AX413" s="87" t="str">
        <f aca="false">IF(ISBLANK($C413),"",IF($AJ413=Constants!$B$7,LARGE(AL413:AP413,4)*W413,""))</f>
        <v/>
      </c>
      <c r="AY413" s="87" t="str">
        <f aca="false">IF(ISBLANK($C413),"",IF($AJ413=Constants!$B$7,RANK(AX413,$AX$8:$AX$507),$AJ413))</f>
        <v/>
      </c>
      <c r="AZ413" s="87" t="str">
        <f aca="false">IF(ISBLANK($C413),"",IF($AJ413=Constants!$B$7,IF(ISNUMBER(AV413),COUNTIFS($AK$8:$AK$507,"&lt;"&amp;$AK413)+COUNTIFS($AK$8:$AK$507,$AK413,$AV$8:$AV$507,"&lt;"&amp;$AV413)+COUNTIFS($AK$8:$AK$507,$AK413,$AV$8:$AV$507,$AV413,$AY$8:$AY$507,"&lt;"&amp;$AY413)+1,Constants!$B$14),$AJ413))</f>
        <v/>
      </c>
      <c r="BA413" s="87" t="str">
        <f aca="false">IF(ISBLANK($C413),"",IF($AJ413=Constants!$B$7,IF(ISNUMBER(AW413),AW413-AZ413,Constants!$B$14),$AJ413))</f>
        <v/>
      </c>
      <c r="BB413" s="88"/>
      <c r="BC413" s="89" t="str">
        <f aca="false">IF(ISBLANK($C413),"",IF($AJ413&lt;&gt;Constants!$B$7,$AJ413,SMALL(AQ413:AS413,1)&amp;", "&amp;SMALL(AQ413:AS413,2)&amp;", "&amp;SMALL(AQ413:AS413,3)))</f>
        <v/>
      </c>
      <c r="BD413" s="90" t="str">
        <f aca="false">IF(ISBLANK($C413),"",IF($AJ413&lt;&gt;Constants!$B$7,$AJ413,W413))</f>
        <v/>
      </c>
      <c r="BE413" s="91" t="str">
        <f aca="false">IF(ISBLANK($C413),"",IF($AJ413&lt;&gt;Constants!$B$7,$AJ413,AU413))</f>
        <v/>
      </c>
      <c r="BF413" s="92" t="str">
        <f aca="false">IF(ISBLANK($C413),"",IF($AJ413&lt;&gt;Constants!$B$7,$AJ413,AK413))</f>
        <v/>
      </c>
      <c r="BG413" s="90" t="str">
        <f aca="false">IF(ISBLANK($C413),"",BA413)</f>
        <v/>
      </c>
      <c r="BH413" s="90" t="str">
        <f aca="false">IF(ISBLANK($C413),"",AZ413)</f>
        <v/>
      </c>
      <c r="BI413" s="93" t="str">
        <f aca="false">IF(ISBLANK($C413),"",IF(BH413=Constants!$B$4,COUNTA($C$8:$C$507)+2,IF(BH413=Constants!$B$5,COUNTA($C$8:$C$507)+1,IF(BH413=Constants!$B$6,COUNTA($C$8:$C$507),BH413))))</f>
        <v/>
      </c>
      <c r="BJ413" s="5"/>
      <c r="BK413" s="94" t="n">
        <f aca="false">IF(OR(ISNUMBER(BH413),BH413=Constants!$B$4,BH413=Constants!$B$6,BH413=Constants!$B$5),1,0)</f>
        <v>0</v>
      </c>
      <c r="BL413" s="94" t="n">
        <v>406</v>
      </c>
      <c r="BM413" s="94" t="str">
        <f aca="false">IF(ISBLANK($C413),"",IF(ISNUMBER(BI413),BI413+ROW($B413)/1000,""))</f>
        <v/>
      </c>
      <c r="BN413" s="94" t="str">
        <f aca="false">IF(ISNUMBER(BM413),RANK(BM413,$BM$8:$BM$507,1),"")</f>
        <v/>
      </c>
      <c r="BO413" s="94" t="str">
        <f aca="false">IF(ISBLANK($C413),"",$B413)</f>
        <v/>
      </c>
      <c r="BP413" s="94" t="str">
        <f aca="false">IF(ISBLANK($C413),"",$C413)</f>
        <v/>
      </c>
      <c r="BQ413" s="94" t="str">
        <f aca="false">IF(ISBLANK($C413),"",$D413)</f>
        <v/>
      </c>
      <c r="BR413" s="95" t="str">
        <f aca="false">BF413</f>
        <v/>
      </c>
      <c r="BS413" s="96" t="str">
        <f aca="false">BE413</f>
        <v/>
      </c>
      <c r="BT413" s="94" t="str">
        <f aca="false">IF(ISBLANK($C413),"",BH413)</f>
        <v/>
      </c>
      <c r="BU413" s="97" t="str">
        <f aca="false">IF($BL413&gt;$BK$7,"",VLOOKUP($BL413,$BN$8:$BT$507,7,FALSE()))</f>
        <v/>
      </c>
      <c r="BV413" s="98" t="str">
        <f aca="false">IF($BL413&gt;$BK$7,"",VLOOKUP($BL413,$BN$8:$BT$507,2,FALSE()))</f>
        <v/>
      </c>
      <c r="BW413" s="98" t="str">
        <f aca="false">IF($BL413&gt;$BK$7,"",VLOOKUP($BL413,$BN$8:$BT$507,3,FALSE()))</f>
        <v/>
      </c>
      <c r="BX413" s="98" t="str">
        <f aca="false">IF($BL413&gt;$BK$7,"",VLOOKUP($BL413,$BN$8:$BT$507,4,FALSE()))</f>
        <v/>
      </c>
      <c r="BY413" s="98" t="str">
        <f aca="false">IF($BL413&gt;$BK$7,"",VLOOKUP($BL413,$BN$8:$BT$507,5,FALSE()))</f>
        <v/>
      </c>
      <c r="BZ413" s="99" t="str">
        <f aca="false">IF($BL413&gt;$BK$7,"",VLOOKUP($BL413,$BN$8:$BT$507,6,FALSE()))</f>
        <v/>
      </c>
      <c r="CA413" s="48"/>
    </row>
    <row r="414" customFormat="false" ht="15.75" hidden="false" customHeight="false" outlineLevel="0" collapsed="false">
      <c r="A414" s="5"/>
      <c r="B414" s="114"/>
      <c r="C414" s="115"/>
      <c r="D414" s="100"/>
      <c r="E414" s="120"/>
      <c r="F414" s="125"/>
      <c r="G414" s="82"/>
      <c r="H414" s="126"/>
      <c r="I414" s="127"/>
      <c r="J414" s="82"/>
      <c r="K414" s="126"/>
      <c r="L414" s="82"/>
      <c r="M414" s="126"/>
      <c r="N414" s="82"/>
      <c r="O414" s="126"/>
      <c r="P414" s="82"/>
      <c r="Q414" s="126"/>
      <c r="R414" s="82"/>
      <c r="S414" s="120"/>
      <c r="T414" s="86"/>
      <c r="U414" s="87" t="str">
        <f aca="false">IF(ISBLANK($C414),"",IF(E414=Constants!$B$2, TRUE(), IF(E414=Constants!$B$3, FALSE(), TRUE())))</f>
        <v/>
      </c>
      <c r="V414" s="87" t="str">
        <f aca="false">IF(ISBLANK($C414),"",IF(F414=Constants!$B$2, TRUE(), IF(F414=Constants!$B$3, FALSE(), TRUE())))</f>
        <v/>
      </c>
      <c r="W414" s="87" t="str">
        <f aca="false">IF(ISBLANK($C414),"",IF(G414=Constants!$B$15,Constants!$B$8,IF(G414=Constants!$B$16,Constants!$B$9,Constants!$B$10)))</f>
        <v/>
      </c>
      <c r="X414" s="87" t="str">
        <f aca="false">IF(ISBLANK($C414),"",IF(H414=Constants!$B$2, TRUE(), IF(H414=Constants!$B$3, FALSE(), TRUE())))</f>
        <v/>
      </c>
      <c r="Y414" s="87" t="str">
        <f aca="false">IF(ISBLANK($C414),"",IF(I414=Constants!$B$19,Constants!$B$19,Constants!$B$18))</f>
        <v/>
      </c>
      <c r="Z414" s="87" t="str">
        <f aca="false">IF(ISBLANK($C414),"",IF(ISNUMBER(J414),IF(J414&gt;=0,J414,""),""))</f>
        <v/>
      </c>
      <c r="AA414" s="87" t="str">
        <f aca="false">IF(ISBLANK($C414),"",IF(K414=Constants!$B$19,Constants!$B$19,Constants!$B$18))</f>
        <v/>
      </c>
      <c r="AB414" s="87" t="str">
        <f aca="false">IF(ISBLANK($C414),"",IF(ISNUMBER(L414),IF(L414&gt;=0,L414,""),""))</f>
        <v/>
      </c>
      <c r="AC414" s="87" t="str">
        <f aca="false">IF(ISBLANK($C414),"",IF(M414=Constants!$B$19,Constants!$B$19,Constants!$B$18))</f>
        <v/>
      </c>
      <c r="AD414" s="87" t="str">
        <f aca="false">IF(ISBLANK($C414),"",IF(ISNUMBER(N414),IF(N414&gt;=0,N414,""),""))</f>
        <v/>
      </c>
      <c r="AE414" s="87" t="str">
        <f aca="false">IF(ISBLANK($C414),"",IF(O414=Constants!$B$19,Constants!$B$19,Constants!$B$18))</f>
        <v/>
      </c>
      <c r="AF414" s="87" t="str">
        <f aca="false">IF(ISBLANK($C414),"",IF(ISNUMBER(P414),IF(P414&gt;=0,P414,""),""))</f>
        <v/>
      </c>
      <c r="AG414" s="87" t="str">
        <f aca="false">IF(ISBLANK($C414),"",IF(Q414=Constants!$B$19,Constants!$B$19,Constants!$B$18))</f>
        <v/>
      </c>
      <c r="AH414" s="87" t="str">
        <f aca="false">IF(ISBLANK($C414),"",IF(ISNUMBER(R414),IF(R414&gt;=0,R414,""),""))</f>
        <v/>
      </c>
      <c r="AI414" s="87" t="str">
        <f aca="false">IF(ISBLANK($C414),"",IF(S414=Constants!$B$2, TRUE(), IF(S414=Constants!$B$3, FALSE(), FALSE())))</f>
        <v/>
      </c>
      <c r="AJ414" s="87" t="str">
        <f aca="false">IF(ISBLANK($C414),"",IF(AI414,Constants!$B$4,IF(COUNTA(E414:R414)=0,Constants!$B$5,IF(COUNTA(J414,L414,N414,P414,R414)=0,Constants!$B$6,Constants!$B$7))))</f>
        <v/>
      </c>
      <c r="AK414" s="87" t="str">
        <f aca="false">IF(ISBLANK($C414),"",IF($AJ414&lt;&gt;Constants!$B$7,$AJ414,IF(OR(NOT(X414),AND(NOT(U414),COUNTIFS(Y414:AG414,Constants!$B$18,Z414:AH414,"&gt;=0")&gt;0),AND(NOT(V414),COUNTIFS(Y414:AG414,Constants!$B$19,Z414:AH414,"&gt;=0")&gt;0)),Constants!$B$12,Constants!$B$11)))</f>
        <v/>
      </c>
      <c r="AL414" s="87" t="str">
        <f aca="false">IF($AJ414=Constants!$B$7,IF(Z414="",Constants!$B$13,Z414),"")</f>
        <v/>
      </c>
      <c r="AM414" s="87" t="str">
        <f aca="false">IF($AJ414=Constants!$B$7,IF(AB414="",Constants!$B$13,AB414),"")</f>
        <v/>
      </c>
      <c r="AN414" s="87" t="str">
        <f aca="false">IF($AJ414=Constants!$B$7,IF(AD414="",Constants!$B$13,AD414),"")</f>
        <v/>
      </c>
      <c r="AO414" s="87" t="str">
        <f aca="false">IF($AJ414=Constants!$B$7,IF(AF414="",Constants!$B$13,AF414),"")</f>
        <v/>
      </c>
      <c r="AP414" s="87" t="str">
        <f aca="false">IF($AJ414=Constants!$B$7,IF(AH414="",Constants!$B$13,AH414),"")</f>
        <v/>
      </c>
      <c r="AQ414" s="87" t="str">
        <f aca="false">IF($AJ414=Constants!$B$7,IF(SUMPRODUCT(--($AL414:$AP414&gt;AL414))+SUMPRODUCT(--($AL414:AL414=AL414))=1,1,IF(SUMPRODUCT(--($AL414:$AP414&gt;AM414))+SUMPRODUCT(--($AL414:AM414=AM414))=1,2,IF(SUMPRODUCT(--($AL414:$AP414&gt;AN414))+SUMPRODUCT(--($AL414:AN414=AN414))=1,3,IF(SUMPRODUCT(--($AL414:$AP414&gt;AO414))+SUMPRODUCT(--($AL414:AO414=AO414))=1,4,5)))),"")</f>
        <v/>
      </c>
      <c r="AR414" s="87" t="str">
        <f aca="false">IF($AJ414=Constants!$B$7,IF(SUMPRODUCT(--($AL414:$AP414&gt;AL414))+SUMPRODUCT(--($AL414:AL414=AL414))=2,1,IF(SUMPRODUCT(--($AL414:$AP414&gt;AM414))+SUMPRODUCT(--($AL414:AM414=AM414))=2,2,IF(SUMPRODUCT(--($AL414:$AP414&gt;AN414))+SUMPRODUCT(--($AL414:AN414=AN414))=2,3,IF(SUMPRODUCT(--($AL414:$AP414&gt;AO414))+SUMPRODUCT(--($AL414:AO414=AO414))=2,4,5)))),"")</f>
        <v/>
      </c>
      <c r="AS414" s="87" t="str">
        <f aca="false">IF($AJ414=Constants!$B$7,IF(SUMPRODUCT(--($AL414:$AP414&gt;AL414))+SUMPRODUCT(--($AL414:AL414=AL414))=3,1,IF(SUMPRODUCT(--($AL414:$AP414&gt;AM414))+SUMPRODUCT(--($AL414:AM414=AM414))=3,2,IF(SUMPRODUCT(--($AL414:$AP414&gt;AN414))+SUMPRODUCT(--($AL414:AN414=AN414))=3,3,IF(SUMPRODUCT(--($AL414:$AP414&gt;AO414))+SUMPRODUCT(--($AL414:AO414=AO414))=3,4,5)))),"")</f>
        <v/>
      </c>
      <c r="AT414" s="87" t="str">
        <f aca="false">IF($AJ414=Constants!$B$7,LARGE(AL414:AP414,1)+LARGE(AL414:AP414,2)+LARGE(AL414:AP414,3),"")</f>
        <v/>
      </c>
      <c r="AU414" s="87" t="str">
        <f aca="false">IF(ISBLANK($C414),"",IF($AJ414&lt;&gt;Constants!$B$7,$AJ414,AT414*W414))</f>
        <v/>
      </c>
      <c r="AV414" s="87" t="str">
        <f aca="false">IF(ISBLANK($C414),"",IF($AJ414=Constants!$B$7,IF(ISNUMBER(AU414),RANK(AU414,$AU$8:$AU$507),Constants!$B$14),$AJ414))</f>
        <v/>
      </c>
      <c r="AW414" s="87" t="str">
        <f aca="false">IF(ISBLANK($C414),"",IF($AJ414=Constants!$B$7,IF(ISNUMBER(AV414),COUNTIFS($AK$8:$AK$507,"&lt;"&amp;$AK414)+COUNTIFS($AK$8:$AK$507,$AK414,$AV$8:$AV$507,"&lt;"&amp;$AV414)+1,Constants!$B$14),$AJ414))</f>
        <v/>
      </c>
      <c r="AX414" s="87" t="str">
        <f aca="false">IF(ISBLANK($C414),"",IF($AJ414=Constants!$B$7,LARGE(AL414:AP414,4)*W414,""))</f>
        <v/>
      </c>
      <c r="AY414" s="87" t="str">
        <f aca="false">IF(ISBLANK($C414),"",IF($AJ414=Constants!$B$7,RANK(AX414,$AX$8:$AX$507),$AJ414))</f>
        <v/>
      </c>
      <c r="AZ414" s="87" t="str">
        <f aca="false">IF(ISBLANK($C414),"",IF($AJ414=Constants!$B$7,IF(ISNUMBER(AV414),COUNTIFS($AK$8:$AK$507,"&lt;"&amp;$AK414)+COUNTIFS($AK$8:$AK$507,$AK414,$AV$8:$AV$507,"&lt;"&amp;$AV414)+COUNTIFS($AK$8:$AK$507,$AK414,$AV$8:$AV$507,$AV414,$AY$8:$AY$507,"&lt;"&amp;$AY414)+1,Constants!$B$14),$AJ414))</f>
        <v/>
      </c>
      <c r="BA414" s="87" t="str">
        <f aca="false">IF(ISBLANK($C414),"",IF($AJ414=Constants!$B$7,IF(ISNUMBER(AW414),AW414-AZ414,Constants!$B$14),$AJ414))</f>
        <v/>
      </c>
      <c r="BB414" s="88"/>
      <c r="BC414" s="89" t="str">
        <f aca="false">IF(ISBLANK($C414),"",IF($AJ414&lt;&gt;Constants!$B$7,$AJ414,SMALL(AQ414:AS414,1)&amp;", "&amp;SMALL(AQ414:AS414,2)&amp;", "&amp;SMALL(AQ414:AS414,3)))</f>
        <v/>
      </c>
      <c r="BD414" s="90" t="str">
        <f aca="false">IF(ISBLANK($C414),"",IF($AJ414&lt;&gt;Constants!$B$7,$AJ414,W414))</f>
        <v/>
      </c>
      <c r="BE414" s="91" t="str">
        <f aca="false">IF(ISBLANK($C414),"",IF($AJ414&lt;&gt;Constants!$B$7,$AJ414,AU414))</f>
        <v/>
      </c>
      <c r="BF414" s="92" t="str">
        <f aca="false">IF(ISBLANK($C414),"",IF($AJ414&lt;&gt;Constants!$B$7,$AJ414,AK414))</f>
        <v/>
      </c>
      <c r="BG414" s="90" t="str">
        <f aca="false">IF(ISBLANK($C414),"",BA414)</f>
        <v/>
      </c>
      <c r="BH414" s="90" t="str">
        <f aca="false">IF(ISBLANK($C414),"",AZ414)</f>
        <v/>
      </c>
      <c r="BI414" s="93" t="str">
        <f aca="false">IF(ISBLANK($C414),"",IF(BH414=Constants!$B$4,COUNTA($C$8:$C$507)+2,IF(BH414=Constants!$B$5,COUNTA($C$8:$C$507)+1,IF(BH414=Constants!$B$6,COUNTA($C$8:$C$507),BH414))))</f>
        <v/>
      </c>
      <c r="BJ414" s="5"/>
      <c r="BK414" s="94" t="n">
        <f aca="false">IF(OR(ISNUMBER(BH414),BH414=Constants!$B$4,BH414=Constants!$B$6,BH414=Constants!$B$5),1,0)</f>
        <v>0</v>
      </c>
      <c r="BL414" s="94" t="n">
        <v>407</v>
      </c>
      <c r="BM414" s="94" t="str">
        <f aca="false">IF(ISBLANK($C414),"",IF(ISNUMBER(BI414),BI414+ROW($B414)/1000,""))</f>
        <v/>
      </c>
      <c r="BN414" s="94" t="str">
        <f aca="false">IF(ISNUMBER(BM414),RANK(BM414,$BM$8:$BM$507,1),"")</f>
        <v/>
      </c>
      <c r="BO414" s="94" t="str">
        <f aca="false">IF(ISBLANK($C414),"",$B414)</f>
        <v/>
      </c>
      <c r="BP414" s="94" t="str">
        <f aca="false">IF(ISBLANK($C414),"",$C414)</f>
        <v/>
      </c>
      <c r="BQ414" s="94" t="str">
        <f aca="false">IF(ISBLANK($C414),"",$D414)</f>
        <v/>
      </c>
      <c r="BR414" s="95" t="str">
        <f aca="false">BF414</f>
        <v/>
      </c>
      <c r="BS414" s="96" t="str">
        <f aca="false">BE414</f>
        <v/>
      </c>
      <c r="BT414" s="94" t="str">
        <f aca="false">IF(ISBLANK($C414),"",BH414)</f>
        <v/>
      </c>
      <c r="BU414" s="97" t="str">
        <f aca="false">IF($BL414&gt;$BK$7,"",VLOOKUP($BL414,$BN$8:$BT$507,7,FALSE()))</f>
        <v/>
      </c>
      <c r="BV414" s="98" t="str">
        <f aca="false">IF($BL414&gt;$BK$7,"",VLOOKUP($BL414,$BN$8:$BT$507,2,FALSE()))</f>
        <v/>
      </c>
      <c r="BW414" s="98" t="str">
        <f aca="false">IF($BL414&gt;$BK$7,"",VLOOKUP($BL414,$BN$8:$BT$507,3,FALSE()))</f>
        <v/>
      </c>
      <c r="BX414" s="98" t="str">
        <f aca="false">IF($BL414&gt;$BK$7,"",VLOOKUP($BL414,$BN$8:$BT$507,4,FALSE()))</f>
        <v/>
      </c>
      <c r="BY414" s="98" t="str">
        <f aca="false">IF($BL414&gt;$BK$7,"",VLOOKUP($BL414,$BN$8:$BT$507,5,FALSE()))</f>
        <v/>
      </c>
      <c r="BZ414" s="99" t="str">
        <f aca="false">IF($BL414&gt;$BK$7,"",VLOOKUP($BL414,$BN$8:$BT$507,6,FALSE()))</f>
        <v/>
      </c>
      <c r="CA414" s="48"/>
    </row>
    <row r="415" customFormat="false" ht="15.75" hidden="false" customHeight="false" outlineLevel="0" collapsed="false">
      <c r="A415" s="5"/>
      <c r="B415" s="114"/>
      <c r="C415" s="115"/>
      <c r="D415" s="100"/>
      <c r="E415" s="120"/>
      <c r="F415" s="125"/>
      <c r="G415" s="82"/>
      <c r="H415" s="126"/>
      <c r="I415" s="127"/>
      <c r="J415" s="82"/>
      <c r="K415" s="126"/>
      <c r="L415" s="82"/>
      <c r="M415" s="126"/>
      <c r="N415" s="82"/>
      <c r="O415" s="126"/>
      <c r="P415" s="82"/>
      <c r="Q415" s="126"/>
      <c r="R415" s="82"/>
      <c r="S415" s="120"/>
      <c r="T415" s="86"/>
      <c r="U415" s="87" t="str">
        <f aca="false">IF(ISBLANK($C415),"",IF(E415=Constants!$B$2, TRUE(), IF(E415=Constants!$B$3, FALSE(), TRUE())))</f>
        <v/>
      </c>
      <c r="V415" s="87" t="str">
        <f aca="false">IF(ISBLANK($C415),"",IF(F415=Constants!$B$2, TRUE(), IF(F415=Constants!$B$3, FALSE(), TRUE())))</f>
        <v/>
      </c>
      <c r="W415" s="87" t="str">
        <f aca="false">IF(ISBLANK($C415),"",IF(G415=Constants!$B$15,Constants!$B$8,IF(G415=Constants!$B$16,Constants!$B$9,Constants!$B$10)))</f>
        <v/>
      </c>
      <c r="X415" s="87" t="str">
        <f aca="false">IF(ISBLANK($C415),"",IF(H415=Constants!$B$2, TRUE(), IF(H415=Constants!$B$3, FALSE(), TRUE())))</f>
        <v/>
      </c>
      <c r="Y415" s="87" t="str">
        <f aca="false">IF(ISBLANK($C415),"",IF(I415=Constants!$B$19,Constants!$B$19,Constants!$B$18))</f>
        <v/>
      </c>
      <c r="Z415" s="87" t="str">
        <f aca="false">IF(ISBLANK($C415),"",IF(ISNUMBER(J415),IF(J415&gt;=0,J415,""),""))</f>
        <v/>
      </c>
      <c r="AA415" s="87" t="str">
        <f aca="false">IF(ISBLANK($C415),"",IF(K415=Constants!$B$19,Constants!$B$19,Constants!$B$18))</f>
        <v/>
      </c>
      <c r="AB415" s="87" t="str">
        <f aca="false">IF(ISBLANK($C415),"",IF(ISNUMBER(L415),IF(L415&gt;=0,L415,""),""))</f>
        <v/>
      </c>
      <c r="AC415" s="87" t="str">
        <f aca="false">IF(ISBLANK($C415),"",IF(M415=Constants!$B$19,Constants!$B$19,Constants!$B$18))</f>
        <v/>
      </c>
      <c r="AD415" s="87" t="str">
        <f aca="false">IF(ISBLANK($C415),"",IF(ISNUMBER(N415),IF(N415&gt;=0,N415,""),""))</f>
        <v/>
      </c>
      <c r="AE415" s="87" t="str">
        <f aca="false">IF(ISBLANK($C415),"",IF(O415=Constants!$B$19,Constants!$B$19,Constants!$B$18))</f>
        <v/>
      </c>
      <c r="AF415" s="87" t="str">
        <f aca="false">IF(ISBLANK($C415),"",IF(ISNUMBER(P415),IF(P415&gt;=0,P415,""),""))</f>
        <v/>
      </c>
      <c r="AG415" s="87" t="str">
        <f aca="false">IF(ISBLANK($C415),"",IF(Q415=Constants!$B$19,Constants!$B$19,Constants!$B$18))</f>
        <v/>
      </c>
      <c r="AH415" s="87" t="str">
        <f aca="false">IF(ISBLANK($C415),"",IF(ISNUMBER(R415),IF(R415&gt;=0,R415,""),""))</f>
        <v/>
      </c>
      <c r="AI415" s="87" t="str">
        <f aca="false">IF(ISBLANK($C415),"",IF(S415=Constants!$B$2, TRUE(), IF(S415=Constants!$B$3, FALSE(), FALSE())))</f>
        <v/>
      </c>
      <c r="AJ415" s="87" t="str">
        <f aca="false">IF(ISBLANK($C415),"",IF(AI415,Constants!$B$4,IF(COUNTA(E415:R415)=0,Constants!$B$5,IF(COUNTA(J415,L415,N415,P415,R415)=0,Constants!$B$6,Constants!$B$7))))</f>
        <v/>
      </c>
      <c r="AK415" s="87" t="str">
        <f aca="false">IF(ISBLANK($C415),"",IF($AJ415&lt;&gt;Constants!$B$7,$AJ415,IF(OR(NOT(X415),AND(NOT(U415),COUNTIFS(Y415:AG415,Constants!$B$18,Z415:AH415,"&gt;=0")&gt;0),AND(NOT(V415),COUNTIFS(Y415:AG415,Constants!$B$19,Z415:AH415,"&gt;=0")&gt;0)),Constants!$B$12,Constants!$B$11)))</f>
        <v/>
      </c>
      <c r="AL415" s="87" t="str">
        <f aca="false">IF($AJ415=Constants!$B$7,IF(Z415="",Constants!$B$13,Z415),"")</f>
        <v/>
      </c>
      <c r="AM415" s="87" t="str">
        <f aca="false">IF($AJ415=Constants!$B$7,IF(AB415="",Constants!$B$13,AB415),"")</f>
        <v/>
      </c>
      <c r="AN415" s="87" t="str">
        <f aca="false">IF($AJ415=Constants!$B$7,IF(AD415="",Constants!$B$13,AD415),"")</f>
        <v/>
      </c>
      <c r="AO415" s="87" t="str">
        <f aca="false">IF($AJ415=Constants!$B$7,IF(AF415="",Constants!$B$13,AF415),"")</f>
        <v/>
      </c>
      <c r="AP415" s="87" t="str">
        <f aca="false">IF($AJ415=Constants!$B$7,IF(AH415="",Constants!$B$13,AH415),"")</f>
        <v/>
      </c>
      <c r="AQ415" s="87" t="str">
        <f aca="false">IF($AJ415=Constants!$B$7,IF(SUMPRODUCT(--($AL415:$AP415&gt;AL415))+SUMPRODUCT(--($AL415:AL415=AL415))=1,1,IF(SUMPRODUCT(--($AL415:$AP415&gt;AM415))+SUMPRODUCT(--($AL415:AM415=AM415))=1,2,IF(SUMPRODUCT(--($AL415:$AP415&gt;AN415))+SUMPRODUCT(--($AL415:AN415=AN415))=1,3,IF(SUMPRODUCT(--($AL415:$AP415&gt;AO415))+SUMPRODUCT(--($AL415:AO415=AO415))=1,4,5)))),"")</f>
        <v/>
      </c>
      <c r="AR415" s="87" t="str">
        <f aca="false">IF($AJ415=Constants!$B$7,IF(SUMPRODUCT(--($AL415:$AP415&gt;AL415))+SUMPRODUCT(--($AL415:AL415=AL415))=2,1,IF(SUMPRODUCT(--($AL415:$AP415&gt;AM415))+SUMPRODUCT(--($AL415:AM415=AM415))=2,2,IF(SUMPRODUCT(--($AL415:$AP415&gt;AN415))+SUMPRODUCT(--($AL415:AN415=AN415))=2,3,IF(SUMPRODUCT(--($AL415:$AP415&gt;AO415))+SUMPRODUCT(--($AL415:AO415=AO415))=2,4,5)))),"")</f>
        <v/>
      </c>
      <c r="AS415" s="87" t="str">
        <f aca="false">IF($AJ415=Constants!$B$7,IF(SUMPRODUCT(--($AL415:$AP415&gt;AL415))+SUMPRODUCT(--($AL415:AL415=AL415))=3,1,IF(SUMPRODUCT(--($AL415:$AP415&gt;AM415))+SUMPRODUCT(--($AL415:AM415=AM415))=3,2,IF(SUMPRODUCT(--($AL415:$AP415&gt;AN415))+SUMPRODUCT(--($AL415:AN415=AN415))=3,3,IF(SUMPRODUCT(--($AL415:$AP415&gt;AO415))+SUMPRODUCT(--($AL415:AO415=AO415))=3,4,5)))),"")</f>
        <v/>
      </c>
      <c r="AT415" s="87" t="str">
        <f aca="false">IF($AJ415=Constants!$B$7,LARGE(AL415:AP415,1)+LARGE(AL415:AP415,2)+LARGE(AL415:AP415,3),"")</f>
        <v/>
      </c>
      <c r="AU415" s="87" t="str">
        <f aca="false">IF(ISBLANK($C415),"",IF($AJ415&lt;&gt;Constants!$B$7,$AJ415,AT415*W415))</f>
        <v/>
      </c>
      <c r="AV415" s="87" t="str">
        <f aca="false">IF(ISBLANK($C415),"",IF($AJ415=Constants!$B$7,IF(ISNUMBER(AU415),RANK(AU415,$AU$8:$AU$507),Constants!$B$14),$AJ415))</f>
        <v/>
      </c>
      <c r="AW415" s="87" t="str">
        <f aca="false">IF(ISBLANK($C415),"",IF($AJ415=Constants!$B$7,IF(ISNUMBER(AV415),COUNTIFS($AK$8:$AK$507,"&lt;"&amp;$AK415)+COUNTIFS($AK$8:$AK$507,$AK415,$AV$8:$AV$507,"&lt;"&amp;$AV415)+1,Constants!$B$14),$AJ415))</f>
        <v/>
      </c>
      <c r="AX415" s="87" t="str">
        <f aca="false">IF(ISBLANK($C415),"",IF($AJ415=Constants!$B$7,LARGE(AL415:AP415,4)*W415,""))</f>
        <v/>
      </c>
      <c r="AY415" s="87" t="str">
        <f aca="false">IF(ISBLANK($C415),"",IF($AJ415=Constants!$B$7,RANK(AX415,$AX$8:$AX$507),$AJ415))</f>
        <v/>
      </c>
      <c r="AZ415" s="87" t="str">
        <f aca="false">IF(ISBLANK($C415),"",IF($AJ415=Constants!$B$7,IF(ISNUMBER(AV415),COUNTIFS($AK$8:$AK$507,"&lt;"&amp;$AK415)+COUNTIFS($AK$8:$AK$507,$AK415,$AV$8:$AV$507,"&lt;"&amp;$AV415)+COUNTIFS($AK$8:$AK$507,$AK415,$AV$8:$AV$507,$AV415,$AY$8:$AY$507,"&lt;"&amp;$AY415)+1,Constants!$B$14),$AJ415))</f>
        <v/>
      </c>
      <c r="BA415" s="87" t="str">
        <f aca="false">IF(ISBLANK($C415),"",IF($AJ415=Constants!$B$7,IF(ISNUMBER(AW415),AW415-AZ415,Constants!$B$14),$AJ415))</f>
        <v/>
      </c>
      <c r="BB415" s="88"/>
      <c r="BC415" s="89" t="str">
        <f aca="false">IF(ISBLANK($C415),"",IF($AJ415&lt;&gt;Constants!$B$7,$AJ415,SMALL(AQ415:AS415,1)&amp;", "&amp;SMALL(AQ415:AS415,2)&amp;", "&amp;SMALL(AQ415:AS415,3)))</f>
        <v/>
      </c>
      <c r="BD415" s="90" t="str">
        <f aca="false">IF(ISBLANK($C415),"",IF($AJ415&lt;&gt;Constants!$B$7,$AJ415,W415))</f>
        <v/>
      </c>
      <c r="BE415" s="91" t="str">
        <f aca="false">IF(ISBLANK($C415),"",IF($AJ415&lt;&gt;Constants!$B$7,$AJ415,AU415))</f>
        <v/>
      </c>
      <c r="BF415" s="92" t="str">
        <f aca="false">IF(ISBLANK($C415),"",IF($AJ415&lt;&gt;Constants!$B$7,$AJ415,AK415))</f>
        <v/>
      </c>
      <c r="BG415" s="90" t="str">
        <f aca="false">IF(ISBLANK($C415),"",BA415)</f>
        <v/>
      </c>
      <c r="BH415" s="90" t="str">
        <f aca="false">IF(ISBLANK($C415),"",AZ415)</f>
        <v/>
      </c>
      <c r="BI415" s="93" t="str">
        <f aca="false">IF(ISBLANK($C415),"",IF(BH415=Constants!$B$4,COUNTA($C$8:$C$507)+2,IF(BH415=Constants!$B$5,COUNTA($C$8:$C$507)+1,IF(BH415=Constants!$B$6,COUNTA($C$8:$C$507),BH415))))</f>
        <v/>
      </c>
      <c r="BJ415" s="5"/>
      <c r="BK415" s="94" t="n">
        <f aca="false">IF(OR(ISNUMBER(BH415),BH415=Constants!$B$4,BH415=Constants!$B$6,BH415=Constants!$B$5),1,0)</f>
        <v>0</v>
      </c>
      <c r="BL415" s="94" t="n">
        <v>408</v>
      </c>
      <c r="BM415" s="94" t="str">
        <f aca="false">IF(ISBLANK($C415),"",IF(ISNUMBER(BI415),BI415+ROW($B415)/1000,""))</f>
        <v/>
      </c>
      <c r="BN415" s="94" t="str">
        <f aca="false">IF(ISNUMBER(BM415),RANK(BM415,$BM$8:$BM$507,1),"")</f>
        <v/>
      </c>
      <c r="BO415" s="94" t="str">
        <f aca="false">IF(ISBLANK($C415),"",$B415)</f>
        <v/>
      </c>
      <c r="BP415" s="94" t="str">
        <f aca="false">IF(ISBLANK($C415),"",$C415)</f>
        <v/>
      </c>
      <c r="BQ415" s="94" t="str">
        <f aca="false">IF(ISBLANK($C415),"",$D415)</f>
        <v/>
      </c>
      <c r="BR415" s="95" t="str">
        <f aca="false">BF415</f>
        <v/>
      </c>
      <c r="BS415" s="96" t="str">
        <f aca="false">BE415</f>
        <v/>
      </c>
      <c r="BT415" s="94" t="str">
        <f aca="false">IF(ISBLANK($C415),"",BH415)</f>
        <v/>
      </c>
      <c r="BU415" s="97" t="str">
        <f aca="false">IF($BL415&gt;$BK$7,"",VLOOKUP($BL415,$BN$8:$BT$507,7,FALSE()))</f>
        <v/>
      </c>
      <c r="BV415" s="98" t="str">
        <f aca="false">IF($BL415&gt;$BK$7,"",VLOOKUP($BL415,$BN$8:$BT$507,2,FALSE()))</f>
        <v/>
      </c>
      <c r="BW415" s="98" t="str">
        <f aca="false">IF($BL415&gt;$BK$7,"",VLOOKUP($BL415,$BN$8:$BT$507,3,FALSE()))</f>
        <v/>
      </c>
      <c r="BX415" s="98" t="str">
        <f aca="false">IF($BL415&gt;$BK$7,"",VLOOKUP($BL415,$BN$8:$BT$507,4,FALSE()))</f>
        <v/>
      </c>
      <c r="BY415" s="98" t="str">
        <f aca="false">IF($BL415&gt;$BK$7,"",VLOOKUP($BL415,$BN$8:$BT$507,5,FALSE()))</f>
        <v/>
      </c>
      <c r="BZ415" s="99" t="str">
        <f aca="false">IF($BL415&gt;$BK$7,"",VLOOKUP($BL415,$BN$8:$BT$507,6,FALSE()))</f>
        <v/>
      </c>
      <c r="CA415" s="48"/>
    </row>
    <row r="416" customFormat="false" ht="15.75" hidden="false" customHeight="false" outlineLevel="0" collapsed="false">
      <c r="A416" s="5"/>
      <c r="B416" s="121"/>
      <c r="C416" s="50"/>
      <c r="D416" s="51"/>
      <c r="E416" s="74"/>
      <c r="F416" s="122"/>
      <c r="G416" s="54"/>
      <c r="H416" s="123"/>
      <c r="I416" s="124"/>
      <c r="J416" s="54"/>
      <c r="K416" s="123"/>
      <c r="L416" s="54"/>
      <c r="M416" s="123"/>
      <c r="N416" s="54"/>
      <c r="O416" s="123"/>
      <c r="P416" s="54"/>
      <c r="Q416" s="123"/>
      <c r="R416" s="54"/>
      <c r="S416" s="74"/>
      <c r="T416" s="58"/>
      <c r="U416" s="59" t="str">
        <f aca="false">IF(ISBLANK($C416),"",IF(E416=Constants!$B$2, TRUE(), IF(E416=Constants!$B$3, FALSE(), TRUE())))</f>
        <v/>
      </c>
      <c r="V416" s="59" t="str">
        <f aca="false">IF(ISBLANK($C416),"",IF(F416=Constants!$B$2, TRUE(), IF(F416=Constants!$B$3, FALSE(), TRUE())))</f>
        <v/>
      </c>
      <c r="W416" s="59" t="str">
        <f aca="false">IF(ISBLANK($C416),"",IF(G416=Constants!$B$15,Constants!$B$8,IF(G416=Constants!$B$16,Constants!$B$9,Constants!$B$10)))</f>
        <v/>
      </c>
      <c r="X416" s="59" t="str">
        <f aca="false">IF(ISBLANK($C416),"",IF(H416=Constants!$B$2, TRUE(), IF(H416=Constants!$B$3, FALSE(), TRUE())))</f>
        <v/>
      </c>
      <c r="Y416" s="59" t="str">
        <f aca="false">IF(ISBLANK($C416),"",IF(I416=Constants!$B$19,Constants!$B$19,Constants!$B$18))</f>
        <v/>
      </c>
      <c r="Z416" s="59" t="str">
        <f aca="false">IF(ISBLANK($C416),"",IF(ISNUMBER(J416),IF(J416&gt;=0,J416,""),""))</f>
        <v/>
      </c>
      <c r="AA416" s="59" t="str">
        <f aca="false">IF(ISBLANK($C416),"",IF(K416=Constants!$B$19,Constants!$B$19,Constants!$B$18))</f>
        <v/>
      </c>
      <c r="AB416" s="59" t="str">
        <f aca="false">IF(ISBLANK($C416),"",IF(ISNUMBER(L416),IF(L416&gt;=0,L416,""),""))</f>
        <v/>
      </c>
      <c r="AC416" s="59" t="str">
        <f aca="false">IF(ISBLANK($C416),"",IF(M416=Constants!$B$19,Constants!$B$19,Constants!$B$18))</f>
        <v/>
      </c>
      <c r="AD416" s="59" t="str">
        <f aca="false">IF(ISBLANK($C416),"",IF(ISNUMBER(N416),IF(N416&gt;=0,N416,""),""))</f>
        <v/>
      </c>
      <c r="AE416" s="59" t="str">
        <f aca="false">IF(ISBLANK($C416),"",IF(O416=Constants!$B$19,Constants!$B$19,Constants!$B$18))</f>
        <v/>
      </c>
      <c r="AF416" s="59" t="str">
        <f aca="false">IF(ISBLANK($C416),"",IF(ISNUMBER(P416),IF(P416&gt;=0,P416,""),""))</f>
        <v/>
      </c>
      <c r="AG416" s="59" t="str">
        <f aca="false">IF(ISBLANK($C416),"",IF(Q416=Constants!$B$19,Constants!$B$19,Constants!$B$18))</f>
        <v/>
      </c>
      <c r="AH416" s="59" t="str">
        <f aca="false">IF(ISBLANK($C416),"",IF(ISNUMBER(R416),IF(R416&gt;=0,R416,""),""))</f>
        <v/>
      </c>
      <c r="AI416" s="59" t="str">
        <f aca="false">IF(ISBLANK($C416),"",IF(S416=Constants!$B$2, TRUE(), IF(S416=Constants!$B$3, FALSE(), FALSE())))</f>
        <v/>
      </c>
      <c r="AJ416" s="59" t="str">
        <f aca="false">IF(ISBLANK($C416),"",IF(AI416,Constants!$B$4,IF(COUNTA(E416:R416)=0,Constants!$B$5,IF(COUNTA(J416,L416,N416,P416,R416)=0,Constants!$B$6,Constants!$B$7))))</f>
        <v/>
      </c>
      <c r="AK416" s="59" t="str">
        <f aca="false">IF(ISBLANK($C416),"",IF($AJ416&lt;&gt;Constants!$B$7,$AJ416,IF(OR(NOT(X416),AND(NOT(U416),COUNTIFS(Y416:AG416,Constants!$B$18,Z416:AH416,"&gt;=0")&gt;0),AND(NOT(V416),COUNTIFS(Y416:AG416,Constants!$B$19,Z416:AH416,"&gt;=0")&gt;0)),Constants!$B$12,Constants!$B$11)))</f>
        <v/>
      </c>
      <c r="AL416" s="59" t="str">
        <f aca="false">IF($AJ416=Constants!$B$7,IF(Z416="",Constants!$B$13,Z416),"")</f>
        <v/>
      </c>
      <c r="AM416" s="59" t="str">
        <f aca="false">IF($AJ416=Constants!$B$7,IF(AB416="",Constants!$B$13,AB416),"")</f>
        <v/>
      </c>
      <c r="AN416" s="59" t="str">
        <f aca="false">IF($AJ416=Constants!$B$7,IF(AD416="",Constants!$B$13,AD416),"")</f>
        <v/>
      </c>
      <c r="AO416" s="59" t="str">
        <f aca="false">IF($AJ416=Constants!$B$7,IF(AF416="",Constants!$B$13,AF416),"")</f>
        <v/>
      </c>
      <c r="AP416" s="59" t="str">
        <f aca="false">IF($AJ416=Constants!$B$7,IF(AH416="",Constants!$B$13,AH416),"")</f>
        <v/>
      </c>
      <c r="AQ416" s="59" t="str">
        <f aca="false">IF($AJ416=Constants!$B$7,IF(SUMPRODUCT(--($AL416:$AP416&gt;AL416))+SUMPRODUCT(--($AL416:AL416=AL416))=1,1,IF(SUMPRODUCT(--($AL416:$AP416&gt;AM416))+SUMPRODUCT(--($AL416:AM416=AM416))=1,2,IF(SUMPRODUCT(--($AL416:$AP416&gt;AN416))+SUMPRODUCT(--($AL416:AN416=AN416))=1,3,IF(SUMPRODUCT(--($AL416:$AP416&gt;AO416))+SUMPRODUCT(--($AL416:AO416=AO416))=1,4,5)))),"")</f>
        <v/>
      </c>
      <c r="AR416" s="59" t="str">
        <f aca="false">IF($AJ416=Constants!$B$7,IF(SUMPRODUCT(--($AL416:$AP416&gt;AL416))+SUMPRODUCT(--($AL416:AL416=AL416))=2,1,IF(SUMPRODUCT(--($AL416:$AP416&gt;AM416))+SUMPRODUCT(--($AL416:AM416=AM416))=2,2,IF(SUMPRODUCT(--($AL416:$AP416&gt;AN416))+SUMPRODUCT(--($AL416:AN416=AN416))=2,3,IF(SUMPRODUCT(--($AL416:$AP416&gt;AO416))+SUMPRODUCT(--($AL416:AO416=AO416))=2,4,5)))),"")</f>
        <v/>
      </c>
      <c r="AS416" s="59" t="str">
        <f aca="false">IF($AJ416=Constants!$B$7,IF(SUMPRODUCT(--($AL416:$AP416&gt;AL416))+SUMPRODUCT(--($AL416:AL416=AL416))=3,1,IF(SUMPRODUCT(--($AL416:$AP416&gt;AM416))+SUMPRODUCT(--($AL416:AM416=AM416))=3,2,IF(SUMPRODUCT(--($AL416:$AP416&gt;AN416))+SUMPRODUCT(--($AL416:AN416=AN416))=3,3,IF(SUMPRODUCT(--($AL416:$AP416&gt;AO416))+SUMPRODUCT(--($AL416:AO416=AO416))=3,4,5)))),"")</f>
        <v/>
      </c>
      <c r="AT416" s="59" t="str">
        <f aca="false">IF($AJ416=Constants!$B$7,LARGE(AL416:AP416,1)+LARGE(AL416:AP416,2)+LARGE(AL416:AP416,3),"")</f>
        <v/>
      </c>
      <c r="AU416" s="59" t="str">
        <f aca="false">IF(ISBLANK($C416),"",IF($AJ416&lt;&gt;Constants!$B$7,$AJ416,AT416*W416))</f>
        <v/>
      </c>
      <c r="AV416" s="59" t="str">
        <f aca="false">IF(ISBLANK($C416),"",IF($AJ416=Constants!$B$7,IF(ISNUMBER(AU416),RANK(AU416,$AU$8:$AU$507),Constants!$B$14),$AJ416))</f>
        <v/>
      </c>
      <c r="AW416" s="59" t="str">
        <f aca="false">IF(ISBLANK($C416),"",IF($AJ416=Constants!$B$7,IF(ISNUMBER(AV416),COUNTIFS($AK$8:$AK$507,"&lt;"&amp;$AK416)+COUNTIFS($AK$8:$AK$507,$AK416,$AV$8:$AV$507,"&lt;"&amp;$AV416)+1,Constants!$B$14),$AJ416))</f>
        <v/>
      </c>
      <c r="AX416" s="59" t="str">
        <f aca="false">IF(ISBLANK($C416),"",IF($AJ416=Constants!$B$7,LARGE(AL416:AP416,4)*W416,""))</f>
        <v/>
      </c>
      <c r="AY416" s="59" t="str">
        <f aca="false">IF(ISBLANK($C416),"",IF($AJ416=Constants!$B$7,RANK(AX416,$AX$8:$AX$507),$AJ416))</f>
        <v/>
      </c>
      <c r="AZ416" s="59" t="str">
        <f aca="false">IF(ISBLANK($C416),"",IF($AJ416=Constants!$B$7,IF(ISNUMBER(AV416),COUNTIFS($AK$8:$AK$507,"&lt;"&amp;$AK416)+COUNTIFS($AK$8:$AK$507,$AK416,$AV$8:$AV$507,"&lt;"&amp;$AV416)+COUNTIFS($AK$8:$AK$507,$AK416,$AV$8:$AV$507,$AV416,$AY$8:$AY$507,"&lt;"&amp;$AY416)+1,Constants!$B$14),$AJ416))</f>
        <v/>
      </c>
      <c r="BA416" s="59" t="str">
        <f aca="false">IF(ISBLANK($C416),"",IF($AJ416=Constants!$B$7,IF(ISNUMBER(AW416),AW416-AZ416,Constants!$B$14),$AJ416))</f>
        <v/>
      </c>
      <c r="BB416" s="61"/>
      <c r="BC416" s="62" t="str">
        <f aca="false">IF(ISBLANK($C416),"",IF($AJ416&lt;&gt;Constants!$B$7,$AJ416,SMALL(AQ416:AS416,1)&amp;", "&amp;SMALL(AQ416:AS416,2)&amp;", "&amp;SMALL(AQ416:AS416,3)))</f>
        <v/>
      </c>
      <c r="BD416" s="63" t="str">
        <f aca="false">IF(ISBLANK($C416),"",IF($AJ416&lt;&gt;Constants!$B$7,$AJ416,W416))</f>
        <v/>
      </c>
      <c r="BE416" s="64" t="str">
        <f aca="false">IF(ISBLANK($C416),"",IF($AJ416&lt;&gt;Constants!$B$7,$AJ416,AU416))</f>
        <v/>
      </c>
      <c r="BF416" s="65" t="str">
        <f aca="false">IF(ISBLANK($C416),"",IF($AJ416&lt;&gt;Constants!$B$7,$AJ416,AK416))</f>
        <v/>
      </c>
      <c r="BG416" s="63" t="str">
        <f aca="false">IF(ISBLANK($C416),"",BA416)</f>
        <v/>
      </c>
      <c r="BH416" s="63" t="str">
        <f aca="false">IF(ISBLANK($C416),"",AZ416)</f>
        <v/>
      </c>
      <c r="BI416" s="66" t="str">
        <f aca="false">IF(ISBLANK($C416),"",IF(BH416=Constants!$B$4,COUNTA($C$8:$C$507)+2,IF(BH416=Constants!$B$5,COUNTA($C$8:$C$507)+1,IF(BH416=Constants!$B$6,COUNTA($C$8:$C$507),BH416))))</f>
        <v/>
      </c>
      <c r="BJ416" s="5"/>
      <c r="BK416" s="67" t="n">
        <f aca="false">IF(OR(ISNUMBER(BH416),BH416=Constants!$B$4,BH416=Constants!$B$6,BH416=Constants!$B$5),1,0)</f>
        <v>0</v>
      </c>
      <c r="BL416" s="67" t="n">
        <v>409</v>
      </c>
      <c r="BM416" s="67" t="str">
        <f aca="false">IF(ISBLANK($C416),"",IF(ISNUMBER(BI416),BI416+ROW($B416)/1000,""))</f>
        <v/>
      </c>
      <c r="BN416" s="67" t="str">
        <f aca="false">IF(ISNUMBER(BM416),RANK(BM416,$BM$8:$BM$507,1),"")</f>
        <v/>
      </c>
      <c r="BO416" s="67" t="str">
        <f aca="false">IF(ISBLANK($C416),"",$B416)</f>
        <v/>
      </c>
      <c r="BP416" s="67" t="str">
        <f aca="false">IF(ISBLANK($C416),"",$C416)</f>
        <v/>
      </c>
      <c r="BQ416" s="67" t="str">
        <f aca="false">IF(ISBLANK($C416),"",$D416)</f>
        <v/>
      </c>
      <c r="BR416" s="68" t="str">
        <f aca="false">BF416</f>
        <v/>
      </c>
      <c r="BS416" s="69" t="str">
        <f aca="false">BE416</f>
        <v/>
      </c>
      <c r="BT416" s="67" t="str">
        <f aca="false">IF(ISBLANK($C416),"",BH416)</f>
        <v/>
      </c>
      <c r="BU416" s="70" t="str">
        <f aca="false">IF($BL416&gt;$BK$7,"",VLOOKUP($BL416,$BN$8:$BT$507,7,FALSE()))</f>
        <v/>
      </c>
      <c r="BV416" s="71" t="str">
        <f aca="false">IF($BL416&gt;$BK$7,"",VLOOKUP($BL416,$BN$8:$BT$507,2,FALSE()))</f>
        <v/>
      </c>
      <c r="BW416" s="71" t="str">
        <f aca="false">IF($BL416&gt;$BK$7,"",VLOOKUP($BL416,$BN$8:$BT$507,3,FALSE()))</f>
        <v/>
      </c>
      <c r="BX416" s="71" t="str">
        <f aca="false">IF($BL416&gt;$BK$7,"",VLOOKUP($BL416,$BN$8:$BT$507,4,FALSE()))</f>
        <v/>
      </c>
      <c r="BY416" s="71" t="str">
        <f aca="false">IF($BL416&gt;$BK$7,"",VLOOKUP($BL416,$BN$8:$BT$507,5,FALSE()))</f>
        <v/>
      </c>
      <c r="BZ416" s="72" t="str">
        <f aca="false">IF($BL416&gt;$BK$7,"",VLOOKUP($BL416,$BN$8:$BT$507,6,FALSE()))</f>
        <v/>
      </c>
      <c r="CA416" s="48"/>
    </row>
    <row r="417" customFormat="false" ht="15.75" hidden="false" customHeight="false" outlineLevel="0" collapsed="false">
      <c r="A417" s="5"/>
      <c r="B417" s="121"/>
      <c r="C417" s="50"/>
      <c r="D417" s="51"/>
      <c r="E417" s="74"/>
      <c r="F417" s="122"/>
      <c r="G417" s="54"/>
      <c r="H417" s="123"/>
      <c r="I417" s="124"/>
      <c r="J417" s="54"/>
      <c r="K417" s="123"/>
      <c r="L417" s="54"/>
      <c r="M417" s="123"/>
      <c r="N417" s="54"/>
      <c r="O417" s="123"/>
      <c r="P417" s="54"/>
      <c r="Q417" s="123"/>
      <c r="R417" s="54"/>
      <c r="S417" s="74"/>
      <c r="T417" s="58"/>
      <c r="U417" s="59" t="str">
        <f aca="false">IF(ISBLANK($C417),"",IF(E417=Constants!$B$2, TRUE(), IF(E417=Constants!$B$3, FALSE(), TRUE())))</f>
        <v/>
      </c>
      <c r="V417" s="59" t="str">
        <f aca="false">IF(ISBLANK($C417),"",IF(F417=Constants!$B$2, TRUE(), IF(F417=Constants!$B$3, FALSE(), TRUE())))</f>
        <v/>
      </c>
      <c r="W417" s="59" t="str">
        <f aca="false">IF(ISBLANK($C417),"",IF(G417=Constants!$B$15,Constants!$B$8,IF(G417=Constants!$B$16,Constants!$B$9,Constants!$B$10)))</f>
        <v/>
      </c>
      <c r="X417" s="59" t="str">
        <f aca="false">IF(ISBLANK($C417),"",IF(H417=Constants!$B$2, TRUE(), IF(H417=Constants!$B$3, FALSE(), TRUE())))</f>
        <v/>
      </c>
      <c r="Y417" s="59" t="str">
        <f aca="false">IF(ISBLANK($C417),"",IF(I417=Constants!$B$19,Constants!$B$19,Constants!$B$18))</f>
        <v/>
      </c>
      <c r="Z417" s="59" t="str">
        <f aca="false">IF(ISBLANK($C417),"",IF(ISNUMBER(J417),IF(J417&gt;=0,J417,""),""))</f>
        <v/>
      </c>
      <c r="AA417" s="59" t="str">
        <f aca="false">IF(ISBLANK($C417),"",IF(K417=Constants!$B$19,Constants!$B$19,Constants!$B$18))</f>
        <v/>
      </c>
      <c r="AB417" s="59" t="str">
        <f aca="false">IF(ISBLANK($C417),"",IF(ISNUMBER(L417),IF(L417&gt;=0,L417,""),""))</f>
        <v/>
      </c>
      <c r="AC417" s="59" t="str">
        <f aca="false">IF(ISBLANK($C417),"",IF(M417=Constants!$B$19,Constants!$B$19,Constants!$B$18))</f>
        <v/>
      </c>
      <c r="AD417" s="59" t="str">
        <f aca="false">IF(ISBLANK($C417),"",IF(ISNUMBER(N417),IF(N417&gt;=0,N417,""),""))</f>
        <v/>
      </c>
      <c r="AE417" s="59" t="str">
        <f aca="false">IF(ISBLANK($C417),"",IF(O417=Constants!$B$19,Constants!$B$19,Constants!$B$18))</f>
        <v/>
      </c>
      <c r="AF417" s="59" t="str">
        <f aca="false">IF(ISBLANK($C417),"",IF(ISNUMBER(P417),IF(P417&gt;=0,P417,""),""))</f>
        <v/>
      </c>
      <c r="AG417" s="59" t="str">
        <f aca="false">IF(ISBLANK($C417),"",IF(Q417=Constants!$B$19,Constants!$B$19,Constants!$B$18))</f>
        <v/>
      </c>
      <c r="AH417" s="59" t="str">
        <f aca="false">IF(ISBLANK($C417),"",IF(ISNUMBER(R417),IF(R417&gt;=0,R417,""),""))</f>
        <v/>
      </c>
      <c r="AI417" s="59" t="str">
        <f aca="false">IF(ISBLANK($C417),"",IF(S417=Constants!$B$2, TRUE(), IF(S417=Constants!$B$3, FALSE(), FALSE())))</f>
        <v/>
      </c>
      <c r="AJ417" s="59" t="str">
        <f aca="false">IF(ISBLANK($C417),"",IF(AI417,Constants!$B$4,IF(COUNTA(E417:R417)=0,Constants!$B$5,IF(COUNTA(J417,L417,N417,P417,R417)=0,Constants!$B$6,Constants!$B$7))))</f>
        <v/>
      </c>
      <c r="AK417" s="59" t="str">
        <f aca="false">IF(ISBLANK($C417),"",IF($AJ417&lt;&gt;Constants!$B$7,$AJ417,IF(OR(NOT(X417),AND(NOT(U417),COUNTIFS(Y417:AG417,Constants!$B$18,Z417:AH417,"&gt;=0")&gt;0),AND(NOT(V417),COUNTIFS(Y417:AG417,Constants!$B$19,Z417:AH417,"&gt;=0")&gt;0)),Constants!$B$12,Constants!$B$11)))</f>
        <v/>
      </c>
      <c r="AL417" s="59" t="str">
        <f aca="false">IF($AJ417=Constants!$B$7,IF(Z417="",Constants!$B$13,Z417),"")</f>
        <v/>
      </c>
      <c r="AM417" s="59" t="str">
        <f aca="false">IF($AJ417=Constants!$B$7,IF(AB417="",Constants!$B$13,AB417),"")</f>
        <v/>
      </c>
      <c r="AN417" s="59" t="str">
        <f aca="false">IF($AJ417=Constants!$B$7,IF(AD417="",Constants!$B$13,AD417),"")</f>
        <v/>
      </c>
      <c r="AO417" s="59" t="str">
        <f aca="false">IF($AJ417=Constants!$B$7,IF(AF417="",Constants!$B$13,AF417),"")</f>
        <v/>
      </c>
      <c r="AP417" s="59" t="str">
        <f aca="false">IF($AJ417=Constants!$B$7,IF(AH417="",Constants!$B$13,AH417),"")</f>
        <v/>
      </c>
      <c r="AQ417" s="59" t="str">
        <f aca="false">IF($AJ417=Constants!$B$7,IF(SUMPRODUCT(--($AL417:$AP417&gt;AL417))+SUMPRODUCT(--($AL417:AL417=AL417))=1,1,IF(SUMPRODUCT(--($AL417:$AP417&gt;AM417))+SUMPRODUCT(--($AL417:AM417=AM417))=1,2,IF(SUMPRODUCT(--($AL417:$AP417&gt;AN417))+SUMPRODUCT(--($AL417:AN417=AN417))=1,3,IF(SUMPRODUCT(--($AL417:$AP417&gt;AO417))+SUMPRODUCT(--($AL417:AO417=AO417))=1,4,5)))),"")</f>
        <v/>
      </c>
      <c r="AR417" s="59" t="str">
        <f aca="false">IF($AJ417=Constants!$B$7,IF(SUMPRODUCT(--($AL417:$AP417&gt;AL417))+SUMPRODUCT(--($AL417:AL417=AL417))=2,1,IF(SUMPRODUCT(--($AL417:$AP417&gt;AM417))+SUMPRODUCT(--($AL417:AM417=AM417))=2,2,IF(SUMPRODUCT(--($AL417:$AP417&gt;AN417))+SUMPRODUCT(--($AL417:AN417=AN417))=2,3,IF(SUMPRODUCT(--($AL417:$AP417&gt;AO417))+SUMPRODUCT(--($AL417:AO417=AO417))=2,4,5)))),"")</f>
        <v/>
      </c>
      <c r="AS417" s="59" t="str">
        <f aca="false">IF($AJ417=Constants!$B$7,IF(SUMPRODUCT(--($AL417:$AP417&gt;AL417))+SUMPRODUCT(--($AL417:AL417=AL417))=3,1,IF(SUMPRODUCT(--($AL417:$AP417&gt;AM417))+SUMPRODUCT(--($AL417:AM417=AM417))=3,2,IF(SUMPRODUCT(--($AL417:$AP417&gt;AN417))+SUMPRODUCT(--($AL417:AN417=AN417))=3,3,IF(SUMPRODUCT(--($AL417:$AP417&gt;AO417))+SUMPRODUCT(--($AL417:AO417=AO417))=3,4,5)))),"")</f>
        <v/>
      </c>
      <c r="AT417" s="59" t="str">
        <f aca="false">IF($AJ417=Constants!$B$7,LARGE(AL417:AP417,1)+LARGE(AL417:AP417,2)+LARGE(AL417:AP417,3),"")</f>
        <v/>
      </c>
      <c r="AU417" s="59" t="str">
        <f aca="false">IF(ISBLANK($C417),"",IF($AJ417&lt;&gt;Constants!$B$7,$AJ417,AT417*W417))</f>
        <v/>
      </c>
      <c r="AV417" s="59" t="str">
        <f aca="false">IF(ISBLANK($C417),"",IF($AJ417=Constants!$B$7,IF(ISNUMBER(AU417),RANK(AU417,$AU$8:$AU$507),Constants!$B$14),$AJ417))</f>
        <v/>
      </c>
      <c r="AW417" s="59" t="str">
        <f aca="false">IF(ISBLANK($C417),"",IF($AJ417=Constants!$B$7,IF(ISNUMBER(AV417),COUNTIFS($AK$8:$AK$507,"&lt;"&amp;$AK417)+COUNTIFS($AK$8:$AK$507,$AK417,$AV$8:$AV$507,"&lt;"&amp;$AV417)+1,Constants!$B$14),$AJ417))</f>
        <v/>
      </c>
      <c r="AX417" s="59" t="str">
        <f aca="false">IF(ISBLANK($C417),"",IF($AJ417=Constants!$B$7,LARGE(AL417:AP417,4)*W417,""))</f>
        <v/>
      </c>
      <c r="AY417" s="59" t="str">
        <f aca="false">IF(ISBLANK($C417),"",IF($AJ417=Constants!$B$7,RANK(AX417,$AX$8:$AX$507),$AJ417))</f>
        <v/>
      </c>
      <c r="AZ417" s="59" t="str">
        <f aca="false">IF(ISBLANK($C417),"",IF($AJ417=Constants!$B$7,IF(ISNUMBER(AV417),COUNTIFS($AK$8:$AK$507,"&lt;"&amp;$AK417)+COUNTIFS($AK$8:$AK$507,$AK417,$AV$8:$AV$507,"&lt;"&amp;$AV417)+COUNTIFS($AK$8:$AK$507,$AK417,$AV$8:$AV$507,$AV417,$AY$8:$AY$507,"&lt;"&amp;$AY417)+1,Constants!$B$14),$AJ417))</f>
        <v/>
      </c>
      <c r="BA417" s="59" t="str">
        <f aca="false">IF(ISBLANK($C417),"",IF($AJ417=Constants!$B$7,IF(ISNUMBER(AW417),AW417-AZ417,Constants!$B$14),$AJ417))</f>
        <v/>
      </c>
      <c r="BB417" s="61"/>
      <c r="BC417" s="62" t="str">
        <f aca="false">IF(ISBLANK($C417),"",IF($AJ417&lt;&gt;Constants!$B$7,$AJ417,SMALL(AQ417:AS417,1)&amp;", "&amp;SMALL(AQ417:AS417,2)&amp;", "&amp;SMALL(AQ417:AS417,3)))</f>
        <v/>
      </c>
      <c r="BD417" s="63" t="str">
        <f aca="false">IF(ISBLANK($C417),"",IF($AJ417&lt;&gt;Constants!$B$7,$AJ417,W417))</f>
        <v/>
      </c>
      <c r="BE417" s="64" t="str">
        <f aca="false">IF(ISBLANK($C417),"",IF($AJ417&lt;&gt;Constants!$B$7,$AJ417,AU417))</f>
        <v/>
      </c>
      <c r="BF417" s="65" t="str">
        <f aca="false">IF(ISBLANK($C417),"",IF($AJ417&lt;&gt;Constants!$B$7,$AJ417,AK417))</f>
        <v/>
      </c>
      <c r="BG417" s="63" t="str">
        <f aca="false">IF(ISBLANK($C417),"",BA417)</f>
        <v/>
      </c>
      <c r="BH417" s="63" t="str">
        <f aca="false">IF(ISBLANK($C417),"",AZ417)</f>
        <v/>
      </c>
      <c r="BI417" s="66" t="str">
        <f aca="false">IF(ISBLANK($C417),"",IF(BH417=Constants!$B$4,COUNTA($C$8:$C$507)+2,IF(BH417=Constants!$B$5,COUNTA($C$8:$C$507)+1,IF(BH417=Constants!$B$6,COUNTA($C$8:$C$507),BH417))))</f>
        <v/>
      </c>
      <c r="BJ417" s="5"/>
      <c r="BK417" s="67" t="n">
        <f aca="false">IF(OR(ISNUMBER(BH417),BH417=Constants!$B$4,BH417=Constants!$B$6,BH417=Constants!$B$5),1,0)</f>
        <v>0</v>
      </c>
      <c r="BL417" s="67" t="n">
        <v>410</v>
      </c>
      <c r="BM417" s="67" t="str">
        <f aca="false">IF(ISBLANK($C417),"",IF(ISNUMBER(BI417),BI417+ROW($B417)/1000,""))</f>
        <v/>
      </c>
      <c r="BN417" s="67" t="str">
        <f aca="false">IF(ISNUMBER(BM417),RANK(BM417,$BM$8:$BM$507,1),"")</f>
        <v/>
      </c>
      <c r="BO417" s="67" t="str">
        <f aca="false">IF(ISBLANK($C417),"",$B417)</f>
        <v/>
      </c>
      <c r="BP417" s="67" t="str">
        <f aca="false">IF(ISBLANK($C417),"",$C417)</f>
        <v/>
      </c>
      <c r="BQ417" s="67" t="str">
        <f aca="false">IF(ISBLANK($C417),"",$D417)</f>
        <v/>
      </c>
      <c r="BR417" s="68" t="str">
        <f aca="false">BF417</f>
        <v/>
      </c>
      <c r="BS417" s="69" t="str">
        <f aca="false">BE417</f>
        <v/>
      </c>
      <c r="BT417" s="67" t="str">
        <f aca="false">IF(ISBLANK($C417),"",BH417)</f>
        <v/>
      </c>
      <c r="BU417" s="70" t="str">
        <f aca="false">IF($BL417&gt;$BK$7,"",VLOOKUP($BL417,$BN$8:$BT$507,7,FALSE()))</f>
        <v/>
      </c>
      <c r="BV417" s="71" t="str">
        <f aca="false">IF($BL417&gt;$BK$7,"",VLOOKUP($BL417,$BN$8:$BT$507,2,FALSE()))</f>
        <v/>
      </c>
      <c r="BW417" s="71" t="str">
        <f aca="false">IF($BL417&gt;$BK$7,"",VLOOKUP($BL417,$BN$8:$BT$507,3,FALSE()))</f>
        <v/>
      </c>
      <c r="BX417" s="71" t="str">
        <f aca="false">IF($BL417&gt;$BK$7,"",VLOOKUP($BL417,$BN$8:$BT$507,4,FALSE()))</f>
        <v/>
      </c>
      <c r="BY417" s="71" t="str">
        <f aca="false">IF($BL417&gt;$BK$7,"",VLOOKUP($BL417,$BN$8:$BT$507,5,FALSE()))</f>
        <v/>
      </c>
      <c r="BZ417" s="72" t="str">
        <f aca="false">IF($BL417&gt;$BK$7,"",VLOOKUP($BL417,$BN$8:$BT$507,6,FALSE()))</f>
        <v/>
      </c>
      <c r="CA417" s="48"/>
    </row>
    <row r="418" customFormat="false" ht="15.75" hidden="false" customHeight="false" outlineLevel="0" collapsed="false">
      <c r="A418" s="5"/>
      <c r="B418" s="121"/>
      <c r="C418" s="50"/>
      <c r="D418" s="51"/>
      <c r="E418" s="74"/>
      <c r="F418" s="122"/>
      <c r="G418" s="54"/>
      <c r="H418" s="123"/>
      <c r="I418" s="124"/>
      <c r="J418" s="54"/>
      <c r="K418" s="123"/>
      <c r="L418" s="54"/>
      <c r="M418" s="123"/>
      <c r="N418" s="54"/>
      <c r="O418" s="123"/>
      <c r="P418" s="54"/>
      <c r="Q418" s="123"/>
      <c r="R418" s="54"/>
      <c r="S418" s="74"/>
      <c r="T418" s="58"/>
      <c r="U418" s="59" t="str">
        <f aca="false">IF(ISBLANK($C418),"",IF(E418=Constants!$B$2, TRUE(), IF(E418=Constants!$B$3, FALSE(), TRUE())))</f>
        <v/>
      </c>
      <c r="V418" s="59" t="str">
        <f aca="false">IF(ISBLANK($C418),"",IF(F418=Constants!$B$2, TRUE(), IF(F418=Constants!$B$3, FALSE(), TRUE())))</f>
        <v/>
      </c>
      <c r="W418" s="59" t="str">
        <f aca="false">IF(ISBLANK($C418),"",IF(G418=Constants!$B$15,Constants!$B$8,IF(G418=Constants!$B$16,Constants!$B$9,Constants!$B$10)))</f>
        <v/>
      </c>
      <c r="X418" s="59" t="str">
        <f aca="false">IF(ISBLANK($C418),"",IF(H418=Constants!$B$2, TRUE(), IF(H418=Constants!$B$3, FALSE(), TRUE())))</f>
        <v/>
      </c>
      <c r="Y418" s="59" t="str">
        <f aca="false">IF(ISBLANK($C418),"",IF(I418=Constants!$B$19,Constants!$B$19,Constants!$B$18))</f>
        <v/>
      </c>
      <c r="Z418" s="59" t="str">
        <f aca="false">IF(ISBLANK($C418),"",IF(ISNUMBER(J418),IF(J418&gt;=0,J418,""),""))</f>
        <v/>
      </c>
      <c r="AA418" s="59" t="str">
        <f aca="false">IF(ISBLANK($C418),"",IF(K418=Constants!$B$19,Constants!$B$19,Constants!$B$18))</f>
        <v/>
      </c>
      <c r="AB418" s="59" t="str">
        <f aca="false">IF(ISBLANK($C418),"",IF(ISNUMBER(L418),IF(L418&gt;=0,L418,""),""))</f>
        <v/>
      </c>
      <c r="AC418" s="59" t="str">
        <f aca="false">IF(ISBLANK($C418),"",IF(M418=Constants!$B$19,Constants!$B$19,Constants!$B$18))</f>
        <v/>
      </c>
      <c r="AD418" s="59" t="str">
        <f aca="false">IF(ISBLANK($C418),"",IF(ISNUMBER(N418),IF(N418&gt;=0,N418,""),""))</f>
        <v/>
      </c>
      <c r="AE418" s="59" t="str">
        <f aca="false">IF(ISBLANK($C418),"",IF(O418=Constants!$B$19,Constants!$B$19,Constants!$B$18))</f>
        <v/>
      </c>
      <c r="AF418" s="59" t="str">
        <f aca="false">IF(ISBLANK($C418),"",IF(ISNUMBER(P418),IF(P418&gt;=0,P418,""),""))</f>
        <v/>
      </c>
      <c r="AG418" s="59" t="str">
        <f aca="false">IF(ISBLANK($C418),"",IF(Q418=Constants!$B$19,Constants!$B$19,Constants!$B$18))</f>
        <v/>
      </c>
      <c r="AH418" s="59" t="str">
        <f aca="false">IF(ISBLANK($C418),"",IF(ISNUMBER(R418),IF(R418&gt;=0,R418,""),""))</f>
        <v/>
      </c>
      <c r="AI418" s="59" t="str">
        <f aca="false">IF(ISBLANK($C418),"",IF(S418=Constants!$B$2, TRUE(), IF(S418=Constants!$B$3, FALSE(), FALSE())))</f>
        <v/>
      </c>
      <c r="AJ418" s="59" t="str">
        <f aca="false">IF(ISBLANK($C418),"",IF(AI418,Constants!$B$4,IF(COUNTA(E418:R418)=0,Constants!$B$5,IF(COUNTA(J418,L418,N418,P418,R418)=0,Constants!$B$6,Constants!$B$7))))</f>
        <v/>
      </c>
      <c r="AK418" s="59" t="str">
        <f aca="false">IF(ISBLANK($C418),"",IF($AJ418&lt;&gt;Constants!$B$7,$AJ418,IF(OR(NOT(X418),AND(NOT(U418),COUNTIFS(Y418:AG418,Constants!$B$18,Z418:AH418,"&gt;=0")&gt;0),AND(NOT(V418),COUNTIFS(Y418:AG418,Constants!$B$19,Z418:AH418,"&gt;=0")&gt;0)),Constants!$B$12,Constants!$B$11)))</f>
        <v/>
      </c>
      <c r="AL418" s="59" t="str">
        <f aca="false">IF($AJ418=Constants!$B$7,IF(Z418="",Constants!$B$13,Z418),"")</f>
        <v/>
      </c>
      <c r="AM418" s="59" t="str">
        <f aca="false">IF($AJ418=Constants!$B$7,IF(AB418="",Constants!$B$13,AB418),"")</f>
        <v/>
      </c>
      <c r="AN418" s="59" t="str">
        <f aca="false">IF($AJ418=Constants!$B$7,IF(AD418="",Constants!$B$13,AD418),"")</f>
        <v/>
      </c>
      <c r="AO418" s="59" t="str">
        <f aca="false">IF($AJ418=Constants!$B$7,IF(AF418="",Constants!$B$13,AF418),"")</f>
        <v/>
      </c>
      <c r="AP418" s="59" t="str">
        <f aca="false">IF($AJ418=Constants!$B$7,IF(AH418="",Constants!$B$13,AH418),"")</f>
        <v/>
      </c>
      <c r="AQ418" s="59" t="str">
        <f aca="false">IF($AJ418=Constants!$B$7,IF(SUMPRODUCT(--($AL418:$AP418&gt;AL418))+SUMPRODUCT(--($AL418:AL418=AL418))=1,1,IF(SUMPRODUCT(--($AL418:$AP418&gt;AM418))+SUMPRODUCT(--($AL418:AM418=AM418))=1,2,IF(SUMPRODUCT(--($AL418:$AP418&gt;AN418))+SUMPRODUCT(--($AL418:AN418=AN418))=1,3,IF(SUMPRODUCT(--($AL418:$AP418&gt;AO418))+SUMPRODUCT(--($AL418:AO418=AO418))=1,4,5)))),"")</f>
        <v/>
      </c>
      <c r="AR418" s="59" t="str">
        <f aca="false">IF($AJ418=Constants!$B$7,IF(SUMPRODUCT(--($AL418:$AP418&gt;AL418))+SUMPRODUCT(--($AL418:AL418=AL418))=2,1,IF(SUMPRODUCT(--($AL418:$AP418&gt;AM418))+SUMPRODUCT(--($AL418:AM418=AM418))=2,2,IF(SUMPRODUCT(--($AL418:$AP418&gt;AN418))+SUMPRODUCT(--($AL418:AN418=AN418))=2,3,IF(SUMPRODUCT(--($AL418:$AP418&gt;AO418))+SUMPRODUCT(--($AL418:AO418=AO418))=2,4,5)))),"")</f>
        <v/>
      </c>
      <c r="AS418" s="59" t="str">
        <f aca="false">IF($AJ418=Constants!$B$7,IF(SUMPRODUCT(--($AL418:$AP418&gt;AL418))+SUMPRODUCT(--($AL418:AL418=AL418))=3,1,IF(SUMPRODUCT(--($AL418:$AP418&gt;AM418))+SUMPRODUCT(--($AL418:AM418=AM418))=3,2,IF(SUMPRODUCT(--($AL418:$AP418&gt;AN418))+SUMPRODUCT(--($AL418:AN418=AN418))=3,3,IF(SUMPRODUCT(--($AL418:$AP418&gt;AO418))+SUMPRODUCT(--($AL418:AO418=AO418))=3,4,5)))),"")</f>
        <v/>
      </c>
      <c r="AT418" s="59" t="str">
        <f aca="false">IF($AJ418=Constants!$B$7,LARGE(AL418:AP418,1)+LARGE(AL418:AP418,2)+LARGE(AL418:AP418,3),"")</f>
        <v/>
      </c>
      <c r="AU418" s="59" t="str">
        <f aca="false">IF(ISBLANK($C418),"",IF($AJ418&lt;&gt;Constants!$B$7,$AJ418,AT418*W418))</f>
        <v/>
      </c>
      <c r="AV418" s="59" t="str">
        <f aca="false">IF(ISBLANK($C418),"",IF($AJ418=Constants!$B$7,IF(ISNUMBER(AU418),RANK(AU418,$AU$8:$AU$507),Constants!$B$14),$AJ418))</f>
        <v/>
      </c>
      <c r="AW418" s="59" t="str">
        <f aca="false">IF(ISBLANK($C418),"",IF($AJ418=Constants!$B$7,IF(ISNUMBER(AV418),COUNTIFS($AK$8:$AK$507,"&lt;"&amp;$AK418)+COUNTIFS($AK$8:$AK$507,$AK418,$AV$8:$AV$507,"&lt;"&amp;$AV418)+1,Constants!$B$14),$AJ418))</f>
        <v/>
      </c>
      <c r="AX418" s="59" t="str">
        <f aca="false">IF(ISBLANK($C418),"",IF($AJ418=Constants!$B$7,LARGE(AL418:AP418,4)*W418,""))</f>
        <v/>
      </c>
      <c r="AY418" s="59" t="str">
        <f aca="false">IF(ISBLANK($C418),"",IF($AJ418=Constants!$B$7,RANK(AX418,$AX$8:$AX$507),$AJ418))</f>
        <v/>
      </c>
      <c r="AZ418" s="59" t="str">
        <f aca="false">IF(ISBLANK($C418),"",IF($AJ418=Constants!$B$7,IF(ISNUMBER(AV418),COUNTIFS($AK$8:$AK$507,"&lt;"&amp;$AK418)+COUNTIFS($AK$8:$AK$507,$AK418,$AV$8:$AV$507,"&lt;"&amp;$AV418)+COUNTIFS($AK$8:$AK$507,$AK418,$AV$8:$AV$507,$AV418,$AY$8:$AY$507,"&lt;"&amp;$AY418)+1,Constants!$B$14),$AJ418))</f>
        <v/>
      </c>
      <c r="BA418" s="59" t="str">
        <f aca="false">IF(ISBLANK($C418),"",IF($AJ418=Constants!$B$7,IF(ISNUMBER(AW418),AW418-AZ418,Constants!$B$14),$AJ418))</f>
        <v/>
      </c>
      <c r="BB418" s="61"/>
      <c r="BC418" s="62" t="str">
        <f aca="false">IF(ISBLANK($C418),"",IF($AJ418&lt;&gt;Constants!$B$7,$AJ418,SMALL(AQ418:AS418,1)&amp;", "&amp;SMALL(AQ418:AS418,2)&amp;", "&amp;SMALL(AQ418:AS418,3)))</f>
        <v/>
      </c>
      <c r="BD418" s="63" t="str">
        <f aca="false">IF(ISBLANK($C418),"",IF($AJ418&lt;&gt;Constants!$B$7,$AJ418,W418))</f>
        <v/>
      </c>
      <c r="BE418" s="64" t="str">
        <f aca="false">IF(ISBLANK($C418),"",IF($AJ418&lt;&gt;Constants!$B$7,$AJ418,AU418))</f>
        <v/>
      </c>
      <c r="BF418" s="65" t="str">
        <f aca="false">IF(ISBLANK($C418),"",IF($AJ418&lt;&gt;Constants!$B$7,$AJ418,AK418))</f>
        <v/>
      </c>
      <c r="BG418" s="63" t="str">
        <f aca="false">IF(ISBLANK($C418),"",BA418)</f>
        <v/>
      </c>
      <c r="BH418" s="63" t="str">
        <f aca="false">IF(ISBLANK($C418),"",AZ418)</f>
        <v/>
      </c>
      <c r="BI418" s="66" t="str">
        <f aca="false">IF(ISBLANK($C418),"",IF(BH418=Constants!$B$4,COUNTA($C$8:$C$507)+2,IF(BH418=Constants!$B$5,COUNTA($C$8:$C$507)+1,IF(BH418=Constants!$B$6,COUNTA($C$8:$C$507),BH418))))</f>
        <v/>
      </c>
      <c r="BJ418" s="5"/>
      <c r="BK418" s="67" t="n">
        <f aca="false">IF(OR(ISNUMBER(BH418),BH418=Constants!$B$4,BH418=Constants!$B$6,BH418=Constants!$B$5),1,0)</f>
        <v>0</v>
      </c>
      <c r="BL418" s="67" t="n">
        <v>411</v>
      </c>
      <c r="BM418" s="67" t="str">
        <f aca="false">IF(ISBLANK($C418),"",IF(ISNUMBER(BI418),BI418+ROW($B418)/1000,""))</f>
        <v/>
      </c>
      <c r="BN418" s="67" t="str">
        <f aca="false">IF(ISNUMBER(BM418),RANK(BM418,$BM$8:$BM$507,1),"")</f>
        <v/>
      </c>
      <c r="BO418" s="67" t="str">
        <f aca="false">IF(ISBLANK($C418),"",$B418)</f>
        <v/>
      </c>
      <c r="BP418" s="67" t="str">
        <f aca="false">IF(ISBLANK($C418),"",$C418)</f>
        <v/>
      </c>
      <c r="BQ418" s="67" t="str">
        <f aca="false">IF(ISBLANK($C418),"",$D418)</f>
        <v/>
      </c>
      <c r="BR418" s="68" t="str">
        <f aca="false">BF418</f>
        <v/>
      </c>
      <c r="BS418" s="69" t="str">
        <f aca="false">BE418</f>
        <v/>
      </c>
      <c r="BT418" s="67" t="str">
        <f aca="false">IF(ISBLANK($C418),"",BH418)</f>
        <v/>
      </c>
      <c r="BU418" s="70" t="str">
        <f aca="false">IF($BL418&gt;$BK$7,"",VLOOKUP($BL418,$BN$8:$BT$507,7,FALSE()))</f>
        <v/>
      </c>
      <c r="BV418" s="71" t="str">
        <f aca="false">IF($BL418&gt;$BK$7,"",VLOOKUP($BL418,$BN$8:$BT$507,2,FALSE()))</f>
        <v/>
      </c>
      <c r="BW418" s="71" t="str">
        <f aca="false">IF($BL418&gt;$BK$7,"",VLOOKUP($BL418,$BN$8:$BT$507,3,FALSE()))</f>
        <v/>
      </c>
      <c r="BX418" s="71" t="str">
        <f aca="false">IF($BL418&gt;$BK$7,"",VLOOKUP($BL418,$BN$8:$BT$507,4,FALSE()))</f>
        <v/>
      </c>
      <c r="BY418" s="71" t="str">
        <f aca="false">IF($BL418&gt;$BK$7,"",VLOOKUP($BL418,$BN$8:$BT$507,5,FALSE()))</f>
        <v/>
      </c>
      <c r="BZ418" s="72" t="str">
        <f aca="false">IF($BL418&gt;$BK$7,"",VLOOKUP($BL418,$BN$8:$BT$507,6,FALSE()))</f>
        <v/>
      </c>
      <c r="CA418" s="48"/>
    </row>
    <row r="419" customFormat="false" ht="15.75" hidden="false" customHeight="false" outlineLevel="0" collapsed="false">
      <c r="A419" s="5"/>
      <c r="B419" s="114"/>
      <c r="C419" s="115"/>
      <c r="D419" s="100"/>
      <c r="E419" s="120"/>
      <c r="F419" s="125"/>
      <c r="G419" s="82"/>
      <c r="H419" s="126"/>
      <c r="I419" s="127"/>
      <c r="J419" s="82"/>
      <c r="K419" s="126"/>
      <c r="L419" s="82"/>
      <c r="M419" s="126"/>
      <c r="N419" s="82"/>
      <c r="O419" s="126"/>
      <c r="P419" s="82"/>
      <c r="Q419" s="126"/>
      <c r="R419" s="82"/>
      <c r="S419" s="120"/>
      <c r="T419" s="86"/>
      <c r="U419" s="87" t="str">
        <f aca="false">IF(ISBLANK($C419),"",IF(E419=Constants!$B$2, TRUE(), IF(E419=Constants!$B$3, FALSE(), TRUE())))</f>
        <v/>
      </c>
      <c r="V419" s="87" t="str">
        <f aca="false">IF(ISBLANK($C419),"",IF(F419=Constants!$B$2, TRUE(), IF(F419=Constants!$B$3, FALSE(), TRUE())))</f>
        <v/>
      </c>
      <c r="W419" s="87" t="str">
        <f aca="false">IF(ISBLANK($C419),"",IF(G419=Constants!$B$15,Constants!$B$8,IF(G419=Constants!$B$16,Constants!$B$9,Constants!$B$10)))</f>
        <v/>
      </c>
      <c r="X419" s="87" t="str">
        <f aca="false">IF(ISBLANK($C419),"",IF(H419=Constants!$B$2, TRUE(), IF(H419=Constants!$B$3, FALSE(), TRUE())))</f>
        <v/>
      </c>
      <c r="Y419" s="87" t="str">
        <f aca="false">IF(ISBLANK($C419),"",IF(I419=Constants!$B$19,Constants!$B$19,Constants!$B$18))</f>
        <v/>
      </c>
      <c r="Z419" s="87" t="str">
        <f aca="false">IF(ISBLANK($C419),"",IF(ISNUMBER(J419),IF(J419&gt;=0,J419,""),""))</f>
        <v/>
      </c>
      <c r="AA419" s="87" t="str">
        <f aca="false">IF(ISBLANK($C419),"",IF(K419=Constants!$B$19,Constants!$B$19,Constants!$B$18))</f>
        <v/>
      </c>
      <c r="AB419" s="87" t="str">
        <f aca="false">IF(ISBLANK($C419),"",IF(ISNUMBER(L419),IF(L419&gt;=0,L419,""),""))</f>
        <v/>
      </c>
      <c r="AC419" s="87" t="str">
        <f aca="false">IF(ISBLANK($C419),"",IF(M419=Constants!$B$19,Constants!$B$19,Constants!$B$18))</f>
        <v/>
      </c>
      <c r="AD419" s="87" t="str">
        <f aca="false">IF(ISBLANK($C419),"",IF(ISNUMBER(N419),IF(N419&gt;=0,N419,""),""))</f>
        <v/>
      </c>
      <c r="AE419" s="87" t="str">
        <f aca="false">IF(ISBLANK($C419),"",IF(O419=Constants!$B$19,Constants!$B$19,Constants!$B$18))</f>
        <v/>
      </c>
      <c r="AF419" s="87" t="str">
        <f aca="false">IF(ISBLANK($C419),"",IF(ISNUMBER(P419),IF(P419&gt;=0,P419,""),""))</f>
        <v/>
      </c>
      <c r="AG419" s="87" t="str">
        <f aca="false">IF(ISBLANK($C419),"",IF(Q419=Constants!$B$19,Constants!$B$19,Constants!$B$18))</f>
        <v/>
      </c>
      <c r="AH419" s="87" t="str">
        <f aca="false">IF(ISBLANK($C419),"",IF(ISNUMBER(R419),IF(R419&gt;=0,R419,""),""))</f>
        <v/>
      </c>
      <c r="AI419" s="87" t="str">
        <f aca="false">IF(ISBLANK($C419),"",IF(S419=Constants!$B$2, TRUE(), IF(S419=Constants!$B$3, FALSE(), FALSE())))</f>
        <v/>
      </c>
      <c r="AJ419" s="87" t="str">
        <f aca="false">IF(ISBLANK($C419),"",IF(AI419,Constants!$B$4,IF(COUNTA(E419:R419)=0,Constants!$B$5,IF(COUNTA(J419,L419,N419,P419,R419)=0,Constants!$B$6,Constants!$B$7))))</f>
        <v/>
      </c>
      <c r="AK419" s="87" t="str">
        <f aca="false">IF(ISBLANK($C419),"",IF($AJ419&lt;&gt;Constants!$B$7,$AJ419,IF(OR(NOT(X419),AND(NOT(U419),COUNTIFS(Y419:AG419,Constants!$B$18,Z419:AH419,"&gt;=0")&gt;0),AND(NOT(V419),COUNTIFS(Y419:AG419,Constants!$B$19,Z419:AH419,"&gt;=0")&gt;0)),Constants!$B$12,Constants!$B$11)))</f>
        <v/>
      </c>
      <c r="AL419" s="87" t="str">
        <f aca="false">IF($AJ419=Constants!$B$7,IF(Z419="",Constants!$B$13,Z419),"")</f>
        <v/>
      </c>
      <c r="AM419" s="87" t="str">
        <f aca="false">IF($AJ419=Constants!$B$7,IF(AB419="",Constants!$B$13,AB419),"")</f>
        <v/>
      </c>
      <c r="AN419" s="87" t="str">
        <f aca="false">IF($AJ419=Constants!$B$7,IF(AD419="",Constants!$B$13,AD419),"")</f>
        <v/>
      </c>
      <c r="AO419" s="87" t="str">
        <f aca="false">IF($AJ419=Constants!$B$7,IF(AF419="",Constants!$B$13,AF419),"")</f>
        <v/>
      </c>
      <c r="AP419" s="87" t="str">
        <f aca="false">IF($AJ419=Constants!$B$7,IF(AH419="",Constants!$B$13,AH419),"")</f>
        <v/>
      </c>
      <c r="AQ419" s="87" t="str">
        <f aca="false">IF($AJ419=Constants!$B$7,IF(SUMPRODUCT(--($AL419:$AP419&gt;AL419))+SUMPRODUCT(--($AL419:AL419=AL419))=1,1,IF(SUMPRODUCT(--($AL419:$AP419&gt;AM419))+SUMPRODUCT(--($AL419:AM419=AM419))=1,2,IF(SUMPRODUCT(--($AL419:$AP419&gt;AN419))+SUMPRODUCT(--($AL419:AN419=AN419))=1,3,IF(SUMPRODUCT(--($AL419:$AP419&gt;AO419))+SUMPRODUCT(--($AL419:AO419=AO419))=1,4,5)))),"")</f>
        <v/>
      </c>
      <c r="AR419" s="87" t="str">
        <f aca="false">IF($AJ419=Constants!$B$7,IF(SUMPRODUCT(--($AL419:$AP419&gt;AL419))+SUMPRODUCT(--($AL419:AL419=AL419))=2,1,IF(SUMPRODUCT(--($AL419:$AP419&gt;AM419))+SUMPRODUCT(--($AL419:AM419=AM419))=2,2,IF(SUMPRODUCT(--($AL419:$AP419&gt;AN419))+SUMPRODUCT(--($AL419:AN419=AN419))=2,3,IF(SUMPRODUCT(--($AL419:$AP419&gt;AO419))+SUMPRODUCT(--($AL419:AO419=AO419))=2,4,5)))),"")</f>
        <v/>
      </c>
      <c r="AS419" s="87" t="str">
        <f aca="false">IF($AJ419=Constants!$B$7,IF(SUMPRODUCT(--($AL419:$AP419&gt;AL419))+SUMPRODUCT(--($AL419:AL419=AL419))=3,1,IF(SUMPRODUCT(--($AL419:$AP419&gt;AM419))+SUMPRODUCT(--($AL419:AM419=AM419))=3,2,IF(SUMPRODUCT(--($AL419:$AP419&gt;AN419))+SUMPRODUCT(--($AL419:AN419=AN419))=3,3,IF(SUMPRODUCT(--($AL419:$AP419&gt;AO419))+SUMPRODUCT(--($AL419:AO419=AO419))=3,4,5)))),"")</f>
        <v/>
      </c>
      <c r="AT419" s="87" t="str">
        <f aca="false">IF($AJ419=Constants!$B$7,LARGE(AL419:AP419,1)+LARGE(AL419:AP419,2)+LARGE(AL419:AP419,3),"")</f>
        <v/>
      </c>
      <c r="AU419" s="87" t="str">
        <f aca="false">IF(ISBLANK($C419),"",IF($AJ419&lt;&gt;Constants!$B$7,$AJ419,AT419*W419))</f>
        <v/>
      </c>
      <c r="AV419" s="87" t="str">
        <f aca="false">IF(ISBLANK($C419),"",IF($AJ419=Constants!$B$7,IF(ISNUMBER(AU419),RANK(AU419,$AU$8:$AU$507),Constants!$B$14),$AJ419))</f>
        <v/>
      </c>
      <c r="AW419" s="87" t="str">
        <f aca="false">IF(ISBLANK($C419),"",IF($AJ419=Constants!$B$7,IF(ISNUMBER(AV419),COUNTIFS($AK$8:$AK$507,"&lt;"&amp;$AK419)+COUNTIFS($AK$8:$AK$507,$AK419,$AV$8:$AV$507,"&lt;"&amp;$AV419)+1,Constants!$B$14),$AJ419))</f>
        <v/>
      </c>
      <c r="AX419" s="87" t="str">
        <f aca="false">IF(ISBLANK($C419),"",IF($AJ419=Constants!$B$7,LARGE(AL419:AP419,4)*W419,""))</f>
        <v/>
      </c>
      <c r="AY419" s="87" t="str">
        <f aca="false">IF(ISBLANK($C419),"",IF($AJ419=Constants!$B$7,RANK(AX419,$AX$8:$AX$507),$AJ419))</f>
        <v/>
      </c>
      <c r="AZ419" s="87" t="str">
        <f aca="false">IF(ISBLANK($C419),"",IF($AJ419=Constants!$B$7,IF(ISNUMBER(AV419),COUNTIFS($AK$8:$AK$507,"&lt;"&amp;$AK419)+COUNTIFS($AK$8:$AK$507,$AK419,$AV$8:$AV$507,"&lt;"&amp;$AV419)+COUNTIFS($AK$8:$AK$507,$AK419,$AV$8:$AV$507,$AV419,$AY$8:$AY$507,"&lt;"&amp;$AY419)+1,Constants!$B$14),$AJ419))</f>
        <v/>
      </c>
      <c r="BA419" s="87" t="str">
        <f aca="false">IF(ISBLANK($C419),"",IF($AJ419=Constants!$B$7,IF(ISNUMBER(AW419),AW419-AZ419,Constants!$B$14),$AJ419))</f>
        <v/>
      </c>
      <c r="BB419" s="88"/>
      <c r="BC419" s="89" t="str">
        <f aca="false">IF(ISBLANK($C419),"",IF($AJ419&lt;&gt;Constants!$B$7,$AJ419,SMALL(AQ419:AS419,1)&amp;", "&amp;SMALL(AQ419:AS419,2)&amp;", "&amp;SMALL(AQ419:AS419,3)))</f>
        <v/>
      </c>
      <c r="BD419" s="90" t="str">
        <f aca="false">IF(ISBLANK($C419),"",IF($AJ419&lt;&gt;Constants!$B$7,$AJ419,W419))</f>
        <v/>
      </c>
      <c r="BE419" s="91" t="str">
        <f aca="false">IF(ISBLANK($C419),"",IF($AJ419&lt;&gt;Constants!$B$7,$AJ419,AU419))</f>
        <v/>
      </c>
      <c r="BF419" s="92" t="str">
        <f aca="false">IF(ISBLANK($C419),"",IF($AJ419&lt;&gt;Constants!$B$7,$AJ419,AK419))</f>
        <v/>
      </c>
      <c r="BG419" s="90" t="str">
        <f aca="false">IF(ISBLANK($C419),"",BA419)</f>
        <v/>
      </c>
      <c r="BH419" s="90" t="str">
        <f aca="false">IF(ISBLANK($C419),"",AZ419)</f>
        <v/>
      </c>
      <c r="BI419" s="93" t="str">
        <f aca="false">IF(ISBLANK($C419),"",IF(BH419=Constants!$B$4,COUNTA($C$8:$C$507)+2,IF(BH419=Constants!$B$5,COUNTA($C$8:$C$507)+1,IF(BH419=Constants!$B$6,COUNTA($C$8:$C$507),BH419))))</f>
        <v/>
      </c>
      <c r="BJ419" s="5"/>
      <c r="BK419" s="94" t="n">
        <f aca="false">IF(OR(ISNUMBER(BH419),BH419=Constants!$B$4,BH419=Constants!$B$6,BH419=Constants!$B$5),1,0)</f>
        <v>0</v>
      </c>
      <c r="BL419" s="94" t="n">
        <v>412</v>
      </c>
      <c r="BM419" s="94" t="str">
        <f aca="false">IF(ISBLANK($C419),"",IF(ISNUMBER(BI419),BI419+ROW($B419)/1000,""))</f>
        <v/>
      </c>
      <c r="BN419" s="94" t="str">
        <f aca="false">IF(ISNUMBER(BM419),RANK(BM419,$BM$8:$BM$507,1),"")</f>
        <v/>
      </c>
      <c r="BO419" s="94" t="str">
        <f aca="false">IF(ISBLANK($C419),"",$B419)</f>
        <v/>
      </c>
      <c r="BP419" s="94" t="str">
        <f aca="false">IF(ISBLANK($C419),"",$C419)</f>
        <v/>
      </c>
      <c r="BQ419" s="94" t="str">
        <f aca="false">IF(ISBLANK($C419),"",$D419)</f>
        <v/>
      </c>
      <c r="BR419" s="95" t="str">
        <f aca="false">BF419</f>
        <v/>
      </c>
      <c r="BS419" s="96" t="str">
        <f aca="false">BE419</f>
        <v/>
      </c>
      <c r="BT419" s="94" t="str">
        <f aca="false">IF(ISBLANK($C419),"",BH419)</f>
        <v/>
      </c>
      <c r="BU419" s="97" t="str">
        <f aca="false">IF($BL419&gt;$BK$7,"",VLOOKUP($BL419,$BN$8:$BT$507,7,FALSE()))</f>
        <v/>
      </c>
      <c r="BV419" s="98" t="str">
        <f aca="false">IF($BL419&gt;$BK$7,"",VLOOKUP($BL419,$BN$8:$BT$507,2,FALSE()))</f>
        <v/>
      </c>
      <c r="BW419" s="98" t="str">
        <f aca="false">IF($BL419&gt;$BK$7,"",VLOOKUP($BL419,$BN$8:$BT$507,3,FALSE()))</f>
        <v/>
      </c>
      <c r="BX419" s="98" t="str">
        <f aca="false">IF($BL419&gt;$BK$7,"",VLOOKUP($BL419,$BN$8:$BT$507,4,FALSE()))</f>
        <v/>
      </c>
      <c r="BY419" s="98" t="str">
        <f aca="false">IF($BL419&gt;$BK$7,"",VLOOKUP($BL419,$BN$8:$BT$507,5,FALSE()))</f>
        <v/>
      </c>
      <c r="BZ419" s="99" t="str">
        <f aca="false">IF($BL419&gt;$BK$7,"",VLOOKUP($BL419,$BN$8:$BT$507,6,FALSE()))</f>
        <v/>
      </c>
      <c r="CA419" s="48"/>
    </row>
    <row r="420" customFormat="false" ht="15.75" hidden="false" customHeight="false" outlineLevel="0" collapsed="false">
      <c r="A420" s="5"/>
      <c r="B420" s="114"/>
      <c r="C420" s="115"/>
      <c r="D420" s="100"/>
      <c r="E420" s="120"/>
      <c r="F420" s="125"/>
      <c r="G420" s="82"/>
      <c r="H420" s="126"/>
      <c r="I420" s="127"/>
      <c r="J420" s="82"/>
      <c r="K420" s="126"/>
      <c r="L420" s="82"/>
      <c r="M420" s="126"/>
      <c r="N420" s="82"/>
      <c r="O420" s="126"/>
      <c r="P420" s="82"/>
      <c r="Q420" s="126"/>
      <c r="R420" s="82"/>
      <c r="S420" s="120"/>
      <c r="T420" s="86"/>
      <c r="U420" s="87" t="str">
        <f aca="false">IF(ISBLANK($C420),"",IF(E420=Constants!$B$2, TRUE(), IF(E420=Constants!$B$3, FALSE(), TRUE())))</f>
        <v/>
      </c>
      <c r="V420" s="87" t="str">
        <f aca="false">IF(ISBLANK($C420),"",IF(F420=Constants!$B$2, TRUE(), IF(F420=Constants!$B$3, FALSE(), TRUE())))</f>
        <v/>
      </c>
      <c r="W420" s="87" t="str">
        <f aca="false">IF(ISBLANK($C420),"",IF(G420=Constants!$B$15,Constants!$B$8,IF(G420=Constants!$B$16,Constants!$B$9,Constants!$B$10)))</f>
        <v/>
      </c>
      <c r="X420" s="87" t="str">
        <f aca="false">IF(ISBLANK($C420),"",IF(H420=Constants!$B$2, TRUE(), IF(H420=Constants!$B$3, FALSE(), TRUE())))</f>
        <v/>
      </c>
      <c r="Y420" s="87" t="str">
        <f aca="false">IF(ISBLANK($C420),"",IF(I420=Constants!$B$19,Constants!$B$19,Constants!$B$18))</f>
        <v/>
      </c>
      <c r="Z420" s="87" t="str">
        <f aca="false">IF(ISBLANK($C420),"",IF(ISNUMBER(J420),IF(J420&gt;=0,J420,""),""))</f>
        <v/>
      </c>
      <c r="AA420" s="87" t="str">
        <f aca="false">IF(ISBLANK($C420),"",IF(K420=Constants!$B$19,Constants!$B$19,Constants!$B$18))</f>
        <v/>
      </c>
      <c r="AB420" s="87" t="str">
        <f aca="false">IF(ISBLANK($C420),"",IF(ISNUMBER(L420),IF(L420&gt;=0,L420,""),""))</f>
        <v/>
      </c>
      <c r="AC420" s="87" t="str">
        <f aca="false">IF(ISBLANK($C420),"",IF(M420=Constants!$B$19,Constants!$B$19,Constants!$B$18))</f>
        <v/>
      </c>
      <c r="AD420" s="87" t="str">
        <f aca="false">IF(ISBLANK($C420),"",IF(ISNUMBER(N420),IF(N420&gt;=0,N420,""),""))</f>
        <v/>
      </c>
      <c r="AE420" s="87" t="str">
        <f aca="false">IF(ISBLANK($C420),"",IF(O420=Constants!$B$19,Constants!$B$19,Constants!$B$18))</f>
        <v/>
      </c>
      <c r="AF420" s="87" t="str">
        <f aca="false">IF(ISBLANK($C420),"",IF(ISNUMBER(P420),IF(P420&gt;=0,P420,""),""))</f>
        <v/>
      </c>
      <c r="AG420" s="87" t="str">
        <f aca="false">IF(ISBLANK($C420),"",IF(Q420=Constants!$B$19,Constants!$B$19,Constants!$B$18))</f>
        <v/>
      </c>
      <c r="AH420" s="87" t="str">
        <f aca="false">IF(ISBLANK($C420),"",IF(ISNUMBER(R420),IF(R420&gt;=0,R420,""),""))</f>
        <v/>
      </c>
      <c r="AI420" s="87" t="str">
        <f aca="false">IF(ISBLANK($C420),"",IF(S420=Constants!$B$2, TRUE(), IF(S420=Constants!$B$3, FALSE(), FALSE())))</f>
        <v/>
      </c>
      <c r="AJ420" s="87" t="str">
        <f aca="false">IF(ISBLANK($C420),"",IF(AI420,Constants!$B$4,IF(COUNTA(E420:R420)=0,Constants!$B$5,IF(COUNTA(J420,L420,N420,P420,R420)=0,Constants!$B$6,Constants!$B$7))))</f>
        <v/>
      </c>
      <c r="AK420" s="87" t="str">
        <f aca="false">IF(ISBLANK($C420),"",IF($AJ420&lt;&gt;Constants!$B$7,$AJ420,IF(OR(NOT(X420),AND(NOT(U420),COUNTIFS(Y420:AG420,Constants!$B$18,Z420:AH420,"&gt;=0")&gt;0),AND(NOT(V420),COUNTIFS(Y420:AG420,Constants!$B$19,Z420:AH420,"&gt;=0")&gt;0)),Constants!$B$12,Constants!$B$11)))</f>
        <v/>
      </c>
      <c r="AL420" s="87" t="str">
        <f aca="false">IF($AJ420=Constants!$B$7,IF(Z420="",Constants!$B$13,Z420),"")</f>
        <v/>
      </c>
      <c r="AM420" s="87" t="str">
        <f aca="false">IF($AJ420=Constants!$B$7,IF(AB420="",Constants!$B$13,AB420),"")</f>
        <v/>
      </c>
      <c r="AN420" s="87" t="str">
        <f aca="false">IF($AJ420=Constants!$B$7,IF(AD420="",Constants!$B$13,AD420),"")</f>
        <v/>
      </c>
      <c r="AO420" s="87" t="str">
        <f aca="false">IF($AJ420=Constants!$B$7,IF(AF420="",Constants!$B$13,AF420),"")</f>
        <v/>
      </c>
      <c r="AP420" s="87" t="str">
        <f aca="false">IF($AJ420=Constants!$B$7,IF(AH420="",Constants!$B$13,AH420),"")</f>
        <v/>
      </c>
      <c r="AQ420" s="87" t="str">
        <f aca="false">IF($AJ420=Constants!$B$7,IF(SUMPRODUCT(--($AL420:$AP420&gt;AL420))+SUMPRODUCT(--($AL420:AL420=AL420))=1,1,IF(SUMPRODUCT(--($AL420:$AP420&gt;AM420))+SUMPRODUCT(--($AL420:AM420=AM420))=1,2,IF(SUMPRODUCT(--($AL420:$AP420&gt;AN420))+SUMPRODUCT(--($AL420:AN420=AN420))=1,3,IF(SUMPRODUCT(--($AL420:$AP420&gt;AO420))+SUMPRODUCT(--($AL420:AO420=AO420))=1,4,5)))),"")</f>
        <v/>
      </c>
      <c r="AR420" s="87" t="str">
        <f aca="false">IF($AJ420=Constants!$B$7,IF(SUMPRODUCT(--($AL420:$AP420&gt;AL420))+SUMPRODUCT(--($AL420:AL420=AL420))=2,1,IF(SUMPRODUCT(--($AL420:$AP420&gt;AM420))+SUMPRODUCT(--($AL420:AM420=AM420))=2,2,IF(SUMPRODUCT(--($AL420:$AP420&gt;AN420))+SUMPRODUCT(--($AL420:AN420=AN420))=2,3,IF(SUMPRODUCT(--($AL420:$AP420&gt;AO420))+SUMPRODUCT(--($AL420:AO420=AO420))=2,4,5)))),"")</f>
        <v/>
      </c>
      <c r="AS420" s="87" t="str">
        <f aca="false">IF($AJ420=Constants!$B$7,IF(SUMPRODUCT(--($AL420:$AP420&gt;AL420))+SUMPRODUCT(--($AL420:AL420=AL420))=3,1,IF(SUMPRODUCT(--($AL420:$AP420&gt;AM420))+SUMPRODUCT(--($AL420:AM420=AM420))=3,2,IF(SUMPRODUCT(--($AL420:$AP420&gt;AN420))+SUMPRODUCT(--($AL420:AN420=AN420))=3,3,IF(SUMPRODUCT(--($AL420:$AP420&gt;AO420))+SUMPRODUCT(--($AL420:AO420=AO420))=3,4,5)))),"")</f>
        <v/>
      </c>
      <c r="AT420" s="87" t="str">
        <f aca="false">IF($AJ420=Constants!$B$7,LARGE(AL420:AP420,1)+LARGE(AL420:AP420,2)+LARGE(AL420:AP420,3),"")</f>
        <v/>
      </c>
      <c r="AU420" s="87" t="str">
        <f aca="false">IF(ISBLANK($C420),"",IF($AJ420&lt;&gt;Constants!$B$7,$AJ420,AT420*W420))</f>
        <v/>
      </c>
      <c r="AV420" s="87" t="str">
        <f aca="false">IF(ISBLANK($C420),"",IF($AJ420=Constants!$B$7,IF(ISNUMBER(AU420),RANK(AU420,$AU$8:$AU$507),Constants!$B$14),$AJ420))</f>
        <v/>
      </c>
      <c r="AW420" s="87" t="str">
        <f aca="false">IF(ISBLANK($C420),"",IF($AJ420=Constants!$B$7,IF(ISNUMBER(AV420),COUNTIFS($AK$8:$AK$507,"&lt;"&amp;$AK420)+COUNTIFS($AK$8:$AK$507,$AK420,$AV$8:$AV$507,"&lt;"&amp;$AV420)+1,Constants!$B$14),$AJ420))</f>
        <v/>
      </c>
      <c r="AX420" s="87" t="str">
        <f aca="false">IF(ISBLANK($C420),"",IF($AJ420=Constants!$B$7,LARGE(AL420:AP420,4)*W420,""))</f>
        <v/>
      </c>
      <c r="AY420" s="87" t="str">
        <f aca="false">IF(ISBLANK($C420),"",IF($AJ420=Constants!$B$7,RANK(AX420,$AX$8:$AX$507),$AJ420))</f>
        <v/>
      </c>
      <c r="AZ420" s="87" t="str">
        <f aca="false">IF(ISBLANK($C420),"",IF($AJ420=Constants!$B$7,IF(ISNUMBER(AV420),COUNTIFS($AK$8:$AK$507,"&lt;"&amp;$AK420)+COUNTIFS($AK$8:$AK$507,$AK420,$AV$8:$AV$507,"&lt;"&amp;$AV420)+COUNTIFS($AK$8:$AK$507,$AK420,$AV$8:$AV$507,$AV420,$AY$8:$AY$507,"&lt;"&amp;$AY420)+1,Constants!$B$14),$AJ420))</f>
        <v/>
      </c>
      <c r="BA420" s="87" t="str">
        <f aca="false">IF(ISBLANK($C420),"",IF($AJ420=Constants!$B$7,IF(ISNUMBER(AW420),AW420-AZ420,Constants!$B$14),$AJ420))</f>
        <v/>
      </c>
      <c r="BB420" s="88"/>
      <c r="BC420" s="89" t="str">
        <f aca="false">IF(ISBLANK($C420),"",IF($AJ420&lt;&gt;Constants!$B$7,$AJ420,SMALL(AQ420:AS420,1)&amp;", "&amp;SMALL(AQ420:AS420,2)&amp;", "&amp;SMALL(AQ420:AS420,3)))</f>
        <v/>
      </c>
      <c r="BD420" s="90" t="str">
        <f aca="false">IF(ISBLANK($C420),"",IF($AJ420&lt;&gt;Constants!$B$7,$AJ420,W420))</f>
        <v/>
      </c>
      <c r="BE420" s="91" t="str">
        <f aca="false">IF(ISBLANK($C420),"",IF($AJ420&lt;&gt;Constants!$B$7,$AJ420,AU420))</f>
        <v/>
      </c>
      <c r="BF420" s="92" t="str">
        <f aca="false">IF(ISBLANK($C420),"",IF($AJ420&lt;&gt;Constants!$B$7,$AJ420,AK420))</f>
        <v/>
      </c>
      <c r="BG420" s="90" t="str">
        <f aca="false">IF(ISBLANK($C420),"",BA420)</f>
        <v/>
      </c>
      <c r="BH420" s="90" t="str">
        <f aca="false">IF(ISBLANK($C420),"",AZ420)</f>
        <v/>
      </c>
      <c r="BI420" s="93" t="str">
        <f aca="false">IF(ISBLANK($C420),"",IF(BH420=Constants!$B$4,COUNTA($C$8:$C$507)+2,IF(BH420=Constants!$B$5,COUNTA($C$8:$C$507)+1,IF(BH420=Constants!$B$6,COUNTA($C$8:$C$507),BH420))))</f>
        <v/>
      </c>
      <c r="BJ420" s="5"/>
      <c r="BK420" s="94" t="n">
        <f aca="false">IF(OR(ISNUMBER(BH420),BH420=Constants!$B$4,BH420=Constants!$B$6,BH420=Constants!$B$5),1,0)</f>
        <v>0</v>
      </c>
      <c r="BL420" s="94" t="n">
        <v>413</v>
      </c>
      <c r="BM420" s="94" t="str">
        <f aca="false">IF(ISBLANK($C420),"",IF(ISNUMBER(BI420),BI420+ROW($B420)/1000,""))</f>
        <v/>
      </c>
      <c r="BN420" s="94" t="str">
        <f aca="false">IF(ISNUMBER(BM420),RANK(BM420,$BM$8:$BM$507,1),"")</f>
        <v/>
      </c>
      <c r="BO420" s="94" t="str">
        <f aca="false">IF(ISBLANK($C420),"",$B420)</f>
        <v/>
      </c>
      <c r="BP420" s="94" t="str">
        <f aca="false">IF(ISBLANK($C420),"",$C420)</f>
        <v/>
      </c>
      <c r="BQ420" s="94" t="str">
        <f aca="false">IF(ISBLANK($C420),"",$D420)</f>
        <v/>
      </c>
      <c r="BR420" s="95" t="str">
        <f aca="false">BF420</f>
        <v/>
      </c>
      <c r="BS420" s="96" t="str">
        <f aca="false">BE420</f>
        <v/>
      </c>
      <c r="BT420" s="94" t="str">
        <f aca="false">IF(ISBLANK($C420),"",BH420)</f>
        <v/>
      </c>
      <c r="BU420" s="97" t="str">
        <f aca="false">IF($BL420&gt;$BK$7,"",VLOOKUP($BL420,$BN$8:$BT$507,7,FALSE()))</f>
        <v/>
      </c>
      <c r="BV420" s="98" t="str">
        <f aca="false">IF($BL420&gt;$BK$7,"",VLOOKUP($BL420,$BN$8:$BT$507,2,FALSE()))</f>
        <v/>
      </c>
      <c r="BW420" s="98" t="str">
        <f aca="false">IF($BL420&gt;$BK$7,"",VLOOKUP($BL420,$BN$8:$BT$507,3,FALSE()))</f>
        <v/>
      </c>
      <c r="BX420" s="98" t="str">
        <f aca="false">IF($BL420&gt;$BK$7,"",VLOOKUP($BL420,$BN$8:$BT$507,4,FALSE()))</f>
        <v/>
      </c>
      <c r="BY420" s="98" t="str">
        <f aca="false">IF($BL420&gt;$BK$7,"",VLOOKUP($BL420,$BN$8:$BT$507,5,FALSE()))</f>
        <v/>
      </c>
      <c r="BZ420" s="99" t="str">
        <f aca="false">IF($BL420&gt;$BK$7,"",VLOOKUP($BL420,$BN$8:$BT$507,6,FALSE()))</f>
        <v/>
      </c>
      <c r="CA420" s="48"/>
    </row>
    <row r="421" customFormat="false" ht="15.75" hidden="false" customHeight="false" outlineLevel="0" collapsed="false">
      <c r="A421" s="5"/>
      <c r="B421" s="114"/>
      <c r="C421" s="115"/>
      <c r="D421" s="100"/>
      <c r="E421" s="120"/>
      <c r="F421" s="125"/>
      <c r="G421" s="82"/>
      <c r="H421" s="126"/>
      <c r="I421" s="127"/>
      <c r="J421" s="82"/>
      <c r="K421" s="126"/>
      <c r="L421" s="82"/>
      <c r="M421" s="126"/>
      <c r="N421" s="82"/>
      <c r="O421" s="126"/>
      <c r="P421" s="82"/>
      <c r="Q421" s="126"/>
      <c r="R421" s="82"/>
      <c r="S421" s="120"/>
      <c r="T421" s="86"/>
      <c r="U421" s="87" t="str">
        <f aca="false">IF(ISBLANK($C421),"",IF(E421=Constants!$B$2, TRUE(), IF(E421=Constants!$B$3, FALSE(), TRUE())))</f>
        <v/>
      </c>
      <c r="V421" s="87" t="str">
        <f aca="false">IF(ISBLANK($C421),"",IF(F421=Constants!$B$2, TRUE(), IF(F421=Constants!$B$3, FALSE(), TRUE())))</f>
        <v/>
      </c>
      <c r="W421" s="87" t="str">
        <f aca="false">IF(ISBLANK($C421),"",IF(G421=Constants!$B$15,Constants!$B$8,IF(G421=Constants!$B$16,Constants!$B$9,Constants!$B$10)))</f>
        <v/>
      </c>
      <c r="X421" s="87" t="str">
        <f aca="false">IF(ISBLANK($C421),"",IF(H421=Constants!$B$2, TRUE(), IF(H421=Constants!$B$3, FALSE(), TRUE())))</f>
        <v/>
      </c>
      <c r="Y421" s="87" t="str">
        <f aca="false">IF(ISBLANK($C421),"",IF(I421=Constants!$B$19,Constants!$B$19,Constants!$B$18))</f>
        <v/>
      </c>
      <c r="Z421" s="87" t="str">
        <f aca="false">IF(ISBLANK($C421),"",IF(ISNUMBER(J421),IF(J421&gt;=0,J421,""),""))</f>
        <v/>
      </c>
      <c r="AA421" s="87" t="str">
        <f aca="false">IF(ISBLANK($C421),"",IF(K421=Constants!$B$19,Constants!$B$19,Constants!$B$18))</f>
        <v/>
      </c>
      <c r="AB421" s="87" t="str">
        <f aca="false">IF(ISBLANK($C421),"",IF(ISNUMBER(L421),IF(L421&gt;=0,L421,""),""))</f>
        <v/>
      </c>
      <c r="AC421" s="87" t="str">
        <f aca="false">IF(ISBLANK($C421),"",IF(M421=Constants!$B$19,Constants!$B$19,Constants!$B$18))</f>
        <v/>
      </c>
      <c r="AD421" s="87" t="str">
        <f aca="false">IF(ISBLANK($C421),"",IF(ISNUMBER(N421),IF(N421&gt;=0,N421,""),""))</f>
        <v/>
      </c>
      <c r="AE421" s="87" t="str">
        <f aca="false">IF(ISBLANK($C421),"",IF(O421=Constants!$B$19,Constants!$B$19,Constants!$B$18))</f>
        <v/>
      </c>
      <c r="AF421" s="87" t="str">
        <f aca="false">IF(ISBLANK($C421),"",IF(ISNUMBER(P421),IF(P421&gt;=0,P421,""),""))</f>
        <v/>
      </c>
      <c r="AG421" s="87" t="str">
        <f aca="false">IF(ISBLANK($C421),"",IF(Q421=Constants!$B$19,Constants!$B$19,Constants!$B$18))</f>
        <v/>
      </c>
      <c r="AH421" s="87" t="str">
        <f aca="false">IF(ISBLANK($C421),"",IF(ISNUMBER(R421),IF(R421&gt;=0,R421,""),""))</f>
        <v/>
      </c>
      <c r="AI421" s="87" t="str">
        <f aca="false">IF(ISBLANK($C421),"",IF(S421=Constants!$B$2, TRUE(), IF(S421=Constants!$B$3, FALSE(), FALSE())))</f>
        <v/>
      </c>
      <c r="AJ421" s="87" t="str">
        <f aca="false">IF(ISBLANK($C421),"",IF(AI421,Constants!$B$4,IF(COUNTA(E421:R421)=0,Constants!$B$5,IF(COUNTA(J421,L421,N421,P421,R421)=0,Constants!$B$6,Constants!$B$7))))</f>
        <v/>
      </c>
      <c r="AK421" s="87" t="str">
        <f aca="false">IF(ISBLANK($C421),"",IF($AJ421&lt;&gt;Constants!$B$7,$AJ421,IF(OR(NOT(X421),AND(NOT(U421),COUNTIFS(Y421:AG421,Constants!$B$18,Z421:AH421,"&gt;=0")&gt;0),AND(NOT(V421),COUNTIFS(Y421:AG421,Constants!$B$19,Z421:AH421,"&gt;=0")&gt;0)),Constants!$B$12,Constants!$B$11)))</f>
        <v/>
      </c>
      <c r="AL421" s="87" t="str">
        <f aca="false">IF($AJ421=Constants!$B$7,IF(Z421="",Constants!$B$13,Z421),"")</f>
        <v/>
      </c>
      <c r="AM421" s="87" t="str">
        <f aca="false">IF($AJ421=Constants!$B$7,IF(AB421="",Constants!$B$13,AB421),"")</f>
        <v/>
      </c>
      <c r="AN421" s="87" t="str">
        <f aca="false">IF($AJ421=Constants!$B$7,IF(AD421="",Constants!$B$13,AD421),"")</f>
        <v/>
      </c>
      <c r="AO421" s="87" t="str">
        <f aca="false">IF($AJ421=Constants!$B$7,IF(AF421="",Constants!$B$13,AF421),"")</f>
        <v/>
      </c>
      <c r="AP421" s="87" t="str">
        <f aca="false">IF($AJ421=Constants!$B$7,IF(AH421="",Constants!$B$13,AH421),"")</f>
        <v/>
      </c>
      <c r="AQ421" s="87" t="str">
        <f aca="false">IF($AJ421=Constants!$B$7,IF(SUMPRODUCT(--($AL421:$AP421&gt;AL421))+SUMPRODUCT(--($AL421:AL421=AL421))=1,1,IF(SUMPRODUCT(--($AL421:$AP421&gt;AM421))+SUMPRODUCT(--($AL421:AM421=AM421))=1,2,IF(SUMPRODUCT(--($AL421:$AP421&gt;AN421))+SUMPRODUCT(--($AL421:AN421=AN421))=1,3,IF(SUMPRODUCT(--($AL421:$AP421&gt;AO421))+SUMPRODUCT(--($AL421:AO421=AO421))=1,4,5)))),"")</f>
        <v/>
      </c>
      <c r="AR421" s="87" t="str">
        <f aca="false">IF($AJ421=Constants!$B$7,IF(SUMPRODUCT(--($AL421:$AP421&gt;AL421))+SUMPRODUCT(--($AL421:AL421=AL421))=2,1,IF(SUMPRODUCT(--($AL421:$AP421&gt;AM421))+SUMPRODUCT(--($AL421:AM421=AM421))=2,2,IF(SUMPRODUCT(--($AL421:$AP421&gt;AN421))+SUMPRODUCT(--($AL421:AN421=AN421))=2,3,IF(SUMPRODUCT(--($AL421:$AP421&gt;AO421))+SUMPRODUCT(--($AL421:AO421=AO421))=2,4,5)))),"")</f>
        <v/>
      </c>
      <c r="AS421" s="87" t="str">
        <f aca="false">IF($AJ421=Constants!$B$7,IF(SUMPRODUCT(--($AL421:$AP421&gt;AL421))+SUMPRODUCT(--($AL421:AL421=AL421))=3,1,IF(SUMPRODUCT(--($AL421:$AP421&gt;AM421))+SUMPRODUCT(--($AL421:AM421=AM421))=3,2,IF(SUMPRODUCT(--($AL421:$AP421&gt;AN421))+SUMPRODUCT(--($AL421:AN421=AN421))=3,3,IF(SUMPRODUCT(--($AL421:$AP421&gt;AO421))+SUMPRODUCT(--($AL421:AO421=AO421))=3,4,5)))),"")</f>
        <v/>
      </c>
      <c r="AT421" s="87" t="str">
        <f aca="false">IF($AJ421=Constants!$B$7,LARGE(AL421:AP421,1)+LARGE(AL421:AP421,2)+LARGE(AL421:AP421,3),"")</f>
        <v/>
      </c>
      <c r="AU421" s="87" t="str">
        <f aca="false">IF(ISBLANK($C421),"",IF($AJ421&lt;&gt;Constants!$B$7,$AJ421,AT421*W421))</f>
        <v/>
      </c>
      <c r="AV421" s="87" t="str">
        <f aca="false">IF(ISBLANK($C421),"",IF($AJ421=Constants!$B$7,IF(ISNUMBER(AU421),RANK(AU421,$AU$8:$AU$507),Constants!$B$14),$AJ421))</f>
        <v/>
      </c>
      <c r="AW421" s="87" t="str">
        <f aca="false">IF(ISBLANK($C421),"",IF($AJ421=Constants!$B$7,IF(ISNUMBER(AV421),COUNTIFS($AK$8:$AK$507,"&lt;"&amp;$AK421)+COUNTIFS($AK$8:$AK$507,$AK421,$AV$8:$AV$507,"&lt;"&amp;$AV421)+1,Constants!$B$14),$AJ421))</f>
        <v/>
      </c>
      <c r="AX421" s="87" t="str">
        <f aca="false">IF(ISBLANK($C421),"",IF($AJ421=Constants!$B$7,LARGE(AL421:AP421,4)*W421,""))</f>
        <v/>
      </c>
      <c r="AY421" s="87" t="str">
        <f aca="false">IF(ISBLANK($C421),"",IF($AJ421=Constants!$B$7,RANK(AX421,$AX$8:$AX$507),$AJ421))</f>
        <v/>
      </c>
      <c r="AZ421" s="87" t="str">
        <f aca="false">IF(ISBLANK($C421),"",IF($AJ421=Constants!$B$7,IF(ISNUMBER(AV421),COUNTIFS($AK$8:$AK$507,"&lt;"&amp;$AK421)+COUNTIFS($AK$8:$AK$507,$AK421,$AV$8:$AV$507,"&lt;"&amp;$AV421)+COUNTIFS($AK$8:$AK$507,$AK421,$AV$8:$AV$507,$AV421,$AY$8:$AY$507,"&lt;"&amp;$AY421)+1,Constants!$B$14),$AJ421))</f>
        <v/>
      </c>
      <c r="BA421" s="87" t="str">
        <f aca="false">IF(ISBLANK($C421),"",IF($AJ421=Constants!$B$7,IF(ISNUMBER(AW421),AW421-AZ421,Constants!$B$14),$AJ421))</f>
        <v/>
      </c>
      <c r="BB421" s="88"/>
      <c r="BC421" s="89" t="str">
        <f aca="false">IF(ISBLANK($C421),"",IF($AJ421&lt;&gt;Constants!$B$7,$AJ421,SMALL(AQ421:AS421,1)&amp;", "&amp;SMALL(AQ421:AS421,2)&amp;", "&amp;SMALL(AQ421:AS421,3)))</f>
        <v/>
      </c>
      <c r="BD421" s="90" t="str">
        <f aca="false">IF(ISBLANK($C421),"",IF($AJ421&lt;&gt;Constants!$B$7,$AJ421,W421))</f>
        <v/>
      </c>
      <c r="BE421" s="91" t="str">
        <f aca="false">IF(ISBLANK($C421),"",IF($AJ421&lt;&gt;Constants!$B$7,$AJ421,AU421))</f>
        <v/>
      </c>
      <c r="BF421" s="92" t="str">
        <f aca="false">IF(ISBLANK($C421),"",IF($AJ421&lt;&gt;Constants!$B$7,$AJ421,AK421))</f>
        <v/>
      </c>
      <c r="BG421" s="90" t="str">
        <f aca="false">IF(ISBLANK($C421),"",BA421)</f>
        <v/>
      </c>
      <c r="BH421" s="90" t="str">
        <f aca="false">IF(ISBLANK($C421),"",AZ421)</f>
        <v/>
      </c>
      <c r="BI421" s="93" t="str">
        <f aca="false">IF(ISBLANK($C421),"",IF(BH421=Constants!$B$4,COUNTA($C$8:$C$507)+2,IF(BH421=Constants!$B$5,COUNTA($C$8:$C$507)+1,IF(BH421=Constants!$B$6,COUNTA($C$8:$C$507),BH421))))</f>
        <v/>
      </c>
      <c r="BJ421" s="5"/>
      <c r="BK421" s="94" t="n">
        <f aca="false">IF(OR(ISNUMBER(BH421),BH421=Constants!$B$4,BH421=Constants!$B$6,BH421=Constants!$B$5),1,0)</f>
        <v>0</v>
      </c>
      <c r="BL421" s="94" t="n">
        <v>414</v>
      </c>
      <c r="BM421" s="94" t="str">
        <f aca="false">IF(ISBLANK($C421),"",IF(ISNUMBER(BI421),BI421+ROW($B421)/1000,""))</f>
        <v/>
      </c>
      <c r="BN421" s="94" t="str">
        <f aca="false">IF(ISNUMBER(BM421),RANK(BM421,$BM$8:$BM$507,1),"")</f>
        <v/>
      </c>
      <c r="BO421" s="94" t="str">
        <f aca="false">IF(ISBLANK($C421),"",$B421)</f>
        <v/>
      </c>
      <c r="BP421" s="94" t="str">
        <f aca="false">IF(ISBLANK($C421),"",$C421)</f>
        <v/>
      </c>
      <c r="BQ421" s="94" t="str">
        <f aca="false">IF(ISBLANK($C421),"",$D421)</f>
        <v/>
      </c>
      <c r="BR421" s="95" t="str">
        <f aca="false">BF421</f>
        <v/>
      </c>
      <c r="BS421" s="96" t="str">
        <f aca="false">BE421</f>
        <v/>
      </c>
      <c r="BT421" s="94" t="str">
        <f aca="false">IF(ISBLANK($C421),"",BH421)</f>
        <v/>
      </c>
      <c r="BU421" s="97" t="str">
        <f aca="false">IF($BL421&gt;$BK$7,"",VLOOKUP($BL421,$BN$8:$BT$507,7,FALSE()))</f>
        <v/>
      </c>
      <c r="BV421" s="98" t="str">
        <f aca="false">IF($BL421&gt;$BK$7,"",VLOOKUP($BL421,$BN$8:$BT$507,2,FALSE()))</f>
        <v/>
      </c>
      <c r="BW421" s="98" t="str">
        <f aca="false">IF($BL421&gt;$BK$7,"",VLOOKUP($BL421,$BN$8:$BT$507,3,FALSE()))</f>
        <v/>
      </c>
      <c r="BX421" s="98" t="str">
        <f aca="false">IF($BL421&gt;$BK$7,"",VLOOKUP($BL421,$BN$8:$BT$507,4,FALSE()))</f>
        <v/>
      </c>
      <c r="BY421" s="98" t="str">
        <f aca="false">IF($BL421&gt;$BK$7,"",VLOOKUP($BL421,$BN$8:$BT$507,5,FALSE()))</f>
        <v/>
      </c>
      <c r="BZ421" s="99" t="str">
        <f aca="false">IF($BL421&gt;$BK$7,"",VLOOKUP($BL421,$BN$8:$BT$507,6,FALSE()))</f>
        <v/>
      </c>
      <c r="CA421" s="48"/>
    </row>
    <row r="422" customFormat="false" ht="15.75" hidden="false" customHeight="false" outlineLevel="0" collapsed="false">
      <c r="A422" s="5"/>
      <c r="B422" s="121"/>
      <c r="C422" s="50"/>
      <c r="D422" s="51"/>
      <c r="E422" s="74"/>
      <c r="F422" s="122"/>
      <c r="G422" s="54"/>
      <c r="H422" s="123"/>
      <c r="I422" s="124"/>
      <c r="J422" s="54"/>
      <c r="K422" s="123"/>
      <c r="L422" s="54"/>
      <c r="M422" s="123"/>
      <c r="N422" s="54"/>
      <c r="O422" s="123"/>
      <c r="P422" s="54"/>
      <c r="Q422" s="123"/>
      <c r="R422" s="54"/>
      <c r="S422" s="74"/>
      <c r="T422" s="58"/>
      <c r="U422" s="59" t="str">
        <f aca="false">IF(ISBLANK($C422),"",IF(E422=Constants!$B$2, TRUE(), IF(E422=Constants!$B$3, FALSE(), TRUE())))</f>
        <v/>
      </c>
      <c r="V422" s="59" t="str">
        <f aca="false">IF(ISBLANK($C422),"",IF(F422=Constants!$B$2, TRUE(), IF(F422=Constants!$B$3, FALSE(), TRUE())))</f>
        <v/>
      </c>
      <c r="W422" s="59" t="str">
        <f aca="false">IF(ISBLANK($C422),"",IF(G422=Constants!$B$15,Constants!$B$8,IF(G422=Constants!$B$16,Constants!$B$9,Constants!$B$10)))</f>
        <v/>
      </c>
      <c r="X422" s="59" t="str">
        <f aca="false">IF(ISBLANK($C422),"",IF(H422=Constants!$B$2, TRUE(), IF(H422=Constants!$B$3, FALSE(), TRUE())))</f>
        <v/>
      </c>
      <c r="Y422" s="59" t="str">
        <f aca="false">IF(ISBLANK($C422),"",IF(I422=Constants!$B$19,Constants!$B$19,Constants!$B$18))</f>
        <v/>
      </c>
      <c r="Z422" s="59" t="str">
        <f aca="false">IF(ISBLANK($C422),"",IF(ISNUMBER(J422),IF(J422&gt;=0,J422,""),""))</f>
        <v/>
      </c>
      <c r="AA422" s="59" t="str">
        <f aca="false">IF(ISBLANK($C422),"",IF(K422=Constants!$B$19,Constants!$B$19,Constants!$B$18))</f>
        <v/>
      </c>
      <c r="AB422" s="59" t="str">
        <f aca="false">IF(ISBLANK($C422),"",IF(ISNUMBER(L422),IF(L422&gt;=0,L422,""),""))</f>
        <v/>
      </c>
      <c r="AC422" s="59" t="str">
        <f aca="false">IF(ISBLANK($C422),"",IF(M422=Constants!$B$19,Constants!$B$19,Constants!$B$18))</f>
        <v/>
      </c>
      <c r="AD422" s="59" t="str">
        <f aca="false">IF(ISBLANK($C422),"",IF(ISNUMBER(N422),IF(N422&gt;=0,N422,""),""))</f>
        <v/>
      </c>
      <c r="AE422" s="59" t="str">
        <f aca="false">IF(ISBLANK($C422),"",IF(O422=Constants!$B$19,Constants!$B$19,Constants!$B$18))</f>
        <v/>
      </c>
      <c r="AF422" s="59" t="str">
        <f aca="false">IF(ISBLANK($C422),"",IF(ISNUMBER(P422),IF(P422&gt;=0,P422,""),""))</f>
        <v/>
      </c>
      <c r="AG422" s="59" t="str">
        <f aca="false">IF(ISBLANK($C422),"",IF(Q422=Constants!$B$19,Constants!$B$19,Constants!$B$18))</f>
        <v/>
      </c>
      <c r="AH422" s="59" t="str">
        <f aca="false">IF(ISBLANK($C422),"",IF(ISNUMBER(R422),IF(R422&gt;=0,R422,""),""))</f>
        <v/>
      </c>
      <c r="AI422" s="59" t="str">
        <f aca="false">IF(ISBLANK($C422),"",IF(S422=Constants!$B$2, TRUE(), IF(S422=Constants!$B$3, FALSE(), FALSE())))</f>
        <v/>
      </c>
      <c r="AJ422" s="59" t="str">
        <f aca="false">IF(ISBLANK($C422),"",IF(AI422,Constants!$B$4,IF(COUNTA(E422:R422)=0,Constants!$B$5,IF(COUNTA(J422,L422,N422,P422,R422)=0,Constants!$B$6,Constants!$B$7))))</f>
        <v/>
      </c>
      <c r="AK422" s="59" t="str">
        <f aca="false">IF(ISBLANK($C422),"",IF($AJ422&lt;&gt;Constants!$B$7,$AJ422,IF(OR(NOT(X422),AND(NOT(U422),COUNTIFS(Y422:AG422,Constants!$B$18,Z422:AH422,"&gt;=0")&gt;0),AND(NOT(V422),COUNTIFS(Y422:AG422,Constants!$B$19,Z422:AH422,"&gt;=0")&gt;0)),Constants!$B$12,Constants!$B$11)))</f>
        <v/>
      </c>
      <c r="AL422" s="59" t="str">
        <f aca="false">IF($AJ422=Constants!$B$7,IF(Z422="",Constants!$B$13,Z422),"")</f>
        <v/>
      </c>
      <c r="AM422" s="59" t="str">
        <f aca="false">IF($AJ422=Constants!$B$7,IF(AB422="",Constants!$B$13,AB422),"")</f>
        <v/>
      </c>
      <c r="AN422" s="59" t="str">
        <f aca="false">IF($AJ422=Constants!$B$7,IF(AD422="",Constants!$B$13,AD422),"")</f>
        <v/>
      </c>
      <c r="AO422" s="59" t="str">
        <f aca="false">IF($AJ422=Constants!$B$7,IF(AF422="",Constants!$B$13,AF422),"")</f>
        <v/>
      </c>
      <c r="AP422" s="59" t="str">
        <f aca="false">IF($AJ422=Constants!$B$7,IF(AH422="",Constants!$B$13,AH422),"")</f>
        <v/>
      </c>
      <c r="AQ422" s="59" t="str">
        <f aca="false">IF($AJ422=Constants!$B$7,IF(SUMPRODUCT(--($AL422:$AP422&gt;AL422))+SUMPRODUCT(--($AL422:AL422=AL422))=1,1,IF(SUMPRODUCT(--($AL422:$AP422&gt;AM422))+SUMPRODUCT(--($AL422:AM422=AM422))=1,2,IF(SUMPRODUCT(--($AL422:$AP422&gt;AN422))+SUMPRODUCT(--($AL422:AN422=AN422))=1,3,IF(SUMPRODUCT(--($AL422:$AP422&gt;AO422))+SUMPRODUCT(--($AL422:AO422=AO422))=1,4,5)))),"")</f>
        <v/>
      </c>
      <c r="AR422" s="59" t="str">
        <f aca="false">IF($AJ422=Constants!$B$7,IF(SUMPRODUCT(--($AL422:$AP422&gt;AL422))+SUMPRODUCT(--($AL422:AL422=AL422))=2,1,IF(SUMPRODUCT(--($AL422:$AP422&gt;AM422))+SUMPRODUCT(--($AL422:AM422=AM422))=2,2,IF(SUMPRODUCT(--($AL422:$AP422&gt;AN422))+SUMPRODUCT(--($AL422:AN422=AN422))=2,3,IF(SUMPRODUCT(--($AL422:$AP422&gt;AO422))+SUMPRODUCT(--($AL422:AO422=AO422))=2,4,5)))),"")</f>
        <v/>
      </c>
      <c r="AS422" s="59" t="str">
        <f aca="false">IF($AJ422=Constants!$B$7,IF(SUMPRODUCT(--($AL422:$AP422&gt;AL422))+SUMPRODUCT(--($AL422:AL422=AL422))=3,1,IF(SUMPRODUCT(--($AL422:$AP422&gt;AM422))+SUMPRODUCT(--($AL422:AM422=AM422))=3,2,IF(SUMPRODUCT(--($AL422:$AP422&gt;AN422))+SUMPRODUCT(--($AL422:AN422=AN422))=3,3,IF(SUMPRODUCT(--($AL422:$AP422&gt;AO422))+SUMPRODUCT(--($AL422:AO422=AO422))=3,4,5)))),"")</f>
        <v/>
      </c>
      <c r="AT422" s="59" t="str">
        <f aca="false">IF($AJ422=Constants!$B$7,LARGE(AL422:AP422,1)+LARGE(AL422:AP422,2)+LARGE(AL422:AP422,3),"")</f>
        <v/>
      </c>
      <c r="AU422" s="59" t="str">
        <f aca="false">IF(ISBLANK($C422),"",IF($AJ422&lt;&gt;Constants!$B$7,$AJ422,AT422*W422))</f>
        <v/>
      </c>
      <c r="AV422" s="59" t="str">
        <f aca="false">IF(ISBLANK($C422),"",IF($AJ422=Constants!$B$7,IF(ISNUMBER(AU422),RANK(AU422,$AU$8:$AU$507),Constants!$B$14),$AJ422))</f>
        <v/>
      </c>
      <c r="AW422" s="59" t="str">
        <f aca="false">IF(ISBLANK($C422),"",IF($AJ422=Constants!$B$7,IF(ISNUMBER(AV422),COUNTIFS($AK$8:$AK$507,"&lt;"&amp;$AK422)+COUNTIFS($AK$8:$AK$507,$AK422,$AV$8:$AV$507,"&lt;"&amp;$AV422)+1,Constants!$B$14),$AJ422))</f>
        <v/>
      </c>
      <c r="AX422" s="59" t="str">
        <f aca="false">IF(ISBLANK($C422),"",IF($AJ422=Constants!$B$7,LARGE(AL422:AP422,4)*W422,""))</f>
        <v/>
      </c>
      <c r="AY422" s="59" t="str">
        <f aca="false">IF(ISBLANK($C422),"",IF($AJ422=Constants!$B$7,RANK(AX422,$AX$8:$AX$507),$AJ422))</f>
        <v/>
      </c>
      <c r="AZ422" s="59" t="str">
        <f aca="false">IF(ISBLANK($C422),"",IF($AJ422=Constants!$B$7,IF(ISNUMBER(AV422),COUNTIFS($AK$8:$AK$507,"&lt;"&amp;$AK422)+COUNTIFS($AK$8:$AK$507,$AK422,$AV$8:$AV$507,"&lt;"&amp;$AV422)+COUNTIFS($AK$8:$AK$507,$AK422,$AV$8:$AV$507,$AV422,$AY$8:$AY$507,"&lt;"&amp;$AY422)+1,Constants!$B$14),$AJ422))</f>
        <v/>
      </c>
      <c r="BA422" s="59" t="str">
        <f aca="false">IF(ISBLANK($C422),"",IF($AJ422=Constants!$B$7,IF(ISNUMBER(AW422),AW422-AZ422,Constants!$B$14),$AJ422))</f>
        <v/>
      </c>
      <c r="BB422" s="61"/>
      <c r="BC422" s="62" t="str">
        <f aca="false">IF(ISBLANK($C422),"",IF($AJ422&lt;&gt;Constants!$B$7,$AJ422,SMALL(AQ422:AS422,1)&amp;", "&amp;SMALL(AQ422:AS422,2)&amp;", "&amp;SMALL(AQ422:AS422,3)))</f>
        <v/>
      </c>
      <c r="BD422" s="63" t="str">
        <f aca="false">IF(ISBLANK($C422),"",IF($AJ422&lt;&gt;Constants!$B$7,$AJ422,W422))</f>
        <v/>
      </c>
      <c r="BE422" s="64" t="str">
        <f aca="false">IF(ISBLANK($C422),"",IF($AJ422&lt;&gt;Constants!$B$7,$AJ422,AU422))</f>
        <v/>
      </c>
      <c r="BF422" s="65" t="str">
        <f aca="false">IF(ISBLANK($C422),"",IF($AJ422&lt;&gt;Constants!$B$7,$AJ422,AK422))</f>
        <v/>
      </c>
      <c r="BG422" s="63" t="str">
        <f aca="false">IF(ISBLANK($C422),"",BA422)</f>
        <v/>
      </c>
      <c r="BH422" s="63" t="str">
        <f aca="false">IF(ISBLANK($C422),"",AZ422)</f>
        <v/>
      </c>
      <c r="BI422" s="66" t="str">
        <f aca="false">IF(ISBLANK($C422),"",IF(BH422=Constants!$B$4,COUNTA($C$8:$C$507)+2,IF(BH422=Constants!$B$5,COUNTA($C$8:$C$507)+1,IF(BH422=Constants!$B$6,COUNTA($C$8:$C$507),BH422))))</f>
        <v/>
      </c>
      <c r="BJ422" s="5"/>
      <c r="BK422" s="67" t="n">
        <f aca="false">IF(OR(ISNUMBER(BH422),BH422=Constants!$B$4,BH422=Constants!$B$6,BH422=Constants!$B$5),1,0)</f>
        <v>0</v>
      </c>
      <c r="BL422" s="67" t="n">
        <v>415</v>
      </c>
      <c r="BM422" s="67" t="str">
        <f aca="false">IF(ISBLANK($C422),"",IF(ISNUMBER(BI422),BI422+ROW($B422)/1000,""))</f>
        <v/>
      </c>
      <c r="BN422" s="67" t="str">
        <f aca="false">IF(ISNUMBER(BM422),RANK(BM422,$BM$8:$BM$507,1),"")</f>
        <v/>
      </c>
      <c r="BO422" s="67" t="str">
        <f aca="false">IF(ISBLANK($C422),"",$B422)</f>
        <v/>
      </c>
      <c r="BP422" s="67" t="str">
        <f aca="false">IF(ISBLANK($C422),"",$C422)</f>
        <v/>
      </c>
      <c r="BQ422" s="67" t="str">
        <f aca="false">IF(ISBLANK($C422),"",$D422)</f>
        <v/>
      </c>
      <c r="BR422" s="68" t="str">
        <f aca="false">BF422</f>
        <v/>
      </c>
      <c r="BS422" s="69" t="str">
        <f aca="false">BE422</f>
        <v/>
      </c>
      <c r="BT422" s="67" t="str">
        <f aca="false">IF(ISBLANK($C422),"",BH422)</f>
        <v/>
      </c>
      <c r="BU422" s="70" t="str">
        <f aca="false">IF($BL422&gt;$BK$7,"",VLOOKUP($BL422,$BN$8:$BT$507,7,FALSE()))</f>
        <v/>
      </c>
      <c r="BV422" s="71" t="str">
        <f aca="false">IF($BL422&gt;$BK$7,"",VLOOKUP($BL422,$BN$8:$BT$507,2,FALSE()))</f>
        <v/>
      </c>
      <c r="BW422" s="71" t="str">
        <f aca="false">IF($BL422&gt;$BK$7,"",VLOOKUP($BL422,$BN$8:$BT$507,3,FALSE()))</f>
        <v/>
      </c>
      <c r="BX422" s="71" t="str">
        <f aca="false">IF($BL422&gt;$BK$7,"",VLOOKUP($BL422,$BN$8:$BT$507,4,FALSE()))</f>
        <v/>
      </c>
      <c r="BY422" s="71" t="str">
        <f aca="false">IF($BL422&gt;$BK$7,"",VLOOKUP($BL422,$BN$8:$BT$507,5,FALSE()))</f>
        <v/>
      </c>
      <c r="BZ422" s="72" t="str">
        <f aca="false">IF($BL422&gt;$BK$7,"",VLOOKUP($BL422,$BN$8:$BT$507,6,FALSE()))</f>
        <v/>
      </c>
      <c r="CA422" s="48"/>
    </row>
    <row r="423" customFormat="false" ht="15.75" hidden="false" customHeight="false" outlineLevel="0" collapsed="false">
      <c r="A423" s="5"/>
      <c r="B423" s="121"/>
      <c r="C423" s="50"/>
      <c r="D423" s="51"/>
      <c r="E423" s="74"/>
      <c r="F423" s="122"/>
      <c r="G423" s="54"/>
      <c r="H423" s="123"/>
      <c r="I423" s="124"/>
      <c r="J423" s="54"/>
      <c r="K423" s="123"/>
      <c r="L423" s="54"/>
      <c r="M423" s="123"/>
      <c r="N423" s="54"/>
      <c r="O423" s="123"/>
      <c r="P423" s="54"/>
      <c r="Q423" s="123"/>
      <c r="R423" s="54"/>
      <c r="S423" s="74"/>
      <c r="T423" s="58"/>
      <c r="U423" s="59" t="str">
        <f aca="false">IF(ISBLANK($C423),"",IF(E423=Constants!$B$2, TRUE(), IF(E423=Constants!$B$3, FALSE(), TRUE())))</f>
        <v/>
      </c>
      <c r="V423" s="59" t="str">
        <f aca="false">IF(ISBLANK($C423),"",IF(F423=Constants!$B$2, TRUE(), IF(F423=Constants!$B$3, FALSE(), TRUE())))</f>
        <v/>
      </c>
      <c r="W423" s="59" t="str">
        <f aca="false">IF(ISBLANK($C423),"",IF(G423=Constants!$B$15,Constants!$B$8,IF(G423=Constants!$B$16,Constants!$B$9,Constants!$B$10)))</f>
        <v/>
      </c>
      <c r="X423" s="59" t="str">
        <f aca="false">IF(ISBLANK($C423),"",IF(H423=Constants!$B$2, TRUE(), IF(H423=Constants!$B$3, FALSE(), TRUE())))</f>
        <v/>
      </c>
      <c r="Y423" s="59" t="str">
        <f aca="false">IF(ISBLANK($C423),"",IF(I423=Constants!$B$19,Constants!$B$19,Constants!$B$18))</f>
        <v/>
      </c>
      <c r="Z423" s="59" t="str">
        <f aca="false">IF(ISBLANK($C423),"",IF(ISNUMBER(J423),IF(J423&gt;=0,J423,""),""))</f>
        <v/>
      </c>
      <c r="AA423" s="59" t="str">
        <f aca="false">IF(ISBLANK($C423),"",IF(K423=Constants!$B$19,Constants!$B$19,Constants!$B$18))</f>
        <v/>
      </c>
      <c r="AB423" s="59" t="str">
        <f aca="false">IF(ISBLANK($C423),"",IF(ISNUMBER(L423),IF(L423&gt;=0,L423,""),""))</f>
        <v/>
      </c>
      <c r="AC423" s="59" t="str">
        <f aca="false">IF(ISBLANK($C423),"",IF(M423=Constants!$B$19,Constants!$B$19,Constants!$B$18))</f>
        <v/>
      </c>
      <c r="AD423" s="59" t="str">
        <f aca="false">IF(ISBLANK($C423),"",IF(ISNUMBER(N423),IF(N423&gt;=0,N423,""),""))</f>
        <v/>
      </c>
      <c r="AE423" s="59" t="str">
        <f aca="false">IF(ISBLANK($C423),"",IF(O423=Constants!$B$19,Constants!$B$19,Constants!$B$18))</f>
        <v/>
      </c>
      <c r="AF423" s="59" t="str">
        <f aca="false">IF(ISBLANK($C423),"",IF(ISNUMBER(P423),IF(P423&gt;=0,P423,""),""))</f>
        <v/>
      </c>
      <c r="AG423" s="59" t="str">
        <f aca="false">IF(ISBLANK($C423),"",IF(Q423=Constants!$B$19,Constants!$B$19,Constants!$B$18))</f>
        <v/>
      </c>
      <c r="AH423" s="59" t="str">
        <f aca="false">IF(ISBLANK($C423),"",IF(ISNUMBER(R423),IF(R423&gt;=0,R423,""),""))</f>
        <v/>
      </c>
      <c r="AI423" s="59" t="str">
        <f aca="false">IF(ISBLANK($C423),"",IF(S423=Constants!$B$2, TRUE(), IF(S423=Constants!$B$3, FALSE(), FALSE())))</f>
        <v/>
      </c>
      <c r="AJ423" s="59" t="str">
        <f aca="false">IF(ISBLANK($C423),"",IF(AI423,Constants!$B$4,IF(COUNTA(E423:R423)=0,Constants!$B$5,IF(COUNTA(J423,L423,N423,P423,R423)=0,Constants!$B$6,Constants!$B$7))))</f>
        <v/>
      </c>
      <c r="AK423" s="59" t="str">
        <f aca="false">IF(ISBLANK($C423),"",IF($AJ423&lt;&gt;Constants!$B$7,$AJ423,IF(OR(NOT(X423),AND(NOT(U423),COUNTIFS(Y423:AG423,Constants!$B$18,Z423:AH423,"&gt;=0")&gt;0),AND(NOT(V423),COUNTIFS(Y423:AG423,Constants!$B$19,Z423:AH423,"&gt;=0")&gt;0)),Constants!$B$12,Constants!$B$11)))</f>
        <v/>
      </c>
      <c r="AL423" s="59" t="str">
        <f aca="false">IF($AJ423=Constants!$B$7,IF(Z423="",Constants!$B$13,Z423),"")</f>
        <v/>
      </c>
      <c r="AM423" s="59" t="str">
        <f aca="false">IF($AJ423=Constants!$B$7,IF(AB423="",Constants!$B$13,AB423),"")</f>
        <v/>
      </c>
      <c r="AN423" s="59" t="str">
        <f aca="false">IF($AJ423=Constants!$B$7,IF(AD423="",Constants!$B$13,AD423),"")</f>
        <v/>
      </c>
      <c r="AO423" s="59" t="str">
        <f aca="false">IF($AJ423=Constants!$B$7,IF(AF423="",Constants!$B$13,AF423),"")</f>
        <v/>
      </c>
      <c r="AP423" s="59" t="str">
        <f aca="false">IF($AJ423=Constants!$B$7,IF(AH423="",Constants!$B$13,AH423),"")</f>
        <v/>
      </c>
      <c r="AQ423" s="59" t="str">
        <f aca="false">IF($AJ423=Constants!$B$7,IF(SUMPRODUCT(--($AL423:$AP423&gt;AL423))+SUMPRODUCT(--($AL423:AL423=AL423))=1,1,IF(SUMPRODUCT(--($AL423:$AP423&gt;AM423))+SUMPRODUCT(--($AL423:AM423=AM423))=1,2,IF(SUMPRODUCT(--($AL423:$AP423&gt;AN423))+SUMPRODUCT(--($AL423:AN423=AN423))=1,3,IF(SUMPRODUCT(--($AL423:$AP423&gt;AO423))+SUMPRODUCT(--($AL423:AO423=AO423))=1,4,5)))),"")</f>
        <v/>
      </c>
      <c r="AR423" s="59" t="str">
        <f aca="false">IF($AJ423=Constants!$B$7,IF(SUMPRODUCT(--($AL423:$AP423&gt;AL423))+SUMPRODUCT(--($AL423:AL423=AL423))=2,1,IF(SUMPRODUCT(--($AL423:$AP423&gt;AM423))+SUMPRODUCT(--($AL423:AM423=AM423))=2,2,IF(SUMPRODUCT(--($AL423:$AP423&gt;AN423))+SUMPRODUCT(--($AL423:AN423=AN423))=2,3,IF(SUMPRODUCT(--($AL423:$AP423&gt;AO423))+SUMPRODUCT(--($AL423:AO423=AO423))=2,4,5)))),"")</f>
        <v/>
      </c>
      <c r="AS423" s="59" t="str">
        <f aca="false">IF($AJ423=Constants!$B$7,IF(SUMPRODUCT(--($AL423:$AP423&gt;AL423))+SUMPRODUCT(--($AL423:AL423=AL423))=3,1,IF(SUMPRODUCT(--($AL423:$AP423&gt;AM423))+SUMPRODUCT(--($AL423:AM423=AM423))=3,2,IF(SUMPRODUCT(--($AL423:$AP423&gt;AN423))+SUMPRODUCT(--($AL423:AN423=AN423))=3,3,IF(SUMPRODUCT(--($AL423:$AP423&gt;AO423))+SUMPRODUCT(--($AL423:AO423=AO423))=3,4,5)))),"")</f>
        <v/>
      </c>
      <c r="AT423" s="59" t="str">
        <f aca="false">IF($AJ423=Constants!$B$7,LARGE(AL423:AP423,1)+LARGE(AL423:AP423,2)+LARGE(AL423:AP423,3),"")</f>
        <v/>
      </c>
      <c r="AU423" s="59" t="str">
        <f aca="false">IF(ISBLANK($C423),"",IF($AJ423&lt;&gt;Constants!$B$7,$AJ423,AT423*W423))</f>
        <v/>
      </c>
      <c r="AV423" s="59" t="str">
        <f aca="false">IF(ISBLANK($C423),"",IF($AJ423=Constants!$B$7,IF(ISNUMBER(AU423),RANK(AU423,$AU$8:$AU$507),Constants!$B$14),$AJ423))</f>
        <v/>
      </c>
      <c r="AW423" s="59" t="str">
        <f aca="false">IF(ISBLANK($C423),"",IF($AJ423=Constants!$B$7,IF(ISNUMBER(AV423),COUNTIFS($AK$8:$AK$507,"&lt;"&amp;$AK423)+COUNTIFS($AK$8:$AK$507,$AK423,$AV$8:$AV$507,"&lt;"&amp;$AV423)+1,Constants!$B$14),$AJ423))</f>
        <v/>
      </c>
      <c r="AX423" s="59" t="str">
        <f aca="false">IF(ISBLANK($C423),"",IF($AJ423=Constants!$B$7,LARGE(AL423:AP423,4)*W423,""))</f>
        <v/>
      </c>
      <c r="AY423" s="59" t="str">
        <f aca="false">IF(ISBLANK($C423),"",IF($AJ423=Constants!$B$7,RANK(AX423,$AX$8:$AX$507),$AJ423))</f>
        <v/>
      </c>
      <c r="AZ423" s="59" t="str">
        <f aca="false">IF(ISBLANK($C423),"",IF($AJ423=Constants!$B$7,IF(ISNUMBER(AV423),COUNTIFS($AK$8:$AK$507,"&lt;"&amp;$AK423)+COUNTIFS($AK$8:$AK$507,$AK423,$AV$8:$AV$507,"&lt;"&amp;$AV423)+COUNTIFS($AK$8:$AK$507,$AK423,$AV$8:$AV$507,$AV423,$AY$8:$AY$507,"&lt;"&amp;$AY423)+1,Constants!$B$14),$AJ423))</f>
        <v/>
      </c>
      <c r="BA423" s="59" t="str">
        <f aca="false">IF(ISBLANK($C423),"",IF($AJ423=Constants!$B$7,IF(ISNUMBER(AW423),AW423-AZ423,Constants!$B$14),$AJ423))</f>
        <v/>
      </c>
      <c r="BB423" s="61"/>
      <c r="BC423" s="62" t="str">
        <f aca="false">IF(ISBLANK($C423),"",IF($AJ423&lt;&gt;Constants!$B$7,$AJ423,SMALL(AQ423:AS423,1)&amp;", "&amp;SMALL(AQ423:AS423,2)&amp;", "&amp;SMALL(AQ423:AS423,3)))</f>
        <v/>
      </c>
      <c r="BD423" s="63" t="str">
        <f aca="false">IF(ISBLANK($C423),"",IF($AJ423&lt;&gt;Constants!$B$7,$AJ423,W423))</f>
        <v/>
      </c>
      <c r="BE423" s="64" t="str">
        <f aca="false">IF(ISBLANK($C423),"",IF($AJ423&lt;&gt;Constants!$B$7,$AJ423,AU423))</f>
        <v/>
      </c>
      <c r="BF423" s="65" t="str">
        <f aca="false">IF(ISBLANK($C423),"",IF($AJ423&lt;&gt;Constants!$B$7,$AJ423,AK423))</f>
        <v/>
      </c>
      <c r="BG423" s="63" t="str">
        <f aca="false">IF(ISBLANK($C423),"",BA423)</f>
        <v/>
      </c>
      <c r="BH423" s="63" t="str">
        <f aca="false">IF(ISBLANK($C423),"",AZ423)</f>
        <v/>
      </c>
      <c r="BI423" s="66" t="str">
        <f aca="false">IF(ISBLANK($C423),"",IF(BH423=Constants!$B$4,COUNTA($C$8:$C$507)+2,IF(BH423=Constants!$B$5,COUNTA($C$8:$C$507)+1,IF(BH423=Constants!$B$6,COUNTA($C$8:$C$507),BH423))))</f>
        <v/>
      </c>
      <c r="BJ423" s="5"/>
      <c r="BK423" s="67" t="n">
        <f aca="false">IF(OR(ISNUMBER(BH423),BH423=Constants!$B$4,BH423=Constants!$B$6,BH423=Constants!$B$5),1,0)</f>
        <v>0</v>
      </c>
      <c r="BL423" s="67" t="n">
        <v>416</v>
      </c>
      <c r="BM423" s="67" t="str">
        <f aca="false">IF(ISBLANK($C423),"",IF(ISNUMBER(BI423),BI423+ROW($B423)/1000,""))</f>
        <v/>
      </c>
      <c r="BN423" s="67" t="str">
        <f aca="false">IF(ISNUMBER(BM423),RANK(BM423,$BM$8:$BM$507,1),"")</f>
        <v/>
      </c>
      <c r="BO423" s="67" t="str">
        <f aca="false">IF(ISBLANK($C423),"",$B423)</f>
        <v/>
      </c>
      <c r="BP423" s="67" t="str">
        <f aca="false">IF(ISBLANK($C423),"",$C423)</f>
        <v/>
      </c>
      <c r="BQ423" s="67" t="str">
        <f aca="false">IF(ISBLANK($C423),"",$D423)</f>
        <v/>
      </c>
      <c r="BR423" s="68" t="str">
        <f aca="false">BF423</f>
        <v/>
      </c>
      <c r="BS423" s="69" t="str">
        <f aca="false">BE423</f>
        <v/>
      </c>
      <c r="BT423" s="67" t="str">
        <f aca="false">IF(ISBLANK($C423),"",BH423)</f>
        <v/>
      </c>
      <c r="BU423" s="70" t="str">
        <f aca="false">IF($BL423&gt;$BK$7,"",VLOOKUP($BL423,$BN$8:$BT$507,7,FALSE()))</f>
        <v/>
      </c>
      <c r="BV423" s="71" t="str">
        <f aca="false">IF($BL423&gt;$BK$7,"",VLOOKUP($BL423,$BN$8:$BT$507,2,FALSE()))</f>
        <v/>
      </c>
      <c r="BW423" s="71" t="str">
        <f aca="false">IF($BL423&gt;$BK$7,"",VLOOKUP($BL423,$BN$8:$BT$507,3,FALSE()))</f>
        <v/>
      </c>
      <c r="BX423" s="71" t="str">
        <f aca="false">IF($BL423&gt;$BK$7,"",VLOOKUP($BL423,$BN$8:$BT$507,4,FALSE()))</f>
        <v/>
      </c>
      <c r="BY423" s="71" t="str">
        <f aca="false">IF($BL423&gt;$BK$7,"",VLOOKUP($BL423,$BN$8:$BT$507,5,FALSE()))</f>
        <v/>
      </c>
      <c r="BZ423" s="72" t="str">
        <f aca="false">IF($BL423&gt;$BK$7,"",VLOOKUP($BL423,$BN$8:$BT$507,6,FALSE()))</f>
        <v/>
      </c>
      <c r="CA423" s="48"/>
    </row>
    <row r="424" customFormat="false" ht="15.75" hidden="false" customHeight="false" outlineLevel="0" collapsed="false">
      <c r="A424" s="5"/>
      <c r="B424" s="121"/>
      <c r="C424" s="50"/>
      <c r="D424" s="51"/>
      <c r="E424" s="74"/>
      <c r="F424" s="122"/>
      <c r="G424" s="54"/>
      <c r="H424" s="123"/>
      <c r="I424" s="124"/>
      <c r="J424" s="54"/>
      <c r="K424" s="123"/>
      <c r="L424" s="54"/>
      <c r="M424" s="123"/>
      <c r="N424" s="54"/>
      <c r="O424" s="123"/>
      <c r="P424" s="54"/>
      <c r="Q424" s="123"/>
      <c r="R424" s="54"/>
      <c r="S424" s="74"/>
      <c r="T424" s="58"/>
      <c r="U424" s="59" t="str">
        <f aca="false">IF(ISBLANK($C424),"",IF(E424=Constants!$B$2, TRUE(), IF(E424=Constants!$B$3, FALSE(), TRUE())))</f>
        <v/>
      </c>
      <c r="V424" s="59" t="str">
        <f aca="false">IF(ISBLANK($C424),"",IF(F424=Constants!$B$2, TRUE(), IF(F424=Constants!$B$3, FALSE(), TRUE())))</f>
        <v/>
      </c>
      <c r="W424" s="59" t="str">
        <f aca="false">IF(ISBLANK($C424),"",IF(G424=Constants!$B$15,Constants!$B$8,IF(G424=Constants!$B$16,Constants!$B$9,Constants!$B$10)))</f>
        <v/>
      </c>
      <c r="X424" s="59" t="str">
        <f aca="false">IF(ISBLANK($C424),"",IF(H424=Constants!$B$2, TRUE(), IF(H424=Constants!$B$3, FALSE(), TRUE())))</f>
        <v/>
      </c>
      <c r="Y424" s="59" t="str">
        <f aca="false">IF(ISBLANK($C424),"",IF(I424=Constants!$B$19,Constants!$B$19,Constants!$B$18))</f>
        <v/>
      </c>
      <c r="Z424" s="59" t="str">
        <f aca="false">IF(ISBLANK($C424),"",IF(ISNUMBER(J424),IF(J424&gt;=0,J424,""),""))</f>
        <v/>
      </c>
      <c r="AA424" s="59" t="str">
        <f aca="false">IF(ISBLANK($C424),"",IF(K424=Constants!$B$19,Constants!$B$19,Constants!$B$18))</f>
        <v/>
      </c>
      <c r="AB424" s="59" t="str">
        <f aca="false">IF(ISBLANK($C424),"",IF(ISNUMBER(L424),IF(L424&gt;=0,L424,""),""))</f>
        <v/>
      </c>
      <c r="AC424" s="59" t="str">
        <f aca="false">IF(ISBLANK($C424),"",IF(M424=Constants!$B$19,Constants!$B$19,Constants!$B$18))</f>
        <v/>
      </c>
      <c r="AD424" s="59" t="str">
        <f aca="false">IF(ISBLANK($C424),"",IF(ISNUMBER(N424),IF(N424&gt;=0,N424,""),""))</f>
        <v/>
      </c>
      <c r="AE424" s="59" t="str">
        <f aca="false">IF(ISBLANK($C424),"",IF(O424=Constants!$B$19,Constants!$B$19,Constants!$B$18))</f>
        <v/>
      </c>
      <c r="AF424" s="59" t="str">
        <f aca="false">IF(ISBLANK($C424),"",IF(ISNUMBER(P424),IF(P424&gt;=0,P424,""),""))</f>
        <v/>
      </c>
      <c r="AG424" s="59" t="str">
        <f aca="false">IF(ISBLANK($C424),"",IF(Q424=Constants!$B$19,Constants!$B$19,Constants!$B$18))</f>
        <v/>
      </c>
      <c r="AH424" s="59" t="str">
        <f aca="false">IF(ISBLANK($C424),"",IF(ISNUMBER(R424),IF(R424&gt;=0,R424,""),""))</f>
        <v/>
      </c>
      <c r="AI424" s="59" t="str">
        <f aca="false">IF(ISBLANK($C424),"",IF(S424=Constants!$B$2, TRUE(), IF(S424=Constants!$B$3, FALSE(), FALSE())))</f>
        <v/>
      </c>
      <c r="AJ424" s="59" t="str">
        <f aca="false">IF(ISBLANK($C424),"",IF(AI424,Constants!$B$4,IF(COUNTA(E424:R424)=0,Constants!$B$5,IF(COUNTA(J424,L424,N424,P424,R424)=0,Constants!$B$6,Constants!$B$7))))</f>
        <v/>
      </c>
      <c r="AK424" s="59" t="str">
        <f aca="false">IF(ISBLANK($C424),"",IF($AJ424&lt;&gt;Constants!$B$7,$AJ424,IF(OR(NOT(X424),AND(NOT(U424),COUNTIFS(Y424:AG424,Constants!$B$18,Z424:AH424,"&gt;=0")&gt;0),AND(NOT(V424),COUNTIFS(Y424:AG424,Constants!$B$19,Z424:AH424,"&gt;=0")&gt;0)),Constants!$B$12,Constants!$B$11)))</f>
        <v/>
      </c>
      <c r="AL424" s="59" t="str">
        <f aca="false">IF($AJ424=Constants!$B$7,IF(Z424="",Constants!$B$13,Z424),"")</f>
        <v/>
      </c>
      <c r="AM424" s="59" t="str">
        <f aca="false">IF($AJ424=Constants!$B$7,IF(AB424="",Constants!$B$13,AB424),"")</f>
        <v/>
      </c>
      <c r="AN424" s="59" t="str">
        <f aca="false">IF($AJ424=Constants!$B$7,IF(AD424="",Constants!$B$13,AD424),"")</f>
        <v/>
      </c>
      <c r="AO424" s="59" t="str">
        <f aca="false">IF($AJ424=Constants!$B$7,IF(AF424="",Constants!$B$13,AF424),"")</f>
        <v/>
      </c>
      <c r="AP424" s="59" t="str">
        <f aca="false">IF($AJ424=Constants!$B$7,IF(AH424="",Constants!$B$13,AH424),"")</f>
        <v/>
      </c>
      <c r="AQ424" s="59" t="str">
        <f aca="false">IF($AJ424=Constants!$B$7,IF(SUMPRODUCT(--($AL424:$AP424&gt;AL424))+SUMPRODUCT(--($AL424:AL424=AL424))=1,1,IF(SUMPRODUCT(--($AL424:$AP424&gt;AM424))+SUMPRODUCT(--($AL424:AM424=AM424))=1,2,IF(SUMPRODUCT(--($AL424:$AP424&gt;AN424))+SUMPRODUCT(--($AL424:AN424=AN424))=1,3,IF(SUMPRODUCT(--($AL424:$AP424&gt;AO424))+SUMPRODUCT(--($AL424:AO424=AO424))=1,4,5)))),"")</f>
        <v/>
      </c>
      <c r="AR424" s="59" t="str">
        <f aca="false">IF($AJ424=Constants!$B$7,IF(SUMPRODUCT(--($AL424:$AP424&gt;AL424))+SUMPRODUCT(--($AL424:AL424=AL424))=2,1,IF(SUMPRODUCT(--($AL424:$AP424&gt;AM424))+SUMPRODUCT(--($AL424:AM424=AM424))=2,2,IF(SUMPRODUCT(--($AL424:$AP424&gt;AN424))+SUMPRODUCT(--($AL424:AN424=AN424))=2,3,IF(SUMPRODUCT(--($AL424:$AP424&gt;AO424))+SUMPRODUCT(--($AL424:AO424=AO424))=2,4,5)))),"")</f>
        <v/>
      </c>
      <c r="AS424" s="59" t="str">
        <f aca="false">IF($AJ424=Constants!$B$7,IF(SUMPRODUCT(--($AL424:$AP424&gt;AL424))+SUMPRODUCT(--($AL424:AL424=AL424))=3,1,IF(SUMPRODUCT(--($AL424:$AP424&gt;AM424))+SUMPRODUCT(--($AL424:AM424=AM424))=3,2,IF(SUMPRODUCT(--($AL424:$AP424&gt;AN424))+SUMPRODUCT(--($AL424:AN424=AN424))=3,3,IF(SUMPRODUCT(--($AL424:$AP424&gt;AO424))+SUMPRODUCT(--($AL424:AO424=AO424))=3,4,5)))),"")</f>
        <v/>
      </c>
      <c r="AT424" s="59" t="str">
        <f aca="false">IF($AJ424=Constants!$B$7,LARGE(AL424:AP424,1)+LARGE(AL424:AP424,2)+LARGE(AL424:AP424,3),"")</f>
        <v/>
      </c>
      <c r="AU424" s="59" t="str">
        <f aca="false">IF(ISBLANK($C424),"",IF($AJ424&lt;&gt;Constants!$B$7,$AJ424,AT424*W424))</f>
        <v/>
      </c>
      <c r="AV424" s="59" t="str">
        <f aca="false">IF(ISBLANK($C424),"",IF($AJ424=Constants!$B$7,IF(ISNUMBER(AU424),RANK(AU424,$AU$8:$AU$507),Constants!$B$14),$AJ424))</f>
        <v/>
      </c>
      <c r="AW424" s="59" t="str">
        <f aca="false">IF(ISBLANK($C424),"",IF($AJ424=Constants!$B$7,IF(ISNUMBER(AV424),COUNTIFS($AK$8:$AK$507,"&lt;"&amp;$AK424)+COUNTIFS($AK$8:$AK$507,$AK424,$AV$8:$AV$507,"&lt;"&amp;$AV424)+1,Constants!$B$14),$AJ424))</f>
        <v/>
      </c>
      <c r="AX424" s="59" t="str">
        <f aca="false">IF(ISBLANK($C424),"",IF($AJ424=Constants!$B$7,LARGE(AL424:AP424,4)*W424,""))</f>
        <v/>
      </c>
      <c r="AY424" s="59" t="str">
        <f aca="false">IF(ISBLANK($C424),"",IF($AJ424=Constants!$B$7,RANK(AX424,$AX$8:$AX$507),$AJ424))</f>
        <v/>
      </c>
      <c r="AZ424" s="59" t="str">
        <f aca="false">IF(ISBLANK($C424),"",IF($AJ424=Constants!$B$7,IF(ISNUMBER(AV424),COUNTIFS($AK$8:$AK$507,"&lt;"&amp;$AK424)+COUNTIFS($AK$8:$AK$507,$AK424,$AV$8:$AV$507,"&lt;"&amp;$AV424)+COUNTIFS($AK$8:$AK$507,$AK424,$AV$8:$AV$507,$AV424,$AY$8:$AY$507,"&lt;"&amp;$AY424)+1,Constants!$B$14),$AJ424))</f>
        <v/>
      </c>
      <c r="BA424" s="59" t="str">
        <f aca="false">IF(ISBLANK($C424),"",IF($AJ424=Constants!$B$7,IF(ISNUMBER(AW424),AW424-AZ424,Constants!$B$14),$AJ424))</f>
        <v/>
      </c>
      <c r="BB424" s="61"/>
      <c r="BC424" s="62" t="str">
        <f aca="false">IF(ISBLANK($C424),"",IF($AJ424&lt;&gt;Constants!$B$7,$AJ424,SMALL(AQ424:AS424,1)&amp;", "&amp;SMALL(AQ424:AS424,2)&amp;", "&amp;SMALL(AQ424:AS424,3)))</f>
        <v/>
      </c>
      <c r="BD424" s="63" t="str">
        <f aca="false">IF(ISBLANK($C424),"",IF($AJ424&lt;&gt;Constants!$B$7,$AJ424,W424))</f>
        <v/>
      </c>
      <c r="BE424" s="64" t="str">
        <f aca="false">IF(ISBLANK($C424),"",IF($AJ424&lt;&gt;Constants!$B$7,$AJ424,AU424))</f>
        <v/>
      </c>
      <c r="BF424" s="65" t="str">
        <f aca="false">IF(ISBLANK($C424),"",IF($AJ424&lt;&gt;Constants!$B$7,$AJ424,AK424))</f>
        <v/>
      </c>
      <c r="BG424" s="63" t="str">
        <f aca="false">IF(ISBLANK($C424),"",BA424)</f>
        <v/>
      </c>
      <c r="BH424" s="63" t="str">
        <f aca="false">IF(ISBLANK($C424),"",AZ424)</f>
        <v/>
      </c>
      <c r="BI424" s="66" t="str">
        <f aca="false">IF(ISBLANK($C424),"",IF(BH424=Constants!$B$4,COUNTA($C$8:$C$507)+2,IF(BH424=Constants!$B$5,COUNTA($C$8:$C$507)+1,IF(BH424=Constants!$B$6,COUNTA($C$8:$C$507),BH424))))</f>
        <v/>
      </c>
      <c r="BJ424" s="5"/>
      <c r="BK424" s="67" t="n">
        <f aca="false">IF(OR(ISNUMBER(BH424),BH424=Constants!$B$4,BH424=Constants!$B$6,BH424=Constants!$B$5),1,0)</f>
        <v>0</v>
      </c>
      <c r="BL424" s="67" t="n">
        <v>417</v>
      </c>
      <c r="BM424" s="67" t="str">
        <f aca="false">IF(ISBLANK($C424),"",IF(ISNUMBER(BI424),BI424+ROW($B424)/1000,""))</f>
        <v/>
      </c>
      <c r="BN424" s="67" t="str">
        <f aca="false">IF(ISNUMBER(BM424),RANK(BM424,$BM$8:$BM$507,1),"")</f>
        <v/>
      </c>
      <c r="BO424" s="67" t="str">
        <f aca="false">IF(ISBLANK($C424),"",$B424)</f>
        <v/>
      </c>
      <c r="BP424" s="67" t="str">
        <f aca="false">IF(ISBLANK($C424),"",$C424)</f>
        <v/>
      </c>
      <c r="BQ424" s="67" t="str">
        <f aca="false">IF(ISBLANK($C424),"",$D424)</f>
        <v/>
      </c>
      <c r="BR424" s="68" t="str">
        <f aca="false">BF424</f>
        <v/>
      </c>
      <c r="BS424" s="69" t="str">
        <f aca="false">BE424</f>
        <v/>
      </c>
      <c r="BT424" s="67" t="str">
        <f aca="false">IF(ISBLANK($C424),"",BH424)</f>
        <v/>
      </c>
      <c r="BU424" s="70" t="str">
        <f aca="false">IF($BL424&gt;$BK$7,"",VLOOKUP($BL424,$BN$8:$BT$507,7,FALSE()))</f>
        <v/>
      </c>
      <c r="BV424" s="71" t="str">
        <f aca="false">IF($BL424&gt;$BK$7,"",VLOOKUP($BL424,$BN$8:$BT$507,2,FALSE()))</f>
        <v/>
      </c>
      <c r="BW424" s="71" t="str">
        <f aca="false">IF($BL424&gt;$BK$7,"",VLOOKUP($BL424,$BN$8:$BT$507,3,FALSE()))</f>
        <v/>
      </c>
      <c r="BX424" s="71" t="str">
        <f aca="false">IF($BL424&gt;$BK$7,"",VLOOKUP($BL424,$BN$8:$BT$507,4,FALSE()))</f>
        <v/>
      </c>
      <c r="BY424" s="71" t="str">
        <f aca="false">IF($BL424&gt;$BK$7,"",VLOOKUP($BL424,$BN$8:$BT$507,5,FALSE()))</f>
        <v/>
      </c>
      <c r="BZ424" s="72" t="str">
        <f aca="false">IF($BL424&gt;$BK$7,"",VLOOKUP($BL424,$BN$8:$BT$507,6,FALSE()))</f>
        <v/>
      </c>
      <c r="CA424" s="48"/>
    </row>
    <row r="425" customFormat="false" ht="15.75" hidden="false" customHeight="false" outlineLevel="0" collapsed="false">
      <c r="A425" s="5"/>
      <c r="B425" s="114"/>
      <c r="C425" s="115"/>
      <c r="D425" s="100"/>
      <c r="E425" s="120"/>
      <c r="F425" s="125"/>
      <c r="G425" s="82"/>
      <c r="H425" s="126"/>
      <c r="I425" s="127"/>
      <c r="J425" s="82"/>
      <c r="K425" s="126"/>
      <c r="L425" s="82"/>
      <c r="M425" s="126"/>
      <c r="N425" s="82"/>
      <c r="O425" s="126"/>
      <c r="P425" s="82"/>
      <c r="Q425" s="126"/>
      <c r="R425" s="82"/>
      <c r="S425" s="120"/>
      <c r="T425" s="86"/>
      <c r="U425" s="87" t="str">
        <f aca="false">IF(ISBLANK($C425),"",IF(E425=Constants!$B$2, TRUE(), IF(E425=Constants!$B$3, FALSE(), TRUE())))</f>
        <v/>
      </c>
      <c r="V425" s="87" t="str">
        <f aca="false">IF(ISBLANK($C425),"",IF(F425=Constants!$B$2, TRUE(), IF(F425=Constants!$B$3, FALSE(), TRUE())))</f>
        <v/>
      </c>
      <c r="W425" s="87" t="str">
        <f aca="false">IF(ISBLANK($C425),"",IF(G425=Constants!$B$15,Constants!$B$8,IF(G425=Constants!$B$16,Constants!$B$9,Constants!$B$10)))</f>
        <v/>
      </c>
      <c r="X425" s="87" t="str">
        <f aca="false">IF(ISBLANK($C425),"",IF(H425=Constants!$B$2, TRUE(), IF(H425=Constants!$B$3, FALSE(), TRUE())))</f>
        <v/>
      </c>
      <c r="Y425" s="87" t="str">
        <f aca="false">IF(ISBLANK($C425),"",IF(I425=Constants!$B$19,Constants!$B$19,Constants!$B$18))</f>
        <v/>
      </c>
      <c r="Z425" s="87" t="str">
        <f aca="false">IF(ISBLANK($C425),"",IF(ISNUMBER(J425),IF(J425&gt;=0,J425,""),""))</f>
        <v/>
      </c>
      <c r="AA425" s="87" t="str">
        <f aca="false">IF(ISBLANK($C425),"",IF(K425=Constants!$B$19,Constants!$B$19,Constants!$B$18))</f>
        <v/>
      </c>
      <c r="AB425" s="87" t="str">
        <f aca="false">IF(ISBLANK($C425),"",IF(ISNUMBER(L425),IF(L425&gt;=0,L425,""),""))</f>
        <v/>
      </c>
      <c r="AC425" s="87" t="str">
        <f aca="false">IF(ISBLANK($C425),"",IF(M425=Constants!$B$19,Constants!$B$19,Constants!$B$18))</f>
        <v/>
      </c>
      <c r="AD425" s="87" t="str">
        <f aca="false">IF(ISBLANK($C425),"",IF(ISNUMBER(N425),IF(N425&gt;=0,N425,""),""))</f>
        <v/>
      </c>
      <c r="AE425" s="87" t="str">
        <f aca="false">IF(ISBLANK($C425),"",IF(O425=Constants!$B$19,Constants!$B$19,Constants!$B$18))</f>
        <v/>
      </c>
      <c r="AF425" s="87" t="str">
        <f aca="false">IF(ISBLANK($C425),"",IF(ISNUMBER(P425),IF(P425&gt;=0,P425,""),""))</f>
        <v/>
      </c>
      <c r="AG425" s="87" t="str">
        <f aca="false">IF(ISBLANK($C425),"",IF(Q425=Constants!$B$19,Constants!$B$19,Constants!$B$18))</f>
        <v/>
      </c>
      <c r="AH425" s="87" t="str">
        <f aca="false">IF(ISBLANK($C425),"",IF(ISNUMBER(R425),IF(R425&gt;=0,R425,""),""))</f>
        <v/>
      </c>
      <c r="AI425" s="87" t="str">
        <f aca="false">IF(ISBLANK($C425),"",IF(S425=Constants!$B$2, TRUE(), IF(S425=Constants!$B$3, FALSE(), FALSE())))</f>
        <v/>
      </c>
      <c r="AJ425" s="87" t="str">
        <f aca="false">IF(ISBLANK($C425),"",IF(AI425,Constants!$B$4,IF(COUNTA(E425:R425)=0,Constants!$B$5,IF(COUNTA(J425,L425,N425,P425,R425)=0,Constants!$B$6,Constants!$B$7))))</f>
        <v/>
      </c>
      <c r="AK425" s="87" t="str">
        <f aca="false">IF(ISBLANK($C425),"",IF($AJ425&lt;&gt;Constants!$B$7,$AJ425,IF(OR(NOT(X425),AND(NOT(U425),COUNTIFS(Y425:AG425,Constants!$B$18,Z425:AH425,"&gt;=0")&gt;0),AND(NOT(V425),COUNTIFS(Y425:AG425,Constants!$B$19,Z425:AH425,"&gt;=0")&gt;0)),Constants!$B$12,Constants!$B$11)))</f>
        <v/>
      </c>
      <c r="AL425" s="87" t="str">
        <f aca="false">IF($AJ425=Constants!$B$7,IF(Z425="",Constants!$B$13,Z425),"")</f>
        <v/>
      </c>
      <c r="AM425" s="87" t="str">
        <f aca="false">IF($AJ425=Constants!$B$7,IF(AB425="",Constants!$B$13,AB425),"")</f>
        <v/>
      </c>
      <c r="AN425" s="87" t="str">
        <f aca="false">IF($AJ425=Constants!$B$7,IF(AD425="",Constants!$B$13,AD425),"")</f>
        <v/>
      </c>
      <c r="AO425" s="87" t="str">
        <f aca="false">IF($AJ425=Constants!$B$7,IF(AF425="",Constants!$B$13,AF425),"")</f>
        <v/>
      </c>
      <c r="AP425" s="87" t="str">
        <f aca="false">IF($AJ425=Constants!$B$7,IF(AH425="",Constants!$B$13,AH425),"")</f>
        <v/>
      </c>
      <c r="AQ425" s="87" t="str">
        <f aca="false">IF($AJ425=Constants!$B$7,IF(SUMPRODUCT(--($AL425:$AP425&gt;AL425))+SUMPRODUCT(--($AL425:AL425=AL425))=1,1,IF(SUMPRODUCT(--($AL425:$AP425&gt;AM425))+SUMPRODUCT(--($AL425:AM425=AM425))=1,2,IF(SUMPRODUCT(--($AL425:$AP425&gt;AN425))+SUMPRODUCT(--($AL425:AN425=AN425))=1,3,IF(SUMPRODUCT(--($AL425:$AP425&gt;AO425))+SUMPRODUCT(--($AL425:AO425=AO425))=1,4,5)))),"")</f>
        <v/>
      </c>
      <c r="AR425" s="87" t="str">
        <f aca="false">IF($AJ425=Constants!$B$7,IF(SUMPRODUCT(--($AL425:$AP425&gt;AL425))+SUMPRODUCT(--($AL425:AL425=AL425))=2,1,IF(SUMPRODUCT(--($AL425:$AP425&gt;AM425))+SUMPRODUCT(--($AL425:AM425=AM425))=2,2,IF(SUMPRODUCT(--($AL425:$AP425&gt;AN425))+SUMPRODUCT(--($AL425:AN425=AN425))=2,3,IF(SUMPRODUCT(--($AL425:$AP425&gt;AO425))+SUMPRODUCT(--($AL425:AO425=AO425))=2,4,5)))),"")</f>
        <v/>
      </c>
      <c r="AS425" s="87" t="str">
        <f aca="false">IF($AJ425=Constants!$B$7,IF(SUMPRODUCT(--($AL425:$AP425&gt;AL425))+SUMPRODUCT(--($AL425:AL425=AL425))=3,1,IF(SUMPRODUCT(--($AL425:$AP425&gt;AM425))+SUMPRODUCT(--($AL425:AM425=AM425))=3,2,IF(SUMPRODUCT(--($AL425:$AP425&gt;AN425))+SUMPRODUCT(--($AL425:AN425=AN425))=3,3,IF(SUMPRODUCT(--($AL425:$AP425&gt;AO425))+SUMPRODUCT(--($AL425:AO425=AO425))=3,4,5)))),"")</f>
        <v/>
      </c>
      <c r="AT425" s="87" t="str">
        <f aca="false">IF($AJ425=Constants!$B$7,LARGE(AL425:AP425,1)+LARGE(AL425:AP425,2)+LARGE(AL425:AP425,3),"")</f>
        <v/>
      </c>
      <c r="AU425" s="87" t="str">
        <f aca="false">IF(ISBLANK($C425),"",IF($AJ425&lt;&gt;Constants!$B$7,$AJ425,AT425*W425))</f>
        <v/>
      </c>
      <c r="AV425" s="87" t="str">
        <f aca="false">IF(ISBLANK($C425),"",IF($AJ425=Constants!$B$7,IF(ISNUMBER(AU425),RANK(AU425,$AU$8:$AU$507),Constants!$B$14),$AJ425))</f>
        <v/>
      </c>
      <c r="AW425" s="87" t="str">
        <f aca="false">IF(ISBLANK($C425),"",IF($AJ425=Constants!$B$7,IF(ISNUMBER(AV425),COUNTIFS($AK$8:$AK$507,"&lt;"&amp;$AK425)+COUNTIFS($AK$8:$AK$507,$AK425,$AV$8:$AV$507,"&lt;"&amp;$AV425)+1,Constants!$B$14),$AJ425))</f>
        <v/>
      </c>
      <c r="AX425" s="87" t="str">
        <f aca="false">IF(ISBLANK($C425),"",IF($AJ425=Constants!$B$7,LARGE(AL425:AP425,4)*W425,""))</f>
        <v/>
      </c>
      <c r="AY425" s="87" t="str">
        <f aca="false">IF(ISBLANK($C425),"",IF($AJ425=Constants!$B$7,RANK(AX425,$AX$8:$AX$507),$AJ425))</f>
        <v/>
      </c>
      <c r="AZ425" s="87" t="str">
        <f aca="false">IF(ISBLANK($C425),"",IF($AJ425=Constants!$B$7,IF(ISNUMBER(AV425),COUNTIFS($AK$8:$AK$507,"&lt;"&amp;$AK425)+COUNTIFS($AK$8:$AK$507,$AK425,$AV$8:$AV$507,"&lt;"&amp;$AV425)+COUNTIFS($AK$8:$AK$507,$AK425,$AV$8:$AV$507,$AV425,$AY$8:$AY$507,"&lt;"&amp;$AY425)+1,Constants!$B$14),$AJ425))</f>
        <v/>
      </c>
      <c r="BA425" s="87" t="str">
        <f aca="false">IF(ISBLANK($C425),"",IF($AJ425=Constants!$B$7,IF(ISNUMBER(AW425),AW425-AZ425,Constants!$B$14),$AJ425))</f>
        <v/>
      </c>
      <c r="BB425" s="88"/>
      <c r="BC425" s="89" t="str">
        <f aca="false">IF(ISBLANK($C425),"",IF($AJ425&lt;&gt;Constants!$B$7,$AJ425,SMALL(AQ425:AS425,1)&amp;", "&amp;SMALL(AQ425:AS425,2)&amp;", "&amp;SMALL(AQ425:AS425,3)))</f>
        <v/>
      </c>
      <c r="BD425" s="90" t="str">
        <f aca="false">IF(ISBLANK($C425),"",IF($AJ425&lt;&gt;Constants!$B$7,$AJ425,W425))</f>
        <v/>
      </c>
      <c r="BE425" s="91" t="str">
        <f aca="false">IF(ISBLANK($C425),"",IF($AJ425&lt;&gt;Constants!$B$7,$AJ425,AU425))</f>
        <v/>
      </c>
      <c r="BF425" s="92" t="str">
        <f aca="false">IF(ISBLANK($C425),"",IF($AJ425&lt;&gt;Constants!$B$7,$AJ425,AK425))</f>
        <v/>
      </c>
      <c r="BG425" s="90" t="str">
        <f aca="false">IF(ISBLANK($C425),"",BA425)</f>
        <v/>
      </c>
      <c r="BH425" s="90" t="str">
        <f aca="false">IF(ISBLANK($C425),"",AZ425)</f>
        <v/>
      </c>
      <c r="BI425" s="93" t="str">
        <f aca="false">IF(ISBLANK($C425),"",IF(BH425=Constants!$B$4,COUNTA($C$8:$C$507)+2,IF(BH425=Constants!$B$5,COUNTA($C$8:$C$507)+1,IF(BH425=Constants!$B$6,COUNTA($C$8:$C$507),BH425))))</f>
        <v/>
      </c>
      <c r="BJ425" s="5"/>
      <c r="BK425" s="94" t="n">
        <f aca="false">IF(OR(ISNUMBER(BH425),BH425=Constants!$B$4,BH425=Constants!$B$6,BH425=Constants!$B$5),1,0)</f>
        <v>0</v>
      </c>
      <c r="BL425" s="94" t="n">
        <v>418</v>
      </c>
      <c r="BM425" s="94" t="str">
        <f aca="false">IF(ISBLANK($C425),"",IF(ISNUMBER(BI425),BI425+ROW($B425)/1000,""))</f>
        <v/>
      </c>
      <c r="BN425" s="94" t="str">
        <f aca="false">IF(ISNUMBER(BM425),RANK(BM425,$BM$8:$BM$507,1),"")</f>
        <v/>
      </c>
      <c r="BO425" s="94" t="str">
        <f aca="false">IF(ISBLANK($C425),"",$B425)</f>
        <v/>
      </c>
      <c r="BP425" s="94" t="str">
        <f aca="false">IF(ISBLANK($C425),"",$C425)</f>
        <v/>
      </c>
      <c r="BQ425" s="94" t="str">
        <f aca="false">IF(ISBLANK($C425),"",$D425)</f>
        <v/>
      </c>
      <c r="BR425" s="95" t="str">
        <f aca="false">BF425</f>
        <v/>
      </c>
      <c r="BS425" s="96" t="str">
        <f aca="false">BE425</f>
        <v/>
      </c>
      <c r="BT425" s="94" t="str">
        <f aca="false">IF(ISBLANK($C425),"",BH425)</f>
        <v/>
      </c>
      <c r="BU425" s="97" t="str">
        <f aca="false">IF($BL425&gt;$BK$7,"",VLOOKUP($BL425,$BN$8:$BT$507,7,FALSE()))</f>
        <v/>
      </c>
      <c r="BV425" s="98" t="str">
        <f aca="false">IF($BL425&gt;$BK$7,"",VLOOKUP($BL425,$BN$8:$BT$507,2,FALSE()))</f>
        <v/>
      </c>
      <c r="BW425" s="98" t="str">
        <f aca="false">IF($BL425&gt;$BK$7,"",VLOOKUP($BL425,$BN$8:$BT$507,3,FALSE()))</f>
        <v/>
      </c>
      <c r="BX425" s="98" t="str">
        <f aca="false">IF($BL425&gt;$BK$7,"",VLOOKUP($BL425,$BN$8:$BT$507,4,FALSE()))</f>
        <v/>
      </c>
      <c r="BY425" s="98" t="str">
        <f aca="false">IF($BL425&gt;$BK$7,"",VLOOKUP($BL425,$BN$8:$BT$507,5,FALSE()))</f>
        <v/>
      </c>
      <c r="BZ425" s="99" t="str">
        <f aca="false">IF($BL425&gt;$BK$7,"",VLOOKUP($BL425,$BN$8:$BT$507,6,FALSE()))</f>
        <v/>
      </c>
      <c r="CA425" s="48"/>
    </row>
    <row r="426" customFormat="false" ht="15.75" hidden="false" customHeight="false" outlineLevel="0" collapsed="false">
      <c r="A426" s="5"/>
      <c r="B426" s="114"/>
      <c r="C426" s="115"/>
      <c r="D426" s="100"/>
      <c r="E426" s="120"/>
      <c r="F426" s="125"/>
      <c r="G426" s="82"/>
      <c r="H426" s="126"/>
      <c r="I426" s="127"/>
      <c r="J426" s="82"/>
      <c r="K426" s="126"/>
      <c r="L426" s="82"/>
      <c r="M426" s="126"/>
      <c r="N426" s="82"/>
      <c r="O426" s="126"/>
      <c r="P426" s="82"/>
      <c r="Q426" s="126"/>
      <c r="R426" s="82"/>
      <c r="S426" s="120"/>
      <c r="T426" s="86"/>
      <c r="U426" s="87" t="str">
        <f aca="false">IF(ISBLANK($C426),"",IF(E426=Constants!$B$2, TRUE(), IF(E426=Constants!$B$3, FALSE(), TRUE())))</f>
        <v/>
      </c>
      <c r="V426" s="87" t="str">
        <f aca="false">IF(ISBLANK($C426),"",IF(F426=Constants!$B$2, TRUE(), IF(F426=Constants!$B$3, FALSE(), TRUE())))</f>
        <v/>
      </c>
      <c r="W426" s="87" t="str">
        <f aca="false">IF(ISBLANK($C426),"",IF(G426=Constants!$B$15,Constants!$B$8,IF(G426=Constants!$B$16,Constants!$B$9,Constants!$B$10)))</f>
        <v/>
      </c>
      <c r="X426" s="87" t="str">
        <f aca="false">IF(ISBLANK($C426),"",IF(H426=Constants!$B$2, TRUE(), IF(H426=Constants!$B$3, FALSE(), TRUE())))</f>
        <v/>
      </c>
      <c r="Y426" s="87" t="str">
        <f aca="false">IF(ISBLANK($C426),"",IF(I426=Constants!$B$19,Constants!$B$19,Constants!$B$18))</f>
        <v/>
      </c>
      <c r="Z426" s="87" t="str">
        <f aca="false">IF(ISBLANK($C426),"",IF(ISNUMBER(J426),IF(J426&gt;=0,J426,""),""))</f>
        <v/>
      </c>
      <c r="AA426" s="87" t="str">
        <f aca="false">IF(ISBLANK($C426),"",IF(K426=Constants!$B$19,Constants!$B$19,Constants!$B$18))</f>
        <v/>
      </c>
      <c r="AB426" s="87" t="str">
        <f aca="false">IF(ISBLANK($C426),"",IF(ISNUMBER(L426),IF(L426&gt;=0,L426,""),""))</f>
        <v/>
      </c>
      <c r="AC426" s="87" t="str">
        <f aca="false">IF(ISBLANK($C426),"",IF(M426=Constants!$B$19,Constants!$B$19,Constants!$B$18))</f>
        <v/>
      </c>
      <c r="AD426" s="87" t="str">
        <f aca="false">IF(ISBLANK($C426),"",IF(ISNUMBER(N426),IF(N426&gt;=0,N426,""),""))</f>
        <v/>
      </c>
      <c r="AE426" s="87" t="str">
        <f aca="false">IF(ISBLANK($C426),"",IF(O426=Constants!$B$19,Constants!$B$19,Constants!$B$18))</f>
        <v/>
      </c>
      <c r="AF426" s="87" t="str">
        <f aca="false">IF(ISBLANK($C426),"",IF(ISNUMBER(P426),IF(P426&gt;=0,P426,""),""))</f>
        <v/>
      </c>
      <c r="AG426" s="87" t="str">
        <f aca="false">IF(ISBLANK($C426),"",IF(Q426=Constants!$B$19,Constants!$B$19,Constants!$B$18))</f>
        <v/>
      </c>
      <c r="AH426" s="87" t="str">
        <f aca="false">IF(ISBLANK($C426),"",IF(ISNUMBER(R426),IF(R426&gt;=0,R426,""),""))</f>
        <v/>
      </c>
      <c r="AI426" s="87" t="str">
        <f aca="false">IF(ISBLANK($C426),"",IF(S426=Constants!$B$2, TRUE(), IF(S426=Constants!$B$3, FALSE(), FALSE())))</f>
        <v/>
      </c>
      <c r="AJ426" s="87" t="str">
        <f aca="false">IF(ISBLANK($C426),"",IF(AI426,Constants!$B$4,IF(COUNTA(E426:R426)=0,Constants!$B$5,IF(COUNTA(J426,L426,N426,P426,R426)=0,Constants!$B$6,Constants!$B$7))))</f>
        <v/>
      </c>
      <c r="AK426" s="87" t="str">
        <f aca="false">IF(ISBLANK($C426),"",IF($AJ426&lt;&gt;Constants!$B$7,$AJ426,IF(OR(NOT(X426),AND(NOT(U426),COUNTIFS(Y426:AG426,Constants!$B$18,Z426:AH426,"&gt;=0")&gt;0),AND(NOT(V426),COUNTIFS(Y426:AG426,Constants!$B$19,Z426:AH426,"&gt;=0")&gt;0)),Constants!$B$12,Constants!$B$11)))</f>
        <v/>
      </c>
      <c r="AL426" s="87" t="str">
        <f aca="false">IF($AJ426=Constants!$B$7,IF(Z426="",Constants!$B$13,Z426),"")</f>
        <v/>
      </c>
      <c r="AM426" s="87" t="str">
        <f aca="false">IF($AJ426=Constants!$B$7,IF(AB426="",Constants!$B$13,AB426),"")</f>
        <v/>
      </c>
      <c r="AN426" s="87" t="str">
        <f aca="false">IF($AJ426=Constants!$B$7,IF(AD426="",Constants!$B$13,AD426),"")</f>
        <v/>
      </c>
      <c r="AO426" s="87" t="str">
        <f aca="false">IF($AJ426=Constants!$B$7,IF(AF426="",Constants!$B$13,AF426),"")</f>
        <v/>
      </c>
      <c r="AP426" s="87" t="str">
        <f aca="false">IF($AJ426=Constants!$B$7,IF(AH426="",Constants!$B$13,AH426),"")</f>
        <v/>
      </c>
      <c r="AQ426" s="87" t="str">
        <f aca="false">IF($AJ426=Constants!$B$7,IF(SUMPRODUCT(--($AL426:$AP426&gt;AL426))+SUMPRODUCT(--($AL426:AL426=AL426))=1,1,IF(SUMPRODUCT(--($AL426:$AP426&gt;AM426))+SUMPRODUCT(--($AL426:AM426=AM426))=1,2,IF(SUMPRODUCT(--($AL426:$AP426&gt;AN426))+SUMPRODUCT(--($AL426:AN426=AN426))=1,3,IF(SUMPRODUCT(--($AL426:$AP426&gt;AO426))+SUMPRODUCT(--($AL426:AO426=AO426))=1,4,5)))),"")</f>
        <v/>
      </c>
      <c r="AR426" s="87" t="str">
        <f aca="false">IF($AJ426=Constants!$B$7,IF(SUMPRODUCT(--($AL426:$AP426&gt;AL426))+SUMPRODUCT(--($AL426:AL426=AL426))=2,1,IF(SUMPRODUCT(--($AL426:$AP426&gt;AM426))+SUMPRODUCT(--($AL426:AM426=AM426))=2,2,IF(SUMPRODUCT(--($AL426:$AP426&gt;AN426))+SUMPRODUCT(--($AL426:AN426=AN426))=2,3,IF(SUMPRODUCT(--($AL426:$AP426&gt;AO426))+SUMPRODUCT(--($AL426:AO426=AO426))=2,4,5)))),"")</f>
        <v/>
      </c>
      <c r="AS426" s="87" t="str">
        <f aca="false">IF($AJ426=Constants!$B$7,IF(SUMPRODUCT(--($AL426:$AP426&gt;AL426))+SUMPRODUCT(--($AL426:AL426=AL426))=3,1,IF(SUMPRODUCT(--($AL426:$AP426&gt;AM426))+SUMPRODUCT(--($AL426:AM426=AM426))=3,2,IF(SUMPRODUCT(--($AL426:$AP426&gt;AN426))+SUMPRODUCT(--($AL426:AN426=AN426))=3,3,IF(SUMPRODUCT(--($AL426:$AP426&gt;AO426))+SUMPRODUCT(--($AL426:AO426=AO426))=3,4,5)))),"")</f>
        <v/>
      </c>
      <c r="AT426" s="87" t="str">
        <f aca="false">IF($AJ426=Constants!$B$7,LARGE(AL426:AP426,1)+LARGE(AL426:AP426,2)+LARGE(AL426:AP426,3),"")</f>
        <v/>
      </c>
      <c r="AU426" s="87" t="str">
        <f aca="false">IF(ISBLANK($C426),"",IF($AJ426&lt;&gt;Constants!$B$7,$AJ426,AT426*W426))</f>
        <v/>
      </c>
      <c r="AV426" s="87" t="str">
        <f aca="false">IF(ISBLANK($C426),"",IF($AJ426=Constants!$B$7,IF(ISNUMBER(AU426),RANK(AU426,$AU$8:$AU$507),Constants!$B$14),$AJ426))</f>
        <v/>
      </c>
      <c r="AW426" s="87" t="str">
        <f aca="false">IF(ISBLANK($C426),"",IF($AJ426=Constants!$B$7,IF(ISNUMBER(AV426),COUNTIFS($AK$8:$AK$507,"&lt;"&amp;$AK426)+COUNTIFS($AK$8:$AK$507,$AK426,$AV$8:$AV$507,"&lt;"&amp;$AV426)+1,Constants!$B$14),$AJ426))</f>
        <v/>
      </c>
      <c r="AX426" s="87" t="str">
        <f aca="false">IF(ISBLANK($C426),"",IF($AJ426=Constants!$B$7,LARGE(AL426:AP426,4)*W426,""))</f>
        <v/>
      </c>
      <c r="AY426" s="87" t="str">
        <f aca="false">IF(ISBLANK($C426),"",IF($AJ426=Constants!$B$7,RANK(AX426,$AX$8:$AX$507),$AJ426))</f>
        <v/>
      </c>
      <c r="AZ426" s="87" t="str">
        <f aca="false">IF(ISBLANK($C426),"",IF($AJ426=Constants!$B$7,IF(ISNUMBER(AV426),COUNTIFS($AK$8:$AK$507,"&lt;"&amp;$AK426)+COUNTIFS($AK$8:$AK$507,$AK426,$AV$8:$AV$507,"&lt;"&amp;$AV426)+COUNTIFS($AK$8:$AK$507,$AK426,$AV$8:$AV$507,$AV426,$AY$8:$AY$507,"&lt;"&amp;$AY426)+1,Constants!$B$14),$AJ426))</f>
        <v/>
      </c>
      <c r="BA426" s="87" t="str">
        <f aca="false">IF(ISBLANK($C426),"",IF($AJ426=Constants!$B$7,IF(ISNUMBER(AW426),AW426-AZ426,Constants!$B$14),$AJ426))</f>
        <v/>
      </c>
      <c r="BB426" s="88"/>
      <c r="BC426" s="89" t="str">
        <f aca="false">IF(ISBLANK($C426),"",IF($AJ426&lt;&gt;Constants!$B$7,$AJ426,SMALL(AQ426:AS426,1)&amp;", "&amp;SMALL(AQ426:AS426,2)&amp;", "&amp;SMALL(AQ426:AS426,3)))</f>
        <v/>
      </c>
      <c r="BD426" s="90" t="str">
        <f aca="false">IF(ISBLANK($C426),"",IF($AJ426&lt;&gt;Constants!$B$7,$AJ426,W426))</f>
        <v/>
      </c>
      <c r="BE426" s="91" t="str">
        <f aca="false">IF(ISBLANK($C426),"",IF($AJ426&lt;&gt;Constants!$B$7,$AJ426,AU426))</f>
        <v/>
      </c>
      <c r="BF426" s="92" t="str">
        <f aca="false">IF(ISBLANK($C426),"",IF($AJ426&lt;&gt;Constants!$B$7,$AJ426,AK426))</f>
        <v/>
      </c>
      <c r="BG426" s="90" t="str">
        <f aca="false">IF(ISBLANK($C426),"",BA426)</f>
        <v/>
      </c>
      <c r="BH426" s="90" t="str">
        <f aca="false">IF(ISBLANK($C426),"",AZ426)</f>
        <v/>
      </c>
      <c r="BI426" s="93" t="str">
        <f aca="false">IF(ISBLANK($C426),"",IF(BH426=Constants!$B$4,COUNTA($C$8:$C$507)+2,IF(BH426=Constants!$B$5,COUNTA($C$8:$C$507)+1,IF(BH426=Constants!$B$6,COUNTA($C$8:$C$507),BH426))))</f>
        <v/>
      </c>
      <c r="BJ426" s="5"/>
      <c r="BK426" s="94" t="n">
        <f aca="false">IF(OR(ISNUMBER(BH426),BH426=Constants!$B$4,BH426=Constants!$B$6,BH426=Constants!$B$5),1,0)</f>
        <v>0</v>
      </c>
      <c r="BL426" s="94" t="n">
        <v>419</v>
      </c>
      <c r="BM426" s="94" t="str">
        <f aca="false">IF(ISBLANK($C426),"",IF(ISNUMBER(BI426),BI426+ROW($B426)/1000,""))</f>
        <v/>
      </c>
      <c r="BN426" s="94" t="str">
        <f aca="false">IF(ISNUMBER(BM426),RANK(BM426,$BM$8:$BM$507,1),"")</f>
        <v/>
      </c>
      <c r="BO426" s="94" t="str">
        <f aca="false">IF(ISBLANK($C426),"",$B426)</f>
        <v/>
      </c>
      <c r="BP426" s="94" t="str">
        <f aca="false">IF(ISBLANK($C426),"",$C426)</f>
        <v/>
      </c>
      <c r="BQ426" s="94" t="str">
        <f aca="false">IF(ISBLANK($C426),"",$D426)</f>
        <v/>
      </c>
      <c r="BR426" s="95" t="str">
        <f aca="false">BF426</f>
        <v/>
      </c>
      <c r="BS426" s="96" t="str">
        <f aca="false">BE426</f>
        <v/>
      </c>
      <c r="BT426" s="94" t="str">
        <f aca="false">IF(ISBLANK($C426),"",BH426)</f>
        <v/>
      </c>
      <c r="BU426" s="97" t="str">
        <f aca="false">IF($BL426&gt;$BK$7,"",VLOOKUP($BL426,$BN$8:$BT$507,7,FALSE()))</f>
        <v/>
      </c>
      <c r="BV426" s="98" t="str">
        <f aca="false">IF($BL426&gt;$BK$7,"",VLOOKUP($BL426,$BN$8:$BT$507,2,FALSE()))</f>
        <v/>
      </c>
      <c r="BW426" s="98" t="str">
        <f aca="false">IF($BL426&gt;$BK$7,"",VLOOKUP($BL426,$BN$8:$BT$507,3,FALSE()))</f>
        <v/>
      </c>
      <c r="BX426" s="98" t="str">
        <f aca="false">IF($BL426&gt;$BK$7,"",VLOOKUP($BL426,$BN$8:$BT$507,4,FALSE()))</f>
        <v/>
      </c>
      <c r="BY426" s="98" t="str">
        <f aca="false">IF($BL426&gt;$BK$7,"",VLOOKUP($BL426,$BN$8:$BT$507,5,FALSE()))</f>
        <v/>
      </c>
      <c r="BZ426" s="99" t="str">
        <f aca="false">IF($BL426&gt;$BK$7,"",VLOOKUP($BL426,$BN$8:$BT$507,6,FALSE()))</f>
        <v/>
      </c>
      <c r="CA426" s="48"/>
    </row>
    <row r="427" customFormat="false" ht="15.75" hidden="false" customHeight="false" outlineLevel="0" collapsed="false">
      <c r="A427" s="5"/>
      <c r="B427" s="114"/>
      <c r="C427" s="115"/>
      <c r="D427" s="100"/>
      <c r="E427" s="120"/>
      <c r="F427" s="125"/>
      <c r="G427" s="82"/>
      <c r="H427" s="126"/>
      <c r="I427" s="127"/>
      <c r="J427" s="82"/>
      <c r="K427" s="126"/>
      <c r="L427" s="82"/>
      <c r="M427" s="126"/>
      <c r="N427" s="82"/>
      <c r="O427" s="126"/>
      <c r="P427" s="82"/>
      <c r="Q427" s="126"/>
      <c r="R427" s="82"/>
      <c r="S427" s="120"/>
      <c r="T427" s="86"/>
      <c r="U427" s="87" t="str">
        <f aca="false">IF(ISBLANK($C427),"",IF(E427=Constants!$B$2, TRUE(), IF(E427=Constants!$B$3, FALSE(), TRUE())))</f>
        <v/>
      </c>
      <c r="V427" s="87" t="str">
        <f aca="false">IF(ISBLANK($C427),"",IF(F427=Constants!$B$2, TRUE(), IF(F427=Constants!$B$3, FALSE(), TRUE())))</f>
        <v/>
      </c>
      <c r="W427" s="87" t="str">
        <f aca="false">IF(ISBLANK($C427),"",IF(G427=Constants!$B$15,Constants!$B$8,IF(G427=Constants!$B$16,Constants!$B$9,Constants!$B$10)))</f>
        <v/>
      </c>
      <c r="X427" s="87" t="str">
        <f aca="false">IF(ISBLANK($C427),"",IF(H427=Constants!$B$2, TRUE(), IF(H427=Constants!$B$3, FALSE(), TRUE())))</f>
        <v/>
      </c>
      <c r="Y427" s="87" t="str">
        <f aca="false">IF(ISBLANK($C427),"",IF(I427=Constants!$B$19,Constants!$B$19,Constants!$B$18))</f>
        <v/>
      </c>
      <c r="Z427" s="87" t="str">
        <f aca="false">IF(ISBLANK($C427),"",IF(ISNUMBER(J427),IF(J427&gt;=0,J427,""),""))</f>
        <v/>
      </c>
      <c r="AA427" s="87" t="str">
        <f aca="false">IF(ISBLANK($C427),"",IF(K427=Constants!$B$19,Constants!$B$19,Constants!$B$18))</f>
        <v/>
      </c>
      <c r="AB427" s="87" t="str">
        <f aca="false">IF(ISBLANK($C427),"",IF(ISNUMBER(L427),IF(L427&gt;=0,L427,""),""))</f>
        <v/>
      </c>
      <c r="AC427" s="87" t="str">
        <f aca="false">IF(ISBLANK($C427),"",IF(M427=Constants!$B$19,Constants!$B$19,Constants!$B$18))</f>
        <v/>
      </c>
      <c r="AD427" s="87" t="str">
        <f aca="false">IF(ISBLANK($C427),"",IF(ISNUMBER(N427),IF(N427&gt;=0,N427,""),""))</f>
        <v/>
      </c>
      <c r="AE427" s="87" t="str">
        <f aca="false">IF(ISBLANK($C427),"",IF(O427=Constants!$B$19,Constants!$B$19,Constants!$B$18))</f>
        <v/>
      </c>
      <c r="AF427" s="87" t="str">
        <f aca="false">IF(ISBLANK($C427),"",IF(ISNUMBER(P427),IF(P427&gt;=0,P427,""),""))</f>
        <v/>
      </c>
      <c r="AG427" s="87" t="str">
        <f aca="false">IF(ISBLANK($C427),"",IF(Q427=Constants!$B$19,Constants!$B$19,Constants!$B$18))</f>
        <v/>
      </c>
      <c r="AH427" s="87" t="str">
        <f aca="false">IF(ISBLANK($C427),"",IF(ISNUMBER(R427),IF(R427&gt;=0,R427,""),""))</f>
        <v/>
      </c>
      <c r="AI427" s="87" t="str">
        <f aca="false">IF(ISBLANK($C427),"",IF(S427=Constants!$B$2, TRUE(), IF(S427=Constants!$B$3, FALSE(), FALSE())))</f>
        <v/>
      </c>
      <c r="AJ427" s="87" t="str">
        <f aca="false">IF(ISBLANK($C427),"",IF(AI427,Constants!$B$4,IF(COUNTA(E427:R427)=0,Constants!$B$5,IF(COUNTA(J427,L427,N427,P427,R427)=0,Constants!$B$6,Constants!$B$7))))</f>
        <v/>
      </c>
      <c r="AK427" s="87" t="str">
        <f aca="false">IF(ISBLANK($C427),"",IF($AJ427&lt;&gt;Constants!$B$7,$AJ427,IF(OR(NOT(X427),AND(NOT(U427),COUNTIFS(Y427:AG427,Constants!$B$18,Z427:AH427,"&gt;=0")&gt;0),AND(NOT(V427),COUNTIFS(Y427:AG427,Constants!$B$19,Z427:AH427,"&gt;=0")&gt;0)),Constants!$B$12,Constants!$B$11)))</f>
        <v/>
      </c>
      <c r="AL427" s="87" t="str">
        <f aca="false">IF($AJ427=Constants!$B$7,IF(Z427="",Constants!$B$13,Z427),"")</f>
        <v/>
      </c>
      <c r="AM427" s="87" t="str">
        <f aca="false">IF($AJ427=Constants!$B$7,IF(AB427="",Constants!$B$13,AB427),"")</f>
        <v/>
      </c>
      <c r="AN427" s="87" t="str">
        <f aca="false">IF($AJ427=Constants!$B$7,IF(AD427="",Constants!$B$13,AD427),"")</f>
        <v/>
      </c>
      <c r="AO427" s="87" t="str">
        <f aca="false">IF($AJ427=Constants!$B$7,IF(AF427="",Constants!$B$13,AF427),"")</f>
        <v/>
      </c>
      <c r="AP427" s="87" t="str">
        <f aca="false">IF($AJ427=Constants!$B$7,IF(AH427="",Constants!$B$13,AH427),"")</f>
        <v/>
      </c>
      <c r="AQ427" s="87" t="str">
        <f aca="false">IF($AJ427=Constants!$B$7,IF(SUMPRODUCT(--($AL427:$AP427&gt;AL427))+SUMPRODUCT(--($AL427:AL427=AL427))=1,1,IF(SUMPRODUCT(--($AL427:$AP427&gt;AM427))+SUMPRODUCT(--($AL427:AM427=AM427))=1,2,IF(SUMPRODUCT(--($AL427:$AP427&gt;AN427))+SUMPRODUCT(--($AL427:AN427=AN427))=1,3,IF(SUMPRODUCT(--($AL427:$AP427&gt;AO427))+SUMPRODUCT(--($AL427:AO427=AO427))=1,4,5)))),"")</f>
        <v/>
      </c>
      <c r="AR427" s="87" t="str">
        <f aca="false">IF($AJ427=Constants!$B$7,IF(SUMPRODUCT(--($AL427:$AP427&gt;AL427))+SUMPRODUCT(--($AL427:AL427=AL427))=2,1,IF(SUMPRODUCT(--($AL427:$AP427&gt;AM427))+SUMPRODUCT(--($AL427:AM427=AM427))=2,2,IF(SUMPRODUCT(--($AL427:$AP427&gt;AN427))+SUMPRODUCT(--($AL427:AN427=AN427))=2,3,IF(SUMPRODUCT(--($AL427:$AP427&gt;AO427))+SUMPRODUCT(--($AL427:AO427=AO427))=2,4,5)))),"")</f>
        <v/>
      </c>
      <c r="AS427" s="87" t="str">
        <f aca="false">IF($AJ427=Constants!$B$7,IF(SUMPRODUCT(--($AL427:$AP427&gt;AL427))+SUMPRODUCT(--($AL427:AL427=AL427))=3,1,IF(SUMPRODUCT(--($AL427:$AP427&gt;AM427))+SUMPRODUCT(--($AL427:AM427=AM427))=3,2,IF(SUMPRODUCT(--($AL427:$AP427&gt;AN427))+SUMPRODUCT(--($AL427:AN427=AN427))=3,3,IF(SUMPRODUCT(--($AL427:$AP427&gt;AO427))+SUMPRODUCT(--($AL427:AO427=AO427))=3,4,5)))),"")</f>
        <v/>
      </c>
      <c r="AT427" s="87" t="str">
        <f aca="false">IF($AJ427=Constants!$B$7,LARGE(AL427:AP427,1)+LARGE(AL427:AP427,2)+LARGE(AL427:AP427,3),"")</f>
        <v/>
      </c>
      <c r="AU427" s="87" t="str">
        <f aca="false">IF(ISBLANK($C427),"",IF($AJ427&lt;&gt;Constants!$B$7,$AJ427,AT427*W427))</f>
        <v/>
      </c>
      <c r="AV427" s="87" t="str">
        <f aca="false">IF(ISBLANK($C427),"",IF($AJ427=Constants!$B$7,IF(ISNUMBER(AU427),RANK(AU427,$AU$8:$AU$507),Constants!$B$14),$AJ427))</f>
        <v/>
      </c>
      <c r="AW427" s="87" t="str">
        <f aca="false">IF(ISBLANK($C427),"",IF($AJ427=Constants!$B$7,IF(ISNUMBER(AV427),COUNTIFS($AK$8:$AK$507,"&lt;"&amp;$AK427)+COUNTIFS($AK$8:$AK$507,$AK427,$AV$8:$AV$507,"&lt;"&amp;$AV427)+1,Constants!$B$14),$AJ427))</f>
        <v/>
      </c>
      <c r="AX427" s="87" t="str">
        <f aca="false">IF(ISBLANK($C427),"",IF($AJ427=Constants!$B$7,LARGE(AL427:AP427,4)*W427,""))</f>
        <v/>
      </c>
      <c r="AY427" s="87" t="str">
        <f aca="false">IF(ISBLANK($C427),"",IF($AJ427=Constants!$B$7,RANK(AX427,$AX$8:$AX$507),$AJ427))</f>
        <v/>
      </c>
      <c r="AZ427" s="87" t="str">
        <f aca="false">IF(ISBLANK($C427),"",IF($AJ427=Constants!$B$7,IF(ISNUMBER(AV427),COUNTIFS($AK$8:$AK$507,"&lt;"&amp;$AK427)+COUNTIFS($AK$8:$AK$507,$AK427,$AV$8:$AV$507,"&lt;"&amp;$AV427)+COUNTIFS($AK$8:$AK$507,$AK427,$AV$8:$AV$507,$AV427,$AY$8:$AY$507,"&lt;"&amp;$AY427)+1,Constants!$B$14),$AJ427))</f>
        <v/>
      </c>
      <c r="BA427" s="87" t="str">
        <f aca="false">IF(ISBLANK($C427),"",IF($AJ427=Constants!$B$7,IF(ISNUMBER(AW427),AW427-AZ427,Constants!$B$14),$AJ427))</f>
        <v/>
      </c>
      <c r="BB427" s="88"/>
      <c r="BC427" s="89" t="str">
        <f aca="false">IF(ISBLANK($C427),"",IF($AJ427&lt;&gt;Constants!$B$7,$AJ427,SMALL(AQ427:AS427,1)&amp;", "&amp;SMALL(AQ427:AS427,2)&amp;", "&amp;SMALL(AQ427:AS427,3)))</f>
        <v/>
      </c>
      <c r="BD427" s="90" t="str">
        <f aca="false">IF(ISBLANK($C427),"",IF($AJ427&lt;&gt;Constants!$B$7,$AJ427,W427))</f>
        <v/>
      </c>
      <c r="BE427" s="91" t="str">
        <f aca="false">IF(ISBLANK($C427),"",IF($AJ427&lt;&gt;Constants!$B$7,$AJ427,AU427))</f>
        <v/>
      </c>
      <c r="BF427" s="92" t="str">
        <f aca="false">IF(ISBLANK($C427),"",IF($AJ427&lt;&gt;Constants!$B$7,$AJ427,AK427))</f>
        <v/>
      </c>
      <c r="BG427" s="90" t="str">
        <f aca="false">IF(ISBLANK($C427),"",BA427)</f>
        <v/>
      </c>
      <c r="BH427" s="90" t="str">
        <f aca="false">IF(ISBLANK($C427),"",AZ427)</f>
        <v/>
      </c>
      <c r="BI427" s="93" t="str">
        <f aca="false">IF(ISBLANK($C427),"",IF(BH427=Constants!$B$4,COUNTA($C$8:$C$507)+2,IF(BH427=Constants!$B$5,COUNTA($C$8:$C$507)+1,IF(BH427=Constants!$B$6,COUNTA($C$8:$C$507),BH427))))</f>
        <v/>
      </c>
      <c r="BJ427" s="5"/>
      <c r="BK427" s="94" t="n">
        <f aca="false">IF(OR(ISNUMBER(BH427),BH427=Constants!$B$4,BH427=Constants!$B$6,BH427=Constants!$B$5),1,0)</f>
        <v>0</v>
      </c>
      <c r="BL427" s="94" t="n">
        <v>420</v>
      </c>
      <c r="BM427" s="94" t="str">
        <f aca="false">IF(ISBLANK($C427),"",IF(ISNUMBER(BI427),BI427+ROW($B427)/1000,""))</f>
        <v/>
      </c>
      <c r="BN427" s="94" t="str">
        <f aca="false">IF(ISNUMBER(BM427),RANK(BM427,$BM$8:$BM$507,1),"")</f>
        <v/>
      </c>
      <c r="BO427" s="94" t="str">
        <f aca="false">IF(ISBLANK($C427),"",$B427)</f>
        <v/>
      </c>
      <c r="BP427" s="94" t="str">
        <f aca="false">IF(ISBLANK($C427),"",$C427)</f>
        <v/>
      </c>
      <c r="BQ427" s="94" t="str">
        <f aca="false">IF(ISBLANK($C427),"",$D427)</f>
        <v/>
      </c>
      <c r="BR427" s="95" t="str">
        <f aca="false">BF427</f>
        <v/>
      </c>
      <c r="BS427" s="96" t="str">
        <f aca="false">BE427</f>
        <v/>
      </c>
      <c r="BT427" s="94" t="str">
        <f aca="false">IF(ISBLANK($C427),"",BH427)</f>
        <v/>
      </c>
      <c r="BU427" s="97" t="str">
        <f aca="false">IF($BL427&gt;$BK$7,"",VLOOKUP($BL427,$BN$8:$BT$507,7,FALSE()))</f>
        <v/>
      </c>
      <c r="BV427" s="98" t="str">
        <f aca="false">IF($BL427&gt;$BK$7,"",VLOOKUP($BL427,$BN$8:$BT$507,2,FALSE()))</f>
        <v/>
      </c>
      <c r="BW427" s="98" t="str">
        <f aca="false">IF($BL427&gt;$BK$7,"",VLOOKUP($BL427,$BN$8:$BT$507,3,FALSE()))</f>
        <v/>
      </c>
      <c r="BX427" s="98" t="str">
        <f aca="false">IF($BL427&gt;$BK$7,"",VLOOKUP($BL427,$BN$8:$BT$507,4,FALSE()))</f>
        <v/>
      </c>
      <c r="BY427" s="98" t="str">
        <f aca="false">IF($BL427&gt;$BK$7,"",VLOOKUP($BL427,$BN$8:$BT$507,5,FALSE()))</f>
        <v/>
      </c>
      <c r="BZ427" s="99" t="str">
        <f aca="false">IF($BL427&gt;$BK$7,"",VLOOKUP($BL427,$BN$8:$BT$507,6,FALSE()))</f>
        <v/>
      </c>
      <c r="CA427" s="48"/>
    </row>
    <row r="428" customFormat="false" ht="15.75" hidden="false" customHeight="false" outlineLevel="0" collapsed="false">
      <c r="A428" s="5"/>
      <c r="B428" s="121"/>
      <c r="C428" s="50"/>
      <c r="D428" s="51"/>
      <c r="E428" s="74"/>
      <c r="F428" s="122"/>
      <c r="G428" s="54"/>
      <c r="H428" s="123"/>
      <c r="I428" s="124"/>
      <c r="J428" s="54"/>
      <c r="K428" s="123"/>
      <c r="L428" s="54"/>
      <c r="M428" s="123"/>
      <c r="N428" s="54"/>
      <c r="O428" s="123"/>
      <c r="P428" s="54"/>
      <c r="Q428" s="123"/>
      <c r="R428" s="54"/>
      <c r="S428" s="74"/>
      <c r="T428" s="58"/>
      <c r="U428" s="59" t="str">
        <f aca="false">IF(ISBLANK($C428),"",IF(E428=Constants!$B$2, TRUE(), IF(E428=Constants!$B$3, FALSE(), TRUE())))</f>
        <v/>
      </c>
      <c r="V428" s="59" t="str">
        <f aca="false">IF(ISBLANK($C428),"",IF(F428=Constants!$B$2, TRUE(), IF(F428=Constants!$B$3, FALSE(), TRUE())))</f>
        <v/>
      </c>
      <c r="W428" s="59" t="str">
        <f aca="false">IF(ISBLANK($C428),"",IF(G428=Constants!$B$15,Constants!$B$8,IF(G428=Constants!$B$16,Constants!$B$9,Constants!$B$10)))</f>
        <v/>
      </c>
      <c r="X428" s="59" t="str">
        <f aca="false">IF(ISBLANK($C428),"",IF(H428=Constants!$B$2, TRUE(), IF(H428=Constants!$B$3, FALSE(), TRUE())))</f>
        <v/>
      </c>
      <c r="Y428" s="59" t="str">
        <f aca="false">IF(ISBLANK($C428),"",IF(I428=Constants!$B$19,Constants!$B$19,Constants!$B$18))</f>
        <v/>
      </c>
      <c r="Z428" s="59" t="str">
        <f aca="false">IF(ISBLANK($C428),"",IF(ISNUMBER(J428),IF(J428&gt;=0,J428,""),""))</f>
        <v/>
      </c>
      <c r="AA428" s="59" t="str">
        <f aca="false">IF(ISBLANK($C428),"",IF(K428=Constants!$B$19,Constants!$B$19,Constants!$B$18))</f>
        <v/>
      </c>
      <c r="AB428" s="59" t="str">
        <f aca="false">IF(ISBLANK($C428),"",IF(ISNUMBER(L428),IF(L428&gt;=0,L428,""),""))</f>
        <v/>
      </c>
      <c r="AC428" s="59" t="str">
        <f aca="false">IF(ISBLANK($C428),"",IF(M428=Constants!$B$19,Constants!$B$19,Constants!$B$18))</f>
        <v/>
      </c>
      <c r="AD428" s="59" t="str">
        <f aca="false">IF(ISBLANK($C428),"",IF(ISNUMBER(N428),IF(N428&gt;=0,N428,""),""))</f>
        <v/>
      </c>
      <c r="AE428" s="59" t="str">
        <f aca="false">IF(ISBLANK($C428),"",IF(O428=Constants!$B$19,Constants!$B$19,Constants!$B$18))</f>
        <v/>
      </c>
      <c r="AF428" s="59" t="str">
        <f aca="false">IF(ISBLANK($C428),"",IF(ISNUMBER(P428),IF(P428&gt;=0,P428,""),""))</f>
        <v/>
      </c>
      <c r="AG428" s="59" t="str">
        <f aca="false">IF(ISBLANK($C428),"",IF(Q428=Constants!$B$19,Constants!$B$19,Constants!$B$18))</f>
        <v/>
      </c>
      <c r="AH428" s="59" t="str">
        <f aca="false">IF(ISBLANK($C428),"",IF(ISNUMBER(R428),IF(R428&gt;=0,R428,""),""))</f>
        <v/>
      </c>
      <c r="AI428" s="59" t="str">
        <f aca="false">IF(ISBLANK($C428),"",IF(S428=Constants!$B$2, TRUE(), IF(S428=Constants!$B$3, FALSE(), FALSE())))</f>
        <v/>
      </c>
      <c r="AJ428" s="59" t="str">
        <f aca="false">IF(ISBLANK($C428),"",IF(AI428,Constants!$B$4,IF(COUNTA(E428:R428)=0,Constants!$B$5,IF(COUNTA(J428,L428,N428,P428,R428)=0,Constants!$B$6,Constants!$B$7))))</f>
        <v/>
      </c>
      <c r="AK428" s="59" t="str">
        <f aca="false">IF(ISBLANK($C428),"",IF($AJ428&lt;&gt;Constants!$B$7,$AJ428,IF(OR(NOT(X428),AND(NOT(U428),COUNTIFS(Y428:AG428,Constants!$B$18,Z428:AH428,"&gt;=0")&gt;0),AND(NOT(V428),COUNTIFS(Y428:AG428,Constants!$B$19,Z428:AH428,"&gt;=0")&gt;0)),Constants!$B$12,Constants!$B$11)))</f>
        <v/>
      </c>
      <c r="AL428" s="59" t="str">
        <f aca="false">IF($AJ428=Constants!$B$7,IF(Z428="",Constants!$B$13,Z428),"")</f>
        <v/>
      </c>
      <c r="AM428" s="59" t="str">
        <f aca="false">IF($AJ428=Constants!$B$7,IF(AB428="",Constants!$B$13,AB428),"")</f>
        <v/>
      </c>
      <c r="AN428" s="59" t="str">
        <f aca="false">IF($AJ428=Constants!$B$7,IF(AD428="",Constants!$B$13,AD428),"")</f>
        <v/>
      </c>
      <c r="AO428" s="59" t="str">
        <f aca="false">IF($AJ428=Constants!$B$7,IF(AF428="",Constants!$B$13,AF428),"")</f>
        <v/>
      </c>
      <c r="AP428" s="59" t="str">
        <f aca="false">IF($AJ428=Constants!$B$7,IF(AH428="",Constants!$B$13,AH428),"")</f>
        <v/>
      </c>
      <c r="AQ428" s="59" t="str">
        <f aca="false">IF($AJ428=Constants!$B$7,IF(SUMPRODUCT(--($AL428:$AP428&gt;AL428))+SUMPRODUCT(--($AL428:AL428=AL428))=1,1,IF(SUMPRODUCT(--($AL428:$AP428&gt;AM428))+SUMPRODUCT(--($AL428:AM428=AM428))=1,2,IF(SUMPRODUCT(--($AL428:$AP428&gt;AN428))+SUMPRODUCT(--($AL428:AN428=AN428))=1,3,IF(SUMPRODUCT(--($AL428:$AP428&gt;AO428))+SUMPRODUCT(--($AL428:AO428=AO428))=1,4,5)))),"")</f>
        <v/>
      </c>
      <c r="AR428" s="59" t="str">
        <f aca="false">IF($AJ428=Constants!$B$7,IF(SUMPRODUCT(--($AL428:$AP428&gt;AL428))+SUMPRODUCT(--($AL428:AL428=AL428))=2,1,IF(SUMPRODUCT(--($AL428:$AP428&gt;AM428))+SUMPRODUCT(--($AL428:AM428=AM428))=2,2,IF(SUMPRODUCT(--($AL428:$AP428&gt;AN428))+SUMPRODUCT(--($AL428:AN428=AN428))=2,3,IF(SUMPRODUCT(--($AL428:$AP428&gt;AO428))+SUMPRODUCT(--($AL428:AO428=AO428))=2,4,5)))),"")</f>
        <v/>
      </c>
      <c r="AS428" s="59" t="str">
        <f aca="false">IF($AJ428=Constants!$B$7,IF(SUMPRODUCT(--($AL428:$AP428&gt;AL428))+SUMPRODUCT(--($AL428:AL428=AL428))=3,1,IF(SUMPRODUCT(--($AL428:$AP428&gt;AM428))+SUMPRODUCT(--($AL428:AM428=AM428))=3,2,IF(SUMPRODUCT(--($AL428:$AP428&gt;AN428))+SUMPRODUCT(--($AL428:AN428=AN428))=3,3,IF(SUMPRODUCT(--($AL428:$AP428&gt;AO428))+SUMPRODUCT(--($AL428:AO428=AO428))=3,4,5)))),"")</f>
        <v/>
      </c>
      <c r="AT428" s="59" t="str">
        <f aca="false">IF($AJ428=Constants!$B$7,LARGE(AL428:AP428,1)+LARGE(AL428:AP428,2)+LARGE(AL428:AP428,3),"")</f>
        <v/>
      </c>
      <c r="AU428" s="59" t="str">
        <f aca="false">IF(ISBLANK($C428),"",IF($AJ428&lt;&gt;Constants!$B$7,$AJ428,AT428*W428))</f>
        <v/>
      </c>
      <c r="AV428" s="59" t="str">
        <f aca="false">IF(ISBLANK($C428),"",IF($AJ428=Constants!$B$7,IF(ISNUMBER(AU428),RANK(AU428,$AU$8:$AU$507),Constants!$B$14),$AJ428))</f>
        <v/>
      </c>
      <c r="AW428" s="59" t="str">
        <f aca="false">IF(ISBLANK($C428),"",IF($AJ428=Constants!$B$7,IF(ISNUMBER(AV428),COUNTIFS($AK$8:$AK$507,"&lt;"&amp;$AK428)+COUNTIFS($AK$8:$AK$507,$AK428,$AV$8:$AV$507,"&lt;"&amp;$AV428)+1,Constants!$B$14),$AJ428))</f>
        <v/>
      </c>
      <c r="AX428" s="59" t="str">
        <f aca="false">IF(ISBLANK($C428),"",IF($AJ428=Constants!$B$7,LARGE(AL428:AP428,4)*W428,""))</f>
        <v/>
      </c>
      <c r="AY428" s="59" t="str">
        <f aca="false">IF(ISBLANK($C428),"",IF($AJ428=Constants!$B$7,RANK(AX428,$AX$8:$AX$507),$AJ428))</f>
        <v/>
      </c>
      <c r="AZ428" s="59" t="str">
        <f aca="false">IF(ISBLANK($C428),"",IF($AJ428=Constants!$B$7,IF(ISNUMBER(AV428),COUNTIFS($AK$8:$AK$507,"&lt;"&amp;$AK428)+COUNTIFS($AK$8:$AK$507,$AK428,$AV$8:$AV$507,"&lt;"&amp;$AV428)+COUNTIFS($AK$8:$AK$507,$AK428,$AV$8:$AV$507,$AV428,$AY$8:$AY$507,"&lt;"&amp;$AY428)+1,Constants!$B$14),$AJ428))</f>
        <v/>
      </c>
      <c r="BA428" s="59" t="str">
        <f aca="false">IF(ISBLANK($C428),"",IF($AJ428=Constants!$B$7,IF(ISNUMBER(AW428),AW428-AZ428,Constants!$B$14),$AJ428))</f>
        <v/>
      </c>
      <c r="BB428" s="61"/>
      <c r="BC428" s="62" t="str">
        <f aca="false">IF(ISBLANK($C428),"",IF($AJ428&lt;&gt;Constants!$B$7,$AJ428,SMALL(AQ428:AS428,1)&amp;", "&amp;SMALL(AQ428:AS428,2)&amp;", "&amp;SMALL(AQ428:AS428,3)))</f>
        <v/>
      </c>
      <c r="BD428" s="63" t="str">
        <f aca="false">IF(ISBLANK($C428),"",IF($AJ428&lt;&gt;Constants!$B$7,$AJ428,W428))</f>
        <v/>
      </c>
      <c r="BE428" s="64" t="str">
        <f aca="false">IF(ISBLANK($C428),"",IF($AJ428&lt;&gt;Constants!$B$7,$AJ428,AU428))</f>
        <v/>
      </c>
      <c r="BF428" s="65" t="str">
        <f aca="false">IF(ISBLANK($C428),"",IF($AJ428&lt;&gt;Constants!$B$7,$AJ428,AK428))</f>
        <v/>
      </c>
      <c r="BG428" s="63" t="str">
        <f aca="false">IF(ISBLANK($C428),"",BA428)</f>
        <v/>
      </c>
      <c r="BH428" s="63" t="str">
        <f aca="false">IF(ISBLANK($C428),"",AZ428)</f>
        <v/>
      </c>
      <c r="BI428" s="66" t="str">
        <f aca="false">IF(ISBLANK($C428),"",IF(BH428=Constants!$B$4,COUNTA($C$8:$C$507)+2,IF(BH428=Constants!$B$5,COUNTA($C$8:$C$507)+1,IF(BH428=Constants!$B$6,COUNTA($C$8:$C$507),BH428))))</f>
        <v/>
      </c>
      <c r="BJ428" s="5"/>
      <c r="BK428" s="67" t="n">
        <f aca="false">IF(OR(ISNUMBER(BH428),BH428=Constants!$B$4,BH428=Constants!$B$6,BH428=Constants!$B$5),1,0)</f>
        <v>0</v>
      </c>
      <c r="BL428" s="67" t="n">
        <v>421</v>
      </c>
      <c r="BM428" s="67" t="str">
        <f aca="false">IF(ISBLANK($C428),"",IF(ISNUMBER(BI428),BI428+ROW($B428)/1000,""))</f>
        <v/>
      </c>
      <c r="BN428" s="67" t="str">
        <f aca="false">IF(ISNUMBER(BM428),RANK(BM428,$BM$8:$BM$507,1),"")</f>
        <v/>
      </c>
      <c r="BO428" s="67" t="str">
        <f aca="false">IF(ISBLANK($C428),"",$B428)</f>
        <v/>
      </c>
      <c r="BP428" s="67" t="str">
        <f aca="false">IF(ISBLANK($C428),"",$C428)</f>
        <v/>
      </c>
      <c r="BQ428" s="67" t="str">
        <f aca="false">IF(ISBLANK($C428),"",$D428)</f>
        <v/>
      </c>
      <c r="BR428" s="68" t="str">
        <f aca="false">BF428</f>
        <v/>
      </c>
      <c r="BS428" s="69" t="str">
        <f aca="false">BE428</f>
        <v/>
      </c>
      <c r="BT428" s="67" t="str">
        <f aca="false">IF(ISBLANK($C428),"",BH428)</f>
        <v/>
      </c>
      <c r="BU428" s="70" t="str">
        <f aca="false">IF($BL428&gt;$BK$7,"",VLOOKUP($BL428,$BN$8:$BT$507,7,FALSE()))</f>
        <v/>
      </c>
      <c r="BV428" s="71" t="str">
        <f aca="false">IF($BL428&gt;$BK$7,"",VLOOKUP($BL428,$BN$8:$BT$507,2,FALSE()))</f>
        <v/>
      </c>
      <c r="BW428" s="71" t="str">
        <f aca="false">IF($BL428&gt;$BK$7,"",VLOOKUP($BL428,$BN$8:$BT$507,3,FALSE()))</f>
        <v/>
      </c>
      <c r="BX428" s="71" t="str">
        <f aca="false">IF($BL428&gt;$BK$7,"",VLOOKUP($BL428,$BN$8:$BT$507,4,FALSE()))</f>
        <v/>
      </c>
      <c r="BY428" s="71" t="str">
        <f aca="false">IF($BL428&gt;$BK$7,"",VLOOKUP($BL428,$BN$8:$BT$507,5,FALSE()))</f>
        <v/>
      </c>
      <c r="BZ428" s="72" t="str">
        <f aca="false">IF($BL428&gt;$BK$7,"",VLOOKUP($BL428,$BN$8:$BT$507,6,FALSE()))</f>
        <v/>
      </c>
      <c r="CA428" s="48"/>
    </row>
    <row r="429" customFormat="false" ht="15.75" hidden="false" customHeight="false" outlineLevel="0" collapsed="false">
      <c r="A429" s="5"/>
      <c r="B429" s="121"/>
      <c r="C429" s="50"/>
      <c r="D429" s="51"/>
      <c r="E429" s="74"/>
      <c r="F429" s="122"/>
      <c r="G429" s="54"/>
      <c r="H429" s="123"/>
      <c r="I429" s="124"/>
      <c r="J429" s="54"/>
      <c r="K429" s="123"/>
      <c r="L429" s="54"/>
      <c r="M429" s="123"/>
      <c r="N429" s="54"/>
      <c r="O429" s="123"/>
      <c r="P429" s="54"/>
      <c r="Q429" s="123"/>
      <c r="R429" s="54"/>
      <c r="S429" s="74"/>
      <c r="T429" s="58"/>
      <c r="U429" s="59" t="str">
        <f aca="false">IF(ISBLANK($C429),"",IF(E429=Constants!$B$2, TRUE(), IF(E429=Constants!$B$3, FALSE(), TRUE())))</f>
        <v/>
      </c>
      <c r="V429" s="59" t="str">
        <f aca="false">IF(ISBLANK($C429),"",IF(F429=Constants!$B$2, TRUE(), IF(F429=Constants!$B$3, FALSE(), TRUE())))</f>
        <v/>
      </c>
      <c r="W429" s="59" t="str">
        <f aca="false">IF(ISBLANK($C429),"",IF(G429=Constants!$B$15,Constants!$B$8,IF(G429=Constants!$B$16,Constants!$B$9,Constants!$B$10)))</f>
        <v/>
      </c>
      <c r="X429" s="59" t="str">
        <f aca="false">IF(ISBLANK($C429),"",IF(H429=Constants!$B$2, TRUE(), IF(H429=Constants!$B$3, FALSE(), TRUE())))</f>
        <v/>
      </c>
      <c r="Y429" s="59" t="str">
        <f aca="false">IF(ISBLANK($C429),"",IF(I429=Constants!$B$19,Constants!$B$19,Constants!$B$18))</f>
        <v/>
      </c>
      <c r="Z429" s="59" t="str">
        <f aca="false">IF(ISBLANK($C429),"",IF(ISNUMBER(J429),IF(J429&gt;=0,J429,""),""))</f>
        <v/>
      </c>
      <c r="AA429" s="59" t="str">
        <f aca="false">IF(ISBLANK($C429),"",IF(K429=Constants!$B$19,Constants!$B$19,Constants!$B$18))</f>
        <v/>
      </c>
      <c r="AB429" s="59" t="str">
        <f aca="false">IF(ISBLANK($C429),"",IF(ISNUMBER(L429),IF(L429&gt;=0,L429,""),""))</f>
        <v/>
      </c>
      <c r="AC429" s="59" t="str">
        <f aca="false">IF(ISBLANK($C429),"",IF(M429=Constants!$B$19,Constants!$B$19,Constants!$B$18))</f>
        <v/>
      </c>
      <c r="AD429" s="59" t="str">
        <f aca="false">IF(ISBLANK($C429),"",IF(ISNUMBER(N429),IF(N429&gt;=0,N429,""),""))</f>
        <v/>
      </c>
      <c r="AE429" s="59" t="str">
        <f aca="false">IF(ISBLANK($C429),"",IF(O429=Constants!$B$19,Constants!$B$19,Constants!$B$18))</f>
        <v/>
      </c>
      <c r="AF429" s="59" t="str">
        <f aca="false">IF(ISBLANK($C429),"",IF(ISNUMBER(P429),IF(P429&gt;=0,P429,""),""))</f>
        <v/>
      </c>
      <c r="AG429" s="59" t="str">
        <f aca="false">IF(ISBLANK($C429),"",IF(Q429=Constants!$B$19,Constants!$B$19,Constants!$B$18))</f>
        <v/>
      </c>
      <c r="AH429" s="59" t="str">
        <f aca="false">IF(ISBLANK($C429),"",IF(ISNUMBER(R429),IF(R429&gt;=0,R429,""),""))</f>
        <v/>
      </c>
      <c r="AI429" s="59" t="str">
        <f aca="false">IF(ISBLANK($C429),"",IF(S429=Constants!$B$2, TRUE(), IF(S429=Constants!$B$3, FALSE(), FALSE())))</f>
        <v/>
      </c>
      <c r="AJ429" s="59" t="str">
        <f aca="false">IF(ISBLANK($C429),"",IF(AI429,Constants!$B$4,IF(COUNTA(E429:R429)=0,Constants!$B$5,IF(COUNTA(J429,L429,N429,P429,R429)=0,Constants!$B$6,Constants!$B$7))))</f>
        <v/>
      </c>
      <c r="AK429" s="59" t="str">
        <f aca="false">IF(ISBLANK($C429),"",IF($AJ429&lt;&gt;Constants!$B$7,$AJ429,IF(OR(NOT(X429),AND(NOT(U429),COUNTIFS(Y429:AG429,Constants!$B$18,Z429:AH429,"&gt;=0")&gt;0),AND(NOT(V429),COUNTIFS(Y429:AG429,Constants!$B$19,Z429:AH429,"&gt;=0")&gt;0)),Constants!$B$12,Constants!$B$11)))</f>
        <v/>
      </c>
      <c r="AL429" s="59" t="str">
        <f aca="false">IF($AJ429=Constants!$B$7,IF(Z429="",Constants!$B$13,Z429),"")</f>
        <v/>
      </c>
      <c r="AM429" s="59" t="str">
        <f aca="false">IF($AJ429=Constants!$B$7,IF(AB429="",Constants!$B$13,AB429),"")</f>
        <v/>
      </c>
      <c r="AN429" s="59" t="str">
        <f aca="false">IF($AJ429=Constants!$B$7,IF(AD429="",Constants!$B$13,AD429),"")</f>
        <v/>
      </c>
      <c r="AO429" s="59" t="str">
        <f aca="false">IF($AJ429=Constants!$B$7,IF(AF429="",Constants!$B$13,AF429),"")</f>
        <v/>
      </c>
      <c r="AP429" s="59" t="str">
        <f aca="false">IF($AJ429=Constants!$B$7,IF(AH429="",Constants!$B$13,AH429),"")</f>
        <v/>
      </c>
      <c r="AQ429" s="59" t="str">
        <f aca="false">IF($AJ429=Constants!$B$7,IF(SUMPRODUCT(--($AL429:$AP429&gt;AL429))+SUMPRODUCT(--($AL429:AL429=AL429))=1,1,IF(SUMPRODUCT(--($AL429:$AP429&gt;AM429))+SUMPRODUCT(--($AL429:AM429=AM429))=1,2,IF(SUMPRODUCT(--($AL429:$AP429&gt;AN429))+SUMPRODUCT(--($AL429:AN429=AN429))=1,3,IF(SUMPRODUCT(--($AL429:$AP429&gt;AO429))+SUMPRODUCT(--($AL429:AO429=AO429))=1,4,5)))),"")</f>
        <v/>
      </c>
      <c r="AR429" s="59" t="str">
        <f aca="false">IF($AJ429=Constants!$B$7,IF(SUMPRODUCT(--($AL429:$AP429&gt;AL429))+SUMPRODUCT(--($AL429:AL429=AL429))=2,1,IF(SUMPRODUCT(--($AL429:$AP429&gt;AM429))+SUMPRODUCT(--($AL429:AM429=AM429))=2,2,IF(SUMPRODUCT(--($AL429:$AP429&gt;AN429))+SUMPRODUCT(--($AL429:AN429=AN429))=2,3,IF(SUMPRODUCT(--($AL429:$AP429&gt;AO429))+SUMPRODUCT(--($AL429:AO429=AO429))=2,4,5)))),"")</f>
        <v/>
      </c>
      <c r="AS429" s="59" t="str">
        <f aca="false">IF($AJ429=Constants!$B$7,IF(SUMPRODUCT(--($AL429:$AP429&gt;AL429))+SUMPRODUCT(--($AL429:AL429=AL429))=3,1,IF(SUMPRODUCT(--($AL429:$AP429&gt;AM429))+SUMPRODUCT(--($AL429:AM429=AM429))=3,2,IF(SUMPRODUCT(--($AL429:$AP429&gt;AN429))+SUMPRODUCT(--($AL429:AN429=AN429))=3,3,IF(SUMPRODUCT(--($AL429:$AP429&gt;AO429))+SUMPRODUCT(--($AL429:AO429=AO429))=3,4,5)))),"")</f>
        <v/>
      </c>
      <c r="AT429" s="59" t="str">
        <f aca="false">IF($AJ429=Constants!$B$7,LARGE(AL429:AP429,1)+LARGE(AL429:AP429,2)+LARGE(AL429:AP429,3),"")</f>
        <v/>
      </c>
      <c r="AU429" s="59" t="str">
        <f aca="false">IF(ISBLANK($C429),"",IF($AJ429&lt;&gt;Constants!$B$7,$AJ429,AT429*W429))</f>
        <v/>
      </c>
      <c r="AV429" s="59" t="str">
        <f aca="false">IF(ISBLANK($C429),"",IF($AJ429=Constants!$B$7,IF(ISNUMBER(AU429),RANK(AU429,$AU$8:$AU$507),Constants!$B$14),$AJ429))</f>
        <v/>
      </c>
      <c r="AW429" s="59" t="str">
        <f aca="false">IF(ISBLANK($C429),"",IF($AJ429=Constants!$B$7,IF(ISNUMBER(AV429),COUNTIFS($AK$8:$AK$507,"&lt;"&amp;$AK429)+COUNTIFS($AK$8:$AK$507,$AK429,$AV$8:$AV$507,"&lt;"&amp;$AV429)+1,Constants!$B$14),$AJ429))</f>
        <v/>
      </c>
      <c r="AX429" s="59" t="str">
        <f aca="false">IF(ISBLANK($C429),"",IF($AJ429=Constants!$B$7,LARGE(AL429:AP429,4)*W429,""))</f>
        <v/>
      </c>
      <c r="AY429" s="59" t="str">
        <f aca="false">IF(ISBLANK($C429),"",IF($AJ429=Constants!$B$7,RANK(AX429,$AX$8:$AX$507),$AJ429))</f>
        <v/>
      </c>
      <c r="AZ429" s="59" t="str">
        <f aca="false">IF(ISBLANK($C429),"",IF($AJ429=Constants!$B$7,IF(ISNUMBER(AV429),COUNTIFS($AK$8:$AK$507,"&lt;"&amp;$AK429)+COUNTIFS($AK$8:$AK$507,$AK429,$AV$8:$AV$507,"&lt;"&amp;$AV429)+COUNTIFS($AK$8:$AK$507,$AK429,$AV$8:$AV$507,$AV429,$AY$8:$AY$507,"&lt;"&amp;$AY429)+1,Constants!$B$14),$AJ429))</f>
        <v/>
      </c>
      <c r="BA429" s="59" t="str">
        <f aca="false">IF(ISBLANK($C429),"",IF($AJ429=Constants!$B$7,IF(ISNUMBER(AW429),AW429-AZ429,Constants!$B$14),$AJ429))</f>
        <v/>
      </c>
      <c r="BB429" s="61"/>
      <c r="BC429" s="62" t="str">
        <f aca="false">IF(ISBLANK($C429),"",IF($AJ429&lt;&gt;Constants!$B$7,$AJ429,SMALL(AQ429:AS429,1)&amp;", "&amp;SMALL(AQ429:AS429,2)&amp;", "&amp;SMALL(AQ429:AS429,3)))</f>
        <v/>
      </c>
      <c r="BD429" s="63" t="str">
        <f aca="false">IF(ISBLANK($C429),"",IF($AJ429&lt;&gt;Constants!$B$7,$AJ429,W429))</f>
        <v/>
      </c>
      <c r="BE429" s="64" t="str">
        <f aca="false">IF(ISBLANK($C429),"",IF($AJ429&lt;&gt;Constants!$B$7,$AJ429,AU429))</f>
        <v/>
      </c>
      <c r="BF429" s="65" t="str">
        <f aca="false">IF(ISBLANK($C429),"",IF($AJ429&lt;&gt;Constants!$B$7,$AJ429,AK429))</f>
        <v/>
      </c>
      <c r="BG429" s="63" t="str">
        <f aca="false">IF(ISBLANK($C429),"",BA429)</f>
        <v/>
      </c>
      <c r="BH429" s="63" t="str">
        <f aca="false">IF(ISBLANK($C429),"",AZ429)</f>
        <v/>
      </c>
      <c r="BI429" s="66" t="str">
        <f aca="false">IF(ISBLANK($C429),"",IF(BH429=Constants!$B$4,COUNTA($C$8:$C$507)+2,IF(BH429=Constants!$B$5,COUNTA($C$8:$C$507)+1,IF(BH429=Constants!$B$6,COUNTA($C$8:$C$507),BH429))))</f>
        <v/>
      </c>
      <c r="BJ429" s="5"/>
      <c r="BK429" s="67" t="n">
        <f aca="false">IF(OR(ISNUMBER(BH429),BH429=Constants!$B$4,BH429=Constants!$B$6,BH429=Constants!$B$5),1,0)</f>
        <v>0</v>
      </c>
      <c r="BL429" s="67" t="n">
        <v>422</v>
      </c>
      <c r="BM429" s="67" t="str">
        <f aca="false">IF(ISBLANK($C429),"",IF(ISNUMBER(BI429),BI429+ROW($B429)/1000,""))</f>
        <v/>
      </c>
      <c r="BN429" s="67" t="str">
        <f aca="false">IF(ISNUMBER(BM429),RANK(BM429,$BM$8:$BM$507,1),"")</f>
        <v/>
      </c>
      <c r="BO429" s="67" t="str">
        <f aca="false">IF(ISBLANK($C429),"",$B429)</f>
        <v/>
      </c>
      <c r="BP429" s="67" t="str">
        <f aca="false">IF(ISBLANK($C429),"",$C429)</f>
        <v/>
      </c>
      <c r="BQ429" s="67" t="str">
        <f aca="false">IF(ISBLANK($C429),"",$D429)</f>
        <v/>
      </c>
      <c r="BR429" s="68" t="str">
        <f aca="false">BF429</f>
        <v/>
      </c>
      <c r="BS429" s="69" t="str">
        <f aca="false">BE429</f>
        <v/>
      </c>
      <c r="BT429" s="67" t="str">
        <f aca="false">IF(ISBLANK($C429),"",BH429)</f>
        <v/>
      </c>
      <c r="BU429" s="70" t="str">
        <f aca="false">IF($BL429&gt;$BK$7,"",VLOOKUP($BL429,$BN$8:$BT$507,7,FALSE()))</f>
        <v/>
      </c>
      <c r="BV429" s="71" t="str">
        <f aca="false">IF($BL429&gt;$BK$7,"",VLOOKUP($BL429,$BN$8:$BT$507,2,FALSE()))</f>
        <v/>
      </c>
      <c r="BW429" s="71" t="str">
        <f aca="false">IF($BL429&gt;$BK$7,"",VLOOKUP($BL429,$BN$8:$BT$507,3,FALSE()))</f>
        <v/>
      </c>
      <c r="BX429" s="71" t="str">
        <f aca="false">IF($BL429&gt;$BK$7,"",VLOOKUP($BL429,$BN$8:$BT$507,4,FALSE()))</f>
        <v/>
      </c>
      <c r="BY429" s="71" t="str">
        <f aca="false">IF($BL429&gt;$BK$7,"",VLOOKUP($BL429,$BN$8:$BT$507,5,FALSE()))</f>
        <v/>
      </c>
      <c r="BZ429" s="72" t="str">
        <f aca="false">IF($BL429&gt;$BK$7,"",VLOOKUP($BL429,$BN$8:$BT$507,6,FALSE()))</f>
        <v/>
      </c>
      <c r="CA429" s="48"/>
    </row>
    <row r="430" customFormat="false" ht="15.75" hidden="false" customHeight="false" outlineLevel="0" collapsed="false">
      <c r="A430" s="5"/>
      <c r="B430" s="121"/>
      <c r="C430" s="50"/>
      <c r="D430" s="51"/>
      <c r="E430" s="74"/>
      <c r="F430" s="122"/>
      <c r="G430" s="54"/>
      <c r="H430" s="123"/>
      <c r="I430" s="124"/>
      <c r="J430" s="54"/>
      <c r="K430" s="123"/>
      <c r="L430" s="54"/>
      <c r="M430" s="123"/>
      <c r="N430" s="54"/>
      <c r="O430" s="123"/>
      <c r="P430" s="54"/>
      <c r="Q430" s="123"/>
      <c r="R430" s="54"/>
      <c r="S430" s="74"/>
      <c r="T430" s="58"/>
      <c r="U430" s="59" t="str">
        <f aca="false">IF(ISBLANK($C430),"",IF(E430=Constants!$B$2, TRUE(), IF(E430=Constants!$B$3, FALSE(), TRUE())))</f>
        <v/>
      </c>
      <c r="V430" s="59" t="str">
        <f aca="false">IF(ISBLANK($C430),"",IF(F430=Constants!$B$2, TRUE(), IF(F430=Constants!$B$3, FALSE(), TRUE())))</f>
        <v/>
      </c>
      <c r="W430" s="59" t="str">
        <f aca="false">IF(ISBLANK($C430),"",IF(G430=Constants!$B$15,Constants!$B$8,IF(G430=Constants!$B$16,Constants!$B$9,Constants!$B$10)))</f>
        <v/>
      </c>
      <c r="X430" s="59" t="str">
        <f aca="false">IF(ISBLANK($C430),"",IF(H430=Constants!$B$2, TRUE(), IF(H430=Constants!$B$3, FALSE(), TRUE())))</f>
        <v/>
      </c>
      <c r="Y430" s="59" t="str">
        <f aca="false">IF(ISBLANK($C430),"",IF(I430=Constants!$B$19,Constants!$B$19,Constants!$B$18))</f>
        <v/>
      </c>
      <c r="Z430" s="59" t="str">
        <f aca="false">IF(ISBLANK($C430),"",IF(ISNUMBER(J430),IF(J430&gt;=0,J430,""),""))</f>
        <v/>
      </c>
      <c r="AA430" s="59" t="str">
        <f aca="false">IF(ISBLANK($C430),"",IF(K430=Constants!$B$19,Constants!$B$19,Constants!$B$18))</f>
        <v/>
      </c>
      <c r="AB430" s="59" t="str">
        <f aca="false">IF(ISBLANK($C430),"",IF(ISNUMBER(L430),IF(L430&gt;=0,L430,""),""))</f>
        <v/>
      </c>
      <c r="AC430" s="59" t="str">
        <f aca="false">IF(ISBLANK($C430),"",IF(M430=Constants!$B$19,Constants!$B$19,Constants!$B$18))</f>
        <v/>
      </c>
      <c r="AD430" s="59" t="str">
        <f aca="false">IF(ISBLANK($C430),"",IF(ISNUMBER(N430),IF(N430&gt;=0,N430,""),""))</f>
        <v/>
      </c>
      <c r="AE430" s="59" t="str">
        <f aca="false">IF(ISBLANK($C430),"",IF(O430=Constants!$B$19,Constants!$B$19,Constants!$B$18))</f>
        <v/>
      </c>
      <c r="AF430" s="59" t="str">
        <f aca="false">IF(ISBLANK($C430),"",IF(ISNUMBER(P430),IF(P430&gt;=0,P430,""),""))</f>
        <v/>
      </c>
      <c r="AG430" s="59" t="str">
        <f aca="false">IF(ISBLANK($C430),"",IF(Q430=Constants!$B$19,Constants!$B$19,Constants!$B$18))</f>
        <v/>
      </c>
      <c r="AH430" s="59" t="str">
        <f aca="false">IF(ISBLANK($C430),"",IF(ISNUMBER(R430),IF(R430&gt;=0,R430,""),""))</f>
        <v/>
      </c>
      <c r="AI430" s="59" t="str">
        <f aca="false">IF(ISBLANK($C430),"",IF(S430=Constants!$B$2, TRUE(), IF(S430=Constants!$B$3, FALSE(), FALSE())))</f>
        <v/>
      </c>
      <c r="AJ430" s="59" t="str">
        <f aca="false">IF(ISBLANK($C430),"",IF(AI430,Constants!$B$4,IF(COUNTA(E430:R430)=0,Constants!$B$5,IF(COUNTA(J430,L430,N430,P430,R430)=0,Constants!$B$6,Constants!$B$7))))</f>
        <v/>
      </c>
      <c r="AK430" s="59" t="str">
        <f aca="false">IF(ISBLANK($C430),"",IF($AJ430&lt;&gt;Constants!$B$7,$AJ430,IF(OR(NOT(X430),AND(NOT(U430),COUNTIFS(Y430:AG430,Constants!$B$18,Z430:AH430,"&gt;=0")&gt;0),AND(NOT(V430),COUNTIFS(Y430:AG430,Constants!$B$19,Z430:AH430,"&gt;=0")&gt;0)),Constants!$B$12,Constants!$B$11)))</f>
        <v/>
      </c>
      <c r="AL430" s="59" t="str">
        <f aca="false">IF($AJ430=Constants!$B$7,IF(Z430="",Constants!$B$13,Z430),"")</f>
        <v/>
      </c>
      <c r="AM430" s="59" t="str">
        <f aca="false">IF($AJ430=Constants!$B$7,IF(AB430="",Constants!$B$13,AB430),"")</f>
        <v/>
      </c>
      <c r="AN430" s="59" t="str">
        <f aca="false">IF($AJ430=Constants!$B$7,IF(AD430="",Constants!$B$13,AD430),"")</f>
        <v/>
      </c>
      <c r="AO430" s="59" t="str">
        <f aca="false">IF($AJ430=Constants!$B$7,IF(AF430="",Constants!$B$13,AF430),"")</f>
        <v/>
      </c>
      <c r="AP430" s="59" t="str">
        <f aca="false">IF($AJ430=Constants!$B$7,IF(AH430="",Constants!$B$13,AH430),"")</f>
        <v/>
      </c>
      <c r="AQ430" s="59" t="str">
        <f aca="false">IF($AJ430=Constants!$B$7,IF(SUMPRODUCT(--($AL430:$AP430&gt;AL430))+SUMPRODUCT(--($AL430:AL430=AL430))=1,1,IF(SUMPRODUCT(--($AL430:$AP430&gt;AM430))+SUMPRODUCT(--($AL430:AM430=AM430))=1,2,IF(SUMPRODUCT(--($AL430:$AP430&gt;AN430))+SUMPRODUCT(--($AL430:AN430=AN430))=1,3,IF(SUMPRODUCT(--($AL430:$AP430&gt;AO430))+SUMPRODUCT(--($AL430:AO430=AO430))=1,4,5)))),"")</f>
        <v/>
      </c>
      <c r="AR430" s="59" t="str">
        <f aca="false">IF($AJ430=Constants!$B$7,IF(SUMPRODUCT(--($AL430:$AP430&gt;AL430))+SUMPRODUCT(--($AL430:AL430=AL430))=2,1,IF(SUMPRODUCT(--($AL430:$AP430&gt;AM430))+SUMPRODUCT(--($AL430:AM430=AM430))=2,2,IF(SUMPRODUCT(--($AL430:$AP430&gt;AN430))+SUMPRODUCT(--($AL430:AN430=AN430))=2,3,IF(SUMPRODUCT(--($AL430:$AP430&gt;AO430))+SUMPRODUCT(--($AL430:AO430=AO430))=2,4,5)))),"")</f>
        <v/>
      </c>
      <c r="AS430" s="59" t="str">
        <f aca="false">IF($AJ430=Constants!$B$7,IF(SUMPRODUCT(--($AL430:$AP430&gt;AL430))+SUMPRODUCT(--($AL430:AL430=AL430))=3,1,IF(SUMPRODUCT(--($AL430:$AP430&gt;AM430))+SUMPRODUCT(--($AL430:AM430=AM430))=3,2,IF(SUMPRODUCT(--($AL430:$AP430&gt;AN430))+SUMPRODUCT(--($AL430:AN430=AN430))=3,3,IF(SUMPRODUCT(--($AL430:$AP430&gt;AO430))+SUMPRODUCT(--($AL430:AO430=AO430))=3,4,5)))),"")</f>
        <v/>
      </c>
      <c r="AT430" s="59" t="str">
        <f aca="false">IF($AJ430=Constants!$B$7,LARGE(AL430:AP430,1)+LARGE(AL430:AP430,2)+LARGE(AL430:AP430,3),"")</f>
        <v/>
      </c>
      <c r="AU430" s="59" t="str">
        <f aca="false">IF(ISBLANK($C430),"",IF($AJ430&lt;&gt;Constants!$B$7,$AJ430,AT430*W430))</f>
        <v/>
      </c>
      <c r="AV430" s="59" t="str">
        <f aca="false">IF(ISBLANK($C430),"",IF($AJ430=Constants!$B$7,IF(ISNUMBER(AU430),RANK(AU430,$AU$8:$AU$507),Constants!$B$14),$AJ430))</f>
        <v/>
      </c>
      <c r="AW430" s="59" t="str">
        <f aca="false">IF(ISBLANK($C430),"",IF($AJ430=Constants!$B$7,IF(ISNUMBER(AV430),COUNTIFS($AK$8:$AK$507,"&lt;"&amp;$AK430)+COUNTIFS($AK$8:$AK$507,$AK430,$AV$8:$AV$507,"&lt;"&amp;$AV430)+1,Constants!$B$14),$AJ430))</f>
        <v/>
      </c>
      <c r="AX430" s="59" t="str">
        <f aca="false">IF(ISBLANK($C430),"",IF($AJ430=Constants!$B$7,LARGE(AL430:AP430,4)*W430,""))</f>
        <v/>
      </c>
      <c r="AY430" s="59" t="str">
        <f aca="false">IF(ISBLANK($C430),"",IF($AJ430=Constants!$B$7,RANK(AX430,$AX$8:$AX$507),$AJ430))</f>
        <v/>
      </c>
      <c r="AZ430" s="59" t="str">
        <f aca="false">IF(ISBLANK($C430),"",IF($AJ430=Constants!$B$7,IF(ISNUMBER(AV430),COUNTIFS($AK$8:$AK$507,"&lt;"&amp;$AK430)+COUNTIFS($AK$8:$AK$507,$AK430,$AV$8:$AV$507,"&lt;"&amp;$AV430)+COUNTIFS($AK$8:$AK$507,$AK430,$AV$8:$AV$507,$AV430,$AY$8:$AY$507,"&lt;"&amp;$AY430)+1,Constants!$B$14),$AJ430))</f>
        <v/>
      </c>
      <c r="BA430" s="59" t="str">
        <f aca="false">IF(ISBLANK($C430),"",IF($AJ430=Constants!$B$7,IF(ISNUMBER(AW430),AW430-AZ430,Constants!$B$14),$AJ430))</f>
        <v/>
      </c>
      <c r="BB430" s="61"/>
      <c r="BC430" s="62" t="str">
        <f aca="false">IF(ISBLANK($C430),"",IF($AJ430&lt;&gt;Constants!$B$7,$AJ430,SMALL(AQ430:AS430,1)&amp;", "&amp;SMALL(AQ430:AS430,2)&amp;", "&amp;SMALL(AQ430:AS430,3)))</f>
        <v/>
      </c>
      <c r="BD430" s="63" t="str">
        <f aca="false">IF(ISBLANK($C430),"",IF($AJ430&lt;&gt;Constants!$B$7,$AJ430,W430))</f>
        <v/>
      </c>
      <c r="BE430" s="64" t="str">
        <f aca="false">IF(ISBLANK($C430),"",IF($AJ430&lt;&gt;Constants!$B$7,$AJ430,AU430))</f>
        <v/>
      </c>
      <c r="BF430" s="65" t="str">
        <f aca="false">IF(ISBLANK($C430),"",IF($AJ430&lt;&gt;Constants!$B$7,$AJ430,AK430))</f>
        <v/>
      </c>
      <c r="BG430" s="63" t="str">
        <f aca="false">IF(ISBLANK($C430),"",BA430)</f>
        <v/>
      </c>
      <c r="BH430" s="63" t="str">
        <f aca="false">IF(ISBLANK($C430),"",AZ430)</f>
        <v/>
      </c>
      <c r="BI430" s="66" t="str">
        <f aca="false">IF(ISBLANK($C430),"",IF(BH430=Constants!$B$4,COUNTA($C$8:$C$507)+2,IF(BH430=Constants!$B$5,COUNTA($C$8:$C$507)+1,IF(BH430=Constants!$B$6,COUNTA($C$8:$C$507),BH430))))</f>
        <v/>
      </c>
      <c r="BJ430" s="5"/>
      <c r="BK430" s="67" t="n">
        <f aca="false">IF(OR(ISNUMBER(BH430),BH430=Constants!$B$4,BH430=Constants!$B$6,BH430=Constants!$B$5),1,0)</f>
        <v>0</v>
      </c>
      <c r="BL430" s="67" t="n">
        <v>423</v>
      </c>
      <c r="BM430" s="67" t="str">
        <f aca="false">IF(ISBLANK($C430),"",IF(ISNUMBER(BI430),BI430+ROW($B430)/1000,""))</f>
        <v/>
      </c>
      <c r="BN430" s="67" t="str">
        <f aca="false">IF(ISNUMBER(BM430),RANK(BM430,$BM$8:$BM$507,1),"")</f>
        <v/>
      </c>
      <c r="BO430" s="67" t="str">
        <f aca="false">IF(ISBLANK($C430),"",$B430)</f>
        <v/>
      </c>
      <c r="BP430" s="67" t="str">
        <f aca="false">IF(ISBLANK($C430),"",$C430)</f>
        <v/>
      </c>
      <c r="BQ430" s="67" t="str">
        <f aca="false">IF(ISBLANK($C430),"",$D430)</f>
        <v/>
      </c>
      <c r="BR430" s="68" t="str">
        <f aca="false">BF430</f>
        <v/>
      </c>
      <c r="BS430" s="69" t="str">
        <f aca="false">BE430</f>
        <v/>
      </c>
      <c r="BT430" s="67" t="str">
        <f aca="false">IF(ISBLANK($C430),"",BH430)</f>
        <v/>
      </c>
      <c r="BU430" s="70" t="str">
        <f aca="false">IF($BL430&gt;$BK$7,"",VLOOKUP($BL430,$BN$8:$BT$507,7,FALSE()))</f>
        <v/>
      </c>
      <c r="BV430" s="71" t="str">
        <f aca="false">IF($BL430&gt;$BK$7,"",VLOOKUP($BL430,$BN$8:$BT$507,2,FALSE()))</f>
        <v/>
      </c>
      <c r="BW430" s="71" t="str">
        <f aca="false">IF($BL430&gt;$BK$7,"",VLOOKUP($BL430,$BN$8:$BT$507,3,FALSE()))</f>
        <v/>
      </c>
      <c r="BX430" s="71" t="str">
        <f aca="false">IF($BL430&gt;$BK$7,"",VLOOKUP($BL430,$BN$8:$BT$507,4,FALSE()))</f>
        <v/>
      </c>
      <c r="BY430" s="71" t="str">
        <f aca="false">IF($BL430&gt;$BK$7,"",VLOOKUP($BL430,$BN$8:$BT$507,5,FALSE()))</f>
        <v/>
      </c>
      <c r="BZ430" s="72" t="str">
        <f aca="false">IF($BL430&gt;$BK$7,"",VLOOKUP($BL430,$BN$8:$BT$507,6,FALSE()))</f>
        <v/>
      </c>
      <c r="CA430" s="48"/>
    </row>
    <row r="431" customFormat="false" ht="15.75" hidden="false" customHeight="false" outlineLevel="0" collapsed="false">
      <c r="A431" s="5"/>
      <c r="B431" s="114"/>
      <c r="C431" s="115"/>
      <c r="D431" s="100"/>
      <c r="E431" s="120"/>
      <c r="F431" s="125"/>
      <c r="G431" s="82"/>
      <c r="H431" s="126"/>
      <c r="I431" s="127"/>
      <c r="J431" s="82"/>
      <c r="K431" s="126"/>
      <c r="L431" s="82"/>
      <c r="M431" s="126"/>
      <c r="N431" s="82"/>
      <c r="O431" s="126"/>
      <c r="P431" s="82"/>
      <c r="Q431" s="126"/>
      <c r="R431" s="82"/>
      <c r="S431" s="120"/>
      <c r="T431" s="86"/>
      <c r="U431" s="87" t="str">
        <f aca="false">IF(ISBLANK($C431),"",IF(E431=Constants!$B$2, TRUE(), IF(E431=Constants!$B$3, FALSE(), TRUE())))</f>
        <v/>
      </c>
      <c r="V431" s="87" t="str">
        <f aca="false">IF(ISBLANK($C431),"",IF(F431=Constants!$B$2, TRUE(), IF(F431=Constants!$B$3, FALSE(), TRUE())))</f>
        <v/>
      </c>
      <c r="W431" s="87" t="str">
        <f aca="false">IF(ISBLANK($C431),"",IF(G431=Constants!$B$15,Constants!$B$8,IF(G431=Constants!$B$16,Constants!$B$9,Constants!$B$10)))</f>
        <v/>
      </c>
      <c r="X431" s="87" t="str">
        <f aca="false">IF(ISBLANK($C431),"",IF(H431=Constants!$B$2, TRUE(), IF(H431=Constants!$B$3, FALSE(), TRUE())))</f>
        <v/>
      </c>
      <c r="Y431" s="87" t="str">
        <f aca="false">IF(ISBLANK($C431),"",IF(I431=Constants!$B$19,Constants!$B$19,Constants!$B$18))</f>
        <v/>
      </c>
      <c r="Z431" s="87" t="str">
        <f aca="false">IF(ISBLANK($C431),"",IF(ISNUMBER(J431),IF(J431&gt;=0,J431,""),""))</f>
        <v/>
      </c>
      <c r="AA431" s="87" t="str">
        <f aca="false">IF(ISBLANK($C431),"",IF(K431=Constants!$B$19,Constants!$B$19,Constants!$B$18))</f>
        <v/>
      </c>
      <c r="AB431" s="87" t="str">
        <f aca="false">IF(ISBLANK($C431),"",IF(ISNUMBER(L431),IF(L431&gt;=0,L431,""),""))</f>
        <v/>
      </c>
      <c r="AC431" s="87" t="str">
        <f aca="false">IF(ISBLANK($C431),"",IF(M431=Constants!$B$19,Constants!$B$19,Constants!$B$18))</f>
        <v/>
      </c>
      <c r="AD431" s="87" t="str">
        <f aca="false">IF(ISBLANK($C431),"",IF(ISNUMBER(N431),IF(N431&gt;=0,N431,""),""))</f>
        <v/>
      </c>
      <c r="AE431" s="87" t="str">
        <f aca="false">IF(ISBLANK($C431),"",IF(O431=Constants!$B$19,Constants!$B$19,Constants!$B$18))</f>
        <v/>
      </c>
      <c r="AF431" s="87" t="str">
        <f aca="false">IF(ISBLANK($C431),"",IF(ISNUMBER(P431),IF(P431&gt;=0,P431,""),""))</f>
        <v/>
      </c>
      <c r="AG431" s="87" t="str">
        <f aca="false">IF(ISBLANK($C431),"",IF(Q431=Constants!$B$19,Constants!$B$19,Constants!$B$18))</f>
        <v/>
      </c>
      <c r="AH431" s="87" t="str">
        <f aca="false">IF(ISBLANK($C431),"",IF(ISNUMBER(R431),IF(R431&gt;=0,R431,""),""))</f>
        <v/>
      </c>
      <c r="AI431" s="87" t="str">
        <f aca="false">IF(ISBLANK($C431),"",IF(S431=Constants!$B$2, TRUE(), IF(S431=Constants!$B$3, FALSE(), FALSE())))</f>
        <v/>
      </c>
      <c r="AJ431" s="87" t="str">
        <f aca="false">IF(ISBLANK($C431),"",IF(AI431,Constants!$B$4,IF(COUNTA(E431:R431)=0,Constants!$B$5,IF(COUNTA(J431,L431,N431,P431,R431)=0,Constants!$B$6,Constants!$B$7))))</f>
        <v/>
      </c>
      <c r="AK431" s="87" t="str">
        <f aca="false">IF(ISBLANK($C431),"",IF($AJ431&lt;&gt;Constants!$B$7,$AJ431,IF(OR(NOT(X431),AND(NOT(U431),COUNTIFS(Y431:AG431,Constants!$B$18,Z431:AH431,"&gt;=0")&gt;0),AND(NOT(V431),COUNTIFS(Y431:AG431,Constants!$B$19,Z431:AH431,"&gt;=0")&gt;0)),Constants!$B$12,Constants!$B$11)))</f>
        <v/>
      </c>
      <c r="AL431" s="87" t="str">
        <f aca="false">IF($AJ431=Constants!$B$7,IF(Z431="",Constants!$B$13,Z431),"")</f>
        <v/>
      </c>
      <c r="AM431" s="87" t="str">
        <f aca="false">IF($AJ431=Constants!$B$7,IF(AB431="",Constants!$B$13,AB431),"")</f>
        <v/>
      </c>
      <c r="AN431" s="87" t="str">
        <f aca="false">IF($AJ431=Constants!$B$7,IF(AD431="",Constants!$B$13,AD431),"")</f>
        <v/>
      </c>
      <c r="AO431" s="87" t="str">
        <f aca="false">IF($AJ431=Constants!$B$7,IF(AF431="",Constants!$B$13,AF431),"")</f>
        <v/>
      </c>
      <c r="AP431" s="87" t="str">
        <f aca="false">IF($AJ431=Constants!$B$7,IF(AH431="",Constants!$B$13,AH431),"")</f>
        <v/>
      </c>
      <c r="AQ431" s="87" t="str">
        <f aca="false">IF($AJ431=Constants!$B$7,IF(SUMPRODUCT(--($AL431:$AP431&gt;AL431))+SUMPRODUCT(--($AL431:AL431=AL431))=1,1,IF(SUMPRODUCT(--($AL431:$AP431&gt;AM431))+SUMPRODUCT(--($AL431:AM431=AM431))=1,2,IF(SUMPRODUCT(--($AL431:$AP431&gt;AN431))+SUMPRODUCT(--($AL431:AN431=AN431))=1,3,IF(SUMPRODUCT(--($AL431:$AP431&gt;AO431))+SUMPRODUCT(--($AL431:AO431=AO431))=1,4,5)))),"")</f>
        <v/>
      </c>
      <c r="AR431" s="87" t="str">
        <f aca="false">IF($AJ431=Constants!$B$7,IF(SUMPRODUCT(--($AL431:$AP431&gt;AL431))+SUMPRODUCT(--($AL431:AL431=AL431))=2,1,IF(SUMPRODUCT(--($AL431:$AP431&gt;AM431))+SUMPRODUCT(--($AL431:AM431=AM431))=2,2,IF(SUMPRODUCT(--($AL431:$AP431&gt;AN431))+SUMPRODUCT(--($AL431:AN431=AN431))=2,3,IF(SUMPRODUCT(--($AL431:$AP431&gt;AO431))+SUMPRODUCT(--($AL431:AO431=AO431))=2,4,5)))),"")</f>
        <v/>
      </c>
      <c r="AS431" s="87" t="str">
        <f aca="false">IF($AJ431=Constants!$B$7,IF(SUMPRODUCT(--($AL431:$AP431&gt;AL431))+SUMPRODUCT(--($AL431:AL431=AL431))=3,1,IF(SUMPRODUCT(--($AL431:$AP431&gt;AM431))+SUMPRODUCT(--($AL431:AM431=AM431))=3,2,IF(SUMPRODUCT(--($AL431:$AP431&gt;AN431))+SUMPRODUCT(--($AL431:AN431=AN431))=3,3,IF(SUMPRODUCT(--($AL431:$AP431&gt;AO431))+SUMPRODUCT(--($AL431:AO431=AO431))=3,4,5)))),"")</f>
        <v/>
      </c>
      <c r="AT431" s="87" t="str">
        <f aca="false">IF($AJ431=Constants!$B$7,LARGE(AL431:AP431,1)+LARGE(AL431:AP431,2)+LARGE(AL431:AP431,3),"")</f>
        <v/>
      </c>
      <c r="AU431" s="87" t="str">
        <f aca="false">IF(ISBLANK($C431),"",IF($AJ431&lt;&gt;Constants!$B$7,$AJ431,AT431*W431))</f>
        <v/>
      </c>
      <c r="AV431" s="87" t="str">
        <f aca="false">IF(ISBLANK($C431),"",IF($AJ431=Constants!$B$7,IF(ISNUMBER(AU431),RANK(AU431,$AU$8:$AU$507),Constants!$B$14),$AJ431))</f>
        <v/>
      </c>
      <c r="AW431" s="87" t="str">
        <f aca="false">IF(ISBLANK($C431),"",IF($AJ431=Constants!$B$7,IF(ISNUMBER(AV431),COUNTIFS($AK$8:$AK$507,"&lt;"&amp;$AK431)+COUNTIFS($AK$8:$AK$507,$AK431,$AV$8:$AV$507,"&lt;"&amp;$AV431)+1,Constants!$B$14),$AJ431))</f>
        <v/>
      </c>
      <c r="AX431" s="87" t="str">
        <f aca="false">IF(ISBLANK($C431),"",IF($AJ431=Constants!$B$7,LARGE(AL431:AP431,4)*W431,""))</f>
        <v/>
      </c>
      <c r="AY431" s="87" t="str">
        <f aca="false">IF(ISBLANK($C431),"",IF($AJ431=Constants!$B$7,RANK(AX431,$AX$8:$AX$507),$AJ431))</f>
        <v/>
      </c>
      <c r="AZ431" s="87" t="str">
        <f aca="false">IF(ISBLANK($C431),"",IF($AJ431=Constants!$B$7,IF(ISNUMBER(AV431),COUNTIFS($AK$8:$AK$507,"&lt;"&amp;$AK431)+COUNTIFS($AK$8:$AK$507,$AK431,$AV$8:$AV$507,"&lt;"&amp;$AV431)+COUNTIFS($AK$8:$AK$507,$AK431,$AV$8:$AV$507,$AV431,$AY$8:$AY$507,"&lt;"&amp;$AY431)+1,Constants!$B$14),$AJ431))</f>
        <v/>
      </c>
      <c r="BA431" s="87" t="str">
        <f aca="false">IF(ISBLANK($C431),"",IF($AJ431=Constants!$B$7,IF(ISNUMBER(AW431),AW431-AZ431,Constants!$B$14),$AJ431))</f>
        <v/>
      </c>
      <c r="BB431" s="88"/>
      <c r="BC431" s="89" t="str">
        <f aca="false">IF(ISBLANK($C431),"",IF($AJ431&lt;&gt;Constants!$B$7,$AJ431,SMALL(AQ431:AS431,1)&amp;", "&amp;SMALL(AQ431:AS431,2)&amp;", "&amp;SMALL(AQ431:AS431,3)))</f>
        <v/>
      </c>
      <c r="BD431" s="90" t="str">
        <f aca="false">IF(ISBLANK($C431),"",IF($AJ431&lt;&gt;Constants!$B$7,$AJ431,W431))</f>
        <v/>
      </c>
      <c r="BE431" s="91" t="str">
        <f aca="false">IF(ISBLANK($C431),"",IF($AJ431&lt;&gt;Constants!$B$7,$AJ431,AU431))</f>
        <v/>
      </c>
      <c r="BF431" s="92" t="str">
        <f aca="false">IF(ISBLANK($C431),"",IF($AJ431&lt;&gt;Constants!$B$7,$AJ431,AK431))</f>
        <v/>
      </c>
      <c r="BG431" s="90" t="str">
        <f aca="false">IF(ISBLANK($C431),"",BA431)</f>
        <v/>
      </c>
      <c r="BH431" s="90" t="str">
        <f aca="false">IF(ISBLANK($C431),"",AZ431)</f>
        <v/>
      </c>
      <c r="BI431" s="93" t="str">
        <f aca="false">IF(ISBLANK($C431),"",IF(BH431=Constants!$B$4,COUNTA($C$8:$C$507)+2,IF(BH431=Constants!$B$5,COUNTA($C$8:$C$507)+1,IF(BH431=Constants!$B$6,COUNTA($C$8:$C$507),BH431))))</f>
        <v/>
      </c>
      <c r="BJ431" s="5"/>
      <c r="BK431" s="94" t="n">
        <f aca="false">IF(OR(ISNUMBER(BH431),BH431=Constants!$B$4,BH431=Constants!$B$6,BH431=Constants!$B$5),1,0)</f>
        <v>0</v>
      </c>
      <c r="BL431" s="94" t="n">
        <v>424</v>
      </c>
      <c r="BM431" s="94" t="str">
        <f aca="false">IF(ISBLANK($C431),"",IF(ISNUMBER(BI431),BI431+ROW($B431)/1000,""))</f>
        <v/>
      </c>
      <c r="BN431" s="94" t="str">
        <f aca="false">IF(ISNUMBER(BM431),RANK(BM431,$BM$8:$BM$507,1),"")</f>
        <v/>
      </c>
      <c r="BO431" s="94" t="str">
        <f aca="false">IF(ISBLANK($C431),"",$B431)</f>
        <v/>
      </c>
      <c r="BP431" s="94" t="str">
        <f aca="false">IF(ISBLANK($C431),"",$C431)</f>
        <v/>
      </c>
      <c r="BQ431" s="94" t="str">
        <f aca="false">IF(ISBLANK($C431),"",$D431)</f>
        <v/>
      </c>
      <c r="BR431" s="95" t="str">
        <f aca="false">BF431</f>
        <v/>
      </c>
      <c r="BS431" s="96" t="str">
        <f aca="false">BE431</f>
        <v/>
      </c>
      <c r="BT431" s="94" t="str">
        <f aca="false">IF(ISBLANK($C431),"",BH431)</f>
        <v/>
      </c>
      <c r="BU431" s="97" t="str">
        <f aca="false">IF($BL431&gt;$BK$7,"",VLOOKUP($BL431,$BN$8:$BT$507,7,FALSE()))</f>
        <v/>
      </c>
      <c r="BV431" s="98" t="str">
        <f aca="false">IF($BL431&gt;$BK$7,"",VLOOKUP($BL431,$BN$8:$BT$507,2,FALSE()))</f>
        <v/>
      </c>
      <c r="BW431" s="98" t="str">
        <f aca="false">IF($BL431&gt;$BK$7,"",VLOOKUP($BL431,$BN$8:$BT$507,3,FALSE()))</f>
        <v/>
      </c>
      <c r="BX431" s="98" t="str">
        <f aca="false">IF($BL431&gt;$BK$7,"",VLOOKUP($BL431,$BN$8:$BT$507,4,FALSE()))</f>
        <v/>
      </c>
      <c r="BY431" s="98" t="str">
        <f aca="false">IF($BL431&gt;$BK$7,"",VLOOKUP($BL431,$BN$8:$BT$507,5,FALSE()))</f>
        <v/>
      </c>
      <c r="BZ431" s="99" t="str">
        <f aca="false">IF($BL431&gt;$BK$7,"",VLOOKUP($BL431,$BN$8:$BT$507,6,FALSE()))</f>
        <v/>
      </c>
      <c r="CA431" s="48"/>
    </row>
    <row r="432" customFormat="false" ht="15.75" hidden="false" customHeight="false" outlineLevel="0" collapsed="false">
      <c r="A432" s="5"/>
      <c r="B432" s="114"/>
      <c r="C432" s="115"/>
      <c r="D432" s="100"/>
      <c r="E432" s="120"/>
      <c r="F432" s="125"/>
      <c r="G432" s="82"/>
      <c r="H432" s="126"/>
      <c r="I432" s="127"/>
      <c r="J432" s="82"/>
      <c r="K432" s="126"/>
      <c r="L432" s="82"/>
      <c r="M432" s="126"/>
      <c r="N432" s="82"/>
      <c r="O432" s="126"/>
      <c r="P432" s="82"/>
      <c r="Q432" s="126"/>
      <c r="R432" s="82"/>
      <c r="S432" s="120"/>
      <c r="T432" s="86"/>
      <c r="U432" s="87" t="str">
        <f aca="false">IF(ISBLANK($C432),"",IF(E432=Constants!$B$2, TRUE(), IF(E432=Constants!$B$3, FALSE(), TRUE())))</f>
        <v/>
      </c>
      <c r="V432" s="87" t="str">
        <f aca="false">IF(ISBLANK($C432),"",IF(F432=Constants!$B$2, TRUE(), IF(F432=Constants!$B$3, FALSE(), TRUE())))</f>
        <v/>
      </c>
      <c r="W432" s="87" t="str">
        <f aca="false">IF(ISBLANK($C432),"",IF(G432=Constants!$B$15,Constants!$B$8,IF(G432=Constants!$B$16,Constants!$B$9,Constants!$B$10)))</f>
        <v/>
      </c>
      <c r="X432" s="87" t="str">
        <f aca="false">IF(ISBLANK($C432),"",IF(H432=Constants!$B$2, TRUE(), IF(H432=Constants!$B$3, FALSE(), TRUE())))</f>
        <v/>
      </c>
      <c r="Y432" s="87" t="str">
        <f aca="false">IF(ISBLANK($C432),"",IF(I432=Constants!$B$19,Constants!$B$19,Constants!$B$18))</f>
        <v/>
      </c>
      <c r="Z432" s="87" t="str">
        <f aca="false">IF(ISBLANK($C432),"",IF(ISNUMBER(J432),IF(J432&gt;=0,J432,""),""))</f>
        <v/>
      </c>
      <c r="AA432" s="87" t="str">
        <f aca="false">IF(ISBLANK($C432),"",IF(K432=Constants!$B$19,Constants!$B$19,Constants!$B$18))</f>
        <v/>
      </c>
      <c r="AB432" s="87" t="str">
        <f aca="false">IF(ISBLANK($C432),"",IF(ISNUMBER(L432),IF(L432&gt;=0,L432,""),""))</f>
        <v/>
      </c>
      <c r="AC432" s="87" t="str">
        <f aca="false">IF(ISBLANK($C432),"",IF(M432=Constants!$B$19,Constants!$B$19,Constants!$B$18))</f>
        <v/>
      </c>
      <c r="AD432" s="87" t="str">
        <f aca="false">IF(ISBLANK($C432),"",IF(ISNUMBER(N432),IF(N432&gt;=0,N432,""),""))</f>
        <v/>
      </c>
      <c r="AE432" s="87" t="str">
        <f aca="false">IF(ISBLANK($C432),"",IF(O432=Constants!$B$19,Constants!$B$19,Constants!$B$18))</f>
        <v/>
      </c>
      <c r="AF432" s="87" t="str">
        <f aca="false">IF(ISBLANK($C432),"",IF(ISNUMBER(P432),IF(P432&gt;=0,P432,""),""))</f>
        <v/>
      </c>
      <c r="AG432" s="87" t="str">
        <f aca="false">IF(ISBLANK($C432),"",IF(Q432=Constants!$B$19,Constants!$B$19,Constants!$B$18))</f>
        <v/>
      </c>
      <c r="AH432" s="87" t="str">
        <f aca="false">IF(ISBLANK($C432),"",IF(ISNUMBER(R432),IF(R432&gt;=0,R432,""),""))</f>
        <v/>
      </c>
      <c r="AI432" s="87" t="str">
        <f aca="false">IF(ISBLANK($C432),"",IF(S432=Constants!$B$2, TRUE(), IF(S432=Constants!$B$3, FALSE(), FALSE())))</f>
        <v/>
      </c>
      <c r="AJ432" s="87" t="str">
        <f aca="false">IF(ISBLANK($C432),"",IF(AI432,Constants!$B$4,IF(COUNTA(E432:R432)=0,Constants!$B$5,IF(COUNTA(J432,L432,N432,P432,R432)=0,Constants!$B$6,Constants!$B$7))))</f>
        <v/>
      </c>
      <c r="AK432" s="87" t="str">
        <f aca="false">IF(ISBLANK($C432),"",IF($AJ432&lt;&gt;Constants!$B$7,$AJ432,IF(OR(NOT(X432),AND(NOT(U432),COUNTIFS(Y432:AG432,Constants!$B$18,Z432:AH432,"&gt;=0")&gt;0),AND(NOT(V432),COUNTIFS(Y432:AG432,Constants!$B$19,Z432:AH432,"&gt;=0")&gt;0)),Constants!$B$12,Constants!$B$11)))</f>
        <v/>
      </c>
      <c r="AL432" s="87" t="str">
        <f aca="false">IF($AJ432=Constants!$B$7,IF(Z432="",Constants!$B$13,Z432),"")</f>
        <v/>
      </c>
      <c r="AM432" s="87" t="str">
        <f aca="false">IF($AJ432=Constants!$B$7,IF(AB432="",Constants!$B$13,AB432),"")</f>
        <v/>
      </c>
      <c r="AN432" s="87" t="str">
        <f aca="false">IF($AJ432=Constants!$B$7,IF(AD432="",Constants!$B$13,AD432),"")</f>
        <v/>
      </c>
      <c r="AO432" s="87" t="str">
        <f aca="false">IF($AJ432=Constants!$B$7,IF(AF432="",Constants!$B$13,AF432),"")</f>
        <v/>
      </c>
      <c r="AP432" s="87" t="str">
        <f aca="false">IF($AJ432=Constants!$B$7,IF(AH432="",Constants!$B$13,AH432),"")</f>
        <v/>
      </c>
      <c r="AQ432" s="87" t="str">
        <f aca="false">IF($AJ432=Constants!$B$7,IF(SUMPRODUCT(--($AL432:$AP432&gt;AL432))+SUMPRODUCT(--($AL432:AL432=AL432))=1,1,IF(SUMPRODUCT(--($AL432:$AP432&gt;AM432))+SUMPRODUCT(--($AL432:AM432=AM432))=1,2,IF(SUMPRODUCT(--($AL432:$AP432&gt;AN432))+SUMPRODUCT(--($AL432:AN432=AN432))=1,3,IF(SUMPRODUCT(--($AL432:$AP432&gt;AO432))+SUMPRODUCT(--($AL432:AO432=AO432))=1,4,5)))),"")</f>
        <v/>
      </c>
      <c r="AR432" s="87" t="str">
        <f aca="false">IF($AJ432=Constants!$B$7,IF(SUMPRODUCT(--($AL432:$AP432&gt;AL432))+SUMPRODUCT(--($AL432:AL432=AL432))=2,1,IF(SUMPRODUCT(--($AL432:$AP432&gt;AM432))+SUMPRODUCT(--($AL432:AM432=AM432))=2,2,IF(SUMPRODUCT(--($AL432:$AP432&gt;AN432))+SUMPRODUCT(--($AL432:AN432=AN432))=2,3,IF(SUMPRODUCT(--($AL432:$AP432&gt;AO432))+SUMPRODUCT(--($AL432:AO432=AO432))=2,4,5)))),"")</f>
        <v/>
      </c>
      <c r="AS432" s="87" t="str">
        <f aca="false">IF($AJ432=Constants!$B$7,IF(SUMPRODUCT(--($AL432:$AP432&gt;AL432))+SUMPRODUCT(--($AL432:AL432=AL432))=3,1,IF(SUMPRODUCT(--($AL432:$AP432&gt;AM432))+SUMPRODUCT(--($AL432:AM432=AM432))=3,2,IF(SUMPRODUCT(--($AL432:$AP432&gt;AN432))+SUMPRODUCT(--($AL432:AN432=AN432))=3,3,IF(SUMPRODUCT(--($AL432:$AP432&gt;AO432))+SUMPRODUCT(--($AL432:AO432=AO432))=3,4,5)))),"")</f>
        <v/>
      </c>
      <c r="AT432" s="87" t="str">
        <f aca="false">IF($AJ432=Constants!$B$7,LARGE(AL432:AP432,1)+LARGE(AL432:AP432,2)+LARGE(AL432:AP432,3),"")</f>
        <v/>
      </c>
      <c r="AU432" s="87" t="str">
        <f aca="false">IF(ISBLANK($C432),"",IF($AJ432&lt;&gt;Constants!$B$7,$AJ432,AT432*W432))</f>
        <v/>
      </c>
      <c r="AV432" s="87" t="str">
        <f aca="false">IF(ISBLANK($C432),"",IF($AJ432=Constants!$B$7,IF(ISNUMBER(AU432),RANK(AU432,$AU$8:$AU$507),Constants!$B$14),$AJ432))</f>
        <v/>
      </c>
      <c r="AW432" s="87" t="str">
        <f aca="false">IF(ISBLANK($C432),"",IF($AJ432=Constants!$B$7,IF(ISNUMBER(AV432),COUNTIFS($AK$8:$AK$507,"&lt;"&amp;$AK432)+COUNTIFS($AK$8:$AK$507,$AK432,$AV$8:$AV$507,"&lt;"&amp;$AV432)+1,Constants!$B$14),$AJ432))</f>
        <v/>
      </c>
      <c r="AX432" s="87" t="str">
        <f aca="false">IF(ISBLANK($C432),"",IF($AJ432=Constants!$B$7,LARGE(AL432:AP432,4)*W432,""))</f>
        <v/>
      </c>
      <c r="AY432" s="87" t="str">
        <f aca="false">IF(ISBLANK($C432),"",IF($AJ432=Constants!$B$7,RANK(AX432,$AX$8:$AX$507),$AJ432))</f>
        <v/>
      </c>
      <c r="AZ432" s="87" t="str">
        <f aca="false">IF(ISBLANK($C432),"",IF($AJ432=Constants!$B$7,IF(ISNUMBER(AV432),COUNTIFS($AK$8:$AK$507,"&lt;"&amp;$AK432)+COUNTIFS($AK$8:$AK$507,$AK432,$AV$8:$AV$507,"&lt;"&amp;$AV432)+COUNTIFS($AK$8:$AK$507,$AK432,$AV$8:$AV$507,$AV432,$AY$8:$AY$507,"&lt;"&amp;$AY432)+1,Constants!$B$14),$AJ432))</f>
        <v/>
      </c>
      <c r="BA432" s="87" t="str">
        <f aca="false">IF(ISBLANK($C432),"",IF($AJ432=Constants!$B$7,IF(ISNUMBER(AW432),AW432-AZ432,Constants!$B$14),$AJ432))</f>
        <v/>
      </c>
      <c r="BB432" s="88"/>
      <c r="BC432" s="89" t="str">
        <f aca="false">IF(ISBLANK($C432),"",IF($AJ432&lt;&gt;Constants!$B$7,$AJ432,SMALL(AQ432:AS432,1)&amp;", "&amp;SMALL(AQ432:AS432,2)&amp;", "&amp;SMALL(AQ432:AS432,3)))</f>
        <v/>
      </c>
      <c r="BD432" s="90" t="str">
        <f aca="false">IF(ISBLANK($C432),"",IF($AJ432&lt;&gt;Constants!$B$7,$AJ432,W432))</f>
        <v/>
      </c>
      <c r="BE432" s="91" t="str">
        <f aca="false">IF(ISBLANK($C432),"",IF($AJ432&lt;&gt;Constants!$B$7,$AJ432,AU432))</f>
        <v/>
      </c>
      <c r="BF432" s="92" t="str">
        <f aca="false">IF(ISBLANK($C432),"",IF($AJ432&lt;&gt;Constants!$B$7,$AJ432,AK432))</f>
        <v/>
      </c>
      <c r="BG432" s="90" t="str">
        <f aca="false">IF(ISBLANK($C432),"",BA432)</f>
        <v/>
      </c>
      <c r="BH432" s="90" t="str">
        <f aca="false">IF(ISBLANK($C432),"",AZ432)</f>
        <v/>
      </c>
      <c r="BI432" s="93" t="str">
        <f aca="false">IF(ISBLANK($C432),"",IF(BH432=Constants!$B$4,COUNTA($C$8:$C$507)+2,IF(BH432=Constants!$B$5,COUNTA($C$8:$C$507)+1,IF(BH432=Constants!$B$6,COUNTA($C$8:$C$507),BH432))))</f>
        <v/>
      </c>
      <c r="BJ432" s="5"/>
      <c r="BK432" s="94" t="n">
        <f aca="false">IF(OR(ISNUMBER(BH432),BH432=Constants!$B$4,BH432=Constants!$B$6,BH432=Constants!$B$5),1,0)</f>
        <v>0</v>
      </c>
      <c r="BL432" s="94" t="n">
        <v>425</v>
      </c>
      <c r="BM432" s="94" t="str">
        <f aca="false">IF(ISBLANK($C432),"",IF(ISNUMBER(BI432),BI432+ROW($B432)/1000,""))</f>
        <v/>
      </c>
      <c r="BN432" s="94" t="str">
        <f aca="false">IF(ISNUMBER(BM432),RANK(BM432,$BM$8:$BM$507,1),"")</f>
        <v/>
      </c>
      <c r="BO432" s="94" t="str">
        <f aca="false">IF(ISBLANK($C432),"",$B432)</f>
        <v/>
      </c>
      <c r="BP432" s="94" t="str">
        <f aca="false">IF(ISBLANK($C432),"",$C432)</f>
        <v/>
      </c>
      <c r="BQ432" s="94" t="str">
        <f aca="false">IF(ISBLANK($C432),"",$D432)</f>
        <v/>
      </c>
      <c r="BR432" s="95" t="str">
        <f aca="false">BF432</f>
        <v/>
      </c>
      <c r="BS432" s="96" t="str">
        <f aca="false">BE432</f>
        <v/>
      </c>
      <c r="BT432" s="94" t="str">
        <f aca="false">IF(ISBLANK($C432),"",BH432)</f>
        <v/>
      </c>
      <c r="BU432" s="97" t="str">
        <f aca="false">IF($BL432&gt;$BK$7,"",VLOOKUP($BL432,$BN$8:$BT$507,7,FALSE()))</f>
        <v/>
      </c>
      <c r="BV432" s="98" t="str">
        <f aca="false">IF($BL432&gt;$BK$7,"",VLOOKUP($BL432,$BN$8:$BT$507,2,FALSE()))</f>
        <v/>
      </c>
      <c r="BW432" s="98" t="str">
        <f aca="false">IF($BL432&gt;$BK$7,"",VLOOKUP($BL432,$BN$8:$BT$507,3,FALSE()))</f>
        <v/>
      </c>
      <c r="BX432" s="98" t="str">
        <f aca="false">IF($BL432&gt;$BK$7,"",VLOOKUP($BL432,$BN$8:$BT$507,4,FALSE()))</f>
        <v/>
      </c>
      <c r="BY432" s="98" t="str">
        <f aca="false">IF($BL432&gt;$BK$7,"",VLOOKUP($BL432,$BN$8:$BT$507,5,FALSE()))</f>
        <v/>
      </c>
      <c r="BZ432" s="99" t="str">
        <f aca="false">IF($BL432&gt;$BK$7,"",VLOOKUP($BL432,$BN$8:$BT$507,6,FALSE()))</f>
        <v/>
      </c>
      <c r="CA432" s="48"/>
    </row>
    <row r="433" customFormat="false" ht="15.75" hidden="false" customHeight="false" outlineLevel="0" collapsed="false">
      <c r="A433" s="5"/>
      <c r="B433" s="114"/>
      <c r="C433" s="115"/>
      <c r="D433" s="100"/>
      <c r="E433" s="120"/>
      <c r="F433" s="125"/>
      <c r="G433" s="82"/>
      <c r="H433" s="126"/>
      <c r="I433" s="127"/>
      <c r="J433" s="82"/>
      <c r="K433" s="126"/>
      <c r="L433" s="82"/>
      <c r="M433" s="126"/>
      <c r="N433" s="82"/>
      <c r="O433" s="126"/>
      <c r="P433" s="82"/>
      <c r="Q433" s="126"/>
      <c r="R433" s="82"/>
      <c r="S433" s="120"/>
      <c r="T433" s="86"/>
      <c r="U433" s="87" t="str">
        <f aca="false">IF(ISBLANK($C433),"",IF(E433=Constants!$B$2, TRUE(), IF(E433=Constants!$B$3, FALSE(), TRUE())))</f>
        <v/>
      </c>
      <c r="V433" s="87" t="str">
        <f aca="false">IF(ISBLANK($C433),"",IF(F433=Constants!$B$2, TRUE(), IF(F433=Constants!$B$3, FALSE(), TRUE())))</f>
        <v/>
      </c>
      <c r="W433" s="87" t="str">
        <f aca="false">IF(ISBLANK($C433),"",IF(G433=Constants!$B$15,Constants!$B$8,IF(G433=Constants!$B$16,Constants!$B$9,Constants!$B$10)))</f>
        <v/>
      </c>
      <c r="X433" s="87" t="str">
        <f aca="false">IF(ISBLANK($C433),"",IF(H433=Constants!$B$2, TRUE(), IF(H433=Constants!$B$3, FALSE(), TRUE())))</f>
        <v/>
      </c>
      <c r="Y433" s="87" t="str">
        <f aca="false">IF(ISBLANK($C433),"",IF(I433=Constants!$B$19,Constants!$B$19,Constants!$B$18))</f>
        <v/>
      </c>
      <c r="Z433" s="87" t="str">
        <f aca="false">IF(ISBLANK($C433),"",IF(ISNUMBER(J433),IF(J433&gt;=0,J433,""),""))</f>
        <v/>
      </c>
      <c r="AA433" s="87" t="str">
        <f aca="false">IF(ISBLANK($C433),"",IF(K433=Constants!$B$19,Constants!$B$19,Constants!$B$18))</f>
        <v/>
      </c>
      <c r="AB433" s="87" t="str">
        <f aca="false">IF(ISBLANK($C433),"",IF(ISNUMBER(L433),IF(L433&gt;=0,L433,""),""))</f>
        <v/>
      </c>
      <c r="AC433" s="87" t="str">
        <f aca="false">IF(ISBLANK($C433),"",IF(M433=Constants!$B$19,Constants!$B$19,Constants!$B$18))</f>
        <v/>
      </c>
      <c r="AD433" s="87" t="str">
        <f aca="false">IF(ISBLANK($C433),"",IF(ISNUMBER(N433),IF(N433&gt;=0,N433,""),""))</f>
        <v/>
      </c>
      <c r="AE433" s="87" t="str">
        <f aca="false">IF(ISBLANK($C433),"",IF(O433=Constants!$B$19,Constants!$B$19,Constants!$B$18))</f>
        <v/>
      </c>
      <c r="AF433" s="87" t="str">
        <f aca="false">IF(ISBLANK($C433),"",IF(ISNUMBER(P433),IF(P433&gt;=0,P433,""),""))</f>
        <v/>
      </c>
      <c r="AG433" s="87" t="str">
        <f aca="false">IF(ISBLANK($C433),"",IF(Q433=Constants!$B$19,Constants!$B$19,Constants!$B$18))</f>
        <v/>
      </c>
      <c r="AH433" s="87" t="str">
        <f aca="false">IF(ISBLANK($C433),"",IF(ISNUMBER(R433),IF(R433&gt;=0,R433,""),""))</f>
        <v/>
      </c>
      <c r="AI433" s="87" t="str">
        <f aca="false">IF(ISBLANK($C433),"",IF(S433=Constants!$B$2, TRUE(), IF(S433=Constants!$B$3, FALSE(), FALSE())))</f>
        <v/>
      </c>
      <c r="AJ433" s="87" t="str">
        <f aca="false">IF(ISBLANK($C433),"",IF(AI433,Constants!$B$4,IF(COUNTA(E433:R433)=0,Constants!$B$5,IF(COUNTA(J433,L433,N433,P433,R433)=0,Constants!$B$6,Constants!$B$7))))</f>
        <v/>
      </c>
      <c r="AK433" s="87" t="str">
        <f aca="false">IF(ISBLANK($C433),"",IF($AJ433&lt;&gt;Constants!$B$7,$AJ433,IF(OR(NOT(X433),AND(NOT(U433),COUNTIFS(Y433:AG433,Constants!$B$18,Z433:AH433,"&gt;=0")&gt;0),AND(NOT(V433),COUNTIFS(Y433:AG433,Constants!$B$19,Z433:AH433,"&gt;=0")&gt;0)),Constants!$B$12,Constants!$B$11)))</f>
        <v/>
      </c>
      <c r="AL433" s="87" t="str">
        <f aca="false">IF($AJ433=Constants!$B$7,IF(Z433="",Constants!$B$13,Z433),"")</f>
        <v/>
      </c>
      <c r="AM433" s="87" t="str">
        <f aca="false">IF($AJ433=Constants!$B$7,IF(AB433="",Constants!$B$13,AB433),"")</f>
        <v/>
      </c>
      <c r="AN433" s="87" t="str">
        <f aca="false">IF($AJ433=Constants!$B$7,IF(AD433="",Constants!$B$13,AD433),"")</f>
        <v/>
      </c>
      <c r="AO433" s="87" t="str">
        <f aca="false">IF($AJ433=Constants!$B$7,IF(AF433="",Constants!$B$13,AF433),"")</f>
        <v/>
      </c>
      <c r="AP433" s="87" t="str">
        <f aca="false">IF($AJ433=Constants!$B$7,IF(AH433="",Constants!$B$13,AH433),"")</f>
        <v/>
      </c>
      <c r="AQ433" s="87" t="str">
        <f aca="false">IF($AJ433=Constants!$B$7,IF(SUMPRODUCT(--($AL433:$AP433&gt;AL433))+SUMPRODUCT(--($AL433:AL433=AL433))=1,1,IF(SUMPRODUCT(--($AL433:$AP433&gt;AM433))+SUMPRODUCT(--($AL433:AM433=AM433))=1,2,IF(SUMPRODUCT(--($AL433:$AP433&gt;AN433))+SUMPRODUCT(--($AL433:AN433=AN433))=1,3,IF(SUMPRODUCT(--($AL433:$AP433&gt;AO433))+SUMPRODUCT(--($AL433:AO433=AO433))=1,4,5)))),"")</f>
        <v/>
      </c>
      <c r="AR433" s="87" t="str">
        <f aca="false">IF($AJ433=Constants!$B$7,IF(SUMPRODUCT(--($AL433:$AP433&gt;AL433))+SUMPRODUCT(--($AL433:AL433=AL433))=2,1,IF(SUMPRODUCT(--($AL433:$AP433&gt;AM433))+SUMPRODUCT(--($AL433:AM433=AM433))=2,2,IF(SUMPRODUCT(--($AL433:$AP433&gt;AN433))+SUMPRODUCT(--($AL433:AN433=AN433))=2,3,IF(SUMPRODUCT(--($AL433:$AP433&gt;AO433))+SUMPRODUCT(--($AL433:AO433=AO433))=2,4,5)))),"")</f>
        <v/>
      </c>
      <c r="AS433" s="87" t="str">
        <f aca="false">IF($AJ433=Constants!$B$7,IF(SUMPRODUCT(--($AL433:$AP433&gt;AL433))+SUMPRODUCT(--($AL433:AL433=AL433))=3,1,IF(SUMPRODUCT(--($AL433:$AP433&gt;AM433))+SUMPRODUCT(--($AL433:AM433=AM433))=3,2,IF(SUMPRODUCT(--($AL433:$AP433&gt;AN433))+SUMPRODUCT(--($AL433:AN433=AN433))=3,3,IF(SUMPRODUCT(--($AL433:$AP433&gt;AO433))+SUMPRODUCT(--($AL433:AO433=AO433))=3,4,5)))),"")</f>
        <v/>
      </c>
      <c r="AT433" s="87" t="str">
        <f aca="false">IF($AJ433=Constants!$B$7,LARGE(AL433:AP433,1)+LARGE(AL433:AP433,2)+LARGE(AL433:AP433,3),"")</f>
        <v/>
      </c>
      <c r="AU433" s="87" t="str">
        <f aca="false">IF(ISBLANK($C433),"",IF($AJ433&lt;&gt;Constants!$B$7,$AJ433,AT433*W433))</f>
        <v/>
      </c>
      <c r="AV433" s="87" t="str">
        <f aca="false">IF(ISBLANK($C433),"",IF($AJ433=Constants!$B$7,IF(ISNUMBER(AU433),RANK(AU433,$AU$8:$AU$507),Constants!$B$14),$AJ433))</f>
        <v/>
      </c>
      <c r="AW433" s="87" t="str">
        <f aca="false">IF(ISBLANK($C433),"",IF($AJ433=Constants!$B$7,IF(ISNUMBER(AV433),COUNTIFS($AK$8:$AK$507,"&lt;"&amp;$AK433)+COUNTIFS($AK$8:$AK$507,$AK433,$AV$8:$AV$507,"&lt;"&amp;$AV433)+1,Constants!$B$14),$AJ433))</f>
        <v/>
      </c>
      <c r="AX433" s="87" t="str">
        <f aca="false">IF(ISBLANK($C433),"",IF($AJ433=Constants!$B$7,LARGE(AL433:AP433,4)*W433,""))</f>
        <v/>
      </c>
      <c r="AY433" s="87" t="str">
        <f aca="false">IF(ISBLANK($C433),"",IF($AJ433=Constants!$B$7,RANK(AX433,$AX$8:$AX$507),$AJ433))</f>
        <v/>
      </c>
      <c r="AZ433" s="87" t="str">
        <f aca="false">IF(ISBLANK($C433),"",IF($AJ433=Constants!$B$7,IF(ISNUMBER(AV433),COUNTIFS($AK$8:$AK$507,"&lt;"&amp;$AK433)+COUNTIFS($AK$8:$AK$507,$AK433,$AV$8:$AV$507,"&lt;"&amp;$AV433)+COUNTIFS($AK$8:$AK$507,$AK433,$AV$8:$AV$507,$AV433,$AY$8:$AY$507,"&lt;"&amp;$AY433)+1,Constants!$B$14),$AJ433))</f>
        <v/>
      </c>
      <c r="BA433" s="87" t="str">
        <f aca="false">IF(ISBLANK($C433),"",IF($AJ433=Constants!$B$7,IF(ISNUMBER(AW433),AW433-AZ433,Constants!$B$14),$AJ433))</f>
        <v/>
      </c>
      <c r="BB433" s="88"/>
      <c r="BC433" s="89" t="str">
        <f aca="false">IF(ISBLANK($C433),"",IF($AJ433&lt;&gt;Constants!$B$7,$AJ433,SMALL(AQ433:AS433,1)&amp;", "&amp;SMALL(AQ433:AS433,2)&amp;", "&amp;SMALL(AQ433:AS433,3)))</f>
        <v/>
      </c>
      <c r="BD433" s="90" t="str">
        <f aca="false">IF(ISBLANK($C433),"",IF($AJ433&lt;&gt;Constants!$B$7,$AJ433,W433))</f>
        <v/>
      </c>
      <c r="BE433" s="91" t="str">
        <f aca="false">IF(ISBLANK($C433),"",IF($AJ433&lt;&gt;Constants!$B$7,$AJ433,AU433))</f>
        <v/>
      </c>
      <c r="BF433" s="92" t="str">
        <f aca="false">IF(ISBLANK($C433),"",IF($AJ433&lt;&gt;Constants!$B$7,$AJ433,AK433))</f>
        <v/>
      </c>
      <c r="BG433" s="90" t="str">
        <f aca="false">IF(ISBLANK($C433),"",BA433)</f>
        <v/>
      </c>
      <c r="BH433" s="90" t="str">
        <f aca="false">IF(ISBLANK($C433),"",AZ433)</f>
        <v/>
      </c>
      <c r="BI433" s="93" t="str">
        <f aca="false">IF(ISBLANK($C433),"",IF(BH433=Constants!$B$4,COUNTA($C$8:$C$507)+2,IF(BH433=Constants!$B$5,COUNTA($C$8:$C$507)+1,IF(BH433=Constants!$B$6,COUNTA($C$8:$C$507),BH433))))</f>
        <v/>
      </c>
      <c r="BJ433" s="5"/>
      <c r="BK433" s="94" t="n">
        <f aca="false">IF(OR(ISNUMBER(BH433),BH433=Constants!$B$4,BH433=Constants!$B$6,BH433=Constants!$B$5),1,0)</f>
        <v>0</v>
      </c>
      <c r="BL433" s="94" t="n">
        <v>426</v>
      </c>
      <c r="BM433" s="94" t="str">
        <f aca="false">IF(ISBLANK($C433),"",IF(ISNUMBER(BI433),BI433+ROW($B433)/1000,""))</f>
        <v/>
      </c>
      <c r="BN433" s="94" t="str">
        <f aca="false">IF(ISNUMBER(BM433),RANK(BM433,$BM$8:$BM$507,1),"")</f>
        <v/>
      </c>
      <c r="BO433" s="94" t="str">
        <f aca="false">IF(ISBLANK($C433),"",$B433)</f>
        <v/>
      </c>
      <c r="BP433" s="94" t="str">
        <f aca="false">IF(ISBLANK($C433),"",$C433)</f>
        <v/>
      </c>
      <c r="BQ433" s="94" t="str">
        <f aca="false">IF(ISBLANK($C433),"",$D433)</f>
        <v/>
      </c>
      <c r="BR433" s="95" t="str">
        <f aca="false">BF433</f>
        <v/>
      </c>
      <c r="BS433" s="96" t="str">
        <f aca="false">BE433</f>
        <v/>
      </c>
      <c r="BT433" s="94" t="str">
        <f aca="false">IF(ISBLANK($C433),"",BH433)</f>
        <v/>
      </c>
      <c r="BU433" s="97" t="str">
        <f aca="false">IF($BL433&gt;$BK$7,"",VLOOKUP($BL433,$BN$8:$BT$507,7,FALSE()))</f>
        <v/>
      </c>
      <c r="BV433" s="98" t="str">
        <f aca="false">IF($BL433&gt;$BK$7,"",VLOOKUP($BL433,$BN$8:$BT$507,2,FALSE()))</f>
        <v/>
      </c>
      <c r="BW433" s="98" t="str">
        <f aca="false">IF($BL433&gt;$BK$7,"",VLOOKUP($BL433,$BN$8:$BT$507,3,FALSE()))</f>
        <v/>
      </c>
      <c r="BX433" s="98" t="str">
        <f aca="false">IF($BL433&gt;$BK$7,"",VLOOKUP($BL433,$BN$8:$BT$507,4,FALSE()))</f>
        <v/>
      </c>
      <c r="BY433" s="98" t="str">
        <f aca="false">IF($BL433&gt;$BK$7,"",VLOOKUP($BL433,$BN$8:$BT$507,5,FALSE()))</f>
        <v/>
      </c>
      <c r="BZ433" s="99" t="str">
        <f aca="false">IF($BL433&gt;$BK$7,"",VLOOKUP($BL433,$BN$8:$BT$507,6,FALSE()))</f>
        <v/>
      </c>
      <c r="CA433" s="48"/>
    </row>
    <row r="434" customFormat="false" ht="15.75" hidden="false" customHeight="false" outlineLevel="0" collapsed="false">
      <c r="A434" s="5"/>
      <c r="B434" s="121"/>
      <c r="C434" s="50"/>
      <c r="D434" s="51"/>
      <c r="E434" s="74"/>
      <c r="F434" s="122"/>
      <c r="G434" s="54"/>
      <c r="H434" s="123"/>
      <c r="I434" s="124"/>
      <c r="J434" s="54"/>
      <c r="K434" s="123"/>
      <c r="L434" s="54"/>
      <c r="M434" s="123"/>
      <c r="N434" s="54"/>
      <c r="O434" s="123"/>
      <c r="P434" s="54"/>
      <c r="Q434" s="123"/>
      <c r="R434" s="54"/>
      <c r="S434" s="74"/>
      <c r="T434" s="58"/>
      <c r="U434" s="59" t="str">
        <f aca="false">IF(ISBLANK($C434),"",IF(E434=Constants!$B$2, TRUE(), IF(E434=Constants!$B$3, FALSE(), TRUE())))</f>
        <v/>
      </c>
      <c r="V434" s="59" t="str">
        <f aca="false">IF(ISBLANK($C434),"",IF(F434=Constants!$B$2, TRUE(), IF(F434=Constants!$B$3, FALSE(), TRUE())))</f>
        <v/>
      </c>
      <c r="W434" s="59" t="str">
        <f aca="false">IF(ISBLANK($C434),"",IF(G434=Constants!$B$15,Constants!$B$8,IF(G434=Constants!$B$16,Constants!$B$9,Constants!$B$10)))</f>
        <v/>
      </c>
      <c r="X434" s="59" t="str">
        <f aca="false">IF(ISBLANK($C434),"",IF(H434=Constants!$B$2, TRUE(), IF(H434=Constants!$B$3, FALSE(), TRUE())))</f>
        <v/>
      </c>
      <c r="Y434" s="59" t="str">
        <f aca="false">IF(ISBLANK($C434),"",IF(I434=Constants!$B$19,Constants!$B$19,Constants!$B$18))</f>
        <v/>
      </c>
      <c r="Z434" s="59" t="str">
        <f aca="false">IF(ISBLANK($C434),"",IF(ISNUMBER(J434),IF(J434&gt;=0,J434,""),""))</f>
        <v/>
      </c>
      <c r="AA434" s="59" t="str">
        <f aca="false">IF(ISBLANK($C434),"",IF(K434=Constants!$B$19,Constants!$B$19,Constants!$B$18))</f>
        <v/>
      </c>
      <c r="AB434" s="59" t="str">
        <f aca="false">IF(ISBLANK($C434),"",IF(ISNUMBER(L434),IF(L434&gt;=0,L434,""),""))</f>
        <v/>
      </c>
      <c r="AC434" s="59" t="str">
        <f aca="false">IF(ISBLANK($C434),"",IF(M434=Constants!$B$19,Constants!$B$19,Constants!$B$18))</f>
        <v/>
      </c>
      <c r="AD434" s="59" t="str">
        <f aca="false">IF(ISBLANK($C434),"",IF(ISNUMBER(N434),IF(N434&gt;=0,N434,""),""))</f>
        <v/>
      </c>
      <c r="AE434" s="59" t="str">
        <f aca="false">IF(ISBLANK($C434),"",IF(O434=Constants!$B$19,Constants!$B$19,Constants!$B$18))</f>
        <v/>
      </c>
      <c r="AF434" s="59" t="str">
        <f aca="false">IF(ISBLANK($C434),"",IF(ISNUMBER(P434),IF(P434&gt;=0,P434,""),""))</f>
        <v/>
      </c>
      <c r="AG434" s="59" t="str">
        <f aca="false">IF(ISBLANK($C434),"",IF(Q434=Constants!$B$19,Constants!$B$19,Constants!$B$18))</f>
        <v/>
      </c>
      <c r="AH434" s="59" t="str">
        <f aca="false">IF(ISBLANK($C434),"",IF(ISNUMBER(R434),IF(R434&gt;=0,R434,""),""))</f>
        <v/>
      </c>
      <c r="AI434" s="59" t="str">
        <f aca="false">IF(ISBLANK($C434),"",IF(S434=Constants!$B$2, TRUE(), IF(S434=Constants!$B$3, FALSE(), FALSE())))</f>
        <v/>
      </c>
      <c r="AJ434" s="59" t="str">
        <f aca="false">IF(ISBLANK($C434),"",IF(AI434,Constants!$B$4,IF(COUNTA(E434:R434)=0,Constants!$B$5,IF(COUNTA(J434,L434,N434,P434,R434)=0,Constants!$B$6,Constants!$B$7))))</f>
        <v/>
      </c>
      <c r="AK434" s="59" t="str">
        <f aca="false">IF(ISBLANK($C434),"",IF($AJ434&lt;&gt;Constants!$B$7,$AJ434,IF(OR(NOT(X434),AND(NOT(U434),COUNTIFS(Y434:AG434,Constants!$B$18,Z434:AH434,"&gt;=0")&gt;0),AND(NOT(V434),COUNTIFS(Y434:AG434,Constants!$B$19,Z434:AH434,"&gt;=0")&gt;0)),Constants!$B$12,Constants!$B$11)))</f>
        <v/>
      </c>
      <c r="AL434" s="59" t="str">
        <f aca="false">IF($AJ434=Constants!$B$7,IF(Z434="",Constants!$B$13,Z434),"")</f>
        <v/>
      </c>
      <c r="AM434" s="59" t="str">
        <f aca="false">IF($AJ434=Constants!$B$7,IF(AB434="",Constants!$B$13,AB434),"")</f>
        <v/>
      </c>
      <c r="AN434" s="59" t="str">
        <f aca="false">IF($AJ434=Constants!$B$7,IF(AD434="",Constants!$B$13,AD434),"")</f>
        <v/>
      </c>
      <c r="AO434" s="59" t="str">
        <f aca="false">IF($AJ434=Constants!$B$7,IF(AF434="",Constants!$B$13,AF434),"")</f>
        <v/>
      </c>
      <c r="AP434" s="59" t="str">
        <f aca="false">IF($AJ434=Constants!$B$7,IF(AH434="",Constants!$B$13,AH434),"")</f>
        <v/>
      </c>
      <c r="AQ434" s="59" t="str">
        <f aca="false">IF($AJ434=Constants!$B$7,IF(SUMPRODUCT(--($AL434:$AP434&gt;AL434))+SUMPRODUCT(--($AL434:AL434=AL434))=1,1,IF(SUMPRODUCT(--($AL434:$AP434&gt;AM434))+SUMPRODUCT(--($AL434:AM434=AM434))=1,2,IF(SUMPRODUCT(--($AL434:$AP434&gt;AN434))+SUMPRODUCT(--($AL434:AN434=AN434))=1,3,IF(SUMPRODUCT(--($AL434:$AP434&gt;AO434))+SUMPRODUCT(--($AL434:AO434=AO434))=1,4,5)))),"")</f>
        <v/>
      </c>
      <c r="AR434" s="59" t="str">
        <f aca="false">IF($AJ434=Constants!$B$7,IF(SUMPRODUCT(--($AL434:$AP434&gt;AL434))+SUMPRODUCT(--($AL434:AL434=AL434))=2,1,IF(SUMPRODUCT(--($AL434:$AP434&gt;AM434))+SUMPRODUCT(--($AL434:AM434=AM434))=2,2,IF(SUMPRODUCT(--($AL434:$AP434&gt;AN434))+SUMPRODUCT(--($AL434:AN434=AN434))=2,3,IF(SUMPRODUCT(--($AL434:$AP434&gt;AO434))+SUMPRODUCT(--($AL434:AO434=AO434))=2,4,5)))),"")</f>
        <v/>
      </c>
      <c r="AS434" s="59" t="str">
        <f aca="false">IF($AJ434=Constants!$B$7,IF(SUMPRODUCT(--($AL434:$AP434&gt;AL434))+SUMPRODUCT(--($AL434:AL434=AL434))=3,1,IF(SUMPRODUCT(--($AL434:$AP434&gt;AM434))+SUMPRODUCT(--($AL434:AM434=AM434))=3,2,IF(SUMPRODUCT(--($AL434:$AP434&gt;AN434))+SUMPRODUCT(--($AL434:AN434=AN434))=3,3,IF(SUMPRODUCT(--($AL434:$AP434&gt;AO434))+SUMPRODUCT(--($AL434:AO434=AO434))=3,4,5)))),"")</f>
        <v/>
      </c>
      <c r="AT434" s="59" t="str">
        <f aca="false">IF($AJ434=Constants!$B$7,LARGE(AL434:AP434,1)+LARGE(AL434:AP434,2)+LARGE(AL434:AP434,3),"")</f>
        <v/>
      </c>
      <c r="AU434" s="59" t="str">
        <f aca="false">IF(ISBLANK($C434),"",IF($AJ434&lt;&gt;Constants!$B$7,$AJ434,AT434*W434))</f>
        <v/>
      </c>
      <c r="AV434" s="59" t="str">
        <f aca="false">IF(ISBLANK($C434),"",IF($AJ434=Constants!$B$7,IF(ISNUMBER(AU434),RANK(AU434,$AU$8:$AU$507),Constants!$B$14),$AJ434))</f>
        <v/>
      </c>
      <c r="AW434" s="59" t="str">
        <f aca="false">IF(ISBLANK($C434),"",IF($AJ434=Constants!$B$7,IF(ISNUMBER(AV434),COUNTIFS($AK$8:$AK$507,"&lt;"&amp;$AK434)+COUNTIFS($AK$8:$AK$507,$AK434,$AV$8:$AV$507,"&lt;"&amp;$AV434)+1,Constants!$B$14),$AJ434))</f>
        <v/>
      </c>
      <c r="AX434" s="59" t="str">
        <f aca="false">IF(ISBLANK($C434),"",IF($AJ434=Constants!$B$7,LARGE(AL434:AP434,4)*W434,""))</f>
        <v/>
      </c>
      <c r="AY434" s="59" t="str">
        <f aca="false">IF(ISBLANK($C434),"",IF($AJ434=Constants!$B$7,RANK(AX434,$AX$8:$AX$507),$AJ434))</f>
        <v/>
      </c>
      <c r="AZ434" s="59" t="str">
        <f aca="false">IF(ISBLANK($C434),"",IF($AJ434=Constants!$B$7,IF(ISNUMBER(AV434),COUNTIFS($AK$8:$AK$507,"&lt;"&amp;$AK434)+COUNTIFS($AK$8:$AK$507,$AK434,$AV$8:$AV$507,"&lt;"&amp;$AV434)+COUNTIFS($AK$8:$AK$507,$AK434,$AV$8:$AV$507,$AV434,$AY$8:$AY$507,"&lt;"&amp;$AY434)+1,Constants!$B$14),$AJ434))</f>
        <v/>
      </c>
      <c r="BA434" s="59" t="str">
        <f aca="false">IF(ISBLANK($C434),"",IF($AJ434=Constants!$B$7,IF(ISNUMBER(AW434),AW434-AZ434,Constants!$B$14),$AJ434))</f>
        <v/>
      </c>
      <c r="BB434" s="61"/>
      <c r="BC434" s="62" t="str">
        <f aca="false">IF(ISBLANK($C434),"",IF($AJ434&lt;&gt;Constants!$B$7,$AJ434,SMALL(AQ434:AS434,1)&amp;", "&amp;SMALL(AQ434:AS434,2)&amp;", "&amp;SMALL(AQ434:AS434,3)))</f>
        <v/>
      </c>
      <c r="BD434" s="63" t="str">
        <f aca="false">IF(ISBLANK($C434),"",IF($AJ434&lt;&gt;Constants!$B$7,$AJ434,W434))</f>
        <v/>
      </c>
      <c r="BE434" s="64" t="str">
        <f aca="false">IF(ISBLANK($C434),"",IF($AJ434&lt;&gt;Constants!$B$7,$AJ434,AU434))</f>
        <v/>
      </c>
      <c r="BF434" s="65" t="str">
        <f aca="false">IF(ISBLANK($C434),"",IF($AJ434&lt;&gt;Constants!$B$7,$AJ434,AK434))</f>
        <v/>
      </c>
      <c r="BG434" s="63" t="str">
        <f aca="false">IF(ISBLANK($C434),"",BA434)</f>
        <v/>
      </c>
      <c r="BH434" s="63" t="str">
        <f aca="false">IF(ISBLANK($C434),"",AZ434)</f>
        <v/>
      </c>
      <c r="BI434" s="66" t="str">
        <f aca="false">IF(ISBLANK($C434),"",IF(BH434=Constants!$B$4,COUNTA($C$8:$C$507)+2,IF(BH434=Constants!$B$5,COUNTA($C$8:$C$507)+1,IF(BH434=Constants!$B$6,COUNTA($C$8:$C$507),BH434))))</f>
        <v/>
      </c>
      <c r="BJ434" s="5"/>
      <c r="BK434" s="67" t="n">
        <f aca="false">IF(OR(ISNUMBER(BH434),BH434=Constants!$B$4,BH434=Constants!$B$6,BH434=Constants!$B$5),1,0)</f>
        <v>0</v>
      </c>
      <c r="BL434" s="67" t="n">
        <v>427</v>
      </c>
      <c r="BM434" s="67" t="str">
        <f aca="false">IF(ISBLANK($C434),"",IF(ISNUMBER(BI434),BI434+ROW($B434)/1000,""))</f>
        <v/>
      </c>
      <c r="BN434" s="67" t="str">
        <f aca="false">IF(ISNUMBER(BM434),RANK(BM434,$BM$8:$BM$507,1),"")</f>
        <v/>
      </c>
      <c r="BO434" s="67" t="str">
        <f aca="false">IF(ISBLANK($C434),"",$B434)</f>
        <v/>
      </c>
      <c r="BP434" s="67" t="str">
        <f aca="false">IF(ISBLANK($C434),"",$C434)</f>
        <v/>
      </c>
      <c r="BQ434" s="67" t="str">
        <f aca="false">IF(ISBLANK($C434),"",$D434)</f>
        <v/>
      </c>
      <c r="BR434" s="68" t="str">
        <f aca="false">BF434</f>
        <v/>
      </c>
      <c r="BS434" s="69" t="str">
        <f aca="false">BE434</f>
        <v/>
      </c>
      <c r="BT434" s="67" t="str">
        <f aca="false">IF(ISBLANK($C434),"",BH434)</f>
        <v/>
      </c>
      <c r="BU434" s="70" t="str">
        <f aca="false">IF($BL434&gt;$BK$7,"",VLOOKUP($BL434,$BN$8:$BT$507,7,FALSE()))</f>
        <v/>
      </c>
      <c r="BV434" s="71" t="str">
        <f aca="false">IF($BL434&gt;$BK$7,"",VLOOKUP($BL434,$BN$8:$BT$507,2,FALSE()))</f>
        <v/>
      </c>
      <c r="BW434" s="71" t="str">
        <f aca="false">IF($BL434&gt;$BK$7,"",VLOOKUP($BL434,$BN$8:$BT$507,3,FALSE()))</f>
        <v/>
      </c>
      <c r="BX434" s="71" t="str">
        <f aca="false">IF($BL434&gt;$BK$7,"",VLOOKUP($BL434,$BN$8:$BT$507,4,FALSE()))</f>
        <v/>
      </c>
      <c r="BY434" s="71" t="str">
        <f aca="false">IF($BL434&gt;$BK$7,"",VLOOKUP($BL434,$BN$8:$BT$507,5,FALSE()))</f>
        <v/>
      </c>
      <c r="BZ434" s="72" t="str">
        <f aca="false">IF($BL434&gt;$BK$7,"",VLOOKUP($BL434,$BN$8:$BT$507,6,FALSE()))</f>
        <v/>
      </c>
      <c r="CA434" s="48"/>
    </row>
    <row r="435" customFormat="false" ht="15.75" hidden="false" customHeight="false" outlineLevel="0" collapsed="false">
      <c r="A435" s="5"/>
      <c r="B435" s="121"/>
      <c r="C435" s="50"/>
      <c r="D435" s="51"/>
      <c r="E435" s="74"/>
      <c r="F435" s="122"/>
      <c r="G435" s="54"/>
      <c r="H435" s="123"/>
      <c r="I435" s="124"/>
      <c r="J435" s="54"/>
      <c r="K435" s="123"/>
      <c r="L435" s="54"/>
      <c r="M435" s="123"/>
      <c r="N435" s="54"/>
      <c r="O435" s="123"/>
      <c r="P435" s="54"/>
      <c r="Q435" s="123"/>
      <c r="R435" s="54"/>
      <c r="S435" s="74"/>
      <c r="T435" s="58"/>
      <c r="U435" s="59" t="str">
        <f aca="false">IF(ISBLANK($C435),"",IF(E435=Constants!$B$2, TRUE(), IF(E435=Constants!$B$3, FALSE(), TRUE())))</f>
        <v/>
      </c>
      <c r="V435" s="59" t="str">
        <f aca="false">IF(ISBLANK($C435),"",IF(F435=Constants!$B$2, TRUE(), IF(F435=Constants!$B$3, FALSE(), TRUE())))</f>
        <v/>
      </c>
      <c r="W435" s="59" t="str">
        <f aca="false">IF(ISBLANK($C435),"",IF(G435=Constants!$B$15,Constants!$B$8,IF(G435=Constants!$B$16,Constants!$B$9,Constants!$B$10)))</f>
        <v/>
      </c>
      <c r="X435" s="59" t="str">
        <f aca="false">IF(ISBLANK($C435),"",IF(H435=Constants!$B$2, TRUE(), IF(H435=Constants!$B$3, FALSE(), TRUE())))</f>
        <v/>
      </c>
      <c r="Y435" s="59" t="str">
        <f aca="false">IF(ISBLANK($C435),"",IF(I435=Constants!$B$19,Constants!$B$19,Constants!$B$18))</f>
        <v/>
      </c>
      <c r="Z435" s="59" t="str">
        <f aca="false">IF(ISBLANK($C435),"",IF(ISNUMBER(J435),IF(J435&gt;=0,J435,""),""))</f>
        <v/>
      </c>
      <c r="AA435" s="59" t="str">
        <f aca="false">IF(ISBLANK($C435),"",IF(K435=Constants!$B$19,Constants!$B$19,Constants!$B$18))</f>
        <v/>
      </c>
      <c r="AB435" s="59" t="str">
        <f aca="false">IF(ISBLANK($C435),"",IF(ISNUMBER(L435),IF(L435&gt;=0,L435,""),""))</f>
        <v/>
      </c>
      <c r="AC435" s="59" t="str">
        <f aca="false">IF(ISBLANK($C435),"",IF(M435=Constants!$B$19,Constants!$B$19,Constants!$B$18))</f>
        <v/>
      </c>
      <c r="AD435" s="59" t="str">
        <f aca="false">IF(ISBLANK($C435),"",IF(ISNUMBER(N435),IF(N435&gt;=0,N435,""),""))</f>
        <v/>
      </c>
      <c r="AE435" s="59" t="str">
        <f aca="false">IF(ISBLANK($C435),"",IF(O435=Constants!$B$19,Constants!$B$19,Constants!$B$18))</f>
        <v/>
      </c>
      <c r="AF435" s="59" t="str">
        <f aca="false">IF(ISBLANK($C435),"",IF(ISNUMBER(P435),IF(P435&gt;=0,P435,""),""))</f>
        <v/>
      </c>
      <c r="AG435" s="59" t="str">
        <f aca="false">IF(ISBLANK($C435),"",IF(Q435=Constants!$B$19,Constants!$B$19,Constants!$B$18))</f>
        <v/>
      </c>
      <c r="AH435" s="59" t="str">
        <f aca="false">IF(ISBLANK($C435),"",IF(ISNUMBER(R435),IF(R435&gt;=0,R435,""),""))</f>
        <v/>
      </c>
      <c r="AI435" s="59" t="str">
        <f aca="false">IF(ISBLANK($C435),"",IF(S435=Constants!$B$2, TRUE(), IF(S435=Constants!$B$3, FALSE(), FALSE())))</f>
        <v/>
      </c>
      <c r="AJ435" s="59" t="str">
        <f aca="false">IF(ISBLANK($C435),"",IF(AI435,Constants!$B$4,IF(COUNTA(E435:R435)=0,Constants!$B$5,IF(COUNTA(J435,L435,N435,P435,R435)=0,Constants!$B$6,Constants!$B$7))))</f>
        <v/>
      </c>
      <c r="AK435" s="59" t="str">
        <f aca="false">IF(ISBLANK($C435),"",IF($AJ435&lt;&gt;Constants!$B$7,$AJ435,IF(OR(NOT(X435),AND(NOT(U435),COUNTIFS(Y435:AG435,Constants!$B$18,Z435:AH435,"&gt;=0")&gt;0),AND(NOT(V435),COUNTIFS(Y435:AG435,Constants!$B$19,Z435:AH435,"&gt;=0")&gt;0)),Constants!$B$12,Constants!$B$11)))</f>
        <v/>
      </c>
      <c r="AL435" s="59" t="str">
        <f aca="false">IF($AJ435=Constants!$B$7,IF(Z435="",Constants!$B$13,Z435),"")</f>
        <v/>
      </c>
      <c r="AM435" s="59" t="str">
        <f aca="false">IF($AJ435=Constants!$B$7,IF(AB435="",Constants!$B$13,AB435),"")</f>
        <v/>
      </c>
      <c r="AN435" s="59" t="str">
        <f aca="false">IF($AJ435=Constants!$B$7,IF(AD435="",Constants!$B$13,AD435),"")</f>
        <v/>
      </c>
      <c r="AO435" s="59" t="str">
        <f aca="false">IF($AJ435=Constants!$B$7,IF(AF435="",Constants!$B$13,AF435),"")</f>
        <v/>
      </c>
      <c r="AP435" s="59" t="str">
        <f aca="false">IF($AJ435=Constants!$B$7,IF(AH435="",Constants!$B$13,AH435),"")</f>
        <v/>
      </c>
      <c r="AQ435" s="59" t="str">
        <f aca="false">IF($AJ435=Constants!$B$7,IF(SUMPRODUCT(--($AL435:$AP435&gt;AL435))+SUMPRODUCT(--($AL435:AL435=AL435))=1,1,IF(SUMPRODUCT(--($AL435:$AP435&gt;AM435))+SUMPRODUCT(--($AL435:AM435=AM435))=1,2,IF(SUMPRODUCT(--($AL435:$AP435&gt;AN435))+SUMPRODUCT(--($AL435:AN435=AN435))=1,3,IF(SUMPRODUCT(--($AL435:$AP435&gt;AO435))+SUMPRODUCT(--($AL435:AO435=AO435))=1,4,5)))),"")</f>
        <v/>
      </c>
      <c r="AR435" s="59" t="str">
        <f aca="false">IF($AJ435=Constants!$B$7,IF(SUMPRODUCT(--($AL435:$AP435&gt;AL435))+SUMPRODUCT(--($AL435:AL435=AL435))=2,1,IF(SUMPRODUCT(--($AL435:$AP435&gt;AM435))+SUMPRODUCT(--($AL435:AM435=AM435))=2,2,IF(SUMPRODUCT(--($AL435:$AP435&gt;AN435))+SUMPRODUCT(--($AL435:AN435=AN435))=2,3,IF(SUMPRODUCT(--($AL435:$AP435&gt;AO435))+SUMPRODUCT(--($AL435:AO435=AO435))=2,4,5)))),"")</f>
        <v/>
      </c>
      <c r="AS435" s="59" t="str">
        <f aca="false">IF($AJ435=Constants!$B$7,IF(SUMPRODUCT(--($AL435:$AP435&gt;AL435))+SUMPRODUCT(--($AL435:AL435=AL435))=3,1,IF(SUMPRODUCT(--($AL435:$AP435&gt;AM435))+SUMPRODUCT(--($AL435:AM435=AM435))=3,2,IF(SUMPRODUCT(--($AL435:$AP435&gt;AN435))+SUMPRODUCT(--($AL435:AN435=AN435))=3,3,IF(SUMPRODUCT(--($AL435:$AP435&gt;AO435))+SUMPRODUCT(--($AL435:AO435=AO435))=3,4,5)))),"")</f>
        <v/>
      </c>
      <c r="AT435" s="59" t="str">
        <f aca="false">IF($AJ435=Constants!$B$7,LARGE(AL435:AP435,1)+LARGE(AL435:AP435,2)+LARGE(AL435:AP435,3),"")</f>
        <v/>
      </c>
      <c r="AU435" s="59" t="str">
        <f aca="false">IF(ISBLANK($C435),"",IF($AJ435&lt;&gt;Constants!$B$7,$AJ435,AT435*W435))</f>
        <v/>
      </c>
      <c r="AV435" s="59" t="str">
        <f aca="false">IF(ISBLANK($C435),"",IF($AJ435=Constants!$B$7,IF(ISNUMBER(AU435),RANK(AU435,$AU$8:$AU$507),Constants!$B$14),$AJ435))</f>
        <v/>
      </c>
      <c r="AW435" s="59" t="str">
        <f aca="false">IF(ISBLANK($C435),"",IF($AJ435=Constants!$B$7,IF(ISNUMBER(AV435),COUNTIFS($AK$8:$AK$507,"&lt;"&amp;$AK435)+COUNTIFS($AK$8:$AK$507,$AK435,$AV$8:$AV$507,"&lt;"&amp;$AV435)+1,Constants!$B$14),$AJ435))</f>
        <v/>
      </c>
      <c r="AX435" s="59" t="str">
        <f aca="false">IF(ISBLANK($C435),"",IF($AJ435=Constants!$B$7,LARGE(AL435:AP435,4)*W435,""))</f>
        <v/>
      </c>
      <c r="AY435" s="59" t="str">
        <f aca="false">IF(ISBLANK($C435),"",IF($AJ435=Constants!$B$7,RANK(AX435,$AX$8:$AX$507),$AJ435))</f>
        <v/>
      </c>
      <c r="AZ435" s="59" t="str">
        <f aca="false">IF(ISBLANK($C435),"",IF($AJ435=Constants!$B$7,IF(ISNUMBER(AV435),COUNTIFS($AK$8:$AK$507,"&lt;"&amp;$AK435)+COUNTIFS($AK$8:$AK$507,$AK435,$AV$8:$AV$507,"&lt;"&amp;$AV435)+COUNTIFS($AK$8:$AK$507,$AK435,$AV$8:$AV$507,$AV435,$AY$8:$AY$507,"&lt;"&amp;$AY435)+1,Constants!$B$14),$AJ435))</f>
        <v/>
      </c>
      <c r="BA435" s="59" t="str">
        <f aca="false">IF(ISBLANK($C435),"",IF($AJ435=Constants!$B$7,IF(ISNUMBER(AW435),AW435-AZ435,Constants!$B$14),$AJ435))</f>
        <v/>
      </c>
      <c r="BB435" s="61"/>
      <c r="BC435" s="62" t="str">
        <f aca="false">IF(ISBLANK($C435),"",IF($AJ435&lt;&gt;Constants!$B$7,$AJ435,SMALL(AQ435:AS435,1)&amp;", "&amp;SMALL(AQ435:AS435,2)&amp;", "&amp;SMALL(AQ435:AS435,3)))</f>
        <v/>
      </c>
      <c r="BD435" s="63" t="str">
        <f aca="false">IF(ISBLANK($C435),"",IF($AJ435&lt;&gt;Constants!$B$7,$AJ435,W435))</f>
        <v/>
      </c>
      <c r="BE435" s="64" t="str">
        <f aca="false">IF(ISBLANK($C435),"",IF($AJ435&lt;&gt;Constants!$B$7,$AJ435,AU435))</f>
        <v/>
      </c>
      <c r="BF435" s="65" t="str">
        <f aca="false">IF(ISBLANK($C435),"",IF($AJ435&lt;&gt;Constants!$B$7,$AJ435,AK435))</f>
        <v/>
      </c>
      <c r="BG435" s="63" t="str">
        <f aca="false">IF(ISBLANK($C435),"",BA435)</f>
        <v/>
      </c>
      <c r="BH435" s="63" t="str">
        <f aca="false">IF(ISBLANK($C435),"",AZ435)</f>
        <v/>
      </c>
      <c r="BI435" s="66" t="str">
        <f aca="false">IF(ISBLANK($C435),"",IF(BH435=Constants!$B$4,COUNTA($C$8:$C$507)+2,IF(BH435=Constants!$B$5,COUNTA($C$8:$C$507)+1,IF(BH435=Constants!$B$6,COUNTA($C$8:$C$507),BH435))))</f>
        <v/>
      </c>
      <c r="BJ435" s="5"/>
      <c r="BK435" s="67" t="n">
        <f aca="false">IF(OR(ISNUMBER(BH435),BH435=Constants!$B$4,BH435=Constants!$B$6,BH435=Constants!$B$5),1,0)</f>
        <v>0</v>
      </c>
      <c r="BL435" s="67" t="n">
        <v>428</v>
      </c>
      <c r="BM435" s="67" t="str">
        <f aca="false">IF(ISBLANK($C435),"",IF(ISNUMBER(BI435),BI435+ROW($B435)/1000,""))</f>
        <v/>
      </c>
      <c r="BN435" s="67" t="str">
        <f aca="false">IF(ISNUMBER(BM435),RANK(BM435,$BM$8:$BM$507,1),"")</f>
        <v/>
      </c>
      <c r="BO435" s="67" t="str">
        <f aca="false">IF(ISBLANK($C435),"",$B435)</f>
        <v/>
      </c>
      <c r="BP435" s="67" t="str">
        <f aca="false">IF(ISBLANK($C435),"",$C435)</f>
        <v/>
      </c>
      <c r="BQ435" s="67" t="str">
        <f aca="false">IF(ISBLANK($C435),"",$D435)</f>
        <v/>
      </c>
      <c r="BR435" s="68" t="str">
        <f aca="false">BF435</f>
        <v/>
      </c>
      <c r="BS435" s="69" t="str">
        <f aca="false">BE435</f>
        <v/>
      </c>
      <c r="BT435" s="67" t="str">
        <f aca="false">IF(ISBLANK($C435),"",BH435)</f>
        <v/>
      </c>
      <c r="BU435" s="70" t="str">
        <f aca="false">IF($BL435&gt;$BK$7,"",VLOOKUP($BL435,$BN$8:$BT$507,7,FALSE()))</f>
        <v/>
      </c>
      <c r="BV435" s="71" t="str">
        <f aca="false">IF($BL435&gt;$BK$7,"",VLOOKUP($BL435,$BN$8:$BT$507,2,FALSE()))</f>
        <v/>
      </c>
      <c r="BW435" s="71" t="str">
        <f aca="false">IF($BL435&gt;$BK$7,"",VLOOKUP($BL435,$BN$8:$BT$507,3,FALSE()))</f>
        <v/>
      </c>
      <c r="BX435" s="71" t="str">
        <f aca="false">IF($BL435&gt;$BK$7,"",VLOOKUP($BL435,$BN$8:$BT$507,4,FALSE()))</f>
        <v/>
      </c>
      <c r="BY435" s="71" t="str">
        <f aca="false">IF($BL435&gt;$BK$7,"",VLOOKUP($BL435,$BN$8:$BT$507,5,FALSE()))</f>
        <v/>
      </c>
      <c r="BZ435" s="72" t="str">
        <f aca="false">IF($BL435&gt;$BK$7,"",VLOOKUP($BL435,$BN$8:$BT$507,6,FALSE()))</f>
        <v/>
      </c>
      <c r="CA435" s="48"/>
    </row>
    <row r="436" customFormat="false" ht="15.75" hidden="false" customHeight="false" outlineLevel="0" collapsed="false">
      <c r="A436" s="5"/>
      <c r="B436" s="121"/>
      <c r="C436" s="50"/>
      <c r="D436" s="51"/>
      <c r="E436" s="74"/>
      <c r="F436" s="122"/>
      <c r="G436" s="54"/>
      <c r="H436" s="123"/>
      <c r="I436" s="124"/>
      <c r="J436" s="54"/>
      <c r="K436" s="123"/>
      <c r="L436" s="54"/>
      <c r="M436" s="123"/>
      <c r="N436" s="54"/>
      <c r="O436" s="123"/>
      <c r="P436" s="54"/>
      <c r="Q436" s="123"/>
      <c r="R436" s="54"/>
      <c r="S436" s="74"/>
      <c r="T436" s="58"/>
      <c r="U436" s="59" t="str">
        <f aca="false">IF(ISBLANK($C436),"",IF(E436=Constants!$B$2, TRUE(), IF(E436=Constants!$B$3, FALSE(), TRUE())))</f>
        <v/>
      </c>
      <c r="V436" s="59" t="str">
        <f aca="false">IF(ISBLANK($C436),"",IF(F436=Constants!$B$2, TRUE(), IF(F436=Constants!$B$3, FALSE(), TRUE())))</f>
        <v/>
      </c>
      <c r="W436" s="59" t="str">
        <f aca="false">IF(ISBLANK($C436),"",IF(G436=Constants!$B$15,Constants!$B$8,IF(G436=Constants!$B$16,Constants!$B$9,Constants!$B$10)))</f>
        <v/>
      </c>
      <c r="X436" s="59" t="str">
        <f aca="false">IF(ISBLANK($C436),"",IF(H436=Constants!$B$2, TRUE(), IF(H436=Constants!$B$3, FALSE(), TRUE())))</f>
        <v/>
      </c>
      <c r="Y436" s="59" t="str">
        <f aca="false">IF(ISBLANK($C436),"",IF(I436=Constants!$B$19,Constants!$B$19,Constants!$B$18))</f>
        <v/>
      </c>
      <c r="Z436" s="59" t="str">
        <f aca="false">IF(ISBLANK($C436),"",IF(ISNUMBER(J436),IF(J436&gt;=0,J436,""),""))</f>
        <v/>
      </c>
      <c r="AA436" s="59" t="str">
        <f aca="false">IF(ISBLANK($C436),"",IF(K436=Constants!$B$19,Constants!$B$19,Constants!$B$18))</f>
        <v/>
      </c>
      <c r="AB436" s="59" t="str">
        <f aca="false">IF(ISBLANK($C436),"",IF(ISNUMBER(L436),IF(L436&gt;=0,L436,""),""))</f>
        <v/>
      </c>
      <c r="AC436" s="59" t="str">
        <f aca="false">IF(ISBLANK($C436),"",IF(M436=Constants!$B$19,Constants!$B$19,Constants!$B$18))</f>
        <v/>
      </c>
      <c r="AD436" s="59" t="str">
        <f aca="false">IF(ISBLANK($C436),"",IF(ISNUMBER(N436),IF(N436&gt;=0,N436,""),""))</f>
        <v/>
      </c>
      <c r="AE436" s="59" t="str">
        <f aca="false">IF(ISBLANK($C436),"",IF(O436=Constants!$B$19,Constants!$B$19,Constants!$B$18))</f>
        <v/>
      </c>
      <c r="AF436" s="59" t="str">
        <f aca="false">IF(ISBLANK($C436),"",IF(ISNUMBER(P436),IF(P436&gt;=0,P436,""),""))</f>
        <v/>
      </c>
      <c r="AG436" s="59" t="str">
        <f aca="false">IF(ISBLANK($C436),"",IF(Q436=Constants!$B$19,Constants!$B$19,Constants!$B$18))</f>
        <v/>
      </c>
      <c r="AH436" s="59" t="str">
        <f aca="false">IF(ISBLANK($C436),"",IF(ISNUMBER(R436),IF(R436&gt;=0,R436,""),""))</f>
        <v/>
      </c>
      <c r="AI436" s="59" t="str">
        <f aca="false">IF(ISBLANK($C436),"",IF(S436=Constants!$B$2, TRUE(), IF(S436=Constants!$B$3, FALSE(), FALSE())))</f>
        <v/>
      </c>
      <c r="AJ436" s="59" t="str">
        <f aca="false">IF(ISBLANK($C436),"",IF(AI436,Constants!$B$4,IF(COUNTA(E436:R436)=0,Constants!$B$5,IF(COUNTA(J436,L436,N436,P436,R436)=0,Constants!$B$6,Constants!$B$7))))</f>
        <v/>
      </c>
      <c r="AK436" s="59" t="str">
        <f aca="false">IF(ISBLANK($C436),"",IF($AJ436&lt;&gt;Constants!$B$7,$AJ436,IF(OR(NOT(X436),AND(NOT(U436),COUNTIFS(Y436:AG436,Constants!$B$18,Z436:AH436,"&gt;=0")&gt;0),AND(NOT(V436),COUNTIFS(Y436:AG436,Constants!$B$19,Z436:AH436,"&gt;=0")&gt;0)),Constants!$B$12,Constants!$B$11)))</f>
        <v/>
      </c>
      <c r="AL436" s="59" t="str">
        <f aca="false">IF($AJ436=Constants!$B$7,IF(Z436="",Constants!$B$13,Z436),"")</f>
        <v/>
      </c>
      <c r="AM436" s="59" t="str">
        <f aca="false">IF($AJ436=Constants!$B$7,IF(AB436="",Constants!$B$13,AB436),"")</f>
        <v/>
      </c>
      <c r="AN436" s="59" t="str">
        <f aca="false">IF($AJ436=Constants!$B$7,IF(AD436="",Constants!$B$13,AD436),"")</f>
        <v/>
      </c>
      <c r="AO436" s="59" t="str">
        <f aca="false">IF($AJ436=Constants!$B$7,IF(AF436="",Constants!$B$13,AF436),"")</f>
        <v/>
      </c>
      <c r="AP436" s="59" t="str">
        <f aca="false">IF($AJ436=Constants!$B$7,IF(AH436="",Constants!$B$13,AH436),"")</f>
        <v/>
      </c>
      <c r="AQ436" s="59" t="str">
        <f aca="false">IF($AJ436=Constants!$B$7,IF(SUMPRODUCT(--($AL436:$AP436&gt;AL436))+SUMPRODUCT(--($AL436:AL436=AL436))=1,1,IF(SUMPRODUCT(--($AL436:$AP436&gt;AM436))+SUMPRODUCT(--($AL436:AM436=AM436))=1,2,IF(SUMPRODUCT(--($AL436:$AP436&gt;AN436))+SUMPRODUCT(--($AL436:AN436=AN436))=1,3,IF(SUMPRODUCT(--($AL436:$AP436&gt;AO436))+SUMPRODUCT(--($AL436:AO436=AO436))=1,4,5)))),"")</f>
        <v/>
      </c>
      <c r="AR436" s="59" t="str">
        <f aca="false">IF($AJ436=Constants!$B$7,IF(SUMPRODUCT(--($AL436:$AP436&gt;AL436))+SUMPRODUCT(--($AL436:AL436=AL436))=2,1,IF(SUMPRODUCT(--($AL436:$AP436&gt;AM436))+SUMPRODUCT(--($AL436:AM436=AM436))=2,2,IF(SUMPRODUCT(--($AL436:$AP436&gt;AN436))+SUMPRODUCT(--($AL436:AN436=AN436))=2,3,IF(SUMPRODUCT(--($AL436:$AP436&gt;AO436))+SUMPRODUCT(--($AL436:AO436=AO436))=2,4,5)))),"")</f>
        <v/>
      </c>
      <c r="AS436" s="59" t="str">
        <f aca="false">IF($AJ436=Constants!$B$7,IF(SUMPRODUCT(--($AL436:$AP436&gt;AL436))+SUMPRODUCT(--($AL436:AL436=AL436))=3,1,IF(SUMPRODUCT(--($AL436:$AP436&gt;AM436))+SUMPRODUCT(--($AL436:AM436=AM436))=3,2,IF(SUMPRODUCT(--($AL436:$AP436&gt;AN436))+SUMPRODUCT(--($AL436:AN436=AN436))=3,3,IF(SUMPRODUCT(--($AL436:$AP436&gt;AO436))+SUMPRODUCT(--($AL436:AO436=AO436))=3,4,5)))),"")</f>
        <v/>
      </c>
      <c r="AT436" s="59" t="str">
        <f aca="false">IF($AJ436=Constants!$B$7,LARGE(AL436:AP436,1)+LARGE(AL436:AP436,2)+LARGE(AL436:AP436,3),"")</f>
        <v/>
      </c>
      <c r="AU436" s="59" t="str">
        <f aca="false">IF(ISBLANK($C436),"",IF($AJ436&lt;&gt;Constants!$B$7,$AJ436,AT436*W436))</f>
        <v/>
      </c>
      <c r="AV436" s="59" t="str">
        <f aca="false">IF(ISBLANK($C436),"",IF($AJ436=Constants!$B$7,IF(ISNUMBER(AU436),RANK(AU436,$AU$8:$AU$507),Constants!$B$14),$AJ436))</f>
        <v/>
      </c>
      <c r="AW436" s="59" t="str">
        <f aca="false">IF(ISBLANK($C436),"",IF($AJ436=Constants!$B$7,IF(ISNUMBER(AV436),COUNTIFS($AK$8:$AK$507,"&lt;"&amp;$AK436)+COUNTIFS($AK$8:$AK$507,$AK436,$AV$8:$AV$507,"&lt;"&amp;$AV436)+1,Constants!$B$14),$AJ436))</f>
        <v/>
      </c>
      <c r="AX436" s="59" t="str">
        <f aca="false">IF(ISBLANK($C436),"",IF($AJ436=Constants!$B$7,LARGE(AL436:AP436,4)*W436,""))</f>
        <v/>
      </c>
      <c r="AY436" s="59" t="str">
        <f aca="false">IF(ISBLANK($C436),"",IF($AJ436=Constants!$B$7,RANK(AX436,$AX$8:$AX$507),$AJ436))</f>
        <v/>
      </c>
      <c r="AZ436" s="59" t="str">
        <f aca="false">IF(ISBLANK($C436),"",IF($AJ436=Constants!$B$7,IF(ISNUMBER(AV436),COUNTIFS($AK$8:$AK$507,"&lt;"&amp;$AK436)+COUNTIFS($AK$8:$AK$507,$AK436,$AV$8:$AV$507,"&lt;"&amp;$AV436)+COUNTIFS($AK$8:$AK$507,$AK436,$AV$8:$AV$507,$AV436,$AY$8:$AY$507,"&lt;"&amp;$AY436)+1,Constants!$B$14),$AJ436))</f>
        <v/>
      </c>
      <c r="BA436" s="59" t="str">
        <f aca="false">IF(ISBLANK($C436),"",IF($AJ436=Constants!$B$7,IF(ISNUMBER(AW436),AW436-AZ436,Constants!$B$14),$AJ436))</f>
        <v/>
      </c>
      <c r="BB436" s="61"/>
      <c r="BC436" s="62" t="str">
        <f aca="false">IF(ISBLANK($C436),"",IF($AJ436&lt;&gt;Constants!$B$7,$AJ436,SMALL(AQ436:AS436,1)&amp;", "&amp;SMALL(AQ436:AS436,2)&amp;", "&amp;SMALL(AQ436:AS436,3)))</f>
        <v/>
      </c>
      <c r="BD436" s="63" t="str">
        <f aca="false">IF(ISBLANK($C436),"",IF($AJ436&lt;&gt;Constants!$B$7,$AJ436,W436))</f>
        <v/>
      </c>
      <c r="BE436" s="64" t="str">
        <f aca="false">IF(ISBLANK($C436),"",IF($AJ436&lt;&gt;Constants!$B$7,$AJ436,AU436))</f>
        <v/>
      </c>
      <c r="BF436" s="65" t="str">
        <f aca="false">IF(ISBLANK($C436),"",IF($AJ436&lt;&gt;Constants!$B$7,$AJ436,AK436))</f>
        <v/>
      </c>
      <c r="BG436" s="63" t="str">
        <f aca="false">IF(ISBLANK($C436),"",BA436)</f>
        <v/>
      </c>
      <c r="BH436" s="63" t="str">
        <f aca="false">IF(ISBLANK($C436),"",AZ436)</f>
        <v/>
      </c>
      <c r="BI436" s="66" t="str">
        <f aca="false">IF(ISBLANK($C436),"",IF(BH436=Constants!$B$4,COUNTA($C$8:$C$507)+2,IF(BH436=Constants!$B$5,COUNTA($C$8:$C$507)+1,IF(BH436=Constants!$B$6,COUNTA($C$8:$C$507),BH436))))</f>
        <v/>
      </c>
      <c r="BJ436" s="5"/>
      <c r="BK436" s="67" t="n">
        <f aca="false">IF(OR(ISNUMBER(BH436),BH436=Constants!$B$4,BH436=Constants!$B$6,BH436=Constants!$B$5),1,0)</f>
        <v>0</v>
      </c>
      <c r="BL436" s="67" t="n">
        <v>429</v>
      </c>
      <c r="BM436" s="67" t="str">
        <f aca="false">IF(ISBLANK($C436),"",IF(ISNUMBER(BI436),BI436+ROW($B436)/1000,""))</f>
        <v/>
      </c>
      <c r="BN436" s="67" t="str">
        <f aca="false">IF(ISNUMBER(BM436),RANK(BM436,$BM$8:$BM$507,1),"")</f>
        <v/>
      </c>
      <c r="BO436" s="67" t="str">
        <f aca="false">IF(ISBLANK($C436),"",$B436)</f>
        <v/>
      </c>
      <c r="BP436" s="67" t="str">
        <f aca="false">IF(ISBLANK($C436),"",$C436)</f>
        <v/>
      </c>
      <c r="BQ436" s="67" t="str">
        <f aca="false">IF(ISBLANK($C436),"",$D436)</f>
        <v/>
      </c>
      <c r="BR436" s="68" t="str">
        <f aca="false">BF436</f>
        <v/>
      </c>
      <c r="BS436" s="69" t="str">
        <f aca="false">BE436</f>
        <v/>
      </c>
      <c r="BT436" s="67" t="str">
        <f aca="false">IF(ISBLANK($C436),"",BH436)</f>
        <v/>
      </c>
      <c r="BU436" s="70" t="str">
        <f aca="false">IF($BL436&gt;$BK$7,"",VLOOKUP($BL436,$BN$8:$BT$507,7,FALSE()))</f>
        <v/>
      </c>
      <c r="BV436" s="71" t="str">
        <f aca="false">IF($BL436&gt;$BK$7,"",VLOOKUP($BL436,$BN$8:$BT$507,2,FALSE()))</f>
        <v/>
      </c>
      <c r="BW436" s="71" t="str">
        <f aca="false">IF($BL436&gt;$BK$7,"",VLOOKUP($BL436,$BN$8:$BT$507,3,FALSE()))</f>
        <v/>
      </c>
      <c r="BX436" s="71" t="str">
        <f aca="false">IF($BL436&gt;$BK$7,"",VLOOKUP($BL436,$BN$8:$BT$507,4,FALSE()))</f>
        <v/>
      </c>
      <c r="BY436" s="71" t="str">
        <f aca="false">IF($BL436&gt;$BK$7,"",VLOOKUP($BL436,$BN$8:$BT$507,5,FALSE()))</f>
        <v/>
      </c>
      <c r="BZ436" s="72" t="str">
        <f aca="false">IF($BL436&gt;$BK$7,"",VLOOKUP($BL436,$BN$8:$BT$507,6,FALSE()))</f>
        <v/>
      </c>
      <c r="CA436" s="48"/>
    </row>
    <row r="437" customFormat="false" ht="15.75" hidden="false" customHeight="false" outlineLevel="0" collapsed="false">
      <c r="A437" s="5"/>
      <c r="B437" s="114"/>
      <c r="C437" s="115"/>
      <c r="D437" s="100"/>
      <c r="E437" s="120"/>
      <c r="F437" s="125"/>
      <c r="G437" s="82"/>
      <c r="H437" s="126"/>
      <c r="I437" s="127"/>
      <c r="J437" s="82"/>
      <c r="K437" s="126"/>
      <c r="L437" s="82"/>
      <c r="M437" s="126"/>
      <c r="N437" s="82"/>
      <c r="O437" s="126"/>
      <c r="P437" s="82"/>
      <c r="Q437" s="126"/>
      <c r="R437" s="82"/>
      <c r="S437" s="120"/>
      <c r="T437" s="86"/>
      <c r="U437" s="87" t="str">
        <f aca="false">IF(ISBLANK($C437),"",IF(E437=Constants!$B$2, TRUE(), IF(E437=Constants!$B$3, FALSE(), TRUE())))</f>
        <v/>
      </c>
      <c r="V437" s="87" t="str">
        <f aca="false">IF(ISBLANK($C437),"",IF(F437=Constants!$B$2, TRUE(), IF(F437=Constants!$B$3, FALSE(), TRUE())))</f>
        <v/>
      </c>
      <c r="W437" s="87" t="str">
        <f aca="false">IF(ISBLANK($C437),"",IF(G437=Constants!$B$15,Constants!$B$8,IF(G437=Constants!$B$16,Constants!$B$9,Constants!$B$10)))</f>
        <v/>
      </c>
      <c r="X437" s="87" t="str">
        <f aca="false">IF(ISBLANK($C437),"",IF(H437=Constants!$B$2, TRUE(), IF(H437=Constants!$B$3, FALSE(), TRUE())))</f>
        <v/>
      </c>
      <c r="Y437" s="87" t="str">
        <f aca="false">IF(ISBLANK($C437),"",IF(I437=Constants!$B$19,Constants!$B$19,Constants!$B$18))</f>
        <v/>
      </c>
      <c r="Z437" s="87" t="str">
        <f aca="false">IF(ISBLANK($C437),"",IF(ISNUMBER(J437),IF(J437&gt;=0,J437,""),""))</f>
        <v/>
      </c>
      <c r="AA437" s="87" t="str">
        <f aca="false">IF(ISBLANK($C437),"",IF(K437=Constants!$B$19,Constants!$B$19,Constants!$B$18))</f>
        <v/>
      </c>
      <c r="AB437" s="87" t="str">
        <f aca="false">IF(ISBLANK($C437),"",IF(ISNUMBER(L437),IF(L437&gt;=0,L437,""),""))</f>
        <v/>
      </c>
      <c r="AC437" s="87" t="str">
        <f aca="false">IF(ISBLANK($C437),"",IF(M437=Constants!$B$19,Constants!$B$19,Constants!$B$18))</f>
        <v/>
      </c>
      <c r="AD437" s="87" t="str">
        <f aca="false">IF(ISBLANK($C437),"",IF(ISNUMBER(N437),IF(N437&gt;=0,N437,""),""))</f>
        <v/>
      </c>
      <c r="AE437" s="87" t="str">
        <f aca="false">IF(ISBLANK($C437),"",IF(O437=Constants!$B$19,Constants!$B$19,Constants!$B$18))</f>
        <v/>
      </c>
      <c r="AF437" s="87" t="str">
        <f aca="false">IF(ISBLANK($C437),"",IF(ISNUMBER(P437),IF(P437&gt;=0,P437,""),""))</f>
        <v/>
      </c>
      <c r="AG437" s="87" t="str">
        <f aca="false">IF(ISBLANK($C437),"",IF(Q437=Constants!$B$19,Constants!$B$19,Constants!$B$18))</f>
        <v/>
      </c>
      <c r="AH437" s="87" t="str">
        <f aca="false">IF(ISBLANK($C437),"",IF(ISNUMBER(R437),IF(R437&gt;=0,R437,""),""))</f>
        <v/>
      </c>
      <c r="AI437" s="87" t="str">
        <f aca="false">IF(ISBLANK($C437),"",IF(S437=Constants!$B$2, TRUE(), IF(S437=Constants!$B$3, FALSE(), FALSE())))</f>
        <v/>
      </c>
      <c r="AJ437" s="87" t="str">
        <f aca="false">IF(ISBLANK($C437),"",IF(AI437,Constants!$B$4,IF(COUNTA(E437:R437)=0,Constants!$B$5,IF(COUNTA(J437,L437,N437,P437,R437)=0,Constants!$B$6,Constants!$B$7))))</f>
        <v/>
      </c>
      <c r="AK437" s="87" t="str">
        <f aca="false">IF(ISBLANK($C437),"",IF($AJ437&lt;&gt;Constants!$B$7,$AJ437,IF(OR(NOT(X437),AND(NOT(U437),COUNTIFS(Y437:AG437,Constants!$B$18,Z437:AH437,"&gt;=0")&gt;0),AND(NOT(V437),COUNTIFS(Y437:AG437,Constants!$B$19,Z437:AH437,"&gt;=0")&gt;0)),Constants!$B$12,Constants!$B$11)))</f>
        <v/>
      </c>
      <c r="AL437" s="87" t="str">
        <f aca="false">IF($AJ437=Constants!$B$7,IF(Z437="",Constants!$B$13,Z437),"")</f>
        <v/>
      </c>
      <c r="AM437" s="87" t="str">
        <f aca="false">IF($AJ437=Constants!$B$7,IF(AB437="",Constants!$B$13,AB437),"")</f>
        <v/>
      </c>
      <c r="AN437" s="87" t="str">
        <f aca="false">IF($AJ437=Constants!$B$7,IF(AD437="",Constants!$B$13,AD437),"")</f>
        <v/>
      </c>
      <c r="AO437" s="87" t="str">
        <f aca="false">IF($AJ437=Constants!$B$7,IF(AF437="",Constants!$B$13,AF437),"")</f>
        <v/>
      </c>
      <c r="AP437" s="87" t="str">
        <f aca="false">IF($AJ437=Constants!$B$7,IF(AH437="",Constants!$B$13,AH437),"")</f>
        <v/>
      </c>
      <c r="AQ437" s="87" t="str">
        <f aca="false">IF($AJ437=Constants!$B$7,IF(SUMPRODUCT(--($AL437:$AP437&gt;AL437))+SUMPRODUCT(--($AL437:AL437=AL437))=1,1,IF(SUMPRODUCT(--($AL437:$AP437&gt;AM437))+SUMPRODUCT(--($AL437:AM437=AM437))=1,2,IF(SUMPRODUCT(--($AL437:$AP437&gt;AN437))+SUMPRODUCT(--($AL437:AN437=AN437))=1,3,IF(SUMPRODUCT(--($AL437:$AP437&gt;AO437))+SUMPRODUCT(--($AL437:AO437=AO437))=1,4,5)))),"")</f>
        <v/>
      </c>
      <c r="AR437" s="87" t="str">
        <f aca="false">IF($AJ437=Constants!$B$7,IF(SUMPRODUCT(--($AL437:$AP437&gt;AL437))+SUMPRODUCT(--($AL437:AL437=AL437))=2,1,IF(SUMPRODUCT(--($AL437:$AP437&gt;AM437))+SUMPRODUCT(--($AL437:AM437=AM437))=2,2,IF(SUMPRODUCT(--($AL437:$AP437&gt;AN437))+SUMPRODUCT(--($AL437:AN437=AN437))=2,3,IF(SUMPRODUCT(--($AL437:$AP437&gt;AO437))+SUMPRODUCT(--($AL437:AO437=AO437))=2,4,5)))),"")</f>
        <v/>
      </c>
      <c r="AS437" s="87" t="str">
        <f aca="false">IF($AJ437=Constants!$B$7,IF(SUMPRODUCT(--($AL437:$AP437&gt;AL437))+SUMPRODUCT(--($AL437:AL437=AL437))=3,1,IF(SUMPRODUCT(--($AL437:$AP437&gt;AM437))+SUMPRODUCT(--($AL437:AM437=AM437))=3,2,IF(SUMPRODUCT(--($AL437:$AP437&gt;AN437))+SUMPRODUCT(--($AL437:AN437=AN437))=3,3,IF(SUMPRODUCT(--($AL437:$AP437&gt;AO437))+SUMPRODUCT(--($AL437:AO437=AO437))=3,4,5)))),"")</f>
        <v/>
      </c>
      <c r="AT437" s="87" t="str">
        <f aca="false">IF($AJ437=Constants!$B$7,LARGE(AL437:AP437,1)+LARGE(AL437:AP437,2)+LARGE(AL437:AP437,3),"")</f>
        <v/>
      </c>
      <c r="AU437" s="87" t="str">
        <f aca="false">IF(ISBLANK($C437),"",IF($AJ437&lt;&gt;Constants!$B$7,$AJ437,AT437*W437))</f>
        <v/>
      </c>
      <c r="AV437" s="87" t="str">
        <f aca="false">IF(ISBLANK($C437),"",IF($AJ437=Constants!$B$7,IF(ISNUMBER(AU437),RANK(AU437,$AU$8:$AU$507),Constants!$B$14),$AJ437))</f>
        <v/>
      </c>
      <c r="AW437" s="87" t="str">
        <f aca="false">IF(ISBLANK($C437),"",IF($AJ437=Constants!$B$7,IF(ISNUMBER(AV437),COUNTIFS($AK$8:$AK$507,"&lt;"&amp;$AK437)+COUNTIFS($AK$8:$AK$507,$AK437,$AV$8:$AV$507,"&lt;"&amp;$AV437)+1,Constants!$B$14),$AJ437))</f>
        <v/>
      </c>
      <c r="AX437" s="87" t="str">
        <f aca="false">IF(ISBLANK($C437),"",IF($AJ437=Constants!$B$7,LARGE(AL437:AP437,4)*W437,""))</f>
        <v/>
      </c>
      <c r="AY437" s="87" t="str">
        <f aca="false">IF(ISBLANK($C437),"",IF($AJ437=Constants!$B$7,RANK(AX437,$AX$8:$AX$507),$AJ437))</f>
        <v/>
      </c>
      <c r="AZ437" s="87" t="str">
        <f aca="false">IF(ISBLANK($C437),"",IF($AJ437=Constants!$B$7,IF(ISNUMBER(AV437),COUNTIFS($AK$8:$AK$507,"&lt;"&amp;$AK437)+COUNTIFS($AK$8:$AK$507,$AK437,$AV$8:$AV$507,"&lt;"&amp;$AV437)+COUNTIFS($AK$8:$AK$507,$AK437,$AV$8:$AV$507,$AV437,$AY$8:$AY$507,"&lt;"&amp;$AY437)+1,Constants!$B$14),$AJ437))</f>
        <v/>
      </c>
      <c r="BA437" s="87" t="str">
        <f aca="false">IF(ISBLANK($C437),"",IF($AJ437=Constants!$B$7,IF(ISNUMBER(AW437),AW437-AZ437,Constants!$B$14),$AJ437))</f>
        <v/>
      </c>
      <c r="BB437" s="88"/>
      <c r="BC437" s="89" t="str">
        <f aca="false">IF(ISBLANK($C437),"",IF($AJ437&lt;&gt;Constants!$B$7,$AJ437,SMALL(AQ437:AS437,1)&amp;", "&amp;SMALL(AQ437:AS437,2)&amp;", "&amp;SMALL(AQ437:AS437,3)))</f>
        <v/>
      </c>
      <c r="BD437" s="90" t="str">
        <f aca="false">IF(ISBLANK($C437),"",IF($AJ437&lt;&gt;Constants!$B$7,$AJ437,W437))</f>
        <v/>
      </c>
      <c r="BE437" s="91" t="str">
        <f aca="false">IF(ISBLANK($C437),"",IF($AJ437&lt;&gt;Constants!$B$7,$AJ437,AU437))</f>
        <v/>
      </c>
      <c r="BF437" s="92" t="str">
        <f aca="false">IF(ISBLANK($C437),"",IF($AJ437&lt;&gt;Constants!$B$7,$AJ437,AK437))</f>
        <v/>
      </c>
      <c r="BG437" s="90" t="str">
        <f aca="false">IF(ISBLANK($C437),"",BA437)</f>
        <v/>
      </c>
      <c r="BH437" s="90" t="str">
        <f aca="false">IF(ISBLANK($C437),"",AZ437)</f>
        <v/>
      </c>
      <c r="BI437" s="93" t="str">
        <f aca="false">IF(ISBLANK($C437),"",IF(BH437=Constants!$B$4,COUNTA($C$8:$C$507)+2,IF(BH437=Constants!$B$5,COUNTA($C$8:$C$507)+1,IF(BH437=Constants!$B$6,COUNTA($C$8:$C$507),BH437))))</f>
        <v/>
      </c>
      <c r="BJ437" s="5"/>
      <c r="BK437" s="94" t="n">
        <f aca="false">IF(OR(ISNUMBER(BH437),BH437=Constants!$B$4,BH437=Constants!$B$6,BH437=Constants!$B$5),1,0)</f>
        <v>0</v>
      </c>
      <c r="BL437" s="94" t="n">
        <v>430</v>
      </c>
      <c r="BM437" s="94" t="str">
        <f aca="false">IF(ISBLANK($C437),"",IF(ISNUMBER(BI437),BI437+ROW($B437)/1000,""))</f>
        <v/>
      </c>
      <c r="BN437" s="94" t="str">
        <f aca="false">IF(ISNUMBER(BM437),RANK(BM437,$BM$8:$BM$507,1),"")</f>
        <v/>
      </c>
      <c r="BO437" s="94" t="str">
        <f aca="false">IF(ISBLANK($C437),"",$B437)</f>
        <v/>
      </c>
      <c r="BP437" s="94" t="str">
        <f aca="false">IF(ISBLANK($C437),"",$C437)</f>
        <v/>
      </c>
      <c r="BQ437" s="94" t="str">
        <f aca="false">IF(ISBLANK($C437),"",$D437)</f>
        <v/>
      </c>
      <c r="BR437" s="95" t="str">
        <f aca="false">BF437</f>
        <v/>
      </c>
      <c r="BS437" s="96" t="str">
        <f aca="false">BE437</f>
        <v/>
      </c>
      <c r="BT437" s="94" t="str">
        <f aca="false">IF(ISBLANK($C437),"",BH437)</f>
        <v/>
      </c>
      <c r="BU437" s="97" t="str">
        <f aca="false">IF($BL437&gt;$BK$7,"",VLOOKUP($BL437,$BN$8:$BT$507,7,FALSE()))</f>
        <v/>
      </c>
      <c r="BV437" s="98" t="str">
        <f aca="false">IF($BL437&gt;$BK$7,"",VLOOKUP($BL437,$BN$8:$BT$507,2,FALSE()))</f>
        <v/>
      </c>
      <c r="BW437" s="98" t="str">
        <f aca="false">IF($BL437&gt;$BK$7,"",VLOOKUP($BL437,$BN$8:$BT$507,3,FALSE()))</f>
        <v/>
      </c>
      <c r="BX437" s="98" t="str">
        <f aca="false">IF($BL437&gt;$BK$7,"",VLOOKUP($BL437,$BN$8:$BT$507,4,FALSE()))</f>
        <v/>
      </c>
      <c r="BY437" s="98" t="str">
        <f aca="false">IF($BL437&gt;$BK$7,"",VLOOKUP($BL437,$BN$8:$BT$507,5,FALSE()))</f>
        <v/>
      </c>
      <c r="BZ437" s="99" t="str">
        <f aca="false">IF($BL437&gt;$BK$7,"",VLOOKUP($BL437,$BN$8:$BT$507,6,FALSE()))</f>
        <v/>
      </c>
      <c r="CA437" s="48"/>
    </row>
    <row r="438" customFormat="false" ht="15.75" hidden="false" customHeight="false" outlineLevel="0" collapsed="false">
      <c r="A438" s="5"/>
      <c r="B438" s="114"/>
      <c r="C438" s="115"/>
      <c r="D438" s="100"/>
      <c r="E438" s="120"/>
      <c r="F438" s="125"/>
      <c r="G438" s="82"/>
      <c r="H438" s="126"/>
      <c r="I438" s="127"/>
      <c r="J438" s="82"/>
      <c r="K438" s="126"/>
      <c r="L438" s="82"/>
      <c r="M438" s="126"/>
      <c r="N438" s="82"/>
      <c r="O438" s="126"/>
      <c r="P438" s="82"/>
      <c r="Q438" s="126"/>
      <c r="R438" s="82"/>
      <c r="S438" s="120"/>
      <c r="T438" s="86"/>
      <c r="U438" s="87" t="str">
        <f aca="false">IF(ISBLANK($C438),"",IF(E438=Constants!$B$2, TRUE(), IF(E438=Constants!$B$3, FALSE(), TRUE())))</f>
        <v/>
      </c>
      <c r="V438" s="87" t="str">
        <f aca="false">IF(ISBLANK($C438),"",IF(F438=Constants!$B$2, TRUE(), IF(F438=Constants!$B$3, FALSE(), TRUE())))</f>
        <v/>
      </c>
      <c r="W438" s="87" t="str">
        <f aca="false">IF(ISBLANK($C438),"",IF(G438=Constants!$B$15,Constants!$B$8,IF(G438=Constants!$B$16,Constants!$B$9,Constants!$B$10)))</f>
        <v/>
      </c>
      <c r="X438" s="87" t="str">
        <f aca="false">IF(ISBLANK($C438),"",IF(H438=Constants!$B$2, TRUE(), IF(H438=Constants!$B$3, FALSE(), TRUE())))</f>
        <v/>
      </c>
      <c r="Y438" s="87" t="str">
        <f aca="false">IF(ISBLANK($C438),"",IF(I438=Constants!$B$19,Constants!$B$19,Constants!$B$18))</f>
        <v/>
      </c>
      <c r="Z438" s="87" t="str">
        <f aca="false">IF(ISBLANK($C438),"",IF(ISNUMBER(J438),IF(J438&gt;=0,J438,""),""))</f>
        <v/>
      </c>
      <c r="AA438" s="87" t="str">
        <f aca="false">IF(ISBLANK($C438),"",IF(K438=Constants!$B$19,Constants!$B$19,Constants!$B$18))</f>
        <v/>
      </c>
      <c r="AB438" s="87" t="str">
        <f aca="false">IF(ISBLANK($C438),"",IF(ISNUMBER(L438),IF(L438&gt;=0,L438,""),""))</f>
        <v/>
      </c>
      <c r="AC438" s="87" t="str">
        <f aca="false">IF(ISBLANK($C438),"",IF(M438=Constants!$B$19,Constants!$B$19,Constants!$B$18))</f>
        <v/>
      </c>
      <c r="AD438" s="87" t="str">
        <f aca="false">IF(ISBLANK($C438),"",IF(ISNUMBER(N438),IF(N438&gt;=0,N438,""),""))</f>
        <v/>
      </c>
      <c r="AE438" s="87" t="str">
        <f aca="false">IF(ISBLANK($C438),"",IF(O438=Constants!$B$19,Constants!$B$19,Constants!$B$18))</f>
        <v/>
      </c>
      <c r="AF438" s="87" t="str">
        <f aca="false">IF(ISBLANK($C438),"",IF(ISNUMBER(P438),IF(P438&gt;=0,P438,""),""))</f>
        <v/>
      </c>
      <c r="AG438" s="87" t="str">
        <f aca="false">IF(ISBLANK($C438),"",IF(Q438=Constants!$B$19,Constants!$B$19,Constants!$B$18))</f>
        <v/>
      </c>
      <c r="AH438" s="87" t="str">
        <f aca="false">IF(ISBLANK($C438),"",IF(ISNUMBER(R438),IF(R438&gt;=0,R438,""),""))</f>
        <v/>
      </c>
      <c r="AI438" s="87" t="str">
        <f aca="false">IF(ISBLANK($C438),"",IF(S438=Constants!$B$2, TRUE(), IF(S438=Constants!$B$3, FALSE(), FALSE())))</f>
        <v/>
      </c>
      <c r="AJ438" s="87" t="str">
        <f aca="false">IF(ISBLANK($C438),"",IF(AI438,Constants!$B$4,IF(COUNTA(E438:R438)=0,Constants!$B$5,IF(COUNTA(J438,L438,N438,P438,R438)=0,Constants!$B$6,Constants!$B$7))))</f>
        <v/>
      </c>
      <c r="AK438" s="87" t="str">
        <f aca="false">IF(ISBLANK($C438),"",IF($AJ438&lt;&gt;Constants!$B$7,$AJ438,IF(OR(NOT(X438),AND(NOT(U438),COUNTIFS(Y438:AG438,Constants!$B$18,Z438:AH438,"&gt;=0")&gt;0),AND(NOT(V438),COUNTIFS(Y438:AG438,Constants!$B$19,Z438:AH438,"&gt;=0")&gt;0)),Constants!$B$12,Constants!$B$11)))</f>
        <v/>
      </c>
      <c r="AL438" s="87" t="str">
        <f aca="false">IF($AJ438=Constants!$B$7,IF(Z438="",Constants!$B$13,Z438),"")</f>
        <v/>
      </c>
      <c r="AM438" s="87" t="str">
        <f aca="false">IF($AJ438=Constants!$B$7,IF(AB438="",Constants!$B$13,AB438),"")</f>
        <v/>
      </c>
      <c r="AN438" s="87" t="str">
        <f aca="false">IF($AJ438=Constants!$B$7,IF(AD438="",Constants!$B$13,AD438),"")</f>
        <v/>
      </c>
      <c r="AO438" s="87" t="str">
        <f aca="false">IF($AJ438=Constants!$B$7,IF(AF438="",Constants!$B$13,AF438),"")</f>
        <v/>
      </c>
      <c r="AP438" s="87" t="str">
        <f aca="false">IF($AJ438=Constants!$B$7,IF(AH438="",Constants!$B$13,AH438),"")</f>
        <v/>
      </c>
      <c r="AQ438" s="87" t="str">
        <f aca="false">IF($AJ438=Constants!$B$7,IF(SUMPRODUCT(--($AL438:$AP438&gt;AL438))+SUMPRODUCT(--($AL438:AL438=AL438))=1,1,IF(SUMPRODUCT(--($AL438:$AP438&gt;AM438))+SUMPRODUCT(--($AL438:AM438=AM438))=1,2,IF(SUMPRODUCT(--($AL438:$AP438&gt;AN438))+SUMPRODUCT(--($AL438:AN438=AN438))=1,3,IF(SUMPRODUCT(--($AL438:$AP438&gt;AO438))+SUMPRODUCT(--($AL438:AO438=AO438))=1,4,5)))),"")</f>
        <v/>
      </c>
      <c r="AR438" s="87" t="str">
        <f aca="false">IF($AJ438=Constants!$B$7,IF(SUMPRODUCT(--($AL438:$AP438&gt;AL438))+SUMPRODUCT(--($AL438:AL438=AL438))=2,1,IF(SUMPRODUCT(--($AL438:$AP438&gt;AM438))+SUMPRODUCT(--($AL438:AM438=AM438))=2,2,IF(SUMPRODUCT(--($AL438:$AP438&gt;AN438))+SUMPRODUCT(--($AL438:AN438=AN438))=2,3,IF(SUMPRODUCT(--($AL438:$AP438&gt;AO438))+SUMPRODUCT(--($AL438:AO438=AO438))=2,4,5)))),"")</f>
        <v/>
      </c>
      <c r="AS438" s="87" t="str">
        <f aca="false">IF($AJ438=Constants!$B$7,IF(SUMPRODUCT(--($AL438:$AP438&gt;AL438))+SUMPRODUCT(--($AL438:AL438=AL438))=3,1,IF(SUMPRODUCT(--($AL438:$AP438&gt;AM438))+SUMPRODUCT(--($AL438:AM438=AM438))=3,2,IF(SUMPRODUCT(--($AL438:$AP438&gt;AN438))+SUMPRODUCT(--($AL438:AN438=AN438))=3,3,IF(SUMPRODUCT(--($AL438:$AP438&gt;AO438))+SUMPRODUCT(--($AL438:AO438=AO438))=3,4,5)))),"")</f>
        <v/>
      </c>
      <c r="AT438" s="87" t="str">
        <f aca="false">IF($AJ438=Constants!$B$7,LARGE(AL438:AP438,1)+LARGE(AL438:AP438,2)+LARGE(AL438:AP438,3),"")</f>
        <v/>
      </c>
      <c r="AU438" s="87" t="str">
        <f aca="false">IF(ISBLANK($C438),"",IF($AJ438&lt;&gt;Constants!$B$7,$AJ438,AT438*W438))</f>
        <v/>
      </c>
      <c r="AV438" s="87" t="str">
        <f aca="false">IF(ISBLANK($C438),"",IF($AJ438=Constants!$B$7,IF(ISNUMBER(AU438),RANK(AU438,$AU$8:$AU$507),Constants!$B$14),$AJ438))</f>
        <v/>
      </c>
      <c r="AW438" s="87" t="str">
        <f aca="false">IF(ISBLANK($C438),"",IF($AJ438=Constants!$B$7,IF(ISNUMBER(AV438),COUNTIFS($AK$8:$AK$507,"&lt;"&amp;$AK438)+COUNTIFS($AK$8:$AK$507,$AK438,$AV$8:$AV$507,"&lt;"&amp;$AV438)+1,Constants!$B$14),$AJ438))</f>
        <v/>
      </c>
      <c r="AX438" s="87" t="str">
        <f aca="false">IF(ISBLANK($C438),"",IF($AJ438=Constants!$B$7,LARGE(AL438:AP438,4)*W438,""))</f>
        <v/>
      </c>
      <c r="AY438" s="87" t="str">
        <f aca="false">IF(ISBLANK($C438),"",IF($AJ438=Constants!$B$7,RANK(AX438,$AX$8:$AX$507),$AJ438))</f>
        <v/>
      </c>
      <c r="AZ438" s="87" t="str">
        <f aca="false">IF(ISBLANK($C438),"",IF($AJ438=Constants!$B$7,IF(ISNUMBER(AV438),COUNTIFS($AK$8:$AK$507,"&lt;"&amp;$AK438)+COUNTIFS($AK$8:$AK$507,$AK438,$AV$8:$AV$507,"&lt;"&amp;$AV438)+COUNTIFS($AK$8:$AK$507,$AK438,$AV$8:$AV$507,$AV438,$AY$8:$AY$507,"&lt;"&amp;$AY438)+1,Constants!$B$14),$AJ438))</f>
        <v/>
      </c>
      <c r="BA438" s="87" t="str">
        <f aca="false">IF(ISBLANK($C438),"",IF($AJ438=Constants!$B$7,IF(ISNUMBER(AW438),AW438-AZ438,Constants!$B$14),$AJ438))</f>
        <v/>
      </c>
      <c r="BB438" s="88"/>
      <c r="BC438" s="89" t="str">
        <f aca="false">IF(ISBLANK($C438),"",IF($AJ438&lt;&gt;Constants!$B$7,$AJ438,SMALL(AQ438:AS438,1)&amp;", "&amp;SMALL(AQ438:AS438,2)&amp;", "&amp;SMALL(AQ438:AS438,3)))</f>
        <v/>
      </c>
      <c r="BD438" s="90" t="str">
        <f aca="false">IF(ISBLANK($C438),"",IF($AJ438&lt;&gt;Constants!$B$7,$AJ438,W438))</f>
        <v/>
      </c>
      <c r="BE438" s="91" t="str">
        <f aca="false">IF(ISBLANK($C438),"",IF($AJ438&lt;&gt;Constants!$B$7,$AJ438,AU438))</f>
        <v/>
      </c>
      <c r="BF438" s="92" t="str">
        <f aca="false">IF(ISBLANK($C438),"",IF($AJ438&lt;&gt;Constants!$B$7,$AJ438,AK438))</f>
        <v/>
      </c>
      <c r="BG438" s="90" t="str">
        <f aca="false">IF(ISBLANK($C438),"",BA438)</f>
        <v/>
      </c>
      <c r="BH438" s="90" t="str">
        <f aca="false">IF(ISBLANK($C438),"",AZ438)</f>
        <v/>
      </c>
      <c r="BI438" s="93" t="str">
        <f aca="false">IF(ISBLANK($C438),"",IF(BH438=Constants!$B$4,COUNTA($C$8:$C$507)+2,IF(BH438=Constants!$B$5,COUNTA($C$8:$C$507)+1,IF(BH438=Constants!$B$6,COUNTA($C$8:$C$507),BH438))))</f>
        <v/>
      </c>
      <c r="BJ438" s="5"/>
      <c r="BK438" s="94" t="n">
        <f aca="false">IF(OR(ISNUMBER(BH438),BH438=Constants!$B$4,BH438=Constants!$B$6,BH438=Constants!$B$5),1,0)</f>
        <v>0</v>
      </c>
      <c r="BL438" s="94" t="n">
        <v>431</v>
      </c>
      <c r="BM438" s="94" t="str">
        <f aca="false">IF(ISBLANK($C438),"",IF(ISNUMBER(BI438),BI438+ROW($B438)/1000,""))</f>
        <v/>
      </c>
      <c r="BN438" s="94" t="str">
        <f aca="false">IF(ISNUMBER(BM438),RANK(BM438,$BM$8:$BM$507,1),"")</f>
        <v/>
      </c>
      <c r="BO438" s="94" t="str">
        <f aca="false">IF(ISBLANK($C438),"",$B438)</f>
        <v/>
      </c>
      <c r="BP438" s="94" t="str">
        <f aca="false">IF(ISBLANK($C438),"",$C438)</f>
        <v/>
      </c>
      <c r="BQ438" s="94" t="str">
        <f aca="false">IF(ISBLANK($C438),"",$D438)</f>
        <v/>
      </c>
      <c r="BR438" s="95" t="str">
        <f aca="false">BF438</f>
        <v/>
      </c>
      <c r="BS438" s="96" t="str">
        <f aca="false">BE438</f>
        <v/>
      </c>
      <c r="BT438" s="94" t="str">
        <f aca="false">IF(ISBLANK($C438),"",BH438)</f>
        <v/>
      </c>
      <c r="BU438" s="97" t="str">
        <f aca="false">IF($BL438&gt;$BK$7,"",VLOOKUP($BL438,$BN$8:$BT$507,7,FALSE()))</f>
        <v/>
      </c>
      <c r="BV438" s="98" t="str">
        <f aca="false">IF($BL438&gt;$BK$7,"",VLOOKUP($BL438,$BN$8:$BT$507,2,FALSE()))</f>
        <v/>
      </c>
      <c r="BW438" s="98" t="str">
        <f aca="false">IF($BL438&gt;$BK$7,"",VLOOKUP($BL438,$BN$8:$BT$507,3,FALSE()))</f>
        <v/>
      </c>
      <c r="BX438" s="98" t="str">
        <f aca="false">IF($BL438&gt;$BK$7,"",VLOOKUP($BL438,$BN$8:$BT$507,4,FALSE()))</f>
        <v/>
      </c>
      <c r="BY438" s="98" t="str">
        <f aca="false">IF($BL438&gt;$BK$7,"",VLOOKUP($BL438,$BN$8:$BT$507,5,FALSE()))</f>
        <v/>
      </c>
      <c r="BZ438" s="99" t="str">
        <f aca="false">IF($BL438&gt;$BK$7,"",VLOOKUP($BL438,$BN$8:$BT$507,6,FALSE()))</f>
        <v/>
      </c>
      <c r="CA438" s="48"/>
    </row>
    <row r="439" customFormat="false" ht="15.75" hidden="false" customHeight="false" outlineLevel="0" collapsed="false">
      <c r="A439" s="5"/>
      <c r="B439" s="114"/>
      <c r="C439" s="115"/>
      <c r="D439" s="100"/>
      <c r="E439" s="120"/>
      <c r="F439" s="125"/>
      <c r="G439" s="82"/>
      <c r="H439" s="126"/>
      <c r="I439" s="127"/>
      <c r="J439" s="82"/>
      <c r="K439" s="126"/>
      <c r="L439" s="82"/>
      <c r="M439" s="126"/>
      <c r="N439" s="82"/>
      <c r="O439" s="126"/>
      <c r="P439" s="82"/>
      <c r="Q439" s="126"/>
      <c r="R439" s="82"/>
      <c r="S439" s="120"/>
      <c r="T439" s="86"/>
      <c r="U439" s="87" t="str">
        <f aca="false">IF(ISBLANK($C439),"",IF(E439=Constants!$B$2, TRUE(), IF(E439=Constants!$B$3, FALSE(), TRUE())))</f>
        <v/>
      </c>
      <c r="V439" s="87" t="str">
        <f aca="false">IF(ISBLANK($C439),"",IF(F439=Constants!$B$2, TRUE(), IF(F439=Constants!$B$3, FALSE(), TRUE())))</f>
        <v/>
      </c>
      <c r="W439" s="87" t="str">
        <f aca="false">IF(ISBLANK($C439),"",IF(G439=Constants!$B$15,Constants!$B$8,IF(G439=Constants!$B$16,Constants!$B$9,Constants!$B$10)))</f>
        <v/>
      </c>
      <c r="X439" s="87" t="str">
        <f aca="false">IF(ISBLANK($C439),"",IF(H439=Constants!$B$2, TRUE(), IF(H439=Constants!$B$3, FALSE(), TRUE())))</f>
        <v/>
      </c>
      <c r="Y439" s="87" t="str">
        <f aca="false">IF(ISBLANK($C439),"",IF(I439=Constants!$B$19,Constants!$B$19,Constants!$B$18))</f>
        <v/>
      </c>
      <c r="Z439" s="87" t="str">
        <f aca="false">IF(ISBLANK($C439),"",IF(ISNUMBER(J439),IF(J439&gt;=0,J439,""),""))</f>
        <v/>
      </c>
      <c r="AA439" s="87" t="str">
        <f aca="false">IF(ISBLANK($C439),"",IF(K439=Constants!$B$19,Constants!$B$19,Constants!$B$18))</f>
        <v/>
      </c>
      <c r="AB439" s="87" t="str">
        <f aca="false">IF(ISBLANK($C439),"",IF(ISNUMBER(L439),IF(L439&gt;=0,L439,""),""))</f>
        <v/>
      </c>
      <c r="AC439" s="87" t="str">
        <f aca="false">IF(ISBLANK($C439),"",IF(M439=Constants!$B$19,Constants!$B$19,Constants!$B$18))</f>
        <v/>
      </c>
      <c r="AD439" s="87" t="str">
        <f aca="false">IF(ISBLANK($C439),"",IF(ISNUMBER(N439),IF(N439&gt;=0,N439,""),""))</f>
        <v/>
      </c>
      <c r="AE439" s="87" t="str">
        <f aca="false">IF(ISBLANK($C439),"",IF(O439=Constants!$B$19,Constants!$B$19,Constants!$B$18))</f>
        <v/>
      </c>
      <c r="AF439" s="87" t="str">
        <f aca="false">IF(ISBLANK($C439),"",IF(ISNUMBER(P439),IF(P439&gt;=0,P439,""),""))</f>
        <v/>
      </c>
      <c r="AG439" s="87" t="str">
        <f aca="false">IF(ISBLANK($C439),"",IF(Q439=Constants!$B$19,Constants!$B$19,Constants!$B$18))</f>
        <v/>
      </c>
      <c r="AH439" s="87" t="str">
        <f aca="false">IF(ISBLANK($C439),"",IF(ISNUMBER(R439),IF(R439&gt;=0,R439,""),""))</f>
        <v/>
      </c>
      <c r="AI439" s="87" t="str">
        <f aca="false">IF(ISBLANK($C439),"",IF(S439=Constants!$B$2, TRUE(), IF(S439=Constants!$B$3, FALSE(), FALSE())))</f>
        <v/>
      </c>
      <c r="AJ439" s="87" t="str">
        <f aca="false">IF(ISBLANK($C439),"",IF(AI439,Constants!$B$4,IF(COUNTA(E439:R439)=0,Constants!$B$5,IF(COUNTA(J439,L439,N439,P439,R439)=0,Constants!$B$6,Constants!$B$7))))</f>
        <v/>
      </c>
      <c r="AK439" s="87" t="str">
        <f aca="false">IF(ISBLANK($C439),"",IF($AJ439&lt;&gt;Constants!$B$7,$AJ439,IF(OR(NOT(X439),AND(NOT(U439),COUNTIFS(Y439:AG439,Constants!$B$18,Z439:AH439,"&gt;=0")&gt;0),AND(NOT(V439),COUNTIFS(Y439:AG439,Constants!$B$19,Z439:AH439,"&gt;=0")&gt;0)),Constants!$B$12,Constants!$B$11)))</f>
        <v/>
      </c>
      <c r="AL439" s="87" t="str">
        <f aca="false">IF($AJ439=Constants!$B$7,IF(Z439="",Constants!$B$13,Z439),"")</f>
        <v/>
      </c>
      <c r="AM439" s="87" t="str">
        <f aca="false">IF($AJ439=Constants!$B$7,IF(AB439="",Constants!$B$13,AB439),"")</f>
        <v/>
      </c>
      <c r="AN439" s="87" t="str">
        <f aca="false">IF($AJ439=Constants!$B$7,IF(AD439="",Constants!$B$13,AD439),"")</f>
        <v/>
      </c>
      <c r="AO439" s="87" t="str">
        <f aca="false">IF($AJ439=Constants!$B$7,IF(AF439="",Constants!$B$13,AF439),"")</f>
        <v/>
      </c>
      <c r="AP439" s="87" t="str">
        <f aca="false">IF($AJ439=Constants!$B$7,IF(AH439="",Constants!$B$13,AH439),"")</f>
        <v/>
      </c>
      <c r="AQ439" s="87" t="str">
        <f aca="false">IF($AJ439=Constants!$B$7,IF(SUMPRODUCT(--($AL439:$AP439&gt;AL439))+SUMPRODUCT(--($AL439:AL439=AL439))=1,1,IF(SUMPRODUCT(--($AL439:$AP439&gt;AM439))+SUMPRODUCT(--($AL439:AM439=AM439))=1,2,IF(SUMPRODUCT(--($AL439:$AP439&gt;AN439))+SUMPRODUCT(--($AL439:AN439=AN439))=1,3,IF(SUMPRODUCT(--($AL439:$AP439&gt;AO439))+SUMPRODUCT(--($AL439:AO439=AO439))=1,4,5)))),"")</f>
        <v/>
      </c>
      <c r="AR439" s="87" t="str">
        <f aca="false">IF($AJ439=Constants!$B$7,IF(SUMPRODUCT(--($AL439:$AP439&gt;AL439))+SUMPRODUCT(--($AL439:AL439=AL439))=2,1,IF(SUMPRODUCT(--($AL439:$AP439&gt;AM439))+SUMPRODUCT(--($AL439:AM439=AM439))=2,2,IF(SUMPRODUCT(--($AL439:$AP439&gt;AN439))+SUMPRODUCT(--($AL439:AN439=AN439))=2,3,IF(SUMPRODUCT(--($AL439:$AP439&gt;AO439))+SUMPRODUCT(--($AL439:AO439=AO439))=2,4,5)))),"")</f>
        <v/>
      </c>
      <c r="AS439" s="87" t="str">
        <f aca="false">IF($AJ439=Constants!$B$7,IF(SUMPRODUCT(--($AL439:$AP439&gt;AL439))+SUMPRODUCT(--($AL439:AL439=AL439))=3,1,IF(SUMPRODUCT(--($AL439:$AP439&gt;AM439))+SUMPRODUCT(--($AL439:AM439=AM439))=3,2,IF(SUMPRODUCT(--($AL439:$AP439&gt;AN439))+SUMPRODUCT(--($AL439:AN439=AN439))=3,3,IF(SUMPRODUCT(--($AL439:$AP439&gt;AO439))+SUMPRODUCT(--($AL439:AO439=AO439))=3,4,5)))),"")</f>
        <v/>
      </c>
      <c r="AT439" s="87" t="str">
        <f aca="false">IF($AJ439=Constants!$B$7,LARGE(AL439:AP439,1)+LARGE(AL439:AP439,2)+LARGE(AL439:AP439,3),"")</f>
        <v/>
      </c>
      <c r="AU439" s="87" t="str">
        <f aca="false">IF(ISBLANK($C439),"",IF($AJ439&lt;&gt;Constants!$B$7,$AJ439,AT439*W439))</f>
        <v/>
      </c>
      <c r="AV439" s="87" t="str">
        <f aca="false">IF(ISBLANK($C439),"",IF($AJ439=Constants!$B$7,IF(ISNUMBER(AU439),RANK(AU439,$AU$8:$AU$507),Constants!$B$14),$AJ439))</f>
        <v/>
      </c>
      <c r="AW439" s="87" t="str">
        <f aca="false">IF(ISBLANK($C439),"",IF($AJ439=Constants!$B$7,IF(ISNUMBER(AV439),COUNTIFS($AK$8:$AK$507,"&lt;"&amp;$AK439)+COUNTIFS($AK$8:$AK$507,$AK439,$AV$8:$AV$507,"&lt;"&amp;$AV439)+1,Constants!$B$14),$AJ439))</f>
        <v/>
      </c>
      <c r="AX439" s="87" t="str">
        <f aca="false">IF(ISBLANK($C439),"",IF($AJ439=Constants!$B$7,LARGE(AL439:AP439,4)*W439,""))</f>
        <v/>
      </c>
      <c r="AY439" s="87" t="str">
        <f aca="false">IF(ISBLANK($C439),"",IF($AJ439=Constants!$B$7,RANK(AX439,$AX$8:$AX$507),$AJ439))</f>
        <v/>
      </c>
      <c r="AZ439" s="87" t="str">
        <f aca="false">IF(ISBLANK($C439),"",IF($AJ439=Constants!$B$7,IF(ISNUMBER(AV439),COUNTIFS($AK$8:$AK$507,"&lt;"&amp;$AK439)+COUNTIFS($AK$8:$AK$507,$AK439,$AV$8:$AV$507,"&lt;"&amp;$AV439)+COUNTIFS($AK$8:$AK$507,$AK439,$AV$8:$AV$507,$AV439,$AY$8:$AY$507,"&lt;"&amp;$AY439)+1,Constants!$B$14),$AJ439))</f>
        <v/>
      </c>
      <c r="BA439" s="87" t="str">
        <f aca="false">IF(ISBLANK($C439),"",IF($AJ439=Constants!$B$7,IF(ISNUMBER(AW439),AW439-AZ439,Constants!$B$14),$AJ439))</f>
        <v/>
      </c>
      <c r="BB439" s="88"/>
      <c r="BC439" s="89" t="str">
        <f aca="false">IF(ISBLANK($C439),"",IF($AJ439&lt;&gt;Constants!$B$7,$AJ439,SMALL(AQ439:AS439,1)&amp;", "&amp;SMALL(AQ439:AS439,2)&amp;", "&amp;SMALL(AQ439:AS439,3)))</f>
        <v/>
      </c>
      <c r="BD439" s="90" t="str">
        <f aca="false">IF(ISBLANK($C439),"",IF($AJ439&lt;&gt;Constants!$B$7,$AJ439,W439))</f>
        <v/>
      </c>
      <c r="BE439" s="91" t="str">
        <f aca="false">IF(ISBLANK($C439),"",IF($AJ439&lt;&gt;Constants!$B$7,$AJ439,AU439))</f>
        <v/>
      </c>
      <c r="BF439" s="92" t="str">
        <f aca="false">IF(ISBLANK($C439),"",IF($AJ439&lt;&gt;Constants!$B$7,$AJ439,AK439))</f>
        <v/>
      </c>
      <c r="BG439" s="90" t="str">
        <f aca="false">IF(ISBLANK($C439),"",BA439)</f>
        <v/>
      </c>
      <c r="BH439" s="90" t="str">
        <f aca="false">IF(ISBLANK($C439),"",AZ439)</f>
        <v/>
      </c>
      <c r="BI439" s="93" t="str">
        <f aca="false">IF(ISBLANK($C439),"",IF(BH439=Constants!$B$4,COUNTA($C$8:$C$507)+2,IF(BH439=Constants!$B$5,COUNTA($C$8:$C$507)+1,IF(BH439=Constants!$B$6,COUNTA($C$8:$C$507),BH439))))</f>
        <v/>
      </c>
      <c r="BJ439" s="5"/>
      <c r="BK439" s="94" t="n">
        <f aca="false">IF(OR(ISNUMBER(BH439),BH439=Constants!$B$4,BH439=Constants!$B$6,BH439=Constants!$B$5),1,0)</f>
        <v>0</v>
      </c>
      <c r="BL439" s="94" t="n">
        <v>432</v>
      </c>
      <c r="BM439" s="94" t="str">
        <f aca="false">IF(ISBLANK($C439),"",IF(ISNUMBER(BI439),BI439+ROW($B439)/1000,""))</f>
        <v/>
      </c>
      <c r="BN439" s="94" t="str">
        <f aca="false">IF(ISNUMBER(BM439),RANK(BM439,$BM$8:$BM$507,1),"")</f>
        <v/>
      </c>
      <c r="BO439" s="94" t="str">
        <f aca="false">IF(ISBLANK($C439),"",$B439)</f>
        <v/>
      </c>
      <c r="BP439" s="94" t="str">
        <f aca="false">IF(ISBLANK($C439),"",$C439)</f>
        <v/>
      </c>
      <c r="BQ439" s="94" t="str">
        <f aca="false">IF(ISBLANK($C439),"",$D439)</f>
        <v/>
      </c>
      <c r="BR439" s="95" t="str">
        <f aca="false">BF439</f>
        <v/>
      </c>
      <c r="BS439" s="96" t="str">
        <f aca="false">BE439</f>
        <v/>
      </c>
      <c r="BT439" s="94" t="str">
        <f aca="false">IF(ISBLANK($C439),"",BH439)</f>
        <v/>
      </c>
      <c r="BU439" s="97" t="str">
        <f aca="false">IF($BL439&gt;$BK$7,"",VLOOKUP($BL439,$BN$8:$BT$507,7,FALSE()))</f>
        <v/>
      </c>
      <c r="BV439" s="98" t="str">
        <f aca="false">IF($BL439&gt;$BK$7,"",VLOOKUP($BL439,$BN$8:$BT$507,2,FALSE()))</f>
        <v/>
      </c>
      <c r="BW439" s="98" t="str">
        <f aca="false">IF($BL439&gt;$BK$7,"",VLOOKUP($BL439,$BN$8:$BT$507,3,FALSE()))</f>
        <v/>
      </c>
      <c r="BX439" s="98" t="str">
        <f aca="false">IF($BL439&gt;$BK$7,"",VLOOKUP($BL439,$BN$8:$BT$507,4,FALSE()))</f>
        <v/>
      </c>
      <c r="BY439" s="98" t="str">
        <f aca="false">IF($BL439&gt;$BK$7,"",VLOOKUP($BL439,$BN$8:$BT$507,5,FALSE()))</f>
        <v/>
      </c>
      <c r="BZ439" s="99" t="str">
        <f aca="false">IF($BL439&gt;$BK$7,"",VLOOKUP($BL439,$BN$8:$BT$507,6,FALSE()))</f>
        <v/>
      </c>
      <c r="CA439" s="48"/>
    </row>
    <row r="440" customFormat="false" ht="15.75" hidden="false" customHeight="false" outlineLevel="0" collapsed="false">
      <c r="A440" s="5"/>
      <c r="B440" s="121"/>
      <c r="C440" s="50"/>
      <c r="D440" s="51"/>
      <c r="E440" s="74"/>
      <c r="F440" s="122"/>
      <c r="G440" s="54"/>
      <c r="H440" s="123"/>
      <c r="I440" s="124"/>
      <c r="J440" s="54"/>
      <c r="K440" s="123"/>
      <c r="L440" s="54"/>
      <c r="M440" s="123"/>
      <c r="N440" s="54"/>
      <c r="O440" s="123"/>
      <c r="P440" s="54"/>
      <c r="Q440" s="123"/>
      <c r="R440" s="54"/>
      <c r="S440" s="74"/>
      <c r="T440" s="58"/>
      <c r="U440" s="59" t="str">
        <f aca="false">IF(ISBLANK($C440),"",IF(E440=Constants!$B$2, TRUE(), IF(E440=Constants!$B$3, FALSE(), TRUE())))</f>
        <v/>
      </c>
      <c r="V440" s="59" t="str">
        <f aca="false">IF(ISBLANK($C440),"",IF(F440=Constants!$B$2, TRUE(), IF(F440=Constants!$B$3, FALSE(), TRUE())))</f>
        <v/>
      </c>
      <c r="W440" s="59" t="str">
        <f aca="false">IF(ISBLANK($C440),"",IF(G440=Constants!$B$15,Constants!$B$8,IF(G440=Constants!$B$16,Constants!$B$9,Constants!$B$10)))</f>
        <v/>
      </c>
      <c r="X440" s="59" t="str">
        <f aca="false">IF(ISBLANK($C440),"",IF(H440=Constants!$B$2, TRUE(), IF(H440=Constants!$B$3, FALSE(), TRUE())))</f>
        <v/>
      </c>
      <c r="Y440" s="59" t="str">
        <f aca="false">IF(ISBLANK($C440),"",IF(I440=Constants!$B$19,Constants!$B$19,Constants!$B$18))</f>
        <v/>
      </c>
      <c r="Z440" s="59" t="str">
        <f aca="false">IF(ISBLANK($C440),"",IF(ISNUMBER(J440),IF(J440&gt;=0,J440,""),""))</f>
        <v/>
      </c>
      <c r="AA440" s="59" t="str">
        <f aca="false">IF(ISBLANK($C440),"",IF(K440=Constants!$B$19,Constants!$B$19,Constants!$B$18))</f>
        <v/>
      </c>
      <c r="AB440" s="59" t="str">
        <f aca="false">IF(ISBLANK($C440),"",IF(ISNUMBER(L440),IF(L440&gt;=0,L440,""),""))</f>
        <v/>
      </c>
      <c r="AC440" s="59" t="str">
        <f aca="false">IF(ISBLANK($C440),"",IF(M440=Constants!$B$19,Constants!$B$19,Constants!$B$18))</f>
        <v/>
      </c>
      <c r="AD440" s="59" t="str">
        <f aca="false">IF(ISBLANK($C440),"",IF(ISNUMBER(N440),IF(N440&gt;=0,N440,""),""))</f>
        <v/>
      </c>
      <c r="AE440" s="59" t="str">
        <f aca="false">IF(ISBLANK($C440),"",IF(O440=Constants!$B$19,Constants!$B$19,Constants!$B$18))</f>
        <v/>
      </c>
      <c r="AF440" s="59" t="str">
        <f aca="false">IF(ISBLANK($C440),"",IF(ISNUMBER(P440),IF(P440&gt;=0,P440,""),""))</f>
        <v/>
      </c>
      <c r="AG440" s="59" t="str">
        <f aca="false">IF(ISBLANK($C440),"",IF(Q440=Constants!$B$19,Constants!$B$19,Constants!$B$18))</f>
        <v/>
      </c>
      <c r="AH440" s="59" t="str">
        <f aca="false">IF(ISBLANK($C440),"",IF(ISNUMBER(R440),IF(R440&gt;=0,R440,""),""))</f>
        <v/>
      </c>
      <c r="AI440" s="59" t="str">
        <f aca="false">IF(ISBLANK($C440),"",IF(S440=Constants!$B$2, TRUE(), IF(S440=Constants!$B$3, FALSE(), FALSE())))</f>
        <v/>
      </c>
      <c r="AJ440" s="59" t="str">
        <f aca="false">IF(ISBLANK($C440),"",IF(AI440,Constants!$B$4,IF(COUNTA(E440:R440)=0,Constants!$B$5,IF(COUNTA(J440,L440,N440,P440,R440)=0,Constants!$B$6,Constants!$B$7))))</f>
        <v/>
      </c>
      <c r="AK440" s="59" t="str">
        <f aca="false">IF(ISBLANK($C440),"",IF($AJ440&lt;&gt;Constants!$B$7,$AJ440,IF(OR(NOT(X440),AND(NOT(U440),COUNTIFS(Y440:AG440,Constants!$B$18,Z440:AH440,"&gt;=0")&gt;0),AND(NOT(V440),COUNTIFS(Y440:AG440,Constants!$B$19,Z440:AH440,"&gt;=0")&gt;0)),Constants!$B$12,Constants!$B$11)))</f>
        <v/>
      </c>
      <c r="AL440" s="59" t="str">
        <f aca="false">IF($AJ440=Constants!$B$7,IF(Z440="",Constants!$B$13,Z440),"")</f>
        <v/>
      </c>
      <c r="AM440" s="59" t="str">
        <f aca="false">IF($AJ440=Constants!$B$7,IF(AB440="",Constants!$B$13,AB440),"")</f>
        <v/>
      </c>
      <c r="AN440" s="59" t="str">
        <f aca="false">IF($AJ440=Constants!$B$7,IF(AD440="",Constants!$B$13,AD440),"")</f>
        <v/>
      </c>
      <c r="AO440" s="59" t="str">
        <f aca="false">IF($AJ440=Constants!$B$7,IF(AF440="",Constants!$B$13,AF440),"")</f>
        <v/>
      </c>
      <c r="AP440" s="59" t="str">
        <f aca="false">IF($AJ440=Constants!$B$7,IF(AH440="",Constants!$B$13,AH440),"")</f>
        <v/>
      </c>
      <c r="AQ440" s="59" t="str">
        <f aca="false">IF($AJ440=Constants!$B$7,IF(SUMPRODUCT(--($AL440:$AP440&gt;AL440))+SUMPRODUCT(--($AL440:AL440=AL440))=1,1,IF(SUMPRODUCT(--($AL440:$AP440&gt;AM440))+SUMPRODUCT(--($AL440:AM440=AM440))=1,2,IF(SUMPRODUCT(--($AL440:$AP440&gt;AN440))+SUMPRODUCT(--($AL440:AN440=AN440))=1,3,IF(SUMPRODUCT(--($AL440:$AP440&gt;AO440))+SUMPRODUCT(--($AL440:AO440=AO440))=1,4,5)))),"")</f>
        <v/>
      </c>
      <c r="AR440" s="59" t="str">
        <f aca="false">IF($AJ440=Constants!$B$7,IF(SUMPRODUCT(--($AL440:$AP440&gt;AL440))+SUMPRODUCT(--($AL440:AL440=AL440))=2,1,IF(SUMPRODUCT(--($AL440:$AP440&gt;AM440))+SUMPRODUCT(--($AL440:AM440=AM440))=2,2,IF(SUMPRODUCT(--($AL440:$AP440&gt;AN440))+SUMPRODUCT(--($AL440:AN440=AN440))=2,3,IF(SUMPRODUCT(--($AL440:$AP440&gt;AO440))+SUMPRODUCT(--($AL440:AO440=AO440))=2,4,5)))),"")</f>
        <v/>
      </c>
      <c r="AS440" s="59" t="str">
        <f aca="false">IF($AJ440=Constants!$B$7,IF(SUMPRODUCT(--($AL440:$AP440&gt;AL440))+SUMPRODUCT(--($AL440:AL440=AL440))=3,1,IF(SUMPRODUCT(--($AL440:$AP440&gt;AM440))+SUMPRODUCT(--($AL440:AM440=AM440))=3,2,IF(SUMPRODUCT(--($AL440:$AP440&gt;AN440))+SUMPRODUCT(--($AL440:AN440=AN440))=3,3,IF(SUMPRODUCT(--($AL440:$AP440&gt;AO440))+SUMPRODUCT(--($AL440:AO440=AO440))=3,4,5)))),"")</f>
        <v/>
      </c>
      <c r="AT440" s="59" t="str">
        <f aca="false">IF($AJ440=Constants!$B$7,LARGE(AL440:AP440,1)+LARGE(AL440:AP440,2)+LARGE(AL440:AP440,3),"")</f>
        <v/>
      </c>
      <c r="AU440" s="59" t="str">
        <f aca="false">IF(ISBLANK($C440),"",IF($AJ440&lt;&gt;Constants!$B$7,$AJ440,AT440*W440))</f>
        <v/>
      </c>
      <c r="AV440" s="59" t="str">
        <f aca="false">IF(ISBLANK($C440),"",IF($AJ440=Constants!$B$7,IF(ISNUMBER(AU440),RANK(AU440,$AU$8:$AU$507),Constants!$B$14),$AJ440))</f>
        <v/>
      </c>
      <c r="AW440" s="59" t="str">
        <f aca="false">IF(ISBLANK($C440),"",IF($AJ440=Constants!$B$7,IF(ISNUMBER(AV440),COUNTIFS($AK$8:$AK$507,"&lt;"&amp;$AK440)+COUNTIFS($AK$8:$AK$507,$AK440,$AV$8:$AV$507,"&lt;"&amp;$AV440)+1,Constants!$B$14),$AJ440))</f>
        <v/>
      </c>
      <c r="AX440" s="59" t="str">
        <f aca="false">IF(ISBLANK($C440),"",IF($AJ440=Constants!$B$7,LARGE(AL440:AP440,4)*W440,""))</f>
        <v/>
      </c>
      <c r="AY440" s="59" t="str">
        <f aca="false">IF(ISBLANK($C440),"",IF($AJ440=Constants!$B$7,RANK(AX440,$AX$8:$AX$507),$AJ440))</f>
        <v/>
      </c>
      <c r="AZ440" s="59" t="str">
        <f aca="false">IF(ISBLANK($C440),"",IF($AJ440=Constants!$B$7,IF(ISNUMBER(AV440),COUNTIFS($AK$8:$AK$507,"&lt;"&amp;$AK440)+COUNTIFS($AK$8:$AK$507,$AK440,$AV$8:$AV$507,"&lt;"&amp;$AV440)+COUNTIFS($AK$8:$AK$507,$AK440,$AV$8:$AV$507,$AV440,$AY$8:$AY$507,"&lt;"&amp;$AY440)+1,Constants!$B$14),$AJ440))</f>
        <v/>
      </c>
      <c r="BA440" s="59" t="str">
        <f aca="false">IF(ISBLANK($C440),"",IF($AJ440=Constants!$B$7,IF(ISNUMBER(AW440),AW440-AZ440,Constants!$B$14),$AJ440))</f>
        <v/>
      </c>
      <c r="BB440" s="61"/>
      <c r="BC440" s="62" t="str">
        <f aca="false">IF(ISBLANK($C440),"",IF($AJ440&lt;&gt;Constants!$B$7,$AJ440,SMALL(AQ440:AS440,1)&amp;", "&amp;SMALL(AQ440:AS440,2)&amp;", "&amp;SMALL(AQ440:AS440,3)))</f>
        <v/>
      </c>
      <c r="BD440" s="63" t="str">
        <f aca="false">IF(ISBLANK($C440),"",IF($AJ440&lt;&gt;Constants!$B$7,$AJ440,W440))</f>
        <v/>
      </c>
      <c r="BE440" s="64" t="str">
        <f aca="false">IF(ISBLANK($C440),"",IF($AJ440&lt;&gt;Constants!$B$7,$AJ440,AU440))</f>
        <v/>
      </c>
      <c r="BF440" s="65" t="str">
        <f aca="false">IF(ISBLANK($C440),"",IF($AJ440&lt;&gt;Constants!$B$7,$AJ440,AK440))</f>
        <v/>
      </c>
      <c r="BG440" s="63" t="str">
        <f aca="false">IF(ISBLANK($C440),"",BA440)</f>
        <v/>
      </c>
      <c r="BH440" s="63" t="str">
        <f aca="false">IF(ISBLANK($C440),"",AZ440)</f>
        <v/>
      </c>
      <c r="BI440" s="66" t="str">
        <f aca="false">IF(ISBLANK($C440),"",IF(BH440=Constants!$B$4,COUNTA($C$8:$C$507)+2,IF(BH440=Constants!$B$5,COUNTA($C$8:$C$507)+1,IF(BH440=Constants!$B$6,COUNTA($C$8:$C$507),BH440))))</f>
        <v/>
      </c>
      <c r="BJ440" s="5"/>
      <c r="BK440" s="67" t="n">
        <f aca="false">IF(OR(ISNUMBER(BH440),BH440=Constants!$B$4,BH440=Constants!$B$6,BH440=Constants!$B$5),1,0)</f>
        <v>0</v>
      </c>
      <c r="BL440" s="67" t="n">
        <v>433</v>
      </c>
      <c r="BM440" s="67" t="str">
        <f aca="false">IF(ISBLANK($C440),"",IF(ISNUMBER(BI440),BI440+ROW($B440)/1000,""))</f>
        <v/>
      </c>
      <c r="BN440" s="67" t="str">
        <f aca="false">IF(ISNUMBER(BM440),RANK(BM440,$BM$8:$BM$507,1),"")</f>
        <v/>
      </c>
      <c r="BO440" s="67" t="str">
        <f aca="false">IF(ISBLANK($C440),"",$B440)</f>
        <v/>
      </c>
      <c r="BP440" s="67" t="str">
        <f aca="false">IF(ISBLANK($C440),"",$C440)</f>
        <v/>
      </c>
      <c r="BQ440" s="67" t="str">
        <f aca="false">IF(ISBLANK($C440),"",$D440)</f>
        <v/>
      </c>
      <c r="BR440" s="68" t="str">
        <f aca="false">BF440</f>
        <v/>
      </c>
      <c r="BS440" s="69" t="str">
        <f aca="false">BE440</f>
        <v/>
      </c>
      <c r="BT440" s="67" t="str">
        <f aca="false">IF(ISBLANK($C440),"",BH440)</f>
        <v/>
      </c>
      <c r="BU440" s="70" t="str">
        <f aca="false">IF($BL440&gt;$BK$7,"",VLOOKUP($BL440,$BN$8:$BT$507,7,FALSE()))</f>
        <v/>
      </c>
      <c r="BV440" s="71" t="str">
        <f aca="false">IF($BL440&gt;$BK$7,"",VLOOKUP($BL440,$BN$8:$BT$507,2,FALSE()))</f>
        <v/>
      </c>
      <c r="BW440" s="71" t="str">
        <f aca="false">IF($BL440&gt;$BK$7,"",VLOOKUP($BL440,$BN$8:$BT$507,3,FALSE()))</f>
        <v/>
      </c>
      <c r="BX440" s="71" t="str">
        <f aca="false">IF($BL440&gt;$BK$7,"",VLOOKUP($BL440,$BN$8:$BT$507,4,FALSE()))</f>
        <v/>
      </c>
      <c r="BY440" s="71" t="str">
        <f aca="false">IF($BL440&gt;$BK$7,"",VLOOKUP($BL440,$BN$8:$BT$507,5,FALSE()))</f>
        <v/>
      </c>
      <c r="BZ440" s="72" t="str">
        <f aca="false">IF($BL440&gt;$BK$7,"",VLOOKUP($BL440,$BN$8:$BT$507,6,FALSE()))</f>
        <v/>
      </c>
      <c r="CA440" s="48"/>
    </row>
    <row r="441" customFormat="false" ht="15.75" hidden="false" customHeight="false" outlineLevel="0" collapsed="false">
      <c r="A441" s="5"/>
      <c r="B441" s="121"/>
      <c r="C441" s="50"/>
      <c r="D441" s="51"/>
      <c r="E441" s="74"/>
      <c r="F441" s="122"/>
      <c r="G441" s="54"/>
      <c r="H441" s="123"/>
      <c r="I441" s="124"/>
      <c r="J441" s="54"/>
      <c r="K441" s="123"/>
      <c r="L441" s="54"/>
      <c r="M441" s="123"/>
      <c r="N441" s="54"/>
      <c r="O441" s="123"/>
      <c r="P441" s="54"/>
      <c r="Q441" s="123"/>
      <c r="R441" s="54"/>
      <c r="S441" s="74"/>
      <c r="T441" s="58"/>
      <c r="U441" s="59" t="str">
        <f aca="false">IF(ISBLANK($C441),"",IF(E441=Constants!$B$2, TRUE(), IF(E441=Constants!$B$3, FALSE(), TRUE())))</f>
        <v/>
      </c>
      <c r="V441" s="59" t="str">
        <f aca="false">IF(ISBLANK($C441),"",IF(F441=Constants!$B$2, TRUE(), IF(F441=Constants!$B$3, FALSE(), TRUE())))</f>
        <v/>
      </c>
      <c r="W441" s="59" t="str">
        <f aca="false">IF(ISBLANK($C441),"",IF(G441=Constants!$B$15,Constants!$B$8,IF(G441=Constants!$B$16,Constants!$B$9,Constants!$B$10)))</f>
        <v/>
      </c>
      <c r="X441" s="59" t="str">
        <f aca="false">IF(ISBLANK($C441),"",IF(H441=Constants!$B$2, TRUE(), IF(H441=Constants!$B$3, FALSE(), TRUE())))</f>
        <v/>
      </c>
      <c r="Y441" s="59" t="str">
        <f aca="false">IF(ISBLANK($C441),"",IF(I441=Constants!$B$19,Constants!$B$19,Constants!$B$18))</f>
        <v/>
      </c>
      <c r="Z441" s="59" t="str">
        <f aca="false">IF(ISBLANK($C441),"",IF(ISNUMBER(J441),IF(J441&gt;=0,J441,""),""))</f>
        <v/>
      </c>
      <c r="AA441" s="59" t="str">
        <f aca="false">IF(ISBLANK($C441),"",IF(K441=Constants!$B$19,Constants!$B$19,Constants!$B$18))</f>
        <v/>
      </c>
      <c r="AB441" s="59" t="str">
        <f aca="false">IF(ISBLANK($C441),"",IF(ISNUMBER(L441),IF(L441&gt;=0,L441,""),""))</f>
        <v/>
      </c>
      <c r="AC441" s="59" t="str">
        <f aca="false">IF(ISBLANK($C441),"",IF(M441=Constants!$B$19,Constants!$B$19,Constants!$B$18))</f>
        <v/>
      </c>
      <c r="AD441" s="59" t="str">
        <f aca="false">IF(ISBLANK($C441),"",IF(ISNUMBER(N441),IF(N441&gt;=0,N441,""),""))</f>
        <v/>
      </c>
      <c r="AE441" s="59" t="str">
        <f aca="false">IF(ISBLANK($C441),"",IF(O441=Constants!$B$19,Constants!$B$19,Constants!$B$18))</f>
        <v/>
      </c>
      <c r="AF441" s="59" t="str">
        <f aca="false">IF(ISBLANK($C441),"",IF(ISNUMBER(P441),IF(P441&gt;=0,P441,""),""))</f>
        <v/>
      </c>
      <c r="AG441" s="59" t="str">
        <f aca="false">IF(ISBLANK($C441),"",IF(Q441=Constants!$B$19,Constants!$B$19,Constants!$B$18))</f>
        <v/>
      </c>
      <c r="AH441" s="59" t="str">
        <f aca="false">IF(ISBLANK($C441),"",IF(ISNUMBER(R441),IF(R441&gt;=0,R441,""),""))</f>
        <v/>
      </c>
      <c r="AI441" s="59" t="str">
        <f aca="false">IF(ISBLANK($C441),"",IF(S441=Constants!$B$2, TRUE(), IF(S441=Constants!$B$3, FALSE(), FALSE())))</f>
        <v/>
      </c>
      <c r="AJ441" s="59" t="str">
        <f aca="false">IF(ISBLANK($C441),"",IF(AI441,Constants!$B$4,IF(COUNTA(E441:R441)=0,Constants!$B$5,IF(COUNTA(J441,L441,N441,P441,R441)=0,Constants!$B$6,Constants!$B$7))))</f>
        <v/>
      </c>
      <c r="AK441" s="59" t="str">
        <f aca="false">IF(ISBLANK($C441),"",IF($AJ441&lt;&gt;Constants!$B$7,$AJ441,IF(OR(NOT(X441),AND(NOT(U441),COUNTIFS(Y441:AG441,Constants!$B$18,Z441:AH441,"&gt;=0")&gt;0),AND(NOT(V441),COUNTIFS(Y441:AG441,Constants!$B$19,Z441:AH441,"&gt;=0")&gt;0)),Constants!$B$12,Constants!$B$11)))</f>
        <v/>
      </c>
      <c r="AL441" s="59" t="str">
        <f aca="false">IF($AJ441=Constants!$B$7,IF(Z441="",Constants!$B$13,Z441),"")</f>
        <v/>
      </c>
      <c r="AM441" s="59" t="str">
        <f aca="false">IF($AJ441=Constants!$B$7,IF(AB441="",Constants!$B$13,AB441),"")</f>
        <v/>
      </c>
      <c r="AN441" s="59" t="str">
        <f aca="false">IF($AJ441=Constants!$B$7,IF(AD441="",Constants!$B$13,AD441),"")</f>
        <v/>
      </c>
      <c r="AO441" s="59" t="str">
        <f aca="false">IF($AJ441=Constants!$B$7,IF(AF441="",Constants!$B$13,AF441),"")</f>
        <v/>
      </c>
      <c r="AP441" s="59" t="str">
        <f aca="false">IF($AJ441=Constants!$B$7,IF(AH441="",Constants!$B$13,AH441),"")</f>
        <v/>
      </c>
      <c r="AQ441" s="59" t="str">
        <f aca="false">IF($AJ441=Constants!$B$7,IF(SUMPRODUCT(--($AL441:$AP441&gt;AL441))+SUMPRODUCT(--($AL441:AL441=AL441))=1,1,IF(SUMPRODUCT(--($AL441:$AP441&gt;AM441))+SUMPRODUCT(--($AL441:AM441=AM441))=1,2,IF(SUMPRODUCT(--($AL441:$AP441&gt;AN441))+SUMPRODUCT(--($AL441:AN441=AN441))=1,3,IF(SUMPRODUCT(--($AL441:$AP441&gt;AO441))+SUMPRODUCT(--($AL441:AO441=AO441))=1,4,5)))),"")</f>
        <v/>
      </c>
      <c r="AR441" s="59" t="str">
        <f aca="false">IF($AJ441=Constants!$B$7,IF(SUMPRODUCT(--($AL441:$AP441&gt;AL441))+SUMPRODUCT(--($AL441:AL441=AL441))=2,1,IF(SUMPRODUCT(--($AL441:$AP441&gt;AM441))+SUMPRODUCT(--($AL441:AM441=AM441))=2,2,IF(SUMPRODUCT(--($AL441:$AP441&gt;AN441))+SUMPRODUCT(--($AL441:AN441=AN441))=2,3,IF(SUMPRODUCT(--($AL441:$AP441&gt;AO441))+SUMPRODUCT(--($AL441:AO441=AO441))=2,4,5)))),"")</f>
        <v/>
      </c>
      <c r="AS441" s="59" t="str">
        <f aca="false">IF($AJ441=Constants!$B$7,IF(SUMPRODUCT(--($AL441:$AP441&gt;AL441))+SUMPRODUCT(--($AL441:AL441=AL441))=3,1,IF(SUMPRODUCT(--($AL441:$AP441&gt;AM441))+SUMPRODUCT(--($AL441:AM441=AM441))=3,2,IF(SUMPRODUCT(--($AL441:$AP441&gt;AN441))+SUMPRODUCT(--($AL441:AN441=AN441))=3,3,IF(SUMPRODUCT(--($AL441:$AP441&gt;AO441))+SUMPRODUCT(--($AL441:AO441=AO441))=3,4,5)))),"")</f>
        <v/>
      </c>
      <c r="AT441" s="59" t="str">
        <f aca="false">IF($AJ441=Constants!$B$7,LARGE(AL441:AP441,1)+LARGE(AL441:AP441,2)+LARGE(AL441:AP441,3),"")</f>
        <v/>
      </c>
      <c r="AU441" s="59" t="str">
        <f aca="false">IF(ISBLANK($C441),"",IF($AJ441&lt;&gt;Constants!$B$7,$AJ441,AT441*W441))</f>
        <v/>
      </c>
      <c r="AV441" s="59" t="str">
        <f aca="false">IF(ISBLANK($C441),"",IF($AJ441=Constants!$B$7,IF(ISNUMBER(AU441),RANK(AU441,$AU$8:$AU$507),Constants!$B$14),$AJ441))</f>
        <v/>
      </c>
      <c r="AW441" s="59" t="str">
        <f aca="false">IF(ISBLANK($C441),"",IF($AJ441=Constants!$B$7,IF(ISNUMBER(AV441),COUNTIFS($AK$8:$AK$507,"&lt;"&amp;$AK441)+COUNTIFS($AK$8:$AK$507,$AK441,$AV$8:$AV$507,"&lt;"&amp;$AV441)+1,Constants!$B$14),$AJ441))</f>
        <v/>
      </c>
      <c r="AX441" s="59" t="str">
        <f aca="false">IF(ISBLANK($C441),"",IF($AJ441=Constants!$B$7,LARGE(AL441:AP441,4)*W441,""))</f>
        <v/>
      </c>
      <c r="AY441" s="59" t="str">
        <f aca="false">IF(ISBLANK($C441),"",IF($AJ441=Constants!$B$7,RANK(AX441,$AX$8:$AX$507),$AJ441))</f>
        <v/>
      </c>
      <c r="AZ441" s="59" t="str">
        <f aca="false">IF(ISBLANK($C441),"",IF($AJ441=Constants!$B$7,IF(ISNUMBER(AV441),COUNTIFS($AK$8:$AK$507,"&lt;"&amp;$AK441)+COUNTIFS($AK$8:$AK$507,$AK441,$AV$8:$AV$507,"&lt;"&amp;$AV441)+COUNTIFS($AK$8:$AK$507,$AK441,$AV$8:$AV$507,$AV441,$AY$8:$AY$507,"&lt;"&amp;$AY441)+1,Constants!$B$14),$AJ441))</f>
        <v/>
      </c>
      <c r="BA441" s="59" t="str">
        <f aca="false">IF(ISBLANK($C441),"",IF($AJ441=Constants!$B$7,IF(ISNUMBER(AW441),AW441-AZ441,Constants!$B$14),$AJ441))</f>
        <v/>
      </c>
      <c r="BB441" s="61"/>
      <c r="BC441" s="62" t="str">
        <f aca="false">IF(ISBLANK($C441),"",IF($AJ441&lt;&gt;Constants!$B$7,$AJ441,SMALL(AQ441:AS441,1)&amp;", "&amp;SMALL(AQ441:AS441,2)&amp;", "&amp;SMALL(AQ441:AS441,3)))</f>
        <v/>
      </c>
      <c r="BD441" s="63" t="str">
        <f aca="false">IF(ISBLANK($C441),"",IF($AJ441&lt;&gt;Constants!$B$7,$AJ441,W441))</f>
        <v/>
      </c>
      <c r="BE441" s="64" t="str">
        <f aca="false">IF(ISBLANK($C441),"",IF($AJ441&lt;&gt;Constants!$B$7,$AJ441,AU441))</f>
        <v/>
      </c>
      <c r="BF441" s="65" t="str">
        <f aca="false">IF(ISBLANK($C441),"",IF($AJ441&lt;&gt;Constants!$B$7,$AJ441,AK441))</f>
        <v/>
      </c>
      <c r="BG441" s="63" t="str">
        <f aca="false">IF(ISBLANK($C441),"",BA441)</f>
        <v/>
      </c>
      <c r="BH441" s="63" t="str">
        <f aca="false">IF(ISBLANK($C441),"",AZ441)</f>
        <v/>
      </c>
      <c r="BI441" s="66" t="str">
        <f aca="false">IF(ISBLANK($C441),"",IF(BH441=Constants!$B$4,COUNTA($C$8:$C$507)+2,IF(BH441=Constants!$B$5,COUNTA($C$8:$C$507)+1,IF(BH441=Constants!$B$6,COUNTA($C$8:$C$507),BH441))))</f>
        <v/>
      </c>
      <c r="BJ441" s="5"/>
      <c r="BK441" s="67" t="n">
        <f aca="false">IF(OR(ISNUMBER(BH441),BH441=Constants!$B$4,BH441=Constants!$B$6,BH441=Constants!$B$5),1,0)</f>
        <v>0</v>
      </c>
      <c r="BL441" s="67" t="n">
        <v>434</v>
      </c>
      <c r="BM441" s="67" t="str">
        <f aca="false">IF(ISBLANK($C441),"",IF(ISNUMBER(BI441),BI441+ROW($B441)/1000,""))</f>
        <v/>
      </c>
      <c r="BN441" s="67" t="str">
        <f aca="false">IF(ISNUMBER(BM441),RANK(BM441,$BM$8:$BM$507,1),"")</f>
        <v/>
      </c>
      <c r="BO441" s="67" t="str">
        <f aca="false">IF(ISBLANK($C441),"",$B441)</f>
        <v/>
      </c>
      <c r="BP441" s="67" t="str">
        <f aca="false">IF(ISBLANK($C441),"",$C441)</f>
        <v/>
      </c>
      <c r="BQ441" s="67" t="str">
        <f aca="false">IF(ISBLANK($C441),"",$D441)</f>
        <v/>
      </c>
      <c r="BR441" s="68" t="str">
        <f aca="false">BF441</f>
        <v/>
      </c>
      <c r="BS441" s="69" t="str">
        <f aca="false">BE441</f>
        <v/>
      </c>
      <c r="BT441" s="67" t="str">
        <f aca="false">IF(ISBLANK($C441),"",BH441)</f>
        <v/>
      </c>
      <c r="BU441" s="70" t="str">
        <f aca="false">IF($BL441&gt;$BK$7,"",VLOOKUP($BL441,$BN$8:$BT$507,7,FALSE()))</f>
        <v/>
      </c>
      <c r="BV441" s="71" t="str">
        <f aca="false">IF($BL441&gt;$BK$7,"",VLOOKUP($BL441,$BN$8:$BT$507,2,FALSE()))</f>
        <v/>
      </c>
      <c r="BW441" s="71" t="str">
        <f aca="false">IF($BL441&gt;$BK$7,"",VLOOKUP($BL441,$BN$8:$BT$507,3,FALSE()))</f>
        <v/>
      </c>
      <c r="BX441" s="71" t="str">
        <f aca="false">IF($BL441&gt;$BK$7,"",VLOOKUP($BL441,$BN$8:$BT$507,4,FALSE()))</f>
        <v/>
      </c>
      <c r="BY441" s="71" t="str">
        <f aca="false">IF($BL441&gt;$BK$7,"",VLOOKUP($BL441,$BN$8:$BT$507,5,FALSE()))</f>
        <v/>
      </c>
      <c r="BZ441" s="72" t="str">
        <f aca="false">IF($BL441&gt;$BK$7,"",VLOOKUP($BL441,$BN$8:$BT$507,6,FALSE()))</f>
        <v/>
      </c>
      <c r="CA441" s="48"/>
    </row>
    <row r="442" customFormat="false" ht="15.75" hidden="false" customHeight="false" outlineLevel="0" collapsed="false">
      <c r="A442" s="5"/>
      <c r="B442" s="121"/>
      <c r="C442" s="50"/>
      <c r="D442" s="51"/>
      <c r="E442" s="74"/>
      <c r="F442" s="122"/>
      <c r="G442" s="54"/>
      <c r="H442" s="123"/>
      <c r="I442" s="124"/>
      <c r="J442" s="54"/>
      <c r="K442" s="123"/>
      <c r="L442" s="54"/>
      <c r="M442" s="123"/>
      <c r="N442" s="54"/>
      <c r="O442" s="123"/>
      <c r="P442" s="54"/>
      <c r="Q442" s="123"/>
      <c r="R442" s="54"/>
      <c r="S442" s="74"/>
      <c r="T442" s="58"/>
      <c r="U442" s="59" t="str">
        <f aca="false">IF(ISBLANK($C442),"",IF(E442=Constants!$B$2, TRUE(), IF(E442=Constants!$B$3, FALSE(), TRUE())))</f>
        <v/>
      </c>
      <c r="V442" s="59" t="str">
        <f aca="false">IF(ISBLANK($C442),"",IF(F442=Constants!$B$2, TRUE(), IF(F442=Constants!$B$3, FALSE(), TRUE())))</f>
        <v/>
      </c>
      <c r="W442" s="59" t="str">
        <f aca="false">IF(ISBLANK($C442),"",IF(G442=Constants!$B$15,Constants!$B$8,IF(G442=Constants!$B$16,Constants!$B$9,Constants!$B$10)))</f>
        <v/>
      </c>
      <c r="X442" s="59" t="str">
        <f aca="false">IF(ISBLANK($C442),"",IF(H442=Constants!$B$2, TRUE(), IF(H442=Constants!$B$3, FALSE(), TRUE())))</f>
        <v/>
      </c>
      <c r="Y442" s="59" t="str">
        <f aca="false">IF(ISBLANK($C442),"",IF(I442=Constants!$B$19,Constants!$B$19,Constants!$B$18))</f>
        <v/>
      </c>
      <c r="Z442" s="59" t="str">
        <f aca="false">IF(ISBLANK($C442),"",IF(ISNUMBER(J442),IF(J442&gt;=0,J442,""),""))</f>
        <v/>
      </c>
      <c r="AA442" s="59" t="str">
        <f aca="false">IF(ISBLANK($C442),"",IF(K442=Constants!$B$19,Constants!$B$19,Constants!$B$18))</f>
        <v/>
      </c>
      <c r="AB442" s="59" t="str">
        <f aca="false">IF(ISBLANK($C442),"",IF(ISNUMBER(L442),IF(L442&gt;=0,L442,""),""))</f>
        <v/>
      </c>
      <c r="AC442" s="59" t="str">
        <f aca="false">IF(ISBLANK($C442),"",IF(M442=Constants!$B$19,Constants!$B$19,Constants!$B$18))</f>
        <v/>
      </c>
      <c r="AD442" s="59" t="str">
        <f aca="false">IF(ISBLANK($C442),"",IF(ISNUMBER(N442),IF(N442&gt;=0,N442,""),""))</f>
        <v/>
      </c>
      <c r="AE442" s="59" t="str">
        <f aca="false">IF(ISBLANK($C442),"",IF(O442=Constants!$B$19,Constants!$B$19,Constants!$B$18))</f>
        <v/>
      </c>
      <c r="AF442" s="59" t="str">
        <f aca="false">IF(ISBLANK($C442),"",IF(ISNUMBER(P442),IF(P442&gt;=0,P442,""),""))</f>
        <v/>
      </c>
      <c r="AG442" s="59" t="str">
        <f aca="false">IF(ISBLANK($C442),"",IF(Q442=Constants!$B$19,Constants!$B$19,Constants!$B$18))</f>
        <v/>
      </c>
      <c r="AH442" s="59" t="str">
        <f aca="false">IF(ISBLANK($C442),"",IF(ISNUMBER(R442),IF(R442&gt;=0,R442,""),""))</f>
        <v/>
      </c>
      <c r="AI442" s="59" t="str">
        <f aca="false">IF(ISBLANK($C442),"",IF(S442=Constants!$B$2, TRUE(), IF(S442=Constants!$B$3, FALSE(), FALSE())))</f>
        <v/>
      </c>
      <c r="AJ442" s="59" t="str">
        <f aca="false">IF(ISBLANK($C442),"",IF(AI442,Constants!$B$4,IF(COUNTA(E442:R442)=0,Constants!$B$5,IF(COUNTA(J442,L442,N442,P442,R442)=0,Constants!$B$6,Constants!$B$7))))</f>
        <v/>
      </c>
      <c r="AK442" s="59" t="str">
        <f aca="false">IF(ISBLANK($C442),"",IF($AJ442&lt;&gt;Constants!$B$7,$AJ442,IF(OR(NOT(X442),AND(NOT(U442),COUNTIFS(Y442:AG442,Constants!$B$18,Z442:AH442,"&gt;=0")&gt;0),AND(NOT(V442),COUNTIFS(Y442:AG442,Constants!$B$19,Z442:AH442,"&gt;=0")&gt;0)),Constants!$B$12,Constants!$B$11)))</f>
        <v/>
      </c>
      <c r="AL442" s="59" t="str">
        <f aca="false">IF($AJ442=Constants!$B$7,IF(Z442="",Constants!$B$13,Z442),"")</f>
        <v/>
      </c>
      <c r="AM442" s="59" t="str">
        <f aca="false">IF($AJ442=Constants!$B$7,IF(AB442="",Constants!$B$13,AB442),"")</f>
        <v/>
      </c>
      <c r="AN442" s="59" t="str">
        <f aca="false">IF($AJ442=Constants!$B$7,IF(AD442="",Constants!$B$13,AD442),"")</f>
        <v/>
      </c>
      <c r="AO442" s="59" t="str">
        <f aca="false">IF($AJ442=Constants!$B$7,IF(AF442="",Constants!$B$13,AF442),"")</f>
        <v/>
      </c>
      <c r="AP442" s="59" t="str">
        <f aca="false">IF($AJ442=Constants!$B$7,IF(AH442="",Constants!$B$13,AH442),"")</f>
        <v/>
      </c>
      <c r="AQ442" s="59" t="str">
        <f aca="false">IF($AJ442=Constants!$B$7,IF(SUMPRODUCT(--($AL442:$AP442&gt;AL442))+SUMPRODUCT(--($AL442:AL442=AL442))=1,1,IF(SUMPRODUCT(--($AL442:$AP442&gt;AM442))+SUMPRODUCT(--($AL442:AM442=AM442))=1,2,IF(SUMPRODUCT(--($AL442:$AP442&gt;AN442))+SUMPRODUCT(--($AL442:AN442=AN442))=1,3,IF(SUMPRODUCT(--($AL442:$AP442&gt;AO442))+SUMPRODUCT(--($AL442:AO442=AO442))=1,4,5)))),"")</f>
        <v/>
      </c>
      <c r="AR442" s="59" t="str">
        <f aca="false">IF($AJ442=Constants!$B$7,IF(SUMPRODUCT(--($AL442:$AP442&gt;AL442))+SUMPRODUCT(--($AL442:AL442=AL442))=2,1,IF(SUMPRODUCT(--($AL442:$AP442&gt;AM442))+SUMPRODUCT(--($AL442:AM442=AM442))=2,2,IF(SUMPRODUCT(--($AL442:$AP442&gt;AN442))+SUMPRODUCT(--($AL442:AN442=AN442))=2,3,IF(SUMPRODUCT(--($AL442:$AP442&gt;AO442))+SUMPRODUCT(--($AL442:AO442=AO442))=2,4,5)))),"")</f>
        <v/>
      </c>
      <c r="AS442" s="59" t="str">
        <f aca="false">IF($AJ442=Constants!$B$7,IF(SUMPRODUCT(--($AL442:$AP442&gt;AL442))+SUMPRODUCT(--($AL442:AL442=AL442))=3,1,IF(SUMPRODUCT(--($AL442:$AP442&gt;AM442))+SUMPRODUCT(--($AL442:AM442=AM442))=3,2,IF(SUMPRODUCT(--($AL442:$AP442&gt;AN442))+SUMPRODUCT(--($AL442:AN442=AN442))=3,3,IF(SUMPRODUCT(--($AL442:$AP442&gt;AO442))+SUMPRODUCT(--($AL442:AO442=AO442))=3,4,5)))),"")</f>
        <v/>
      </c>
      <c r="AT442" s="59" t="str">
        <f aca="false">IF($AJ442=Constants!$B$7,LARGE(AL442:AP442,1)+LARGE(AL442:AP442,2)+LARGE(AL442:AP442,3),"")</f>
        <v/>
      </c>
      <c r="AU442" s="59" t="str">
        <f aca="false">IF(ISBLANK($C442),"",IF($AJ442&lt;&gt;Constants!$B$7,$AJ442,AT442*W442))</f>
        <v/>
      </c>
      <c r="AV442" s="59" t="str">
        <f aca="false">IF(ISBLANK($C442),"",IF($AJ442=Constants!$B$7,IF(ISNUMBER(AU442),RANK(AU442,$AU$8:$AU$507),Constants!$B$14),$AJ442))</f>
        <v/>
      </c>
      <c r="AW442" s="59" t="str">
        <f aca="false">IF(ISBLANK($C442),"",IF($AJ442=Constants!$B$7,IF(ISNUMBER(AV442),COUNTIFS($AK$8:$AK$507,"&lt;"&amp;$AK442)+COUNTIFS($AK$8:$AK$507,$AK442,$AV$8:$AV$507,"&lt;"&amp;$AV442)+1,Constants!$B$14),$AJ442))</f>
        <v/>
      </c>
      <c r="AX442" s="59" t="str">
        <f aca="false">IF(ISBLANK($C442),"",IF($AJ442=Constants!$B$7,LARGE(AL442:AP442,4)*W442,""))</f>
        <v/>
      </c>
      <c r="AY442" s="59" t="str">
        <f aca="false">IF(ISBLANK($C442),"",IF($AJ442=Constants!$B$7,RANK(AX442,$AX$8:$AX$507),$AJ442))</f>
        <v/>
      </c>
      <c r="AZ442" s="59" t="str">
        <f aca="false">IF(ISBLANK($C442),"",IF($AJ442=Constants!$B$7,IF(ISNUMBER(AV442),COUNTIFS($AK$8:$AK$507,"&lt;"&amp;$AK442)+COUNTIFS($AK$8:$AK$507,$AK442,$AV$8:$AV$507,"&lt;"&amp;$AV442)+COUNTIFS($AK$8:$AK$507,$AK442,$AV$8:$AV$507,$AV442,$AY$8:$AY$507,"&lt;"&amp;$AY442)+1,Constants!$B$14),$AJ442))</f>
        <v/>
      </c>
      <c r="BA442" s="59" t="str">
        <f aca="false">IF(ISBLANK($C442),"",IF($AJ442=Constants!$B$7,IF(ISNUMBER(AW442),AW442-AZ442,Constants!$B$14),$AJ442))</f>
        <v/>
      </c>
      <c r="BB442" s="61"/>
      <c r="BC442" s="62" t="str">
        <f aca="false">IF(ISBLANK($C442),"",IF($AJ442&lt;&gt;Constants!$B$7,$AJ442,SMALL(AQ442:AS442,1)&amp;", "&amp;SMALL(AQ442:AS442,2)&amp;", "&amp;SMALL(AQ442:AS442,3)))</f>
        <v/>
      </c>
      <c r="BD442" s="63" t="str">
        <f aca="false">IF(ISBLANK($C442),"",IF($AJ442&lt;&gt;Constants!$B$7,$AJ442,W442))</f>
        <v/>
      </c>
      <c r="BE442" s="64" t="str">
        <f aca="false">IF(ISBLANK($C442),"",IF($AJ442&lt;&gt;Constants!$B$7,$AJ442,AU442))</f>
        <v/>
      </c>
      <c r="BF442" s="65" t="str">
        <f aca="false">IF(ISBLANK($C442),"",IF($AJ442&lt;&gt;Constants!$B$7,$AJ442,AK442))</f>
        <v/>
      </c>
      <c r="BG442" s="63" t="str">
        <f aca="false">IF(ISBLANK($C442),"",BA442)</f>
        <v/>
      </c>
      <c r="BH442" s="63" t="str">
        <f aca="false">IF(ISBLANK($C442),"",AZ442)</f>
        <v/>
      </c>
      <c r="BI442" s="66" t="str">
        <f aca="false">IF(ISBLANK($C442),"",IF(BH442=Constants!$B$4,COUNTA($C$8:$C$507)+2,IF(BH442=Constants!$B$5,COUNTA($C$8:$C$507)+1,IF(BH442=Constants!$B$6,COUNTA($C$8:$C$507),BH442))))</f>
        <v/>
      </c>
      <c r="BJ442" s="5"/>
      <c r="BK442" s="67" t="n">
        <f aca="false">IF(OR(ISNUMBER(BH442),BH442=Constants!$B$4,BH442=Constants!$B$6,BH442=Constants!$B$5),1,0)</f>
        <v>0</v>
      </c>
      <c r="BL442" s="67" t="n">
        <v>435</v>
      </c>
      <c r="BM442" s="67" t="str">
        <f aca="false">IF(ISBLANK($C442),"",IF(ISNUMBER(BI442),BI442+ROW($B442)/1000,""))</f>
        <v/>
      </c>
      <c r="BN442" s="67" t="str">
        <f aca="false">IF(ISNUMBER(BM442),RANK(BM442,$BM$8:$BM$507,1),"")</f>
        <v/>
      </c>
      <c r="BO442" s="67" t="str">
        <f aca="false">IF(ISBLANK($C442),"",$B442)</f>
        <v/>
      </c>
      <c r="BP442" s="67" t="str">
        <f aca="false">IF(ISBLANK($C442),"",$C442)</f>
        <v/>
      </c>
      <c r="BQ442" s="67" t="str">
        <f aca="false">IF(ISBLANK($C442),"",$D442)</f>
        <v/>
      </c>
      <c r="BR442" s="68" t="str">
        <f aca="false">BF442</f>
        <v/>
      </c>
      <c r="BS442" s="69" t="str">
        <f aca="false">BE442</f>
        <v/>
      </c>
      <c r="BT442" s="67" t="str">
        <f aca="false">IF(ISBLANK($C442),"",BH442)</f>
        <v/>
      </c>
      <c r="BU442" s="70" t="str">
        <f aca="false">IF($BL442&gt;$BK$7,"",VLOOKUP($BL442,$BN$8:$BT$507,7,FALSE()))</f>
        <v/>
      </c>
      <c r="BV442" s="71" t="str">
        <f aca="false">IF($BL442&gt;$BK$7,"",VLOOKUP($BL442,$BN$8:$BT$507,2,FALSE()))</f>
        <v/>
      </c>
      <c r="BW442" s="71" t="str">
        <f aca="false">IF($BL442&gt;$BK$7,"",VLOOKUP($BL442,$BN$8:$BT$507,3,FALSE()))</f>
        <v/>
      </c>
      <c r="BX442" s="71" t="str">
        <f aca="false">IF($BL442&gt;$BK$7,"",VLOOKUP($BL442,$BN$8:$BT$507,4,FALSE()))</f>
        <v/>
      </c>
      <c r="BY442" s="71" t="str">
        <f aca="false">IF($BL442&gt;$BK$7,"",VLOOKUP($BL442,$BN$8:$BT$507,5,FALSE()))</f>
        <v/>
      </c>
      <c r="BZ442" s="72" t="str">
        <f aca="false">IF($BL442&gt;$BK$7,"",VLOOKUP($BL442,$BN$8:$BT$507,6,FALSE()))</f>
        <v/>
      </c>
      <c r="CA442" s="48"/>
    </row>
    <row r="443" customFormat="false" ht="15.75" hidden="false" customHeight="false" outlineLevel="0" collapsed="false">
      <c r="A443" s="5"/>
      <c r="B443" s="114"/>
      <c r="C443" s="115"/>
      <c r="D443" s="100"/>
      <c r="E443" s="120"/>
      <c r="F443" s="125"/>
      <c r="G443" s="82"/>
      <c r="H443" s="126"/>
      <c r="I443" s="127"/>
      <c r="J443" s="82"/>
      <c r="K443" s="126"/>
      <c r="L443" s="82"/>
      <c r="M443" s="126"/>
      <c r="N443" s="82"/>
      <c r="O443" s="126"/>
      <c r="P443" s="82"/>
      <c r="Q443" s="126"/>
      <c r="R443" s="82"/>
      <c r="S443" s="120"/>
      <c r="T443" s="86"/>
      <c r="U443" s="87" t="str">
        <f aca="false">IF(ISBLANK($C443),"",IF(E443=Constants!$B$2, TRUE(), IF(E443=Constants!$B$3, FALSE(), TRUE())))</f>
        <v/>
      </c>
      <c r="V443" s="87" t="str">
        <f aca="false">IF(ISBLANK($C443),"",IF(F443=Constants!$B$2, TRUE(), IF(F443=Constants!$B$3, FALSE(), TRUE())))</f>
        <v/>
      </c>
      <c r="W443" s="87" t="str">
        <f aca="false">IF(ISBLANK($C443),"",IF(G443=Constants!$B$15,Constants!$B$8,IF(G443=Constants!$B$16,Constants!$B$9,Constants!$B$10)))</f>
        <v/>
      </c>
      <c r="X443" s="87" t="str">
        <f aca="false">IF(ISBLANK($C443),"",IF(H443=Constants!$B$2, TRUE(), IF(H443=Constants!$B$3, FALSE(), TRUE())))</f>
        <v/>
      </c>
      <c r="Y443" s="87" t="str">
        <f aca="false">IF(ISBLANK($C443),"",IF(I443=Constants!$B$19,Constants!$B$19,Constants!$B$18))</f>
        <v/>
      </c>
      <c r="Z443" s="87" t="str">
        <f aca="false">IF(ISBLANK($C443),"",IF(ISNUMBER(J443),IF(J443&gt;=0,J443,""),""))</f>
        <v/>
      </c>
      <c r="AA443" s="87" t="str">
        <f aca="false">IF(ISBLANK($C443),"",IF(K443=Constants!$B$19,Constants!$B$19,Constants!$B$18))</f>
        <v/>
      </c>
      <c r="AB443" s="87" t="str">
        <f aca="false">IF(ISBLANK($C443),"",IF(ISNUMBER(L443),IF(L443&gt;=0,L443,""),""))</f>
        <v/>
      </c>
      <c r="AC443" s="87" t="str">
        <f aca="false">IF(ISBLANK($C443),"",IF(M443=Constants!$B$19,Constants!$B$19,Constants!$B$18))</f>
        <v/>
      </c>
      <c r="AD443" s="87" t="str">
        <f aca="false">IF(ISBLANK($C443),"",IF(ISNUMBER(N443),IF(N443&gt;=0,N443,""),""))</f>
        <v/>
      </c>
      <c r="AE443" s="87" t="str">
        <f aca="false">IF(ISBLANK($C443),"",IF(O443=Constants!$B$19,Constants!$B$19,Constants!$B$18))</f>
        <v/>
      </c>
      <c r="AF443" s="87" t="str">
        <f aca="false">IF(ISBLANK($C443),"",IF(ISNUMBER(P443),IF(P443&gt;=0,P443,""),""))</f>
        <v/>
      </c>
      <c r="AG443" s="87" t="str">
        <f aca="false">IF(ISBLANK($C443),"",IF(Q443=Constants!$B$19,Constants!$B$19,Constants!$B$18))</f>
        <v/>
      </c>
      <c r="AH443" s="87" t="str">
        <f aca="false">IF(ISBLANK($C443),"",IF(ISNUMBER(R443),IF(R443&gt;=0,R443,""),""))</f>
        <v/>
      </c>
      <c r="AI443" s="87" t="str">
        <f aca="false">IF(ISBLANK($C443),"",IF(S443=Constants!$B$2, TRUE(), IF(S443=Constants!$B$3, FALSE(), FALSE())))</f>
        <v/>
      </c>
      <c r="AJ443" s="87" t="str">
        <f aca="false">IF(ISBLANK($C443),"",IF(AI443,Constants!$B$4,IF(COUNTA(E443:R443)=0,Constants!$B$5,IF(COUNTA(J443,L443,N443,P443,R443)=0,Constants!$B$6,Constants!$B$7))))</f>
        <v/>
      </c>
      <c r="AK443" s="87" t="str">
        <f aca="false">IF(ISBLANK($C443),"",IF($AJ443&lt;&gt;Constants!$B$7,$AJ443,IF(OR(NOT(X443),AND(NOT(U443),COUNTIFS(Y443:AG443,Constants!$B$18,Z443:AH443,"&gt;=0")&gt;0),AND(NOT(V443),COUNTIFS(Y443:AG443,Constants!$B$19,Z443:AH443,"&gt;=0")&gt;0)),Constants!$B$12,Constants!$B$11)))</f>
        <v/>
      </c>
      <c r="AL443" s="87" t="str">
        <f aca="false">IF($AJ443=Constants!$B$7,IF(Z443="",Constants!$B$13,Z443),"")</f>
        <v/>
      </c>
      <c r="AM443" s="87" t="str">
        <f aca="false">IF($AJ443=Constants!$B$7,IF(AB443="",Constants!$B$13,AB443),"")</f>
        <v/>
      </c>
      <c r="AN443" s="87" t="str">
        <f aca="false">IF($AJ443=Constants!$B$7,IF(AD443="",Constants!$B$13,AD443),"")</f>
        <v/>
      </c>
      <c r="AO443" s="87" t="str">
        <f aca="false">IF($AJ443=Constants!$B$7,IF(AF443="",Constants!$B$13,AF443),"")</f>
        <v/>
      </c>
      <c r="AP443" s="87" t="str">
        <f aca="false">IF($AJ443=Constants!$B$7,IF(AH443="",Constants!$B$13,AH443),"")</f>
        <v/>
      </c>
      <c r="AQ443" s="87" t="str">
        <f aca="false">IF($AJ443=Constants!$B$7,IF(SUMPRODUCT(--($AL443:$AP443&gt;AL443))+SUMPRODUCT(--($AL443:AL443=AL443))=1,1,IF(SUMPRODUCT(--($AL443:$AP443&gt;AM443))+SUMPRODUCT(--($AL443:AM443=AM443))=1,2,IF(SUMPRODUCT(--($AL443:$AP443&gt;AN443))+SUMPRODUCT(--($AL443:AN443=AN443))=1,3,IF(SUMPRODUCT(--($AL443:$AP443&gt;AO443))+SUMPRODUCT(--($AL443:AO443=AO443))=1,4,5)))),"")</f>
        <v/>
      </c>
      <c r="AR443" s="87" t="str">
        <f aca="false">IF($AJ443=Constants!$B$7,IF(SUMPRODUCT(--($AL443:$AP443&gt;AL443))+SUMPRODUCT(--($AL443:AL443=AL443))=2,1,IF(SUMPRODUCT(--($AL443:$AP443&gt;AM443))+SUMPRODUCT(--($AL443:AM443=AM443))=2,2,IF(SUMPRODUCT(--($AL443:$AP443&gt;AN443))+SUMPRODUCT(--($AL443:AN443=AN443))=2,3,IF(SUMPRODUCT(--($AL443:$AP443&gt;AO443))+SUMPRODUCT(--($AL443:AO443=AO443))=2,4,5)))),"")</f>
        <v/>
      </c>
      <c r="AS443" s="87" t="str">
        <f aca="false">IF($AJ443=Constants!$B$7,IF(SUMPRODUCT(--($AL443:$AP443&gt;AL443))+SUMPRODUCT(--($AL443:AL443=AL443))=3,1,IF(SUMPRODUCT(--($AL443:$AP443&gt;AM443))+SUMPRODUCT(--($AL443:AM443=AM443))=3,2,IF(SUMPRODUCT(--($AL443:$AP443&gt;AN443))+SUMPRODUCT(--($AL443:AN443=AN443))=3,3,IF(SUMPRODUCT(--($AL443:$AP443&gt;AO443))+SUMPRODUCT(--($AL443:AO443=AO443))=3,4,5)))),"")</f>
        <v/>
      </c>
      <c r="AT443" s="87" t="str">
        <f aca="false">IF($AJ443=Constants!$B$7,LARGE(AL443:AP443,1)+LARGE(AL443:AP443,2)+LARGE(AL443:AP443,3),"")</f>
        <v/>
      </c>
      <c r="AU443" s="87" t="str">
        <f aca="false">IF(ISBLANK($C443),"",IF($AJ443&lt;&gt;Constants!$B$7,$AJ443,AT443*W443))</f>
        <v/>
      </c>
      <c r="AV443" s="87" t="str">
        <f aca="false">IF(ISBLANK($C443),"",IF($AJ443=Constants!$B$7,IF(ISNUMBER(AU443),RANK(AU443,$AU$8:$AU$507),Constants!$B$14),$AJ443))</f>
        <v/>
      </c>
      <c r="AW443" s="87" t="str">
        <f aca="false">IF(ISBLANK($C443),"",IF($AJ443=Constants!$B$7,IF(ISNUMBER(AV443),COUNTIFS($AK$8:$AK$507,"&lt;"&amp;$AK443)+COUNTIFS($AK$8:$AK$507,$AK443,$AV$8:$AV$507,"&lt;"&amp;$AV443)+1,Constants!$B$14),$AJ443))</f>
        <v/>
      </c>
      <c r="AX443" s="87" t="str">
        <f aca="false">IF(ISBLANK($C443),"",IF($AJ443=Constants!$B$7,LARGE(AL443:AP443,4)*W443,""))</f>
        <v/>
      </c>
      <c r="AY443" s="87" t="str">
        <f aca="false">IF(ISBLANK($C443),"",IF($AJ443=Constants!$B$7,RANK(AX443,$AX$8:$AX$507),$AJ443))</f>
        <v/>
      </c>
      <c r="AZ443" s="87" t="str">
        <f aca="false">IF(ISBLANK($C443),"",IF($AJ443=Constants!$B$7,IF(ISNUMBER(AV443),COUNTIFS($AK$8:$AK$507,"&lt;"&amp;$AK443)+COUNTIFS($AK$8:$AK$507,$AK443,$AV$8:$AV$507,"&lt;"&amp;$AV443)+COUNTIFS($AK$8:$AK$507,$AK443,$AV$8:$AV$507,$AV443,$AY$8:$AY$507,"&lt;"&amp;$AY443)+1,Constants!$B$14),$AJ443))</f>
        <v/>
      </c>
      <c r="BA443" s="87" t="str">
        <f aca="false">IF(ISBLANK($C443),"",IF($AJ443=Constants!$B$7,IF(ISNUMBER(AW443),AW443-AZ443,Constants!$B$14),$AJ443))</f>
        <v/>
      </c>
      <c r="BB443" s="88"/>
      <c r="BC443" s="89" t="str">
        <f aca="false">IF(ISBLANK($C443),"",IF($AJ443&lt;&gt;Constants!$B$7,$AJ443,SMALL(AQ443:AS443,1)&amp;", "&amp;SMALL(AQ443:AS443,2)&amp;", "&amp;SMALL(AQ443:AS443,3)))</f>
        <v/>
      </c>
      <c r="BD443" s="90" t="str">
        <f aca="false">IF(ISBLANK($C443),"",IF($AJ443&lt;&gt;Constants!$B$7,$AJ443,W443))</f>
        <v/>
      </c>
      <c r="BE443" s="91" t="str">
        <f aca="false">IF(ISBLANK($C443),"",IF($AJ443&lt;&gt;Constants!$B$7,$AJ443,AU443))</f>
        <v/>
      </c>
      <c r="BF443" s="92" t="str">
        <f aca="false">IF(ISBLANK($C443),"",IF($AJ443&lt;&gt;Constants!$B$7,$AJ443,AK443))</f>
        <v/>
      </c>
      <c r="BG443" s="90" t="str">
        <f aca="false">IF(ISBLANK($C443),"",BA443)</f>
        <v/>
      </c>
      <c r="BH443" s="90" t="str">
        <f aca="false">IF(ISBLANK($C443),"",AZ443)</f>
        <v/>
      </c>
      <c r="BI443" s="93" t="str">
        <f aca="false">IF(ISBLANK($C443),"",IF(BH443=Constants!$B$4,COUNTA($C$8:$C$507)+2,IF(BH443=Constants!$B$5,COUNTA($C$8:$C$507)+1,IF(BH443=Constants!$B$6,COUNTA($C$8:$C$507),BH443))))</f>
        <v/>
      </c>
      <c r="BJ443" s="5"/>
      <c r="BK443" s="94" t="n">
        <f aca="false">IF(OR(ISNUMBER(BH443),BH443=Constants!$B$4,BH443=Constants!$B$6,BH443=Constants!$B$5),1,0)</f>
        <v>0</v>
      </c>
      <c r="BL443" s="94" t="n">
        <v>436</v>
      </c>
      <c r="BM443" s="94" t="str">
        <f aca="false">IF(ISBLANK($C443),"",IF(ISNUMBER(BI443),BI443+ROW($B443)/1000,""))</f>
        <v/>
      </c>
      <c r="BN443" s="94" t="str">
        <f aca="false">IF(ISNUMBER(BM443),RANK(BM443,$BM$8:$BM$507,1),"")</f>
        <v/>
      </c>
      <c r="BO443" s="94" t="str">
        <f aca="false">IF(ISBLANK($C443),"",$B443)</f>
        <v/>
      </c>
      <c r="BP443" s="94" t="str">
        <f aca="false">IF(ISBLANK($C443),"",$C443)</f>
        <v/>
      </c>
      <c r="BQ443" s="94" t="str">
        <f aca="false">IF(ISBLANK($C443),"",$D443)</f>
        <v/>
      </c>
      <c r="BR443" s="95" t="str">
        <f aca="false">BF443</f>
        <v/>
      </c>
      <c r="BS443" s="96" t="str">
        <f aca="false">BE443</f>
        <v/>
      </c>
      <c r="BT443" s="94" t="str">
        <f aca="false">IF(ISBLANK($C443),"",BH443)</f>
        <v/>
      </c>
      <c r="BU443" s="97" t="str">
        <f aca="false">IF($BL443&gt;$BK$7,"",VLOOKUP($BL443,$BN$8:$BT$507,7,FALSE()))</f>
        <v/>
      </c>
      <c r="BV443" s="98" t="str">
        <f aca="false">IF($BL443&gt;$BK$7,"",VLOOKUP($BL443,$BN$8:$BT$507,2,FALSE()))</f>
        <v/>
      </c>
      <c r="BW443" s="98" t="str">
        <f aca="false">IF($BL443&gt;$BK$7,"",VLOOKUP($BL443,$BN$8:$BT$507,3,FALSE()))</f>
        <v/>
      </c>
      <c r="BX443" s="98" t="str">
        <f aca="false">IF($BL443&gt;$BK$7,"",VLOOKUP($BL443,$BN$8:$BT$507,4,FALSE()))</f>
        <v/>
      </c>
      <c r="BY443" s="98" t="str">
        <f aca="false">IF($BL443&gt;$BK$7,"",VLOOKUP($BL443,$BN$8:$BT$507,5,FALSE()))</f>
        <v/>
      </c>
      <c r="BZ443" s="99" t="str">
        <f aca="false">IF($BL443&gt;$BK$7,"",VLOOKUP($BL443,$BN$8:$BT$507,6,FALSE()))</f>
        <v/>
      </c>
      <c r="CA443" s="48"/>
    </row>
    <row r="444" customFormat="false" ht="15.75" hidden="false" customHeight="false" outlineLevel="0" collapsed="false">
      <c r="A444" s="5"/>
      <c r="B444" s="114"/>
      <c r="C444" s="115"/>
      <c r="D444" s="100"/>
      <c r="E444" s="120"/>
      <c r="F444" s="125"/>
      <c r="G444" s="82"/>
      <c r="H444" s="126"/>
      <c r="I444" s="127"/>
      <c r="J444" s="82"/>
      <c r="K444" s="126"/>
      <c r="L444" s="82"/>
      <c r="M444" s="126"/>
      <c r="N444" s="82"/>
      <c r="O444" s="126"/>
      <c r="P444" s="82"/>
      <c r="Q444" s="126"/>
      <c r="R444" s="82"/>
      <c r="S444" s="120"/>
      <c r="T444" s="86"/>
      <c r="U444" s="87" t="str">
        <f aca="false">IF(ISBLANK($C444),"",IF(E444=Constants!$B$2, TRUE(), IF(E444=Constants!$B$3, FALSE(), TRUE())))</f>
        <v/>
      </c>
      <c r="V444" s="87" t="str">
        <f aca="false">IF(ISBLANK($C444),"",IF(F444=Constants!$B$2, TRUE(), IF(F444=Constants!$B$3, FALSE(), TRUE())))</f>
        <v/>
      </c>
      <c r="W444" s="87" t="str">
        <f aca="false">IF(ISBLANK($C444),"",IF(G444=Constants!$B$15,Constants!$B$8,IF(G444=Constants!$B$16,Constants!$B$9,Constants!$B$10)))</f>
        <v/>
      </c>
      <c r="X444" s="87" t="str">
        <f aca="false">IF(ISBLANK($C444),"",IF(H444=Constants!$B$2, TRUE(), IF(H444=Constants!$B$3, FALSE(), TRUE())))</f>
        <v/>
      </c>
      <c r="Y444" s="87" t="str">
        <f aca="false">IF(ISBLANK($C444),"",IF(I444=Constants!$B$19,Constants!$B$19,Constants!$B$18))</f>
        <v/>
      </c>
      <c r="Z444" s="87" t="str">
        <f aca="false">IF(ISBLANK($C444),"",IF(ISNUMBER(J444),IF(J444&gt;=0,J444,""),""))</f>
        <v/>
      </c>
      <c r="AA444" s="87" t="str">
        <f aca="false">IF(ISBLANK($C444),"",IF(K444=Constants!$B$19,Constants!$B$19,Constants!$B$18))</f>
        <v/>
      </c>
      <c r="AB444" s="87" t="str">
        <f aca="false">IF(ISBLANK($C444),"",IF(ISNUMBER(L444),IF(L444&gt;=0,L444,""),""))</f>
        <v/>
      </c>
      <c r="AC444" s="87" t="str">
        <f aca="false">IF(ISBLANK($C444),"",IF(M444=Constants!$B$19,Constants!$B$19,Constants!$B$18))</f>
        <v/>
      </c>
      <c r="AD444" s="87" t="str">
        <f aca="false">IF(ISBLANK($C444),"",IF(ISNUMBER(N444),IF(N444&gt;=0,N444,""),""))</f>
        <v/>
      </c>
      <c r="AE444" s="87" t="str">
        <f aca="false">IF(ISBLANK($C444),"",IF(O444=Constants!$B$19,Constants!$B$19,Constants!$B$18))</f>
        <v/>
      </c>
      <c r="AF444" s="87" t="str">
        <f aca="false">IF(ISBLANK($C444),"",IF(ISNUMBER(P444),IF(P444&gt;=0,P444,""),""))</f>
        <v/>
      </c>
      <c r="AG444" s="87" t="str">
        <f aca="false">IF(ISBLANK($C444),"",IF(Q444=Constants!$B$19,Constants!$B$19,Constants!$B$18))</f>
        <v/>
      </c>
      <c r="AH444" s="87" t="str">
        <f aca="false">IF(ISBLANK($C444),"",IF(ISNUMBER(R444),IF(R444&gt;=0,R444,""),""))</f>
        <v/>
      </c>
      <c r="AI444" s="87" t="str">
        <f aca="false">IF(ISBLANK($C444),"",IF(S444=Constants!$B$2, TRUE(), IF(S444=Constants!$B$3, FALSE(), FALSE())))</f>
        <v/>
      </c>
      <c r="AJ444" s="87" t="str">
        <f aca="false">IF(ISBLANK($C444),"",IF(AI444,Constants!$B$4,IF(COUNTA(E444:R444)=0,Constants!$B$5,IF(COUNTA(J444,L444,N444,P444,R444)=0,Constants!$B$6,Constants!$B$7))))</f>
        <v/>
      </c>
      <c r="AK444" s="87" t="str">
        <f aca="false">IF(ISBLANK($C444),"",IF($AJ444&lt;&gt;Constants!$B$7,$AJ444,IF(OR(NOT(X444),AND(NOT(U444),COUNTIFS(Y444:AG444,Constants!$B$18,Z444:AH444,"&gt;=0")&gt;0),AND(NOT(V444),COUNTIFS(Y444:AG444,Constants!$B$19,Z444:AH444,"&gt;=0")&gt;0)),Constants!$B$12,Constants!$B$11)))</f>
        <v/>
      </c>
      <c r="AL444" s="87" t="str">
        <f aca="false">IF($AJ444=Constants!$B$7,IF(Z444="",Constants!$B$13,Z444),"")</f>
        <v/>
      </c>
      <c r="AM444" s="87" t="str">
        <f aca="false">IF($AJ444=Constants!$B$7,IF(AB444="",Constants!$B$13,AB444),"")</f>
        <v/>
      </c>
      <c r="AN444" s="87" t="str">
        <f aca="false">IF($AJ444=Constants!$B$7,IF(AD444="",Constants!$B$13,AD444),"")</f>
        <v/>
      </c>
      <c r="AO444" s="87" t="str">
        <f aca="false">IF($AJ444=Constants!$B$7,IF(AF444="",Constants!$B$13,AF444),"")</f>
        <v/>
      </c>
      <c r="AP444" s="87" t="str">
        <f aca="false">IF($AJ444=Constants!$B$7,IF(AH444="",Constants!$B$13,AH444),"")</f>
        <v/>
      </c>
      <c r="AQ444" s="87" t="str">
        <f aca="false">IF($AJ444=Constants!$B$7,IF(SUMPRODUCT(--($AL444:$AP444&gt;AL444))+SUMPRODUCT(--($AL444:AL444=AL444))=1,1,IF(SUMPRODUCT(--($AL444:$AP444&gt;AM444))+SUMPRODUCT(--($AL444:AM444=AM444))=1,2,IF(SUMPRODUCT(--($AL444:$AP444&gt;AN444))+SUMPRODUCT(--($AL444:AN444=AN444))=1,3,IF(SUMPRODUCT(--($AL444:$AP444&gt;AO444))+SUMPRODUCT(--($AL444:AO444=AO444))=1,4,5)))),"")</f>
        <v/>
      </c>
      <c r="AR444" s="87" t="str">
        <f aca="false">IF($AJ444=Constants!$B$7,IF(SUMPRODUCT(--($AL444:$AP444&gt;AL444))+SUMPRODUCT(--($AL444:AL444=AL444))=2,1,IF(SUMPRODUCT(--($AL444:$AP444&gt;AM444))+SUMPRODUCT(--($AL444:AM444=AM444))=2,2,IF(SUMPRODUCT(--($AL444:$AP444&gt;AN444))+SUMPRODUCT(--($AL444:AN444=AN444))=2,3,IF(SUMPRODUCT(--($AL444:$AP444&gt;AO444))+SUMPRODUCT(--($AL444:AO444=AO444))=2,4,5)))),"")</f>
        <v/>
      </c>
      <c r="AS444" s="87" t="str">
        <f aca="false">IF($AJ444=Constants!$B$7,IF(SUMPRODUCT(--($AL444:$AP444&gt;AL444))+SUMPRODUCT(--($AL444:AL444=AL444))=3,1,IF(SUMPRODUCT(--($AL444:$AP444&gt;AM444))+SUMPRODUCT(--($AL444:AM444=AM444))=3,2,IF(SUMPRODUCT(--($AL444:$AP444&gt;AN444))+SUMPRODUCT(--($AL444:AN444=AN444))=3,3,IF(SUMPRODUCT(--($AL444:$AP444&gt;AO444))+SUMPRODUCT(--($AL444:AO444=AO444))=3,4,5)))),"")</f>
        <v/>
      </c>
      <c r="AT444" s="87" t="str">
        <f aca="false">IF($AJ444=Constants!$B$7,LARGE(AL444:AP444,1)+LARGE(AL444:AP444,2)+LARGE(AL444:AP444,3),"")</f>
        <v/>
      </c>
      <c r="AU444" s="87" t="str">
        <f aca="false">IF(ISBLANK($C444),"",IF($AJ444&lt;&gt;Constants!$B$7,$AJ444,AT444*W444))</f>
        <v/>
      </c>
      <c r="AV444" s="87" t="str">
        <f aca="false">IF(ISBLANK($C444),"",IF($AJ444=Constants!$B$7,IF(ISNUMBER(AU444),RANK(AU444,$AU$8:$AU$507),Constants!$B$14),$AJ444))</f>
        <v/>
      </c>
      <c r="AW444" s="87" t="str">
        <f aca="false">IF(ISBLANK($C444),"",IF($AJ444=Constants!$B$7,IF(ISNUMBER(AV444),COUNTIFS($AK$8:$AK$507,"&lt;"&amp;$AK444)+COUNTIFS($AK$8:$AK$507,$AK444,$AV$8:$AV$507,"&lt;"&amp;$AV444)+1,Constants!$B$14),$AJ444))</f>
        <v/>
      </c>
      <c r="AX444" s="87" t="str">
        <f aca="false">IF(ISBLANK($C444),"",IF($AJ444=Constants!$B$7,LARGE(AL444:AP444,4)*W444,""))</f>
        <v/>
      </c>
      <c r="AY444" s="87" t="str">
        <f aca="false">IF(ISBLANK($C444),"",IF($AJ444=Constants!$B$7,RANK(AX444,$AX$8:$AX$507),$AJ444))</f>
        <v/>
      </c>
      <c r="AZ444" s="87" t="str">
        <f aca="false">IF(ISBLANK($C444),"",IF($AJ444=Constants!$B$7,IF(ISNUMBER(AV444),COUNTIFS($AK$8:$AK$507,"&lt;"&amp;$AK444)+COUNTIFS($AK$8:$AK$507,$AK444,$AV$8:$AV$507,"&lt;"&amp;$AV444)+COUNTIFS($AK$8:$AK$507,$AK444,$AV$8:$AV$507,$AV444,$AY$8:$AY$507,"&lt;"&amp;$AY444)+1,Constants!$B$14),$AJ444))</f>
        <v/>
      </c>
      <c r="BA444" s="87" t="str">
        <f aca="false">IF(ISBLANK($C444),"",IF($AJ444=Constants!$B$7,IF(ISNUMBER(AW444),AW444-AZ444,Constants!$B$14),$AJ444))</f>
        <v/>
      </c>
      <c r="BB444" s="88"/>
      <c r="BC444" s="89" t="str">
        <f aca="false">IF(ISBLANK($C444),"",IF($AJ444&lt;&gt;Constants!$B$7,$AJ444,SMALL(AQ444:AS444,1)&amp;", "&amp;SMALL(AQ444:AS444,2)&amp;", "&amp;SMALL(AQ444:AS444,3)))</f>
        <v/>
      </c>
      <c r="BD444" s="90" t="str">
        <f aca="false">IF(ISBLANK($C444),"",IF($AJ444&lt;&gt;Constants!$B$7,$AJ444,W444))</f>
        <v/>
      </c>
      <c r="BE444" s="91" t="str">
        <f aca="false">IF(ISBLANK($C444),"",IF($AJ444&lt;&gt;Constants!$B$7,$AJ444,AU444))</f>
        <v/>
      </c>
      <c r="BF444" s="92" t="str">
        <f aca="false">IF(ISBLANK($C444),"",IF($AJ444&lt;&gt;Constants!$B$7,$AJ444,AK444))</f>
        <v/>
      </c>
      <c r="BG444" s="90" t="str">
        <f aca="false">IF(ISBLANK($C444),"",BA444)</f>
        <v/>
      </c>
      <c r="BH444" s="90" t="str">
        <f aca="false">IF(ISBLANK($C444),"",AZ444)</f>
        <v/>
      </c>
      <c r="BI444" s="93" t="str">
        <f aca="false">IF(ISBLANK($C444),"",IF(BH444=Constants!$B$4,COUNTA($C$8:$C$507)+2,IF(BH444=Constants!$B$5,COUNTA($C$8:$C$507)+1,IF(BH444=Constants!$B$6,COUNTA($C$8:$C$507),BH444))))</f>
        <v/>
      </c>
      <c r="BJ444" s="5"/>
      <c r="BK444" s="94" t="n">
        <f aca="false">IF(OR(ISNUMBER(BH444),BH444=Constants!$B$4,BH444=Constants!$B$6,BH444=Constants!$B$5),1,0)</f>
        <v>0</v>
      </c>
      <c r="BL444" s="94" t="n">
        <v>437</v>
      </c>
      <c r="BM444" s="94" t="str">
        <f aca="false">IF(ISBLANK($C444),"",IF(ISNUMBER(BI444),BI444+ROW($B444)/1000,""))</f>
        <v/>
      </c>
      <c r="BN444" s="94" t="str">
        <f aca="false">IF(ISNUMBER(BM444),RANK(BM444,$BM$8:$BM$507,1),"")</f>
        <v/>
      </c>
      <c r="BO444" s="94" t="str">
        <f aca="false">IF(ISBLANK($C444),"",$B444)</f>
        <v/>
      </c>
      <c r="BP444" s="94" t="str">
        <f aca="false">IF(ISBLANK($C444),"",$C444)</f>
        <v/>
      </c>
      <c r="BQ444" s="94" t="str">
        <f aca="false">IF(ISBLANK($C444),"",$D444)</f>
        <v/>
      </c>
      <c r="BR444" s="95" t="str">
        <f aca="false">BF444</f>
        <v/>
      </c>
      <c r="BS444" s="96" t="str">
        <f aca="false">BE444</f>
        <v/>
      </c>
      <c r="BT444" s="94" t="str">
        <f aca="false">IF(ISBLANK($C444),"",BH444)</f>
        <v/>
      </c>
      <c r="BU444" s="97" t="str">
        <f aca="false">IF($BL444&gt;$BK$7,"",VLOOKUP($BL444,$BN$8:$BT$507,7,FALSE()))</f>
        <v/>
      </c>
      <c r="BV444" s="98" t="str">
        <f aca="false">IF($BL444&gt;$BK$7,"",VLOOKUP($BL444,$BN$8:$BT$507,2,FALSE()))</f>
        <v/>
      </c>
      <c r="BW444" s="98" t="str">
        <f aca="false">IF($BL444&gt;$BK$7,"",VLOOKUP($BL444,$BN$8:$BT$507,3,FALSE()))</f>
        <v/>
      </c>
      <c r="BX444" s="98" t="str">
        <f aca="false">IF($BL444&gt;$BK$7,"",VLOOKUP($BL444,$BN$8:$BT$507,4,FALSE()))</f>
        <v/>
      </c>
      <c r="BY444" s="98" t="str">
        <f aca="false">IF($BL444&gt;$BK$7,"",VLOOKUP($BL444,$BN$8:$BT$507,5,FALSE()))</f>
        <v/>
      </c>
      <c r="BZ444" s="99" t="str">
        <f aca="false">IF($BL444&gt;$BK$7,"",VLOOKUP($BL444,$BN$8:$BT$507,6,FALSE()))</f>
        <v/>
      </c>
      <c r="CA444" s="48"/>
    </row>
    <row r="445" customFormat="false" ht="15.75" hidden="false" customHeight="false" outlineLevel="0" collapsed="false">
      <c r="A445" s="5"/>
      <c r="B445" s="114"/>
      <c r="C445" s="115"/>
      <c r="D445" s="100"/>
      <c r="E445" s="120"/>
      <c r="F445" s="125"/>
      <c r="G445" s="82"/>
      <c r="H445" s="126"/>
      <c r="I445" s="127"/>
      <c r="J445" s="82"/>
      <c r="K445" s="126"/>
      <c r="L445" s="82"/>
      <c r="M445" s="126"/>
      <c r="N445" s="82"/>
      <c r="O445" s="126"/>
      <c r="P445" s="82"/>
      <c r="Q445" s="126"/>
      <c r="R445" s="82"/>
      <c r="S445" s="120"/>
      <c r="T445" s="86"/>
      <c r="U445" s="87" t="str">
        <f aca="false">IF(ISBLANK($C445),"",IF(E445=Constants!$B$2, TRUE(), IF(E445=Constants!$B$3, FALSE(), TRUE())))</f>
        <v/>
      </c>
      <c r="V445" s="87" t="str">
        <f aca="false">IF(ISBLANK($C445),"",IF(F445=Constants!$B$2, TRUE(), IF(F445=Constants!$B$3, FALSE(), TRUE())))</f>
        <v/>
      </c>
      <c r="W445" s="87" t="str">
        <f aca="false">IF(ISBLANK($C445),"",IF(G445=Constants!$B$15,Constants!$B$8,IF(G445=Constants!$B$16,Constants!$B$9,Constants!$B$10)))</f>
        <v/>
      </c>
      <c r="X445" s="87" t="str">
        <f aca="false">IF(ISBLANK($C445),"",IF(H445=Constants!$B$2, TRUE(), IF(H445=Constants!$B$3, FALSE(), TRUE())))</f>
        <v/>
      </c>
      <c r="Y445" s="87" t="str">
        <f aca="false">IF(ISBLANK($C445),"",IF(I445=Constants!$B$19,Constants!$B$19,Constants!$B$18))</f>
        <v/>
      </c>
      <c r="Z445" s="87" t="str">
        <f aca="false">IF(ISBLANK($C445),"",IF(ISNUMBER(J445),IF(J445&gt;=0,J445,""),""))</f>
        <v/>
      </c>
      <c r="AA445" s="87" t="str">
        <f aca="false">IF(ISBLANK($C445),"",IF(K445=Constants!$B$19,Constants!$B$19,Constants!$B$18))</f>
        <v/>
      </c>
      <c r="AB445" s="87" t="str">
        <f aca="false">IF(ISBLANK($C445),"",IF(ISNUMBER(L445),IF(L445&gt;=0,L445,""),""))</f>
        <v/>
      </c>
      <c r="AC445" s="87" t="str">
        <f aca="false">IF(ISBLANK($C445),"",IF(M445=Constants!$B$19,Constants!$B$19,Constants!$B$18))</f>
        <v/>
      </c>
      <c r="AD445" s="87" t="str">
        <f aca="false">IF(ISBLANK($C445),"",IF(ISNUMBER(N445),IF(N445&gt;=0,N445,""),""))</f>
        <v/>
      </c>
      <c r="AE445" s="87" t="str">
        <f aca="false">IF(ISBLANK($C445),"",IF(O445=Constants!$B$19,Constants!$B$19,Constants!$B$18))</f>
        <v/>
      </c>
      <c r="AF445" s="87" t="str">
        <f aca="false">IF(ISBLANK($C445),"",IF(ISNUMBER(P445),IF(P445&gt;=0,P445,""),""))</f>
        <v/>
      </c>
      <c r="AG445" s="87" t="str">
        <f aca="false">IF(ISBLANK($C445),"",IF(Q445=Constants!$B$19,Constants!$B$19,Constants!$B$18))</f>
        <v/>
      </c>
      <c r="AH445" s="87" t="str">
        <f aca="false">IF(ISBLANK($C445),"",IF(ISNUMBER(R445),IF(R445&gt;=0,R445,""),""))</f>
        <v/>
      </c>
      <c r="AI445" s="87" t="str">
        <f aca="false">IF(ISBLANK($C445),"",IF(S445=Constants!$B$2, TRUE(), IF(S445=Constants!$B$3, FALSE(), FALSE())))</f>
        <v/>
      </c>
      <c r="AJ445" s="87" t="str">
        <f aca="false">IF(ISBLANK($C445),"",IF(AI445,Constants!$B$4,IF(COUNTA(E445:R445)=0,Constants!$B$5,IF(COUNTA(J445,L445,N445,P445,R445)=0,Constants!$B$6,Constants!$B$7))))</f>
        <v/>
      </c>
      <c r="AK445" s="87" t="str">
        <f aca="false">IF(ISBLANK($C445),"",IF($AJ445&lt;&gt;Constants!$B$7,$AJ445,IF(OR(NOT(X445),AND(NOT(U445),COUNTIFS(Y445:AG445,Constants!$B$18,Z445:AH445,"&gt;=0")&gt;0),AND(NOT(V445),COUNTIFS(Y445:AG445,Constants!$B$19,Z445:AH445,"&gt;=0")&gt;0)),Constants!$B$12,Constants!$B$11)))</f>
        <v/>
      </c>
      <c r="AL445" s="87" t="str">
        <f aca="false">IF($AJ445=Constants!$B$7,IF(Z445="",Constants!$B$13,Z445),"")</f>
        <v/>
      </c>
      <c r="AM445" s="87" t="str">
        <f aca="false">IF($AJ445=Constants!$B$7,IF(AB445="",Constants!$B$13,AB445),"")</f>
        <v/>
      </c>
      <c r="AN445" s="87" t="str">
        <f aca="false">IF($AJ445=Constants!$B$7,IF(AD445="",Constants!$B$13,AD445),"")</f>
        <v/>
      </c>
      <c r="AO445" s="87" t="str">
        <f aca="false">IF($AJ445=Constants!$B$7,IF(AF445="",Constants!$B$13,AF445),"")</f>
        <v/>
      </c>
      <c r="AP445" s="87" t="str">
        <f aca="false">IF($AJ445=Constants!$B$7,IF(AH445="",Constants!$B$13,AH445),"")</f>
        <v/>
      </c>
      <c r="AQ445" s="87" t="str">
        <f aca="false">IF($AJ445=Constants!$B$7,IF(SUMPRODUCT(--($AL445:$AP445&gt;AL445))+SUMPRODUCT(--($AL445:AL445=AL445))=1,1,IF(SUMPRODUCT(--($AL445:$AP445&gt;AM445))+SUMPRODUCT(--($AL445:AM445=AM445))=1,2,IF(SUMPRODUCT(--($AL445:$AP445&gt;AN445))+SUMPRODUCT(--($AL445:AN445=AN445))=1,3,IF(SUMPRODUCT(--($AL445:$AP445&gt;AO445))+SUMPRODUCT(--($AL445:AO445=AO445))=1,4,5)))),"")</f>
        <v/>
      </c>
      <c r="AR445" s="87" t="str">
        <f aca="false">IF($AJ445=Constants!$B$7,IF(SUMPRODUCT(--($AL445:$AP445&gt;AL445))+SUMPRODUCT(--($AL445:AL445=AL445))=2,1,IF(SUMPRODUCT(--($AL445:$AP445&gt;AM445))+SUMPRODUCT(--($AL445:AM445=AM445))=2,2,IF(SUMPRODUCT(--($AL445:$AP445&gt;AN445))+SUMPRODUCT(--($AL445:AN445=AN445))=2,3,IF(SUMPRODUCT(--($AL445:$AP445&gt;AO445))+SUMPRODUCT(--($AL445:AO445=AO445))=2,4,5)))),"")</f>
        <v/>
      </c>
      <c r="AS445" s="87" t="str">
        <f aca="false">IF($AJ445=Constants!$B$7,IF(SUMPRODUCT(--($AL445:$AP445&gt;AL445))+SUMPRODUCT(--($AL445:AL445=AL445))=3,1,IF(SUMPRODUCT(--($AL445:$AP445&gt;AM445))+SUMPRODUCT(--($AL445:AM445=AM445))=3,2,IF(SUMPRODUCT(--($AL445:$AP445&gt;AN445))+SUMPRODUCT(--($AL445:AN445=AN445))=3,3,IF(SUMPRODUCT(--($AL445:$AP445&gt;AO445))+SUMPRODUCT(--($AL445:AO445=AO445))=3,4,5)))),"")</f>
        <v/>
      </c>
      <c r="AT445" s="87" t="str">
        <f aca="false">IF($AJ445=Constants!$B$7,LARGE(AL445:AP445,1)+LARGE(AL445:AP445,2)+LARGE(AL445:AP445,3),"")</f>
        <v/>
      </c>
      <c r="AU445" s="87" t="str">
        <f aca="false">IF(ISBLANK($C445),"",IF($AJ445&lt;&gt;Constants!$B$7,$AJ445,AT445*W445))</f>
        <v/>
      </c>
      <c r="AV445" s="87" t="str">
        <f aca="false">IF(ISBLANK($C445),"",IF($AJ445=Constants!$B$7,IF(ISNUMBER(AU445),RANK(AU445,$AU$8:$AU$507),Constants!$B$14),$AJ445))</f>
        <v/>
      </c>
      <c r="AW445" s="87" t="str">
        <f aca="false">IF(ISBLANK($C445),"",IF($AJ445=Constants!$B$7,IF(ISNUMBER(AV445),COUNTIFS($AK$8:$AK$507,"&lt;"&amp;$AK445)+COUNTIFS($AK$8:$AK$507,$AK445,$AV$8:$AV$507,"&lt;"&amp;$AV445)+1,Constants!$B$14),$AJ445))</f>
        <v/>
      </c>
      <c r="AX445" s="87" t="str">
        <f aca="false">IF(ISBLANK($C445),"",IF($AJ445=Constants!$B$7,LARGE(AL445:AP445,4)*W445,""))</f>
        <v/>
      </c>
      <c r="AY445" s="87" t="str">
        <f aca="false">IF(ISBLANK($C445),"",IF($AJ445=Constants!$B$7,RANK(AX445,$AX$8:$AX$507),$AJ445))</f>
        <v/>
      </c>
      <c r="AZ445" s="87" t="str">
        <f aca="false">IF(ISBLANK($C445),"",IF($AJ445=Constants!$B$7,IF(ISNUMBER(AV445),COUNTIFS($AK$8:$AK$507,"&lt;"&amp;$AK445)+COUNTIFS($AK$8:$AK$507,$AK445,$AV$8:$AV$507,"&lt;"&amp;$AV445)+COUNTIFS($AK$8:$AK$507,$AK445,$AV$8:$AV$507,$AV445,$AY$8:$AY$507,"&lt;"&amp;$AY445)+1,Constants!$B$14),$AJ445))</f>
        <v/>
      </c>
      <c r="BA445" s="87" t="str">
        <f aca="false">IF(ISBLANK($C445),"",IF($AJ445=Constants!$B$7,IF(ISNUMBER(AW445),AW445-AZ445,Constants!$B$14),$AJ445))</f>
        <v/>
      </c>
      <c r="BB445" s="88"/>
      <c r="BC445" s="89" t="str">
        <f aca="false">IF(ISBLANK($C445),"",IF($AJ445&lt;&gt;Constants!$B$7,$AJ445,SMALL(AQ445:AS445,1)&amp;", "&amp;SMALL(AQ445:AS445,2)&amp;", "&amp;SMALL(AQ445:AS445,3)))</f>
        <v/>
      </c>
      <c r="BD445" s="90" t="str">
        <f aca="false">IF(ISBLANK($C445),"",IF($AJ445&lt;&gt;Constants!$B$7,$AJ445,W445))</f>
        <v/>
      </c>
      <c r="BE445" s="91" t="str">
        <f aca="false">IF(ISBLANK($C445),"",IF($AJ445&lt;&gt;Constants!$B$7,$AJ445,AU445))</f>
        <v/>
      </c>
      <c r="BF445" s="92" t="str">
        <f aca="false">IF(ISBLANK($C445),"",IF($AJ445&lt;&gt;Constants!$B$7,$AJ445,AK445))</f>
        <v/>
      </c>
      <c r="BG445" s="90" t="str">
        <f aca="false">IF(ISBLANK($C445),"",BA445)</f>
        <v/>
      </c>
      <c r="BH445" s="90" t="str">
        <f aca="false">IF(ISBLANK($C445),"",AZ445)</f>
        <v/>
      </c>
      <c r="BI445" s="93" t="str">
        <f aca="false">IF(ISBLANK($C445),"",IF(BH445=Constants!$B$4,COUNTA($C$8:$C$507)+2,IF(BH445=Constants!$B$5,COUNTA($C$8:$C$507)+1,IF(BH445=Constants!$B$6,COUNTA($C$8:$C$507),BH445))))</f>
        <v/>
      </c>
      <c r="BJ445" s="5"/>
      <c r="BK445" s="94" t="n">
        <f aca="false">IF(OR(ISNUMBER(BH445),BH445=Constants!$B$4,BH445=Constants!$B$6,BH445=Constants!$B$5),1,0)</f>
        <v>0</v>
      </c>
      <c r="BL445" s="94" t="n">
        <v>438</v>
      </c>
      <c r="BM445" s="94" t="str">
        <f aca="false">IF(ISBLANK($C445),"",IF(ISNUMBER(BI445),BI445+ROW($B445)/1000,""))</f>
        <v/>
      </c>
      <c r="BN445" s="94" t="str">
        <f aca="false">IF(ISNUMBER(BM445),RANK(BM445,$BM$8:$BM$507,1),"")</f>
        <v/>
      </c>
      <c r="BO445" s="94" t="str">
        <f aca="false">IF(ISBLANK($C445),"",$B445)</f>
        <v/>
      </c>
      <c r="BP445" s="94" t="str">
        <f aca="false">IF(ISBLANK($C445),"",$C445)</f>
        <v/>
      </c>
      <c r="BQ445" s="94" t="str">
        <f aca="false">IF(ISBLANK($C445),"",$D445)</f>
        <v/>
      </c>
      <c r="BR445" s="95" t="str">
        <f aca="false">BF445</f>
        <v/>
      </c>
      <c r="BS445" s="96" t="str">
        <f aca="false">BE445</f>
        <v/>
      </c>
      <c r="BT445" s="94" t="str">
        <f aca="false">IF(ISBLANK($C445),"",BH445)</f>
        <v/>
      </c>
      <c r="BU445" s="97" t="str">
        <f aca="false">IF($BL445&gt;$BK$7,"",VLOOKUP($BL445,$BN$8:$BT$507,7,FALSE()))</f>
        <v/>
      </c>
      <c r="BV445" s="98" t="str">
        <f aca="false">IF($BL445&gt;$BK$7,"",VLOOKUP($BL445,$BN$8:$BT$507,2,FALSE()))</f>
        <v/>
      </c>
      <c r="BW445" s="98" t="str">
        <f aca="false">IF($BL445&gt;$BK$7,"",VLOOKUP($BL445,$BN$8:$BT$507,3,FALSE()))</f>
        <v/>
      </c>
      <c r="BX445" s="98" t="str">
        <f aca="false">IF($BL445&gt;$BK$7,"",VLOOKUP($BL445,$BN$8:$BT$507,4,FALSE()))</f>
        <v/>
      </c>
      <c r="BY445" s="98" t="str">
        <f aca="false">IF($BL445&gt;$BK$7,"",VLOOKUP($BL445,$BN$8:$BT$507,5,FALSE()))</f>
        <v/>
      </c>
      <c r="BZ445" s="99" t="str">
        <f aca="false">IF($BL445&gt;$BK$7,"",VLOOKUP($BL445,$BN$8:$BT$507,6,FALSE()))</f>
        <v/>
      </c>
      <c r="CA445" s="48"/>
    </row>
    <row r="446" customFormat="false" ht="15.75" hidden="false" customHeight="false" outlineLevel="0" collapsed="false">
      <c r="A446" s="5"/>
      <c r="B446" s="121"/>
      <c r="C446" s="50"/>
      <c r="D446" s="51"/>
      <c r="E446" s="74"/>
      <c r="F446" s="122"/>
      <c r="G446" s="54"/>
      <c r="H446" s="123"/>
      <c r="I446" s="124"/>
      <c r="J446" s="54"/>
      <c r="K446" s="123"/>
      <c r="L446" s="54"/>
      <c r="M446" s="123"/>
      <c r="N446" s="54"/>
      <c r="O446" s="123"/>
      <c r="P446" s="54"/>
      <c r="Q446" s="123"/>
      <c r="R446" s="54"/>
      <c r="S446" s="74"/>
      <c r="T446" s="58"/>
      <c r="U446" s="59" t="str">
        <f aca="false">IF(ISBLANK($C446),"",IF(E446=Constants!$B$2, TRUE(), IF(E446=Constants!$B$3, FALSE(), TRUE())))</f>
        <v/>
      </c>
      <c r="V446" s="59" t="str">
        <f aca="false">IF(ISBLANK($C446),"",IF(F446=Constants!$B$2, TRUE(), IF(F446=Constants!$B$3, FALSE(), TRUE())))</f>
        <v/>
      </c>
      <c r="W446" s="59" t="str">
        <f aca="false">IF(ISBLANK($C446),"",IF(G446=Constants!$B$15,Constants!$B$8,IF(G446=Constants!$B$16,Constants!$B$9,Constants!$B$10)))</f>
        <v/>
      </c>
      <c r="X446" s="59" t="str">
        <f aca="false">IF(ISBLANK($C446),"",IF(H446=Constants!$B$2, TRUE(), IF(H446=Constants!$B$3, FALSE(), TRUE())))</f>
        <v/>
      </c>
      <c r="Y446" s="59" t="str">
        <f aca="false">IF(ISBLANK($C446),"",IF(I446=Constants!$B$19,Constants!$B$19,Constants!$B$18))</f>
        <v/>
      </c>
      <c r="Z446" s="59" t="str">
        <f aca="false">IF(ISBLANK($C446),"",IF(ISNUMBER(J446),IF(J446&gt;=0,J446,""),""))</f>
        <v/>
      </c>
      <c r="AA446" s="59" t="str">
        <f aca="false">IF(ISBLANK($C446),"",IF(K446=Constants!$B$19,Constants!$B$19,Constants!$B$18))</f>
        <v/>
      </c>
      <c r="AB446" s="59" t="str">
        <f aca="false">IF(ISBLANK($C446),"",IF(ISNUMBER(L446),IF(L446&gt;=0,L446,""),""))</f>
        <v/>
      </c>
      <c r="AC446" s="59" t="str">
        <f aca="false">IF(ISBLANK($C446),"",IF(M446=Constants!$B$19,Constants!$B$19,Constants!$B$18))</f>
        <v/>
      </c>
      <c r="AD446" s="59" t="str">
        <f aca="false">IF(ISBLANK($C446),"",IF(ISNUMBER(N446),IF(N446&gt;=0,N446,""),""))</f>
        <v/>
      </c>
      <c r="AE446" s="59" t="str">
        <f aca="false">IF(ISBLANK($C446),"",IF(O446=Constants!$B$19,Constants!$B$19,Constants!$B$18))</f>
        <v/>
      </c>
      <c r="AF446" s="59" t="str">
        <f aca="false">IF(ISBLANK($C446),"",IF(ISNUMBER(P446),IF(P446&gt;=0,P446,""),""))</f>
        <v/>
      </c>
      <c r="AG446" s="59" t="str">
        <f aca="false">IF(ISBLANK($C446),"",IF(Q446=Constants!$B$19,Constants!$B$19,Constants!$B$18))</f>
        <v/>
      </c>
      <c r="AH446" s="59" t="str">
        <f aca="false">IF(ISBLANK($C446),"",IF(ISNUMBER(R446),IF(R446&gt;=0,R446,""),""))</f>
        <v/>
      </c>
      <c r="AI446" s="59" t="str">
        <f aca="false">IF(ISBLANK($C446),"",IF(S446=Constants!$B$2, TRUE(), IF(S446=Constants!$B$3, FALSE(), FALSE())))</f>
        <v/>
      </c>
      <c r="AJ446" s="59" t="str">
        <f aca="false">IF(ISBLANK($C446),"",IF(AI446,Constants!$B$4,IF(COUNTA(E446:R446)=0,Constants!$B$5,IF(COUNTA(J446,L446,N446,P446,R446)=0,Constants!$B$6,Constants!$B$7))))</f>
        <v/>
      </c>
      <c r="AK446" s="59" t="str">
        <f aca="false">IF(ISBLANK($C446),"",IF($AJ446&lt;&gt;Constants!$B$7,$AJ446,IF(OR(NOT(X446),AND(NOT(U446),COUNTIFS(Y446:AG446,Constants!$B$18,Z446:AH446,"&gt;=0")&gt;0),AND(NOT(V446),COUNTIFS(Y446:AG446,Constants!$B$19,Z446:AH446,"&gt;=0")&gt;0)),Constants!$B$12,Constants!$B$11)))</f>
        <v/>
      </c>
      <c r="AL446" s="59" t="str">
        <f aca="false">IF($AJ446=Constants!$B$7,IF(Z446="",Constants!$B$13,Z446),"")</f>
        <v/>
      </c>
      <c r="AM446" s="59" t="str">
        <f aca="false">IF($AJ446=Constants!$B$7,IF(AB446="",Constants!$B$13,AB446),"")</f>
        <v/>
      </c>
      <c r="AN446" s="59" t="str">
        <f aca="false">IF($AJ446=Constants!$B$7,IF(AD446="",Constants!$B$13,AD446),"")</f>
        <v/>
      </c>
      <c r="AO446" s="59" t="str">
        <f aca="false">IF($AJ446=Constants!$B$7,IF(AF446="",Constants!$B$13,AF446),"")</f>
        <v/>
      </c>
      <c r="AP446" s="59" t="str">
        <f aca="false">IF($AJ446=Constants!$B$7,IF(AH446="",Constants!$B$13,AH446),"")</f>
        <v/>
      </c>
      <c r="AQ446" s="59" t="str">
        <f aca="false">IF($AJ446=Constants!$B$7,IF(SUMPRODUCT(--($AL446:$AP446&gt;AL446))+SUMPRODUCT(--($AL446:AL446=AL446))=1,1,IF(SUMPRODUCT(--($AL446:$AP446&gt;AM446))+SUMPRODUCT(--($AL446:AM446=AM446))=1,2,IF(SUMPRODUCT(--($AL446:$AP446&gt;AN446))+SUMPRODUCT(--($AL446:AN446=AN446))=1,3,IF(SUMPRODUCT(--($AL446:$AP446&gt;AO446))+SUMPRODUCT(--($AL446:AO446=AO446))=1,4,5)))),"")</f>
        <v/>
      </c>
      <c r="AR446" s="59" t="str">
        <f aca="false">IF($AJ446=Constants!$B$7,IF(SUMPRODUCT(--($AL446:$AP446&gt;AL446))+SUMPRODUCT(--($AL446:AL446=AL446))=2,1,IF(SUMPRODUCT(--($AL446:$AP446&gt;AM446))+SUMPRODUCT(--($AL446:AM446=AM446))=2,2,IF(SUMPRODUCT(--($AL446:$AP446&gt;AN446))+SUMPRODUCT(--($AL446:AN446=AN446))=2,3,IF(SUMPRODUCT(--($AL446:$AP446&gt;AO446))+SUMPRODUCT(--($AL446:AO446=AO446))=2,4,5)))),"")</f>
        <v/>
      </c>
      <c r="AS446" s="59" t="str">
        <f aca="false">IF($AJ446=Constants!$B$7,IF(SUMPRODUCT(--($AL446:$AP446&gt;AL446))+SUMPRODUCT(--($AL446:AL446=AL446))=3,1,IF(SUMPRODUCT(--($AL446:$AP446&gt;AM446))+SUMPRODUCT(--($AL446:AM446=AM446))=3,2,IF(SUMPRODUCT(--($AL446:$AP446&gt;AN446))+SUMPRODUCT(--($AL446:AN446=AN446))=3,3,IF(SUMPRODUCT(--($AL446:$AP446&gt;AO446))+SUMPRODUCT(--($AL446:AO446=AO446))=3,4,5)))),"")</f>
        <v/>
      </c>
      <c r="AT446" s="59" t="str">
        <f aca="false">IF($AJ446=Constants!$B$7,LARGE(AL446:AP446,1)+LARGE(AL446:AP446,2)+LARGE(AL446:AP446,3),"")</f>
        <v/>
      </c>
      <c r="AU446" s="59" t="str">
        <f aca="false">IF(ISBLANK($C446),"",IF($AJ446&lt;&gt;Constants!$B$7,$AJ446,AT446*W446))</f>
        <v/>
      </c>
      <c r="AV446" s="59" t="str">
        <f aca="false">IF(ISBLANK($C446),"",IF($AJ446=Constants!$B$7,IF(ISNUMBER(AU446),RANK(AU446,$AU$8:$AU$507),Constants!$B$14),$AJ446))</f>
        <v/>
      </c>
      <c r="AW446" s="59" t="str">
        <f aca="false">IF(ISBLANK($C446),"",IF($AJ446=Constants!$B$7,IF(ISNUMBER(AV446),COUNTIFS($AK$8:$AK$507,"&lt;"&amp;$AK446)+COUNTIFS($AK$8:$AK$507,$AK446,$AV$8:$AV$507,"&lt;"&amp;$AV446)+1,Constants!$B$14),$AJ446))</f>
        <v/>
      </c>
      <c r="AX446" s="59" t="str">
        <f aca="false">IF(ISBLANK($C446),"",IF($AJ446=Constants!$B$7,LARGE(AL446:AP446,4)*W446,""))</f>
        <v/>
      </c>
      <c r="AY446" s="59" t="str">
        <f aca="false">IF(ISBLANK($C446),"",IF($AJ446=Constants!$B$7,RANK(AX446,$AX$8:$AX$507),$AJ446))</f>
        <v/>
      </c>
      <c r="AZ446" s="59" t="str">
        <f aca="false">IF(ISBLANK($C446),"",IF($AJ446=Constants!$B$7,IF(ISNUMBER(AV446),COUNTIFS($AK$8:$AK$507,"&lt;"&amp;$AK446)+COUNTIFS($AK$8:$AK$507,$AK446,$AV$8:$AV$507,"&lt;"&amp;$AV446)+COUNTIFS($AK$8:$AK$507,$AK446,$AV$8:$AV$507,$AV446,$AY$8:$AY$507,"&lt;"&amp;$AY446)+1,Constants!$B$14),$AJ446))</f>
        <v/>
      </c>
      <c r="BA446" s="59" t="str">
        <f aca="false">IF(ISBLANK($C446),"",IF($AJ446=Constants!$B$7,IF(ISNUMBER(AW446),AW446-AZ446,Constants!$B$14),$AJ446))</f>
        <v/>
      </c>
      <c r="BB446" s="61"/>
      <c r="BC446" s="62" t="str">
        <f aca="false">IF(ISBLANK($C446),"",IF($AJ446&lt;&gt;Constants!$B$7,$AJ446,SMALL(AQ446:AS446,1)&amp;", "&amp;SMALL(AQ446:AS446,2)&amp;", "&amp;SMALL(AQ446:AS446,3)))</f>
        <v/>
      </c>
      <c r="BD446" s="63" t="str">
        <f aca="false">IF(ISBLANK($C446),"",IF($AJ446&lt;&gt;Constants!$B$7,$AJ446,W446))</f>
        <v/>
      </c>
      <c r="BE446" s="64" t="str">
        <f aca="false">IF(ISBLANK($C446),"",IF($AJ446&lt;&gt;Constants!$B$7,$AJ446,AU446))</f>
        <v/>
      </c>
      <c r="BF446" s="65" t="str">
        <f aca="false">IF(ISBLANK($C446),"",IF($AJ446&lt;&gt;Constants!$B$7,$AJ446,AK446))</f>
        <v/>
      </c>
      <c r="BG446" s="63" t="str">
        <f aca="false">IF(ISBLANK($C446),"",BA446)</f>
        <v/>
      </c>
      <c r="BH446" s="63" t="str">
        <f aca="false">IF(ISBLANK($C446),"",AZ446)</f>
        <v/>
      </c>
      <c r="BI446" s="66" t="str">
        <f aca="false">IF(ISBLANK($C446),"",IF(BH446=Constants!$B$4,COUNTA($C$8:$C$507)+2,IF(BH446=Constants!$B$5,COUNTA($C$8:$C$507)+1,IF(BH446=Constants!$B$6,COUNTA($C$8:$C$507),BH446))))</f>
        <v/>
      </c>
      <c r="BJ446" s="5"/>
      <c r="BK446" s="67" t="n">
        <f aca="false">IF(OR(ISNUMBER(BH446),BH446=Constants!$B$4,BH446=Constants!$B$6,BH446=Constants!$B$5),1,0)</f>
        <v>0</v>
      </c>
      <c r="BL446" s="67" t="n">
        <v>439</v>
      </c>
      <c r="BM446" s="67" t="str">
        <f aca="false">IF(ISBLANK($C446),"",IF(ISNUMBER(BI446),BI446+ROW($B446)/1000,""))</f>
        <v/>
      </c>
      <c r="BN446" s="67" t="str">
        <f aca="false">IF(ISNUMBER(BM446),RANK(BM446,$BM$8:$BM$507,1),"")</f>
        <v/>
      </c>
      <c r="BO446" s="67" t="str">
        <f aca="false">IF(ISBLANK($C446),"",$B446)</f>
        <v/>
      </c>
      <c r="BP446" s="67" t="str">
        <f aca="false">IF(ISBLANK($C446),"",$C446)</f>
        <v/>
      </c>
      <c r="BQ446" s="67" t="str">
        <f aca="false">IF(ISBLANK($C446),"",$D446)</f>
        <v/>
      </c>
      <c r="BR446" s="68" t="str">
        <f aca="false">BF446</f>
        <v/>
      </c>
      <c r="BS446" s="69" t="str">
        <f aca="false">BE446</f>
        <v/>
      </c>
      <c r="BT446" s="67" t="str">
        <f aca="false">IF(ISBLANK($C446),"",BH446)</f>
        <v/>
      </c>
      <c r="BU446" s="70" t="str">
        <f aca="false">IF($BL446&gt;$BK$7,"",VLOOKUP($BL446,$BN$8:$BT$507,7,FALSE()))</f>
        <v/>
      </c>
      <c r="BV446" s="71" t="str">
        <f aca="false">IF($BL446&gt;$BK$7,"",VLOOKUP($BL446,$BN$8:$BT$507,2,FALSE()))</f>
        <v/>
      </c>
      <c r="BW446" s="71" t="str">
        <f aca="false">IF($BL446&gt;$BK$7,"",VLOOKUP($BL446,$BN$8:$BT$507,3,FALSE()))</f>
        <v/>
      </c>
      <c r="BX446" s="71" t="str">
        <f aca="false">IF($BL446&gt;$BK$7,"",VLOOKUP($BL446,$BN$8:$BT$507,4,FALSE()))</f>
        <v/>
      </c>
      <c r="BY446" s="71" t="str">
        <f aca="false">IF($BL446&gt;$BK$7,"",VLOOKUP($BL446,$BN$8:$BT$507,5,FALSE()))</f>
        <v/>
      </c>
      <c r="BZ446" s="72" t="str">
        <f aca="false">IF($BL446&gt;$BK$7,"",VLOOKUP($BL446,$BN$8:$BT$507,6,FALSE()))</f>
        <v/>
      </c>
      <c r="CA446" s="48"/>
    </row>
    <row r="447" customFormat="false" ht="15.75" hidden="false" customHeight="false" outlineLevel="0" collapsed="false">
      <c r="A447" s="5"/>
      <c r="B447" s="121"/>
      <c r="C447" s="50"/>
      <c r="D447" s="51"/>
      <c r="E447" s="74"/>
      <c r="F447" s="122"/>
      <c r="G447" s="54"/>
      <c r="H447" s="123"/>
      <c r="I447" s="124"/>
      <c r="J447" s="54"/>
      <c r="K447" s="123"/>
      <c r="L447" s="54"/>
      <c r="M447" s="123"/>
      <c r="N447" s="54"/>
      <c r="O447" s="123"/>
      <c r="P447" s="54"/>
      <c r="Q447" s="123"/>
      <c r="R447" s="54"/>
      <c r="S447" s="74"/>
      <c r="T447" s="58"/>
      <c r="U447" s="59" t="str">
        <f aca="false">IF(ISBLANK($C447),"",IF(E447=Constants!$B$2, TRUE(), IF(E447=Constants!$B$3, FALSE(), TRUE())))</f>
        <v/>
      </c>
      <c r="V447" s="59" t="str">
        <f aca="false">IF(ISBLANK($C447),"",IF(F447=Constants!$B$2, TRUE(), IF(F447=Constants!$B$3, FALSE(), TRUE())))</f>
        <v/>
      </c>
      <c r="W447" s="59" t="str">
        <f aca="false">IF(ISBLANK($C447),"",IF(G447=Constants!$B$15,Constants!$B$8,IF(G447=Constants!$B$16,Constants!$B$9,Constants!$B$10)))</f>
        <v/>
      </c>
      <c r="X447" s="59" t="str">
        <f aca="false">IF(ISBLANK($C447),"",IF(H447=Constants!$B$2, TRUE(), IF(H447=Constants!$B$3, FALSE(), TRUE())))</f>
        <v/>
      </c>
      <c r="Y447" s="59" t="str">
        <f aca="false">IF(ISBLANK($C447),"",IF(I447=Constants!$B$19,Constants!$B$19,Constants!$B$18))</f>
        <v/>
      </c>
      <c r="Z447" s="59" t="str">
        <f aca="false">IF(ISBLANK($C447),"",IF(ISNUMBER(J447),IF(J447&gt;=0,J447,""),""))</f>
        <v/>
      </c>
      <c r="AA447" s="59" t="str">
        <f aca="false">IF(ISBLANK($C447),"",IF(K447=Constants!$B$19,Constants!$B$19,Constants!$B$18))</f>
        <v/>
      </c>
      <c r="AB447" s="59" t="str">
        <f aca="false">IF(ISBLANK($C447),"",IF(ISNUMBER(L447),IF(L447&gt;=0,L447,""),""))</f>
        <v/>
      </c>
      <c r="AC447" s="59" t="str">
        <f aca="false">IF(ISBLANK($C447),"",IF(M447=Constants!$B$19,Constants!$B$19,Constants!$B$18))</f>
        <v/>
      </c>
      <c r="AD447" s="59" t="str">
        <f aca="false">IF(ISBLANK($C447),"",IF(ISNUMBER(N447),IF(N447&gt;=0,N447,""),""))</f>
        <v/>
      </c>
      <c r="AE447" s="59" t="str">
        <f aca="false">IF(ISBLANK($C447),"",IF(O447=Constants!$B$19,Constants!$B$19,Constants!$B$18))</f>
        <v/>
      </c>
      <c r="AF447" s="59" t="str">
        <f aca="false">IF(ISBLANK($C447),"",IF(ISNUMBER(P447),IF(P447&gt;=0,P447,""),""))</f>
        <v/>
      </c>
      <c r="AG447" s="59" t="str">
        <f aca="false">IF(ISBLANK($C447),"",IF(Q447=Constants!$B$19,Constants!$B$19,Constants!$B$18))</f>
        <v/>
      </c>
      <c r="AH447" s="59" t="str">
        <f aca="false">IF(ISBLANK($C447),"",IF(ISNUMBER(R447),IF(R447&gt;=0,R447,""),""))</f>
        <v/>
      </c>
      <c r="AI447" s="59" t="str">
        <f aca="false">IF(ISBLANK($C447),"",IF(S447=Constants!$B$2, TRUE(), IF(S447=Constants!$B$3, FALSE(), FALSE())))</f>
        <v/>
      </c>
      <c r="AJ447" s="59" t="str">
        <f aca="false">IF(ISBLANK($C447),"",IF(AI447,Constants!$B$4,IF(COUNTA(E447:R447)=0,Constants!$B$5,IF(COUNTA(J447,L447,N447,P447,R447)=0,Constants!$B$6,Constants!$B$7))))</f>
        <v/>
      </c>
      <c r="AK447" s="59" t="str">
        <f aca="false">IF(ISBLANK($C447),"",IF($AJ447&lt;&gt;Constants!$B$7,$AJ447,IF(OR(NOT(X447),AND(NOT(U447),COUNTIFS(Y447:AG447,Constants!$B$18,Z447:AH447,"&gt;=0")&gt;0),AND(NOT(V447),COUNTIFS(Y447:AG447,Constants!$B$19,Z447:AH447,"&gt;=0")&gt;0)),Constants!$B$12,Constants!$B$11)))</f>
        <v/>
      </c>
      <c r="AL447" s="59" t="str">
        <f aca="false">IF($AJ447=Constants!$B$7,IF(Z447="",Constants!$B$13,Z447),"")</f>
        <v/>
      </c>
      <c r="AM447" s="59" t="str">
        <f aca="false">IF($AJ447=Constants!$B$7,IF(AB447="",Constants!$B$13,AB447),"")</f>
        <v/>
      </c>
      <c r="AN447" s="59" t="str">
        <f aca="false">IF($AJ447=Constants!$B$7,IF(AD447="",Constants!$B$13,AD447),"")</f>
        <v/>
      </c>
      <c r="AO447" s="59" t="str">
        <f aca="false">IF($AJ447=Constants!$B$7,IF(AF447="",Constants!$B$13,AF447),"")</f>
        <v/>
      </c>
      <c r="AP447" s="59" t="str">
        <f aca="false">IF($AJ447=Constants!$B$7,IF(AH447="",Constants!$B$13,AH447),"")</f>
        <v/>
      </c>
      <c r="AQ447" s="59" t="str">
        <f aca="false">IF($AJ447=Constants!$B$7,IF(SUMPRODUCT(--($AL447:$AP447&gt;AL447))+SUMPRODUCT(--($AL447:AL447=AL447))=1,1,IF(SUMPRODUCT(--($AL447:$AP447&gt;AM447))+SUMPRODUCT(--($AL447:AM447=AM447))=1,2,IF(SUMPRODUCT(--($AL447:$AP447&gt;AN447))+SUMPRODUCT(--($AL447:AN447=AN447))=1,3,IF(SUMPRODUCT(--($AL447:$AP447&gt;AO447))+SUMPRODUCT(--($AL447:AO447=AO447))=1,4,5)))),"")</f>
        <v/>
      </c>
      <c r="AR447" s="59" t="str">
        <f aca="false">IF($AJ447=Constants!$B$7,IF(SUMPRODUCT(--($AL447:$AP447&gt;AL447))+SUMPRODUCT(--($AL447:AL447=AL447))=2,1,IF(SUMPRODUCT(--($AL447:$AP447&gt;AM447))+SUMPRODUCT(--($AL447:AM447=AM447))=2,2,IF(SUMPRODUCT(--($AL447:$AP447&gt;AN447))+SUMPRODUCT(--($AL447:AN447=AN447))=2,3,IF(SUMPRODUCT(--($AL447:$AP447&gt;AO447))+SUMPRODUCT(--($AL447:AO447=AO447))=2,4,5)))),"")</f>
        <v/>
      </c>
      <c r="AS447" s="59" t="str">
        <f aca="false">IF($AJ447=Constants!$B$7,IF(SUMPRODUCT(--($AL447:$AP447&gt;AL447))+SUMPRODUCT(--($AL447:AL447=AL447))=3,1,IF(SUMPRODUCT(--($AL447:$AP447&gt;AM447))+SUMPRODUCT(--($AL447:AM447=AM447))=3,2,IF(SUMPRODUCT(--($AL447:$AP447&gt;AN447))+SUMPRODUCT(--($AL447:AN447=AN447))=3,3,IF(SUMPRODUCT(--($AL447:$AP447&gt;AO447))+SUMPRODUCT(--($AL447:AO447=AO447))=3,4,5)))),"")</f>
        <v/>
      </c>
      <c r="AT447" s="59" t="str">
        <f aca="false">IF($AJ447=Constants!$B$7,LARGE(AL447:AP447,1)+LARGE(AL447:AP447,2)+LARGE(AL447:AP447,3),"")</f>
        <v/>
      </c>
      <c r="AU447" s="59" t="str">
        <f aca="false">IF(ISBLANK($C447),"",IF($AJ447&lt;&gt;Constants!$B$7,$AJ447,AT447*W447))</f>
        <v/>
      </c>
      <c r="AV447" s="59" t="str">
        <f aca="false">IF(ISBLANK($C447),"",IF($AJ447=Constants!$B$7,IF(ISNUMBER(AU447),RANK(AU447,$AU$8:$AU$507),Constants!$B$14),$AJ447))</f>
        <v/>
      </c>
      <c r="AW447" s="59" t="str">
        <f aca="false">IF(ISBLANK($C447),"",IF($AJ447=Constants!$B$7,IF(ISNUMBER(AV447),COUNTIFS($AK$8:$AK$507,"&lt;"&amp;$AK447)+COUNTIFS($AK$8:$AK$507,$AK447,$AV$8:$AV$507,"&lt;"&amp;$AV447)+1,Constants!$B$14),$AJ447))</f>
        <v/>
      </c>
      <c r="AX447" s="59" t="str">
        <f aca="false">IF(ISBLANK($C447),"",IF($AJ447=Constants!$B$7,LARGE(AL447:AP447,4)*W447,""))</f>
        <v/>
      </c>
      <c r="AY447" s="59" t="str">
        <f aca="false">IF(ISBLANK($C447),"",IF($AJ447=Constants!$B$7,RANK(AX447,$AX$8:$AX$507),$AJ447))</f>
        <v/>
      </c>
      <c r="AZ447" s="59" t="str">
        <f aca="false">IF(ISBLANK($C447),"",IF($AJ447=Constants!$B$7,IF(ISNUMBER(AV447),COUNTIFS($AK$8:$AK$507,"&lt;"&amp;$AK447)+COUNTIFS($AK$8:$AK$507,$AK447,$AV$8:$AV$507,"&lt;"&amp;$AV447)+COUNTIFS($AK$8:$AK$507,$AK447,$AV$8:$AV$507,$AV447,$AY$8:$AY$507,"&lt;"&amp;$AY447)+1,Constants!$B$14),$AJ447))</f>
        <v/>
      </c>
      <c r="BA447" s="59" t="str">
        <f aca="false">IF(ISBLANK($C447),"",IF($AJ447=Constants!$B$7,IF(ISNUMBER(AW447),AW447-AZ447,Constants!$B$14),$AJ447))</f>
        <v/>
      </c>
      <c r="BB447" s="61"/>
      <c r="BC447" s="62" t="str">
        <f aca="false">IF(ISBLANK($C447),"",IF($AJ447&lt;&gt;Constants!$B$7,$AJ447,SMALL(AQ447:AS447,1)&amp;", "&amp;SMALL(AQ447:AS447,2)&amp;", "&amp;SMALL(AQ447:AS447,3)))</f>
        <v/>
      </c>
      <c r="BD447" s="63" t="str">
        <f aca="false">IF(ISBLANK($C447),"",IF($AJ447&lt;&gt;Constants!$B$7,$AJ447,W447))</f>
        <v/>
      </c>
      <c r="BE447" s="64" t="str">
        <f aca="false">IF(ISBLANK($C447),"",IF($AJ447&lt;&gt;Constants!$B$7,$AJ447,AU447))</f>
        <v/>
      </c>
      <c r="BF447" s="65" t="str">
        <f aca="false">IF(ISBLANK($C447),"",IF($AJ447&lt;&gt;Constants!$B$7,$AJ447,AK447))</f>
        <v/>
      </c>
      <c r="BG447" s="63" t="str">
        <f aca="false">IF(ISBLANK($C447),"",BA447)</f>
        <v/>
      </c>
      <c r="BH447" s="63" t="str">
        <f aca="false">IF(ISBLANK($C447),"",AZ447)</f>
        <v/>
      </c>
      <c r="BI447" s="66" t="str">
        <f aca="false">IF(ISBLANK($C447),"",IF(BH447=Constants!$B$4,COUNTA($C$8:$C$507)+2,IF(BH447=Constants!$B$5,COUNTA($C$8:$C$507)+1,IF(BH447=Constants!$B$6,COUNTA($C$8:$C$507),BH447))))</f>
        <v/>
      </c>
      <c r="BJ447" s="5"/>
      <c r="BK447" s="67" t="n">
        <f aca="false">IF(OR(ISNUMBER(BH447),BH447=Constants!$B$4,BH447=Constants!$B$6,BH447=Constants!$B$5),1,0)</f>
        <v>0</v>
      </c>
      <c r="BL447" s="67" t="n">
        <v>440</v>
      </c>
      <c r="BM447" s="67" t="str">
        <f aca="false">IF(ISBLANK($C447),"",IF(ISNUMBER(BI447),BI447+ROW($B447)/1000,""))</f>
        <v/>
      </c>
      <c r="BN447" s="67" t="str">
        <f aca="false">IF(ISNUMBER(BM447),RANK(BM447,$BM$8:$BM$507,1),"")</f>
        <v/>
      </c>
      <c r="BO447" s="67" t="str">
        <f aca="false">IF(ISBLANK($C447),"",$B447)</f>
        <v/>
      </c>
      <c r="BP447" s="67" t="str">
        <f aca="false">IF(ISBLANK($C447),"",$C447)</f>
        <v/>
      </c>
      <c r="BQ447" s="67" t="str">
        <f aca="false">IF(ISBLANK($C447),"",$D447)</f>
        <v/>
      </c>
      <c r="BR447" s="68" t="str">
        <f aca="false">BF447</f>
        <v/>
      </c>
      <c r="BS447" s="69" t="str">
        <f aca="false">BE447</f>
        <v/>
      </c>
      <c r="BT447" s="67" t="str">
        <f aca="false">IF(ISBLANK($C447),"",BH447)</f>
        <v/>
      </c>
      <c r="BU447" s="70" t="str">
        <f aca="false">IF($BL447&gt;$BK$7,"",VLOOKUP($BL447,$BN$8:$BT$507,7,FALSE()))</f>
        <v/>
      </c>
      <c r="BV447" s="71" t="str">
        <f aca="false">IF($BL447&gt;$BK$7,"",VLOOKUP($BL447,$BN$8:$BT$507,2,FALSE()))</f>
        <v/>
      </c>
      <c r="BW447" s="71" t="str">
        <f aca="false">IF($BL447&gt;$BK$7,"",VLOOKUP($BL447,$BN$8:$BT$507,3,FALSE()))</f>
        <v/>
      </c>
      <c r="BX447" s="71" t="str">
        <f aca="false">IF($BL447&gt;$BK$7,"",VLOOKUP($BL447,$BN$8:$BT$507,4,FALSE()))</f>
        <v/>
      </c>
      <c r="BY447" s="71" t="str">
        <f aca="false">IF($BL447&gt;$BK$7,"",VLOOKUP($BL447,$BN$8:$BT$507,5,FALSE()))</f>
        <v/>
      </c>
      <c r="BZ447" s="72" t="str">
        <f aca="false">IF($BL447&gt;$BK$7,"",VLOOKUP($BL447,$BN$8:$BT$507,6,FALSE()))</f>
        <v/>
      </c>
      <c r="CA447" s="48"/>
    </row>
    <row r="448" customFormat="false" ht="15.75" hidden="false" customHeight="false" outlineLevel="0" collapsed="false">
      <c r="A448" s="5"/>
      <c r="B448" s="121"/>
      <c r="C448" s="50"/>
      <c r="D448" s="51"/>
      <c r="E448" s="74"/>
      <c r="F448" s="122"/>
      <c r="G448" s="54"/>
      <c r="H448" s="123"/>
      <c r="I448" s="124"/>
      <c r="J448" s="54"/>
      <c r="K448" s="123"/>
      <c r="L448" s="54"/>
      <c r="M448" s="123"/>
      <c r="N448" s="54"/>
      <c r="O448" s="123"/>
      <c r="P448" s="54"/>
      <c r="Q448" s="123"/>
      <c r="R448" s="54"/>
      <c r="S448" s="74"/>
      <c r="T448" s="58"/>
      <c r="U448" s="59" t="str">
        <f aca="false">IF(ISBLANK($C448),"",IF(E448=Constants!$B$2, TRUE(), IF(E448=Constants!$B$3, FALSE(), TRUE())))</f>
        <v/>
      </c>
      <c r="V448" s="59" t="str">
        <f aca="false">IF(ISBLANK($C448),"",IF(F448=Constants!$B$2, TRUE(), IF(F448=Constants!$B$3, FALSE(), TRUE())))</f>
        <v/>
      </c>
      <c r="W448" s="59" t="str">
        <f aca="false">IF(ISBLANK($C448),"",IF(G448=Constants!$B$15,Constants!$B$8,IF(G448=Constants!$B$16,Constants!$B$9,Constants!$B$10)))</f>
        <v/>
      </c>
      <c r="X448" s="59" t="str">
        <f aca="false">IF(ISBLANK($C448),"",IF(H448=Constants!$B$2, TRUE(), IF(H448=Constants!$B$3, FALSE(), TRUE())))</f>
        <v/>
      </c>
      <c r="Y448" s="59" t="str">
        <f aca="false">IF(ISBLANK($C448),"",IF(I448=Constants!$B$19,Constants!$B$19,Constants!$B$18))</f>
        <v/>
      </c>
      <c r="Z448" s="59" t="str">
        <f aca="false">IF(ISBLANK($C448),"",IF(ISNUMBER(J448),IF(J448&gt;=0,J448,""),""))</f>
        <v/>
      </c>
      <c r="AA448" s="59" t="str">
        <f aca="false">IF(ISBLANK($C448),"",IF(K448=Constants!$B$19,Constants!$B$19,Constants!$B$18))</f>
        <v/>
      </c>
      <c r="AB448" s="59" t="str">
        <f aca="false">IF(ISBLANK($C448),"",IF(ISNUMBER(L448),IF(L448&gt;=0,L448,""),""))</f>
        <v/>
      </c>
      <c r="AC448" s="59" t="str">
        <f aca="false">IF(ISBLANK($C448),"",IF(M448=Constants!$B$19,Constants!$B$19,Constants!$B$18))</f>
        <v/>
      </c>
      <c r="AD448" s="59" t="str">
        <f aca="false">IF(ISBLANK($C448),"",IF(ISNUMBER(N448),IF(N448&gt;=0,N448,""),""))</f>
        <v/>
      </c>
      <c r="AE448" s="59" t="str">
        <f aca="false">IF(ISBLANK($C448),"",IF(O448=Constants!$B$19,Constants!$B$19,Constants!$B$18))</f>
        <v/>
      </c>
      <c r="AF448" s="59" t="str">
        <f aca="false">IF(ISBLANK($C448),"",IF(ISNUMBER(P448),IF(P448&gt;=0,P448,""),""))</f>
        <v/>
      </c>
      <c r="AG448" s="59" t="str">
        <f aca="false">IF(ISBLANK($C448),"",IF(Q448=Constants!$B$19,Constants!$B$19,Constants!$B$18))</f>
        <v/>
      </c>
      <c r="AH448" s="59" t="str">
        <f aca="false">IF(ISBLANK($C448),"",IF(ISNUMBER(R448),IF(R448&gt;=0,R448,""),""))</f>
        <v/>
      </c>
      <c r="AI448" s="59" t="str">
        <f aca="false">IF(ISBLANK($C448),"",IF(S448=Constants!$B$2, TRUE(), IF(S448=Constants!$B$3, FALSE(), FALSE())))</f>
        <v/>
      </c>
      <c r="AJ448" s="59" t="str">
        <f aca="false">IF(ISBLANK($C448),"",IF(AI448,Constants!$B$4,IF(COUNTA(E448:R448)=0,Constants!$B$5,IF(COUNTA(J448,L448,N448,P448,R448)=0,Constants!$B$6,Constants!$B$7))))</f>
        <v/>
      </c>
      <c r="AK448" s="59" t="str">
        <f aca="false">IF(ISBLANK($C448),"",IF($AJ448&lt;&gt;Constants!$B$7,$AJ448,IF(OR(NOT(X448),AND(NOT(U448),COUNTIFS(Y448:AG448,Constants!$B$18,Z448:AH448,"&gt;=0")&gt;0),AND(NOT(V448),COUNTIFS(Y448:AG448,Constants!$B$19,Z448:AH448,"&gt;=0")&gt;0)),Constants!$B$12,Constants!$B$11)))</f>
        <v/>
      </c>
      <c r="AL448" s="59" t="str">
        <f aca="false">IF($AJ448=Constants!$B$7,IF(Z448="",Constants!$B$13,Z448),"")</f>
        <v/>
      </c>
      <c r="AM448" s="59" t="str">
        <f aca="false">IF($AJ448=Constants!$B$7,IF(AB448="",Constants!$B$13,AB448),"")</f>
        <v/>
      </c>
      <c r="AN448" s="59" t="str">
        <f aca="false">IF($AJ448=Constants!$B$7,IF(AD448="",Constants!$B$13,AD448),"")</f>
        <v/>
      </c>
      <c r="AO448" s="59" t="str">
        <f aca="false">IF($AJ448=Constants!$B$7,IF(AF448="",Constants!$B$13,AF448),"")</f>
        <v/>
      </c>
      <c r="AP448" s="59" t="str">
        <f aca="false">IF($AJ448=Constants!$B$7,IF(AH448="",Constants!$B$13,AH448),"")</f>
        <v/>
      </c>
      <c r="AQ448" s="59" t="str">
        <f aca="false">IF($AJ448=Constants!$B$7,IF(SUMPRODUCT(--($AL448:$AP448&gt;AL448))+SUMPRODUCT(--($AL448:AL448=AL448))=1,1,IF(SUMPRODUCT(--($AL448:$AP448&gt;AM448))+SUMPRODUCT(--($AL448:AM448=AM448))=1,2,IF(SUMPRODUCT(--($AL448:$AP448&gt;AN448))+SUMPRODUCT(--($AL448:AN448=AN448))=1,3,IF(SUMPRODUCT(--($AL448:$AP448&gt;AO448))+SUMPRODUCT(--($AL448:AO448=AO448))=1,4,5)))),"")</f>
        <v/>
      </c>
      <c r="AR448" s="59" t="str">
        <f aca="false">IF($AJ448=Constants!$B$7,IF(SUMPRODUCT(--($AL448:$AP448&gt;AL448))+SUMPRODUCT(--($AL448:AL448=AL448))=2,1,IF(SUMPRODUCT(--($AL448:$AP448&gt;AM448))+SUMPRODUCT(--($AL448:AM448=AM448))=2,2,IF(SUMPRODUCT(--($AL448:$AP448&gt;AN448))+SUMPRODUCT(--($AL448:AN448=AN448))=2,3,IF(SUMPRODUCT(--($AL448:$AP448&gt;AO448))+SUMPRODUCT(--($AL448:AO448=AO448))=2,4,5)))),"")</f>
        <v/>
      </c>
      <c r="AS448" s="59" t="str">
        <f aca="false">IF($AJ448=Constants!$B$7,IF(SUMPRODUCT(--($AL448:$AP448&gt;AL448))+SUMPRODUCT(--($AL448:AL448=AL448))=3,1,IF(SUMPRODUCT(--($AL448:$AP448&gt;AM448))+SUMPRODUCT(--($AL448:AM448=AM448))=3,2,IF(SUMPRODUCT(--($AL448:$AP448&gt;AN448))+SUMPRODUCT(--($AL448:AN448=AN448))=3,3,IF(SUMPRODUCT(--($AL448:$AP448&gt;AO448))+SUMPRODUCT(--($AL448:AO448=AO448))=3,4,5)))),"")</f>
        <v/>
      </c>
      <c r="AT448" s="59" t="str">
        <f aca="false">IF($AJ448=Constants!$B$7,LARGE(AL448:AP448,1)+LARGE(AL448:AP448,2)+LARGE(AL448:AP448,3),"")</f>
        <v/>
      </c>
      <c r="AU448" s="59" t="str">
        <f aca="false">IF(ISBLANK($C448),"",IF($AJ448&lt;&gt;Constants!$B$7,$AJ448,AT448*W448))</f>
        <v/>
      </c>
      <c r="AV448" s="59" t="str">
        <f aca="false">IF(ISBLANK($C448),"",IF($AJ448=Constants!$B$7,IF(ISNUMBER(AU448),RANK(AU448,$AU$8:$AU$507),Constants!$B$14),$AJ448))</f>
        <v/>
      </c>
      <c r="AW448" s="59" t="str">
        <f aca="false">IF(ISBLANK($C448),"",IF($AJ448=Constants!$B$7,IF(ISNUMBER(AV448),COUNTIFS($AK$8:$AK$507,"&lt;"&amp;$AK448)+COUNTIFS($AK$8:$AK$507,$AK448,$AV$8:$AV$507,"&lt;"&amp;$AV448)+1,Constants!$B$14),$AJ448))</f>
        <v/>
      </c>
      <c r="AX448" s="59" t="str">
        <f aca="false">IF(ISBLANK($C448),"",IF($AJ448=Constants!$B$7,LARGE(AL448:AP448,4)*W448,""))</f>
        <v/>
      </c>
      <c r="AY448" s="59" t="str">
        <f aca="false">IF(ISBLANK($C448),"",IF($AJ448=Constants!$B$7,RANK(AX448,$AX$8:$AX$507),$AJ448))</f>
        <v/>
      </c>
      <c r="AZ448" s="59" t="str">
        <f aca="false">IF(ISBLANK($C448),"",IF($AJ448=Constants!$B$7,IF(ISNUMBER(AV448),COUNTIFS($AK$8:$AK$507,"&lt;"&amp;$AK448)+COUNTIFS($AK$8:$AK$507,$AK448,$AV$8:$AV$507,"&lt;"&amp;$AV448)+COUNTIFS($AK$8:$AK$507,$AK448,$AV$8:$AV$507,$AV448,$AY$8:$AY$507,"&lt;"&amp;$AY448)+1,Constants!$B$14),$AJ448))</f>
        <v/>
      </c>
      <c r="BA448" s="59" t="str">
        <f aca="false">IF(ISBLANK($C448),"",IF($AJ448=Constants!$B$7,IF(ISNUMBER(AW448),AW448-AZ448,Constants!$B$14),$AJ448))</f>
        <v/>
      </c>
      <c r="BB448" s="61"/>
      <c r="BC448" s="62" t="str">
        <f aca="false">IF(ISBLANK($C448),"",IF($AJ448&lt;&gt;Constants!$B$7,$AJ448,SMALL(AQ448:AS448,1)&amp;", "&amp;SMALL(AQ448:AS448,2)&amp;", "&amp;SMALL(AQ448:AS448,3)))</f>
        <v/>
      </c>
      <c r="BD448" s="63" t="str">
        <f aca="false">IF(ISBLANK($C448),"",IF($AJ448&lt;&gt;Constants!$B$7,$AJ448,W448))</f>
        <v/>
      </c>
      <c r="BE448" s="64" t="str">
        <f aca="false">IF(ISBLANK($C448),"",IF($AJ448&lt;&gt;Constants!$B$7,$AJ448,AU448))</f>
        <v/>
      </c>
      <c r="BF448" s="65" t="str">
        <f aca="false">IF(ISBLANK($C448),"",IF($AJ448&lt;&gt;Constants!$B$7,$AJ448,AK448))</f>
        <v/>
      </c>
      <c r="BG448" s="63" t="str">
        <f aca="false">IF(ISBLANK($C448),"",BA448)</f>
        <v/>
      </c>
      <c r="BH448" s="63" t="str">
        <f aca="false">IF(ISBLANK($C448),"",AZ448)</f>
        <v/>
      </c>
      <c r="BI448" s="66" t="str">
        <f aca="false">IF(ISBLANK($C448),"",IF(BH448=Constants!$B$4,COUNTA($C$8:$C$507)+2,IF(BH448=Constants!$B$5,COUNTA($C$8:$C$507)+1,IF(BH448=Constants!$B$6,COUNTA($C$8:$C$507),BH448))))</f>
        <v/>
      </c>
      <c r="BJ448" s="5"/>
      <c r="BK448" s="67" t="n">
        <f aca="false">IF(OR(ISNUMBER(BH448),BH448=Constants!$B$4,BH448=Constants!$B$6,BH448=Constants!$B$5),1,0)</f>
        <v>0</v>
      </c>
      <c r="BL448" s="67" t="n">
        <v>441</v>
      </c>
      <c r="BM448" s="67" t="str">
        <f aca="false">IF(ISBLANK($C448),"",IF(ISNUMBER(BI448),BI448+ROW($B448)/1000,""))</f>
        <v/>
      </c>
      <c r="BN448" s="67" t="str">
        <f aca="false">IF(ISNUMBER(BM448),RANK(BM448,$BM$8:$BM$507,1),"")</f>
        <v/>
      </c>
      <c r="BO448" s="67" t="str">
        <f aca="false">IF(ISBLANK($C448),"",$B448)</f>
        <v/>
      </c>
      <c r="BP448" s="67" t="str">
        <f aca="false">IF(ISBLANK($C448),"",$C448)</f>
        <v/>
      </c>
      <c r="BQ448" s="67" t="str">
        <f aca="false">IF(ISBLANK($C448),"",$D448)</f>
        <v/>
      </c>
      <c r="BR448" s="68" t="str">
        <f aca="false">BF448</f>
        <v/>
      </c>
      <c r="BS448" s="69" t="str">
        <f aca="false">BE448</f>
        <v/>
      </c>
      <c r="BT448" s="67" t="str">
        <f aca="false">IF(ISBLANK($C448),"",BH448)</f>
        <v/>
      </c>
      <c r="BU448" s="70" t="str">
        <f aca="false">IF($BL448&gt;$BK$7,"",VLOOKUP($BL448,$BN$8:$BT$507,7,FALSE()))</f>
        <v/>
      </c>
      <c r="BV448" s="71" t="str">
        <f aca="false">IF($BL448&gt;$BK$7,"",VLOOKUP($BL448,$BN$8:$BT$507,2,FALSE()))</f>
        <v/>
      </c>
      <c r="BW448" s="71" t="str">
        <f aca="false">IF($BL448&gt;$BK$7,"",VLOOKUP($BL448,$BN$8:$BT$507,3,FALSE()))</f>
        <v/>
      </c>
      <c r="BX448" s="71" t="str">
        <f aca="false">IF($BL448&gt;$BK$7,"",VLOOKUP($BL448,$BN$8:$BT$507,4,FALSE()))</f>
        <v/>
      </c>
      <c r="BY448" s="71" t="str">
        <f aca="false">IF($BL448&gt;$BK$7,"",VLOOKUP($BL448,$BN$8:$BT$507,5,FALSE()))</f>
        <v/>
      </c>
      <c r="BZ448" s="72" t="str">
        <f aca="false">IF($BL448&gt;$BK$7,"",VLOOKUP($BL448,$BN$8:$BT$507,6,FALSE()))</f>
        <v/>
      </c>
      <c r="CA448" s="48"/>
    </row>
    <row r="449" customFormat="false" ht="15.75" hidden="false" customHeight="false" outlineLevel="0" collapsed="false">
      <c r="A449" s="5"/>
      <c r="B449" s="114"/>
      <c r="C449" s="115"/>
      <c r="D449" s="100"/>
      <c r="E449" s="120"/>
      <c r="F449" s="125"/>
      <c r="G449" s="82"/>
      <c r="H449" s="126"/>
      <c r="I449" s="127"/>
      <c r="J449" s="82"/>
      <c r="K449" s="126"/>
      <c r="L449" s="82"/>
      <c r="M449" s="126"/>
      <c r="N449" s="82"/>
      <c r="O449" s="126"/>
      <c r="P449" s="82"/>
      <c r="Q449" s="126"/>
      <c r="R449" s="82"/>
      <c r="S449" s="120"/>
      <c r="T449" s="86"/>
      <c r="U449" s="87" t="str">
        <f aca="false">IF(ISBLANK($C449),"",IF(E449=Constants!$B$2, TRUE(), IF(E449=Constants!$B$3, FALSE(), TRUE())))</f>
        <v/>
      </c>
      <c r="V449" s="87" t="str">
        <f aca="false">IF(ISBLANK($C449),"",IF(F449=Constants!$B$2, TRUE(), IF(F449=Constants!$B$3, FALSE(), TRUE())))</f>
        <v/>
      </c>
      <c r="W449" s="87" t="str">
        <f aca="false">IF(ISBLANK($C449),"",IF(G449=Constants!$B$15,Constants!$B$8,IF(G449=Constants!$B$16,Constants!$B$9,Constants!$B$10)))</f>
        <v/>
      </c>
      <c r="X449" s="87" t="str">
        <f aca="false">IF(ISBLANK($C449),"",IF(H449=Constants!$B$2, TRUE(), IF(H449=Constants!$B$3, FALSE(), TRUE())))</f>
        <v/>
      </c>
      <c r="Y449" s="87" t="str">
        <f aca="false">IF(ISBLANK($C449),"",IF(I449=Constants!$B$19,Constants!$B$19,Constants!$B$18))</f>
        <v/>
      </c>
      <c r="Z449" s="87" t="str">
        <f aca="false">IF(ISBLANK($C449),"",IF(ISNUMBER(J449),IF(J449&gt;=0,J449,""),""))</f>
        <v/>
      </c>
      <c r="AA449" s="87" t="str">
        <f aca="false">IF(ISBLANK($C449),"",IF(K449=Constants!$B$19,Constants!$B$19,Constants!$B$18))</f>
        <v/>
      </c>
      <c r="AB449" s="87" t="str">
        <f aca="false">IF(ISBLANK($C449),"",IF(ISNUMBER(L449),IF(L449&gt;=0,L449,""),""))</f>
        <v/>
      </c>
      <c r="AC449" s="87" t="str">
        <f aca="false">IF(ISBLANK($C449),"",IF(M449=Constants!$B$19,Constants!$B$19,Constants!$B$18))</f>
        <v/>
      </c>
      <c r="AD449" s="87" t="str">
        <f aca="false">IF(ISBLANK($C449),"",IF(ISNUMBER(N449),IF(N449&gt;=0,N449,""),""))</f>
        <v/>
      </c>
      <c r="AE449" s="87" t="str">
        <f aca="false">IF(ISBLANK($C449),"",IF(O449=Constants!$B$19,Constants!$B$19,Constants!$B$18))</f>
        <v/>
      </c>
      <c r="AF449" s="87" t="str">
        <f aca="false">IF(ISBLANK($C449),"",IF(ISNUMBER(P449),IF(P449&gt;=0,P449,""),""))</f>
        <v/>
      </c>
      <c r="AG449" s="87" t="str">
        <f aca="false">IF(ISBLANK($C449),"",IF(Q449=Constants!$B$19,Constants!$B$19,Constants!$B$18))</f>
        <v/>
      </c>
      <c r="AH449" s="87" t="str">
        <f aca="false">IF(ISBLANK($C449),"",IF(ISNUMBER(R449),IF(R449&gt;=0,R449,""),""))</f>
        <v/>
      </c>
      <c r="AI449" s="87" t="str">
        <f aca="false">IF(ISBLANK($C449),"",IF(S449=Constants!$B$2, TRUE(), IF(S449=Constants!$B$3, FALSE(), FALSE())))</f>
        <v/>
      </c>
      <c r="AJ449" s="87" t="str">
        <f aca="false">IF(ISBLANK($C449),"",IF(AI449,Constants!$B$4,IF(COUNTA(E449:R449)=0,Constants!$B$5,IF(COUNTA(J449,L449,N449,P449,R449)=0,Constants!$B$6,Constants!$B$7))))</f>
        <v/>
      </c>
      <c r="AK449" s="87" t="str">
        <f aca="false">IF(ISBLANK($C449),"",IF($AJ449&lt;&gt;Constants!$B$7,$AJ449,IF(OR(NOT(X449),AND(NOT(U449),COUNTIFS(Y449:AG449,Constants!$B$18,Z449:AH449,"&gt;=0")&gt;0),AND(NOT(V449),COUNTIFS(Y449:AG449,Constants!$B$19,Z449:AH449,"&gt;=0")&gt;0)),Constants!$B$12,Constants!$B$11)))</f>
        <v/>
      </c>
      <c r="AL449" s="87" t="str">
        <f aca="false">IF($AJ449=Constants!$B$7,IF(Z449="",Constants!$B$13,Z449),"")</f>
        <v/>
      </c>
      <c r="AM449" s="87" t="str">
        <f aca="false">IF($AJ449=Constants!$B$7,IF(AB449="",Constants!$B$13,AB449),"")</f>
        <v/>
      </c>
      <c r="AN449" s="87" t="str">
        <f aca="false">IF($AJ449=Constants!$B$7,IF(AD449="",Constants!$B$13,AD449),"")</f>
        <v/>
      </c>
      <c r="AO449" s="87" t="str">
        <f aca="false">IF($AJ449=Constants!$B$7,IF(AF449="",Constants!$B$13,AF449),"")</f>
        <v/>
      </c>
      <c r="AP449" s="87" t="str">
        <f aca="false">IF($AJ449=Constants!$B$7,IF(AH449="",Constants!$B$13,AH449),"")</f>
        <v/>
      </c>
      <c r="AQ449" s="87" t="str">
        <f aca="false">IF($AJ449=Constants!$B$7,IF(SUMPRODUCT(--($AL449:$AP449&gt;AL449))+SUMPRODUCT(--($AL449:AL449=AL449))=1,1,IF(SUMPRODUCT(--($AL449:$AP449&gt;AM449))+SUMPRODUCT(--($AL449:AM449=AM449))=1,2,IF(SUMPRODUCT(--($AL449:$AP449&gt;AN449))+SUMPRODUCT(--($AL449:AN449=AN449))=1,3,IF(SUMPRODUCT(--($AL449:$AP449&gt;AO449))+SUMPRODUCT(--($AL449:AO449=AO449))=1,4,5)))),"")</f>
        <v/>
      </c>
      <c r="AR449" s="87" t="str">
        <f aca="false">IF($AJ449=Constants!$B$7,IF(SUMPRODUCT(--($AL449:$AP449&gt;AL449))+SUMPRODUCT(--($AL449:AL449=AL449))=2,1,IF(SUMPRODUCT(--($AL449:$AP449&gt;AM449))+SUMPRODUCT(--($AL449:AM449=AM449))=2,2,IF(SUMPRODUCT(--($AL449:$AP449&gt;AN449))+SUMPRODUCT(--($AL449:AN449=AN449))=2,3,IF(SUMPRODUCT(--($AL449:$AP449&gt;AO449))+SUMPRODUCT(--($AL449:AO449=AO449))=2,4,5)))),"")</f>
        <v/>
      </c>
      <c r="AS449" s="87" t="str">
        <f aca="false">IF($AJ449=Constants!$B$7,IF(SUMPRODUCT(--($AL449:$AP449&gt;AL449))+SUMPRODUCT(--($AL449:AL449=AL449))=3,1,IF(SUMPRODUCT(--($AL449:$AP449&gt;AM449))+SUMPRODUCT(--($AL449:AM449=AM449))=3,2,IF(SUMPRODUCT(--($AL449:$AP449&gt;AN449))+SUMPRODUCT(--($AL449:AN449=AN449))=3,3,IF(SUMPRODUCT(--($AL449:$AP449&gt;AO449))+SUMPRODUCT(--($AL449:AO449=AO449))=3,4,5)))),"")</f>
        <v/>
      </c>
      <c r="AT449" s="87" t="str">
        <f aca="false">IF($AJ449=Constants!$B$7,LARGE(AL449:AP449,1)+LARGE(AL449:AP449,2)+LARGE(AL449:AP449,3),"")</f>
        <v/>
      </c>
      <c r="AU449" s="87" t="str">
        <f aca="false">IF(ISBLANK($C449),"",IF($AJ449&lt;&gt;Constants!$B$7,$AJ449,AT449*W449))</f>
        <v/>
      </c>
      <c r="AV449" s="87" t="str">
        <f aca="false">IF(ISBLANK($C449),"",IF($AJ449=Constants!$B$7,IF(ISNUMBER(AU449),RANK(AU449,$AU$8:$AU$507),Constants!$B$14),$AJ449))</f>
        <v/>
      </c>
      <c r="AW449" s="87" t="str">
        <f aca="false">IF(ISBLANK($C449),"",IF($AJ449=Constants!$B$7,IF(ISNUMBER(AV449),COUNTIFS($AK$8:$AK$507,"&lt;"&amp;$AK449)+COUNTIFS($AK$8:$AK$507,$AK449,$AV$8:$AV$507,"&lt;"&amp;$AV449)+1,Constants!$B$14),$AJ449))</f>
        <v/>
      </c>
      <c r="AX449" s="87" t="str">
        <f aca="false">IF(ISBLANK($C449),"",IF($AJ449=Constants!$B$7,LARGE(AL449:AP449,4)*W449,""))</f>
        <v/>
      </c>
      <c r="AY449" s="87" t="str">
        <f aca="false">IF(ISBLANK($C449),"",IF($AJ449=Constants!$B$7,RANK(AX449,$AX$8:$AX$507),$AJ449))</f>
        <v/>
      </c>
      <c r="AZ449" s="87" t="str">
        <f aca="false">IF(ISBLANK($C449),"",IF($AJ449=Constants!$B$7,IF(ISNUMBER(AV449),COUNTIFS($AK$8:$AK$507,"&lt;"&amp;$AK449)+COUNTIFS($AK$8:$AK$507,$AK449,$AV$8:$AV$507,"&lt;"&amp;$AV449)+COUNTIFS($AK$8:$AK$507,$AK449,$AV$8:$AV$507,$AV449,$AY$8:$AY$507,"&lt;"&amp;$AY449)+1,Constants!$B$14),$AJ449))</f>
        <v/>
      </c>
      <c r="BA449" s="87" t="str">
        <f aca="false">IF(ISBLANK($C449),"",IF($AJ449=Constants!$B$7,IF(ISNUMBER(AW449),AW449-AZ449,Constants!$B$14),$AJ449))</f>
        <v/>
      </c>
      <c r="BB449" s="88"/>
      <c r="BC449" s="89" t="str">
        <f aca="false">IF(ISBLANK($C449),"",IF($AJ449&lt;&gt;Constants!$B$7,$AJ449,SMALL(AQ449:AS449,1)&amp;", "&amp;SMALL(AQ449:AS449,2)&amp;", "&amp;SMALL(AQ449:AS449,3)))</f>
        <v/>
      </c>
      <c r="BD449" s="90" t="str">
        <f aca="false">IF(ISBLANK($C449),"",IF($AJ449&lt;&gt;Constants!$B$7,$AJ449,W449))</f>
        <v/>
      </c>
      <c r="BE449" s="91" t="str">
        <f aca="false">IF(ISBLANK($C449),"",IF($AJ449&lt;&gt;Constants!$B$7,$AJ449,AU449))</f>
        <v/>
      </c>
      <c r="BF449" s="92" t="str">
        <f aca="false">IF(ISBLANK($C449),"",IF($AJ449&lt;&gt;Constants!$B$7,$AJ449,AK449))</f>
        <v/>
      </c>
      <c r="BG449" s="90" t="str">
        <f aca="false">IF(ISBLANK($C449),"",BA449)</f>
        <v/>
      </c>
      <c r="BH449" s="90" t="str">
        <f aca="false">IF(ISBLANK($C449),"",AZ449)</f>
        <v/>
      </c>
      <c r="BI449" s="93" t="str">
        <f aca="false">IF(ISBLANK($C449),"",IF(BH449=Constants!$B$4,COUNTA($C$8:$C$507)+2,IF(BH449=Constants!$B$5,COUNTA($C$8:$C$507)+1,IF(BH449=Constants!$B$6,COUNTA($C$8:$C$507),BH449))))</f>
        <v/>
      </c>
      <c r="BJ449" s="5"/>
      <c r="BK449" s="94" t="n">
        <f aca="false">IF(OR(ISNUMBER(BH449),BH449=Constants!$B$4,BH449=Constants!$B$6,BH449=Constants!$B$5),1,0)</f>
        <v>0</v>
      </c>
      <c r="BL449" s="94" t="n">
        <v>442</v>
      </c>
      <c r="BM449" s="94" t="str">
        <f aca="false">IF(ISBLANK($C449),"",IF(ISNUMBER(BI449),BI449+ROW($B449)/1000,""))</f>
        <v/>
      </c>
      <c r="BN449" s="94" t="str">
        <f aca="false">IF(ISNUMBER(BM449),RANK(BM449,$BM$8:$BM$507,1),"")</f>
        <v/>
      </c>
      <c r="BO449" s="94" t="str">
        <f aca="false">IF(ISBLANK($C449),"",$B449)</f>
        <v/>
      </c>
      <c r="BP449" s="94" t="str">
        <f aca="false">IF(ISBLANK($C449),"",$C449)</f>
        <v/>
      </c>
      <c r="BQ449" s="94" t="str">
        <f aca="false">IF(ISBLANK($C449),"",$D449)</f>
        <v/>
      </c>
      <c r="BR449" s="95" t="str">
        <f aca="false">BF449</f>
        <v/>
      </c>
      <c r="BS449" s="96" t="str">
        <f aca="false">BE449</f>
        <v/>
      </c>
      <c r="BT449" s="94" t="str">
        <f aca="false">IF(ISBLANK($C449),"",BH449)</f>
        <v/>
      </c>
      <c r="BU449" s="97" t="str">
        <f aca="false">IF($BL449&gt;$BK$7,"",VLOOKUP($BL449,$BN$8:$BT$507,7,FALSE()))</f>
        <v/>
      </c>
      <c r="BV449" s="98" t="str">
        <f aca="false">IF($BL449&gt;$BK$7,"",VLOOKUP($BL449,$BN$8:$BT$507,2,FALSE()))</f>
        <v/>
      </c>
      <c r="BW449" s="98" t="str">
        <f aca="false">IF($BL449&gt;$BK$7,"",VLOOKUP($BL449,$BN$8:$BT$507,3,FALSE()))</f>
        <v/>
      </c>
      <c r="BX449" s="98" t="str">
        <f aca="false">IF($BL449&gt;$BK$7,"",VLOOKUP($BL449,$BN$8:$BT$507,4,FALSE()))</f>
        <v/>
      </c>
      <c r="BY449" s="98" t="str">
        <f aca="false">IF($BL449&gt;$BK$7,"",VLOOKUP($BL449,$BN$8:$BT$507,5,FALSE()))</f>
        <v/>
      </c>
      <c r="BZ449" s="99" t="str">
        <f aca="false">IF($BL449&gt;$BK$7,"",VLOOKUP($BL449,$BN$8:$BT$507,6,FALSE()))</f>
        <v/>
      </c>
      <c r="CA449" s="48"/>
    </row>
    <row r="450" customFormat="false" ht="15.75" hidden="false" customHeight="false" outlineLevel="0" collapsed="false">
      <c r="A450" s="5"/>
      <c r="B450" s="114"/>
      <c r="C450" s="115"/>
      <c r="D450" s="100"/>
      <c r="E450" s="120"/>
      <c r="F450" s="125"/>
      <c r="G450" s="82"/>
      <c r="H450" s="126"/>
      <c r="I450" s="127"/>
      <c r="J450" s="82"/>
      <c r="K450" s="126"/>
      <c r="L450" s="82"/>
      <c r="M450" s="126"/>
      <c r="N450" s="82"/>
      <c r="O450" s="126"/>
      <c r="P450" s="82"/>
      <c r="Q450" s="126"/>
      <c r="R450" s="82"/>
      <c r="S450" s="120"/>
      <c r="T450" s="86"/>
      <c r="U450" s="87" t="str">
        <f aca="false">IF(ISBLANK($C450),"",IF(E450=Constants!$B$2, TRUE(), IF(E450=Constants!$B$3, FALSE(), TRUE())))</f>
        <v/>
      </c>
      <c r="V450" s="87" t="str">
        <f aca="false">IF(ISBLANK($C450),"",IF(F450=Constants!$B$2, TRUE(), IF(F450=Constants!$B$3, FALSE(), TRUE())))</f>
        <v/>
      </c>
      <c r="W450" s="87" t="str">
        <f aca="false">IF(ISBLANK($C450),"",IF(G450=Constants!$B$15,Constants!$B$8,IF(G450=Constants!$B$16,Constants!$B$9,Constants!$B$10)))</f>
        <v/>
      </c>
      <c r="X450" s="87" t="str">
        <f aca="false">IF(ISBLANK($C450),"",IF(H450=Constants!$B$2, TRUE(), IF(H450=Constants!$B$3, FALSE(), TRUE())))</f>
        <v/>
      </c>
      <c r="Y450" s="87" t="str">
        <f aca="false">IF(ISBLANK($C450),"",IF(I450=Constants!$B$19,Constants!$B$19,Constants!$B$18))</f>
        <v/>
      </c>
      <c r="Z450" s="87" t="str">
        <f aca="false">IF(ISBLANK($C450),"",IF(ISNUMBER(J450),IF(J450&gt;=0,J450,""),""))</f>
        <v/>
      </c>
      <c r="AA450" s="87" t="str">
        <f aca="false">IF(ISBLANK($C450),"",IF(K450=Constants!$B$19,Constants!$B$19,Constants!$B$18))</f>
        <v/>
      </c>
      <c r="AB450" s="87" t="str">
        <f aca="false">IF(ISBLANK($C450),"",IF(ISNUMBER(L450),IF(L450&gt;=0,L450,""),""))</f>
        <v/>
      </c>
      <c r="AC450" s="87" t="str">
        <f aca="false">IF(ISBLANK($C450),"",IF(M450=Constants!$B$19,Constants!$B$19,Constants!$B$18))</f>
        <v/>
      </c>
      <c r="AD450" s="87" t="str">
        <f aca="false">IF(ISBLANK($C450),"",IF(ISNUMBER(N450),IF(N450&gt;=0,N450,""),""))</f>
        <v/>
      </c>
      <c r="AE450" s="87" t="str">
        <f aca="false">IF(ISBLANK($C450),"",IF(O450=Constants!$B$19,Constants!$B$19,Constants!$B$18))</f>
        <v/>
      </c>
      <c r="AF450" s="87" t="str">
        <f aca="false">IF(ISBLANK($C450),"",IF(ISNUMBER(P450),IF(P450&gt;=0,P450,""),""))</f>
        <v/>
      </c>
      <c r="AG450" s="87" t="str">
        <f aca="false">IF(ISBLANK($C450),"",IF(Q450=Constants!$B$19,Constants!$B$19,Constants!$B$18))</f>
        <v/>
      </c>
      <c r="AH450" s="87" t="str">
        <f aca="false">IF(ISBLANK($C450),"",IF(ISNUMBER(R450),IF(R450&gt;=0,R450,""),""))</f>
        <v/>
      </c>
      <c r="AI450" s="87" t="str">
        <f aca="false">IF(ISBLANK($C450),"",IF(S450=Constants!$B$2, TRUE(), IF(S450=Constants!$B$3, FALSE(), FALSE())))</f>
        <v/>
      </c>
      <c r="AJ450" s="87" t="str">
        <f aca="false">IF(ISBLANK($C450),"",IF(AI450,Constants!$B$4,IF(COUNTA(E450:R450)=0,Constants!$B$5,IF(COUNTA(J450,L450,N450,P450,R450)=0,Constants!$B$6,Constants!$B$7))))</f>
        <v/>
      </c>
      <c r="AK450" s="87" t="str">
        <f aca="false">IF(ISBLANK($C450),"",IF($AJ450&lt;&gt;Constants!$B$7,$AJ450,IF(OR(NOT(X450),AND(NOT(U450),COUNTIFS(Y450:AG450,Constants!$B$18,Z450:AH450,"&gt;=0")&gt;0),AND(NOT(V450),COUNTIFS(Y450:AG450,Constants!$B$19,Z450:AH450,"&gt;=0")&gt;0)),Constants!$B$12,Constants!$B$11)))</f>
        <v/>
      </c>
      <c r="AL450" s="87" t="str">
        <f aca="false">IF($AJ450=Constants!$B$7,IF(Z450="",Constants!$B$13,Z450),"")</f>
        <v/>
      </c>
      <c r="AM450" s="87" t="str">
        <f aca="false">IF($AJ450=Constants!$B$7,IF(AB450="",Constants!$B$13,AB450),"")</f>
        <v/>
      </c>
      <c r="AN450" s="87" t="str">
        <f aca="false">IF($AJ450=Constants!$B$7,IF(AD450="",Constants!$B$13,AD450),"")</f>
        <v/>
      </c>
      <c r="AO450" s="87" t="str">
        <f aca="false">IF($AJ450=Constants!$B$7,IF(AF450="",Constants!$B$13,AF450),"")</f>
        <v/>
      </c>
      <c r="AP450" s="87" t="str">
        <f aca="false">IF($AJ450=Constants!$B$7,IF(AH450="",Constants!$B$13,AH450),"")</f>
        <v/>
      </c>
      <c r="AQ450" s="87" t="str">
        <f aca="false">IF($AJ450=Constants!$B$7,IF(SUMPRODUCT(--($AL450:$AP450&gt;AL450))+SUMPRODUCT(--($AL450:AL450=AL450))=1,1,IF(SUMPRODUCT(--($AL450:$AP450&gt;AM450))+SUMPRODUCT(--($AL450:AM450=AM450))=1,2,IF(SUMPRODUCT(--($AL450:$AP450&gt;AN450))+SUMPRODUCT(--($AL450:AN450=AN450))=1,3,IF(SUMPRODUCT(--($AL450:$AP450&gt;AO450))+SUMPRODUCT(--($AL450:AO450=AO450))=1,4,5)))),"")</f>
        <v/>
      </c>
      <c r="AR450" s="87" t="str">
        <f aca="false">IF($AJ450=Constants!$B$7,IF(SUMPRODUCT(--($AL450:$AP450&gt;AL450))+SUMPRODUCT(--($AL450:AL450=AL450))=2,1,IF(SUMPRODUCT(--($AL450:$AP450&gt;AM450))+SUMPRODUCT(--($AL450:AM450=AM450))=2,2,IF(SUMPRODUCT(--($AL450:$AP450&gt;AN450))+SUMPRODUCT(--($AL450:AN450=AN450))=2,3,IF(SUMPRODUCT(--($AL450:$AP450&gt;AO450))+SUMPRODUCT(--($AL450:AO450=AO450))=2,4,5)))),"")</f>
        <v/>
      </c>
      <c r="AS450" s="87" t="str">
        <f aca="false">IF($AJ450=Constants!$B$7,IF(SUMPRODUCT(--($AL450:$AP450&gt;AL450))+SUMPRODUCT(--($AL450:AL450=AL450))=3,1,IF(SUMPRODUCT(--($AL450:$AP450&gt;AM450))+SUMPRODUCT(--($AL450:AM450=AM450))=3,2,IF(SUMPRODUCT(--($AL450:$AP450&gt;AN450))+SUMPRODUCT(--($AL450:AN450=AN450))=3,3,IF(SUMPRODUCT(--($AL450:$AP450&gt;AO450))+SUMPRODUCT(--($AL450:AO450=AO450))=3,4,5)))),"")</f>
        <v/>
      </c>
      <c r="AT450" s="87" t="str">
        <f aca="false">IF($AJ450=Constants!$B$7,LARGE(AL450:AP450,1)+LARGE(AL450:AP450,2)+LARGE(AL450:AP450,3),"")</f>
        <v/>
      </c>
      <c r="AU450" s="87" t="str">
        <f aca="false">IF(ISBLANK($C450),"",IF($AJ450&lt;&gt;Constants!$B$7,$AJ450,AT450*W450))</f>
        <v/>
      </c>
      <c r="AV450" s="87" t="str">
        <f aca="false">IF(ISBLANK($C450),"",IF($AJ450=Constants!$B$7,IF(ISNUMBER(AU450),RANK(AU450,$AU$8:$AU$507),Constants!$B$14),$AJ450))</f>
        <v/>
      </c>
      <c r="AW450" s="87" t="str">
        <f aca="false">IF(ISBLANK($C450),"",IF($AJ450=Constants!$B$7,IF(ISNUMBER(AV450),COUNTIFS($AK$8:$AK$507,"&lt;"&amp;$AK450)+COUNTIFS($AK$8:$AK$507,$AK450,$AV$8:$AV$507,"&lt;"&amp;$AV450)+1,Constants!$B$14),$AJ450))</f>
        <v/>
      </c>
      <c r="AX450" s="87" t="str">
        <f aca="false">IF(ISBLANK($C450),"",IF($AJ450=Constants!$B$7,LARGE(AL450:AP450,4)*W450,""))</f>
        <v/>
      </c>
      <c r="AY450" s="87" t="str">
        <f aca="false">IF(ISBLANK($C450),"",IF($AJ450=Constants!$B$7,RANK(AX450,$AX$8:$AX$507),$AJ450))</f>
        <v/>
      </c>
      <c r="AZ450" s="87" t="str">
        <f aca="false">IF(ISBLANK($C450),"",IF($AJ450=Constants!$B$7,IF(ISNUMBER(AV450),COUNTIFS($AK$8:$AK$507,"&lt;"&amp;$AK450)+COUNTIFS($AK$8:$AK$507,$AK450,$AV$8:$AV$507,"&lt;"&amp;$AV450)+COUNTIFS($AK$8:$AK$507,$AK450,$AV$8:$AV$507,$AV450,$AY$8:$AY$507,"&lt;"&amp;$AY450)+1,Constants!$B$14),$AJ450))</f>
        <v/>
      </c>
      <c r="BA450" s="87" t="str">
        <f aca="false">IF(ISBLANK($C450),"",IF($AJ450=Constants!$B$7,IF(ISNUMBER(AW450),AW450-AZ450,Constants!$B$14),$AJ450))</f>
        <v/>
      </c>
      <c r="BB450" s="88"/>
      <c r="BC450" s="89" t="str">
        <f aca="false">IF(ISBLANK($C450),"",IF($AJ450&lt;&gt;Constants!$B$7,$AJ450,SMALL(AQ450:AS450,1)&amp;", "&amp;SMALL(AQ450:AS450,2)&amp;", "&amp;SMALL(AQ450:AS450,3)))</f>
        <v/>
      </c>
      <c r="BD450" s="90" t="str">
        <f aca="false">IF(ISBLANK($C450),"",IF($AJ450&lt;&gt;Constants!$B$7,$AJ450,W450))</f>
        <v/>
      </c>
      <c r="BE450" s="91" t="str">
        <f aca="false">IF(ISBLANK($C450),"",IF($AJ450&lt;&gt;Constants!$B$7,$AJ450,AU450))</f>
        <v/>
      </c>
      <c r="BF450" s="92" t="str">
        <f aca="false">IF(ISBLANK($C450),"",IF($AJ450&lt;&gt;Constants!$B$7,$AJ450,AK450))</f>
        <v/>
      </c>
      <c r="BG450" s="90" t="str">
        <f aca="false">IF(ISBLANK($C450),"",BA450)</f>
        <v/>
      </c>
      <c r="BH450" s="90" t="str">
        <f aca="false">IF(ISBLANK($C450),"",AZ450)</f>
        <v/>
      </c>
      <c r="BI450" s="93" t="str">
        <f aca="false">IF(ISBLANK($C450),"",IF(BH450=Constants!$B$4,COUNTA($C$8:$C$507)+2,IF(BH450=Constants!$B$5,COUNTA($C$8:$C$507)+1,IF(BH450=Constants!$B$6,COUNTA($C$8:$C$507),BH450))))</f>
        <v/>
      </c>
      <c r="BJ450" s="5"/>
      <c r="BK450" s="94" t="n">
        <f aca="false">IF(OR(ISNUMBER(BH450),BH450=Constants!$B$4,BH450=Constants!$B$6,BH450=Constants!$B$5),1,0)</f>
        <v>0</v>
      </c>
      <c r="BL450" s="94" t="n">
        <v>443</v>
      </c>
      <c r="BM450" s="94" t="str">
        <f aca="false">IF(ISBLANK($C450),"",IF(ISNUMBER(BI450),BI450+ROW($B450)/1000,""))</f>
        <v/>
      </c>
      <c r="BN450" s="94" t="str">
        <f aca="false">IF(ISNUMBER(BM450),RANK(BM450,$BM$8:$BM$507,1),"")</f>
        <v/>
      </c>
      <c r="BO450" s="94" t="str">
        <f aca="false">IF(ISBLANK($C450),"",$B450)</f>
        <v/>
      </c>
      <c r="BP450" s="94" t="str">
        <f aca="false">IF(ISBLANK($C450),"",$C450)</f>
        <v/>
      </c>
      <c r="BQ450" s="94" t="str">
        <f aca="false">IF(ISBLANK($C450),"",$D450)</f>
        <v/>
      </c>
      <c r="BR450" s="95" t="str">
        <f aca="false">BF450</f>
        <v/>
      </c>
      <c r="BS450" s="96" t="str">
        <f aca="false">BE450</f>
        <v/>
      </c>
      <c r="BT450" s="94" t="str">
        <f aca="false">IF(ISBLANK($C450),"",BH450)</f>
        <v/>
      </c>
      <c r="BU450" s="97" t="str">
        <f aca="false">IF($BL450&gt;$BK$7,"",VLOOKUP($BL450,$BN$8:$BT$507,7,FALSE()))</f>
        <v/>
      </c>
      <c r="BV450" s="98" t="str">
        <f aca="false">IF($BL450&gt;$BK$7,"",VLOOKUP($BL450,$BN$8:$BT$507,2,FALSE()))</f>
        <v/>
      </c>
      <c r="BW450" s="98" t="str">
        <f aca="false">IF($BL450&gt;$BK$7,"",VLOOKUP($BL450,$BN$8:$BT$507,3,FALSE()))</f>
        <v/>
      </c>
      <c r="BX450" s="98" t="str">
        <f aca="false">IF($BL450&gt;$BK$7,"",VLOOKUP($BL450,$BN$8:$BT$507,4,FALSE()))</f>
        <v/>
      </c>
      <c r="BY450" s="98" t="str">
        <f aca="false">IF($BL450&gt;$BK$7,"",VLOOKUP($BL450,$BN$8:$BT$507,5,FALSE()))</f>
        <v/>
      </c>
      <c r="BZ450" s="99" t="str">
        <f aca="false">IF($BL450&gt;$BK$7,"",VLOOKUP($BL450,$BN$8:$BT$507,6,FALSE()))</f>
        <v/>
      </c>
      <c r="CA450" s="48"/>
    </row>
    <row r="451" customFormat="false" ht="15.75" hidden="false" customHeight="false" outlineLevel="0" collapsed="false">
      <c r="A451" s="5"/>
      <c r="B451" s="114"/>
      <c r="C451" s="115"/>
      <c r="D451" s="100"/>
      <c r="E451" s="120"/>
      <c r="F451" s="125"/>
      <c r="G451" s="82"/>
      <c r="H451" s="126"/>
      <c r="I451" s="127"/>
      <c r="J451" s="82"/>
      <c r="K451" s="126"/>
      <c r="L451" s="82"/>
      <c r="M451" s="126"/>
      <c r="N451" s="82"/>
      <c r="O451" s="126"/>
      <c r="P451" s="82"/>
      <c r="Q451" s="126"/>
      <c r="R451" s="82"/>
      <c r="S451" s="120"/>
      <c r="T451" s="86"/>
      <c r="U451" s="87" t="str">
        <f aca="false">IF(ISBLANK($C451),"",IF(E451=Constants!$B$2, TRUE(), IF(E451=Constants!$B$3, FALSE(), TRUE())))</f>
        <v/>
      </c>
      <c r="V451" s="87" t="str">
        <f aca="false">IF(ISBLANK($C451),"",IF(F451=Constants!$B$2, TRUE(), IF(F451=Constants!$B$3, FALSE(), TRUE())))</f>
        <v/>
      </c>
      <c r="W451" s="87" t="str">
        <f aca="false">IF(ISBLANK($C451),"",IF(G451=Constants!$B$15,Constants!$B$8,IF(G451=Constants!$B$16,Constants!$B$9,Constants!$B$10)))</f>
        <v/>
      </c>
      <c r="X451" s="87" t="str">
        <f aca="false">IF(ISBLANK($C451),"",IF(H451=Constants!$B$2, TRUE(), IF(H451=Constants!$B$3, FALSE(), TRUE())))</f>
        <v/>
      </c>
      <c r="Y451" s="87" t="str">
        <f aca="false">IF(ISBLANK($C451),"",IF(I451=Constants!$B$19,Constants!$B$19,Constants!$B$18))</f>
        <v/>
      </c>
      <c r="Z451" s="87" t="str">
        <f aca="false">IF(ISBLANK($C451),"",IF(ISNUMBER(J451),IF(J451&gt;=0,J451,""),""))</f>
        <v/>
      </c>
      <c r="AA451" s="87" t="str">
        <f aca="false">IF(ISBLANK($C451),"",IF(K451=Constants!$B$19,Constants!$B$19,Constants!$B$18))</f>
        <v/>
      </c>
      <c r="AB451" s="87" t="str">
        <f aca="false">IF(ISBLANK($C451),"",IF(ISNUMBER(L451),IF(L451&gt;=0,L451,""),""))</f>
        <v/>
      </c>
      <c r="AC451" s="87" t="str">
        <f aca="false">IF(ISBLANK($C451),"",IF(M451=Constants!$B$19,Constants!$B$19,Constants!$B$18))</f>
        <v/>
      </c>
      <c r="AD451" s="87" t="str">
        <f aca="false">IF(ISBLANK($C451),"",IF(ISNUMBER(N451),IF(N451&gt;=0,N451,""),""))</f>
        <v/>
      </c>
      <c r="AE451" s="87" t="str">
        <f aca="false">IF(ISBLANK($C451),"",IF(O451=Constants!$B$19,Constants!$B$19,Constants!$B$18))</f>
        <v/>
      </c>
      <c r="AF451" s="87" t="str">
        <f aca="false">IF(ISBLANK($C451),"",IF(ISNUMBER(P451),IF(P451&gt;=0,P451,""),""))</f>
        <v/>
      </c>
      <c r="AG451" s="87" t="str">
        <f aca="false">IF(ISBLANK($C451),"",IF(Q451=Constants!$B$19,Constants!$B$19,Constants!$B$18))</f>
        <v/>
      </c>
      <c r="AH451" s="87" t="str">
        <f aca="false">IF(ISBLANK($C451),"",IF(ISNUMBER(R451),IF(R451&gt;=0,R451,""),""))</f>
        <v/>
      </c>
      <c r="AI451" s="87" t="str">
        <f aca="false">IF(ISBLANK($C451),"",IF(S451=Constants!$B$2, TRUE(), IF(S451=Constants!$B$3, FALSE(), FALSE())))</f>
        <v/>
      </c>
      <c r="AJ451" s="87" t="str">
        <f aca="false">IF(ISBLANK($C451),"",IF(AI451,Constants!$B$4,IF(COUNTA(E451:R451)=0,Constants!$B$5,IF(COUNTA(J451,L451,N451,P451,R451)=0,Constants!$B$6,Constants!$B$7))))</f>
        <v/>
      </c>
      <c r="AK451" s="87" t="str">
        <f aca="false">IF(ISBLANK($C451),"",IF($AJ451&lt;&gt;Constants!$B$7,$AJ451,IF(OR(NOT(X451),AND(NOT(U451),COUNTIFS(Y451:AG451,Constants!$B$18,Z451:AH451,"&gt;=0")&gt;0),AND(NOT(V451),COUNTIFS(Y451:AG451,Constants!$B$19,Z451:AH451,"&gt;=0")&gt;0)),Constants!$B$12,Constants!$B$11)))</f>
        <v/>
      </c>
      <c r="AL451" s="87" t="str">
        <f aca="false">IF($AJ451=Constants!$B$7,IF(Z451="",Constants!$B$13,Z451),"")</f>
        <v/>
      </c>
      <c r="AM451" s="87" t="str">
        <f aca="false">IF($AJ451=Constants!$B$7,IF(AB451="",Constants!$B$13,AB451),"")</f>
        <v/>
      </c>
      <c r="AN451" s="87" t="str">
        <f aca="false">IF($AJ451=Constants!$B$7,IF(AD451="",Constants!$B$13,AD451),"")</f>
        <v/>
      </c>
      <c r="AO451" s="87" t="str">
        <f aca="false">IF($AJ451=Constants!$B$7,IF(AF451="",Constants!$B$13,AF451),"")</f>
        <v/>
      </c>
      <c r="AP451" s="87" t="str">
        <f aca="false">IF($AJ451=Constants!$B$7,IF(AH451="",Constants!$B$13,AH451),"")</f>
        <v/>
      </c>
      <c r="AQ451" s="87" t="str">
        <f aca="false">IF($AJ451=Constants!$B$7,IF(SUMPRODUCT(--($AL451:$AP451&gt;AL451))+SUMPRODUCT(--($AL451:AL451=AL451))=1,1,IF(SUMPRODUCT(--($AL451:$AP451&gt;AM451))+SUMPRODUCT(--($AL451:AM451=AM451))=1,2,IF(SUMPRODUCT(--($AL451:$AP451&gt;AN451))+SUMPRODUCT(--($AL451:AN451=AN451))=1,3,IF(SUMPRODUCT(--($AL451:$AP451&gt;AO451))+SUMPRODUCT(--($AL451:AO451=AO451))=1,4,5)))),"")</f>
        <v/>
      </c>
      <c r="AR451" s="87" t="str">
        <f aca="false">IF($AJ451=Constants!$B$7,IF(SUMPRODUCT(--($AL451:$AP451&gt;AL451))+SUMPRODUCT(--($AL451:AL451=AL451))=2,1,IF(SUMPRODUCT(--($AL451:$AP451&gt;AM451))+SUMPRODUCT(--($AL451:AM451=AM451))=2,2,IF(SUMPRODUCT(--($AL451:$AP451&gt;AN451))+SUMPRODUCT(--($AL451:AN451=AN451))=2,3,IF(SUMPRODUCT(--($AL451:$AP451&gt;AO451))+SUMPRODUCT(--($AL451:AO451=AO451))=2,4,5)))),"")</f>
        <v/>
      </c>
      <c r="AS451" s="87" t="str">
        <f aca="false">IF($AJ451=Constants!$B$7,IF(SUMPRODUCT(--($AL451:$AP451&gt;AL451))+SUMPRODUCT(--($AL451:AL451=AL451))=3,1,IF(SUMPRODUCT(--($AL451:$AP451&gt;AM451))+SUMPRODUCT(--($AL451:AM451=AM451))=3,2,IF(SUMPRODUCT(--($AL451:$AP451&gt;AN451))+SUMPRODUCT(--($AL451:AN451=AN451))=3,3,IF(SUMPRODUCT(--($AL451:$AP451&gt;AO451))+SUMPRODUCT(--($AL451:AO451=AO451))=3,4,5)))),"")</f>
        <v/>
      </c>
      <c r="AT451" s="87" t="str">
        <f aca="false">IF($AJ451=Constants!$B$7,LARGE(AL451:AP451,1)+LARGE(AL451:AP451,2)+LARGE(AL451:AP451,3),"")</f>
        <v/>
      </c>
      <c r="AU451" s="87" t="str">
        <f aca="false">IF(ISBLANK($C451),"",IF($AJ451&lt;&gt;Constants!$B$7,$AJ451,AT451*W451))</f>
        <v/>
      </c>
      <c r="AV451" s="87" t="str">
        <f aca="false">IF(ISBLANK($C451),"",IF($AJ451=Constants!$B$7,IF(ISNUMBER(AU451),RANK(AU451,$AU$8:$AU$507),Constants!$B$14),$AJ451))</f>
        <v/>
      </c>
      <c r="AW451" s="87" t="str">
        <f aca="false">IF(ISBLANK($C451),"",IF($AJ451=Constants!$B$7,IF(ISNUMBER(AV451),COUNTIFS($AK$8:$AK$507,"&lt;"&amp;$AK451)+COUNTIFS($AK$8:$AK$507,$AK451,$AV$8:$AV$507,"&lt;"&amp;$AV451)+1,Constants!$B$14),$AJ451))</f>
        <v/>
      </c>
      <c r="AX451" s="87" t="str">
        <f aca="false">IF(ISBLANK($C451),"",IF($AJ451=Constants!$B$7,LARGE(AL451:AP451,4)*W451,""))</f>
        <v/>
      </c>
      <c r="AY451" s="87" t="str">
        <f aca="false">IF(ISBLANK($C451),"",IF($AJ451=Constants!$B$7,RANK(AX451,$AX$8:$AX$507),$AJ451))</f>
        <v/>
      </c>
      <c r="AZ451" s="87" t="str">
        <f aca="false">IF(ISBLANK($C451),"",IF($AJ451=Constants!$B$7,IF(ISNUMBER(AV451),COUNTIFS($AK$8:$AK$507,"&lt;"&amp;$AK451)+COUNTIFS($AK$8:$AK$507,$AK451,$AV$8:$AV$507,"&lt;"&amp;$AV451)+COUNTIFS($AK$8:$AK$507,$AK451,$AV$8:$AV$507,$AV451,$AY$8:$AY$507,"&lt;"&amp;$AY451)+1,Constants!$B$14),$AJ451))</f>
        <v/>
      </c>
      <c r="BA451" s="87" t="str">
        <f aca="false">IF(ISBLANK($C451),"",IF($AJ451=Constants!$B$7,IF(ISNUMBER(AW451),AW451-AZ451,Constants!$B$14),$AJ451))</f>
        <v/>
      </c>
      <c r="BB451" s="88"/>
      <c r="BC451" s="89" t="str">
        <f aca="false">IF(ISBLANK($C451),"",IF($AJ451&lt;&gt;Constants!$B$7,$AJ451,SMALL(AQ451:AS451,1)&amp;", "&amp;SMALL(AQ451:AS451,2)&amp;", "&amp;SMALL(AQ451:AS451,3)))</f>
        <v/>
      </c>
      <c r="BD451" s="90" t="str">
        <f aca="false">IF(ISBLANK($C451),"",IF($AJ451&lt;&gt;Constants!$B$7,$AJ451,W451))</f>
        <v/>
      </c>
      <c r="BE451" s="91" t="str">
        <f aca="false">IF(ISBLANK($C451),"",IF($AJ451&lt;&gt;Constants!$B$7,$AJ451,AU451))</f>
        <v/>
      </c>
      <c r="BF451" s="92" t="str">
        <f aca="false">IF(ISBLANK($C451),"",IF($AJ451&lt;&gt;Constants!$B$7,$AJ451,AK451))</f>
        <v/>
      </c>
      <c r="BG451" s="90" t="str">
        <f aca="false">IF(ISBLANK($C451),"",BA451)</f>
        <v/>
      </c>
      <c r="BH451" s="90" t="str">
        <f aca="false">IF(ISBLANK($C451),"",AZ451)</f>
        <v/>
      </c>
      <c r="BI451" s="93" t="str">
        <f aca="false">IF(ISBLANK($C451),"",IF(BH451=Constants!$B$4,COUNTA($C$8:$C$507)+2,IF(BH451=Constants!$B$5,COUNTA($C$8:$C$507)+1,IF(BH451=Constants!$B$6,COUNTA($C$8:$C$507),BH451))))</f>
        <v/>
      </c>
      <c r="BJ451" s="5"/>
      <c r="BK451" s="94" t="n">
        <f aca="false">IF(OR(ISNUMBER(BH451),BH451=Constants!$B$4,BH451=Constants!$B$6,BH451=Constants!$B$5),1,0)</f>
        <v>0</v>
      </c>
      <c r="BL451" s="94" t="n">
        <v>444</v>
      </c>
      <c r="BM451" s="94" t="str">
        <f aca="false">IF(ISBLANK($C451),"",IF(ISNUMBER(BI451),BI451+ROW($B451)/1000,""))</f>
        <v/>
      </c>
      <c r="BN451" s="94" t="str">
        <f aca="false">IF(ISNUMBER(BM451),RANK(BM451,$BM$8:$BM$507,1),"")</f>
        <v/>
      </c>
      <c r="BO451" s="94" t="str">
        <f aca="false">IF(ISBLANK($C451),"",$B451)</f>
        <v/>
      </c>
      <c r="BP451" s="94" t="str">
        <f aca="false">IF(ISBLANK($C451),"",$C451)</f>
        <v/>
      </c>
      <c r="BQ451" s="94" t="str">
        <f aca="false">IF(ISBLANK($C451),"",$D451)</f>
        <v/>
      </c>
      <c r="BR451" s="95" t="str">
        <f aca="false">BF451</f>
        <v/>
      </c>
      <c r="BS451" s="96" t="str">
        <f aca="false">BE451</f>
        <v/>
      </c>
      <c r="BT451" s="94" t="str">
        <f aca="false">IF(ISBLANK($C451),"",BH451)</f>
        <v/>
      </c>
      <c r="BU451" s="97" t="str">
        <f aca="false">IF($BL451&gt;$BK$7,"",VLOOKUP($BL451,$BN$8:$BT$507,7,FALSE()))</f>
        <v/>
      </c>
      <c r="BV451" s="98" t="str">
        <f aca="false">IF($BL451&gt;$BK$7,"",VLOOKUP($BL451,$BN$8:$BT$507,2,FALSE()))</f>
        <v/>
      </c>
      <c r="BW451" s="98" t="str">
        <f aca="false">IF($BL451&gt;$BK$7,"",VLOOKUP($BL451,$BN$8:$BT$507,3,FALSE()))</f>
        <v/>
      </c>
      <c r="BX451" s="98" t="str">
        <f aca="false">IF($BL451&gt;$BK$7,"",VLOOKUP($BL451,$BN$8:$BT$507,4,FALSE()))</f>
        <v/>
      </c>
      <c r="BY451" s="98" t="str">
        <f aca="false">IF($BL451&gt;$BK$7,"",VLOOKUP($BL451,$BN$8:$BT$507,5,FALSE()))</f>
        <v/>
      </c>
      <c r="BZ451" s="99" t="str">
        <f aca="false">IF($BL451&gt;$BK$7,"",VLOOKUP($BL451,$BN$8:$BT$507,6,FALSE()))</f>
        <v/>
      </c>
      <c r="CA451" s="48"/>
    </row>
    <row r="452" customFormat="false" ht="15.75" hidden="false" customHeight="false" outlineLevel="0" collapsed="false">
      <c r="A452" s="5"/>
      <c r="B452" s="121"/>
      <c r="C452" s="50"/>
      <c r="D452" s="51"/>
      <c r="E452" s="74"/>
      <c r="F452" s="122"/>
      <c r="G452" s="54"/>
      <c r="H452" s="123"/>
      <c r="I452" s="124"/>
      <c r="J452" s="54"/>
      <c r="K452" s="123"/>
      <c r="L452" s="54"/>
      <c r="M452" s="123"/>
      <c r="N452" s="54"/>
      <c r="O452" s="123"/>
      <c r="P452" s="54"/>
      <c r="Q452" s="123"/>
      <c r="R452" s="54"/>
      <c r="S452" s="74"/>
      <c r="T452" s="58"/>
      <c r="U452" s="59" t="str">
        <f aca="false">IF(ISBLANK($C452),"",IF(E452=Constants!$B$2, TRUE(), IF(E452=Constants!$B$3, FALSE(), TRUE())))</f>
        <v/>
      </c>
      <c r="V452" s="59" t="str">
        <f aca="false">IF(ISBLANK($C452),"",IF(F452=Constants!$B$2, TRUE(), IF(F452=Constants!$B$3, FALSE(), TRUE())))</f>
        <v/>
      </c>
      <c r="W452" s="59" t="str">
        <f aca="false">IF(ISBLANK($C452),"",IF(G452=Constants!$B$15,Constants!$B$8,IF(G452=Constants!$B$16,Constants!$B$9,Constants!$B$10)))</f>
        <v/>
      </c>
      <c r="X452" s="59" t="str">
        <f aca="false">IF(ISBLANK($C452),"",IF(H452=Constants!$B$2, TRUE(), IF(H452=Constants!$B$3, FALSE(), TRUE())))</f>
        <v/>
      </c>
      <c r="Y452" s="59" t="str">
        <f aca="false">IF(ISBLANK($C452),"",IF(I452=Constants!$B$19,Constants!$B$19,Constants!$B$18))</f>
        <v/>
      </c>
      <c r="Z452" s="59" t="str">
        <f aca="false">IF(ISBLANK($C452),"",IF(ISNUMBER(J452),IF(J452&gt;=0,J452,""),""))</f>
        <v/>
      </c>
      <c r="AA452" s="59" t="str">
        <f aca="false">IF(ISBLANK($C452),"",IF(K452=Constants!$B$19,Constants!$B$19,Constants!$B$18))</f>
        <v/>
      </c>
      <c r="AB452" s="59" t="str">
        <f aca="false">IF(ISBLANK($C452),"",IF(ISNUMBER(L452),IF(L452&gt;=0,L452,""),""))</f>
        <v/>
      </c>
      <c r="AC452" s="59" t="str">
        <f aca="false">IF(ISBLANK($C452),"",IF(M452=Constants!$B$19,Constants!$B$19,Constants!$B$18))</f>
        <v/>
      </c>
      <c r="AD452" s="59" t="str">
        <f aca="false">IF(ISBLANK($C452),"",IF(ISNUMBER(N452),IF(N452&gt;=0,N452,""),""))</f>
        <v/>
      </c>
      <c r="AE452" s="59" t="str">
        <f aca="false">IF(ISBLANK($C452),"",IF(O452=Constants!$B$19,Constants!$B$19,Constants!$B$18))</f>
        <v/>
      </c>
      <c r="AF452" s="59" t="str">
        <f aca="false">IF(ISBLANK($C452),"",IF(ISNUMBER(P452),IF(P452&gt;=0,P452,""),""))</f>
        <v/>
      </c>
      <c r="AG452" s="59" t="str">
        <f aca="false">IF(ISBLANK($C452),"",IF(Q452=Constants!$B$19,Constants!$B$19,Constants!$B$18))</f>
        <v/>
      </c>
      <c r="AH452" s="59" t="str">
        <f aca="false">IF(ISBLANK($C452),"",IF(ISNUMBER(R452),IF(R452&gt;=0,R452,""),""))</f>
        <v/>
      </c>
      <c r="AI452" s="59" t="str">
        <f aca="false">IF(ISBLANK($C452),"",IF(S452=Constants!$B$2, TRUE(), IF(S452=Constants!$B$3, FALSE(), FALSE())))</f>
        <v/>
      </c>
      <c r="AJ452" s="59" t="str">
        <f aca="false">IF(ISBLANK($C452),"",IF(AI452,Constants!$B$4,IF(COUNTA(E452:R452)=0,Constants!$B$5,IF(COUNTA(J452,L452,N452,P452,R452)=0,Constants!$B$6,Constants!$B$7))))</f>
        <v/>
      </c>
      <c r="AK452" s="59" t="str">
        <f aca="false">IF(ISBLANK($C452),"",IF($AJ452&lt;&gt;Constants!$B$7,$AJ452,IF(OR(NOT(X452),AND(NOT(U452),COUNTIFS(Y452:AG452,Constants!$B$18,Z452:AH452,"&gt;=0")&gt;0),AND(NOT(V452),COUNTIFS(Y452:AG452,Constants!$B$19,Z452:AH452,"&gt;=0")&gt;0)),Constants!$B$12,Constants!$B$11)))</f>
        <v/>
      </c>
      <c r="AL452" s="59" t="str">
        <f aca="false">IF($AJ452=Constants!$B$7,IF(Z452="",Constants!$B$13,Z452),"")</f>
        <v/>
      </c>
      <c r="AM452" s="59" t="str">
        <f aca="false">IF($AJ452=Constants!$B$7,IF(AB452="",Constants!$B$13,AB452),"")</f>
        <v/>
      </c>
      <c r="AN452" s="59" t="str">
        <f aca="false">IF($AJ452=Constants!$B$7,IF(AD452="",Constants!$B$13,AD452),"")</f>
        <v/>
      </c>
      <c r="AO452" s="59" t="str">
        <f aca="false">IF($AJ452=Constants!$B$7,IF(AF452="",Constants!$B$13,AF452),"")</f>
        <v/>
      </c>
      <c r="AP452" s="59" t="str">
        <f aca="false">IF($AJ452=Constants!$B$7,IF(AH452="",Constants!$B$13,AH452),"")</f>
        <v/>
      </c>
      <c r="AQ452" s="59" t="str">
        <f aca="false">IF($AJ452=Constants!$B$7,IF(SUMPRODUCT(--($AL452:$AP452&gt;AL452))+SUMPRODUCT(--($AL452:AL452=AL452))=1,1,IF(SUMPRODUCT(--($AL452:$AP452&gt;AM452))+SUMPRODUCT(--($AL452:AM452=AM452))=1,2,IF(SUMPRODUCT(--($AL452:$AP452&gt;AN452))+SUMPRODUCT(--($AL452:AN452=AN452))=1,3,IF(SUMPRODUCT(--($AL452:$AP452&gt;AO452))+SUMPRODUCT(--($AL452:AO452=AO452))=1,4,5)))),"")</f>
        <v/>
      </c>
      <c r="AR452" s="59" t="str">
        <f aca="false">IF($AJ452=Constants!$B$7,IF(SUMPRODUCT(--($AL452:$AP452&gt;AL452))+SUMPRODUCT(--($AL452:AL452=AL452))=2,1,IF(SUMPRODUCT(--($AL452:$AP452&gt;AM452))+SUMPRODUCT(--($AL452:AM452=AM452))=2,2,IF(SUMPRODUCT(--($AL452:$AP452&gt;AN452))+SUMPRODUCT(--($AL452:AN452=AN452))=2,3,IF(SUMPRODUCT(--($AL452:$AP452&gt;AO452))+SUMPRODUCT(--($AL452:AO452=AO452))=2,4,5)))),"")</f>
        <v/>
      </c>
      <c r="AS452" s="59" t="str">
        <f aca="false">IF($AJ452=Constants!$B$7,IF(SUMPRODUCT(--($AL452:$AP452&gt;AL452))+SUMPRODUCT(--($AL452:AL452=AL452))=3,1,IF(SUMPRODUCT(--($AL452:$AP452&gt;AM452))+SUMPRODUCT(--($AL452:AM452=AM452))=3,2,IF(SUMPRODUCT(--($AL452:$AP452&gt;AN452))+SUMPRODUCT(--($AL452:AN452=AN452))=3,3,IF(SUMPRODUCT(--($AL452:$AP452&gt;AO452))+SUMPRODUCT(--($AL452:AO452=AO452))=3,4,5)))),"")</f>
        <v/>
      </c>
      <c r="AT452" s="59" t="str">
        <f aca="false">IF($AJ452=Constants!$B$7,LARGE(AL452:AP452,1)+LARGE(AL452:AP452,2)+LARGE(AL452:AP452,3),"")</f>
        <v/>
      </c>
      <c r="AU452" s="59" t="str">
        <f aca="false">IF(ISBLANK($C452),"",IF($AJ452&lt;&gt;Constants!$B$7,$AJ452,AT452*W452))</f>
        <v/>
      </c>
      <c r="AV452" s="59" t="str">
        <f aca="false">IF(ISBLANK($C452),"",IF($AJ452=Constants!$B$7,IF(ISNUMBER(AU452),RANK(AU452,$AU$8:$AU$507),Constants!$B$14),$AJ452))</f>
        <v/>
      </c>
      <c r="AW452" s="59" t="str">
        <f aca="false">IF(ISBLANK($C452),"",IF($AJ452=Constants!$B$7,IF(ISNUMBER(AV452),COUNTIFS($AK$8:$AK$507,"&lt;"&amp;$AK452)+COUNTIFS($AK$8:$AK$507,$AK452,$AV$8:$AV$507,"&lt;"&amp;$AV452)+1,Constants!$B$14),$AJ452))</f>
        <v/>
      </c>
      <c r="AX452" s="59" t="str">
        <f aca="false">IF(ISBLANK($C452),"",IF($AJ452=Constants!$B$7,LARGE(AL452:AP452,4)*W452,""))</f>
        <v/>
      </c>
      <c r="AY452" s="59" t="str">
        <f aca="false">IF(ISBLANK($C452),"",IF($AJ452=Constants!$B$7,RANK(AX452,$AX$8:$AX$507),$AJ452))</f>
        <v/>
      </c>
      <c r="AZ452" s="59" t="str">
        <f aca="false">IF(ISBLANK($C452),"",IF($AJ452=Constants!$B$7,IF(ISNUMBER(AV452),COUNTIFS($AK$8:$AK$507,"&lt;"&amp;$AK452)+COUNTIFS($AK$8:$AK$507,$AK452,$AV$8:$AV$507,"&lt;"&amp;$AV452)+COUNTIFS($AK$8:$AK$507,$AK452,$AV$8:$AV$507,$AV452,$AY$8:$AY$507,"&lt;"&amp;$AY452)+1,Constants!$B$14),$AJ452))</f>
        <v/>
      </c>
      <c r="BA452" s="59" t="str">
        <f aca="false">IF(ISBLANK($C452),"",IF($AJ452=Constants!$B$7,IF(ISNUMBER(AW452),AW452-AZ452,Constants!$B$14),$AJ452))</f>
        <v/>
      </c>
      <c r="BB452" s="61"/>
      <c r="BC452" s="62" t="str">
        <f aca="false">IF(ISBLANK($C452),"",IF($AJ452&lt;&gt;Constants!$B$7,$AJ452,SMALL(AQ452:AS452,1)&amp;", "&amp;SMALL(AQ452:AS452,2)&amp;", "&amp;SMALL(AQ452:AS452,3)))</f>
        <v/>
      </c>
      <c r="BD452" s="63" t="str">
        <f aca="false">IF(ISBLANK($C452),"",IF($AJ452&lt;&gt;Constants!$B$7,$AJ452,W452))</f>
        <v/>
      </c>
      <c r="BE452" s="64" t="str">
        <f aca="false">IF(ISBLANK($C452),"",IF($AJ452&lt;&gt;Constants!$B$7,$AJ452,AU452))</f>
        <v/>
      </c>
      <c r="BF452" s="65" t="str">
        <f aca="false">IF(ISBLANK($C452),"",IF($AJ452&lt;&gt;Constants!$B$7,$AJ452,AK452))</f>
        <v/>
      </c>
      <c r="BG452" s="63" t="str">
        <f aca="false">IF(ISBLANK($C452),"",BA452)</f>
        <v/>
      </c>
      <c r="BH452" s="63" t="str">
        <f aca="false">IF(ISBLANK($C452),"",AZ452)</f>
        <v/>
      </c>
      <c r="BI452" s="66" t="str">
        <f aca="false">IF(ISBLANK($C452),"",IF(BH452=Constants!$B$4,COUNTA($C$8:$C$507)+2,IF(BH452=Constants!$B$5,COUNTA($C$8:$C$507)+1,IF(BH452=Constants!$B$6,COUNTA($C$8:$C$507),BH452))))</f>
        <v/>
      </c>
      <c r="BJ452" s="5"/>
      <c r="BK452" s="67" t="n">
        <f aca="false">IF(OR(ISNUMBER(BH452),BH452=Constants!$B$4,BH452=Constants!$B$6,BH452=Constants!$B$5),1,0)</f>
        <v>0</v>
      </c>
      <c r="BL452" s="67" t="n">
        <v>445</v>
      </c>
      <c r="BM452" s="67" t="str">
        <f aca="false">IF(ISBLANK($C452),"",IF(ISNUMBER(BI452),BI452+ROW($B452)/1000,""))</f>
        <v/>
      </c>
      <c r="BN452" s="67" t="str">
        <f aca="false">IF(ISNUMBER(BM452),RANK(BM452,$BM$8:$BM$507,1),"")</f>
        <v/>
      </c>
      <c r="BO452" s="67" t="str">
        <f aca="false">IF(ISBLANK($C452),"",$B452)</f>
        <v/>
      </c>
      <c r="BP452" s="67" t="str">
        <f aca="false">IF(ISBLANK($C452),"",$C452)</f>
        <v/>
      </c>
      <c r="BQ452" s="67" t="str">
        <f aca="false">IF(ISBLANK($C452),"",$D452)</f>
        <v/>
      </c>
      <c r="BR452" s="68" t="str">
        <f aca="false">BF452</f>
        <v/>
      </c>
      <c r="BS452" s="69" t="str">
        <f aca="false">BE452</f>
        <v/>
      </c>
      <c r="BT452" s="67" t="str">
        <f aca="false">IF(ISBLANK($C452),"",BH452)</f>
        <v/>
      </c>
      <c r="BU452" s="70" t="str">
        <f aca="false">IF($BL452&gt;$BK$7,"",VLOOKUP($BL452,$BN$8:$BT$507,7,FALSE()))</f>
        <v/>
      </c>
      <c r="BV452" s="71" t="str">
        <f aca="false">IF($BL452&gt;$BK$7,"",VLOOKUP($BL452,$BN$8:$BT$507,2,FALSE()))</f>
        <v/>
      </c>
      <c r="BW452" s="71" t="str">
        <f aca="false">IF($BL452&gt;$BK$7,"",VLOOKUP($BL452,$BN$8:$BT$507,3,FALSE()))</f>
        <v/>
      </c>
      <c r="BX452" s="71" t="str">
        <f aca="false">IF($BL452&gt;$BK$7,"",VLOOKUP($BL452,$BN$8:$BT$507,4,FALSE()))</f>
        <v/>
      </c>
      <c r="BY452" s="71" t="str">
        <f aca="false">IF($BL452&gt;$BK$7,"",VLOOKUP($BL452,$BN$8:$BT$507,5,FALSE()))</f>
        <v/>
      </c>
      <c r="BZ452" s="72" t="str">
        <f aca="false">IF($BL452&gt;$BK$7,"",VLOOKUP($BL452,$BN$8:$BT$507,6,FALSE()))</f>
        <v/>
      </c>
      <c r="CA452" s="48"/>
    </row>
    <row r="453" customFormat="false" ht="15.75" hidden="false" customHeight="false" outlineLevel="0" collapsed="false">
      <c r="A453" s="5"/>
      <c r="B453" s="121"/>
      <c r="C453" s="50"/>
      <c r="D453" s="51"/>
      <c r="E453" s="74"/>
      <c r="F453" s="122"/>
      <c r="G453" s="54"/>
      <c r="H453" s="123"/>
      <c r="I453" s="124"/>
      <c r="J453" s="54"/>
      <c r="K453" s="123"/>
      <c r="L453" s="54"/>
      <c r="M453" s="123"/>
      <c r="N453" s="54"/>
      <c r="O453" s="123"/>
      <c r="P453" s="54"/>
      <c r="Q453" s="123"/>
      <c r="R453" s="54"/>
      <c r="S453" s="74"/>
      <c r="T453" s="58"/>
      <c r="U453" s="59" t="str">
        <f aca="false">IF(ISBLANK($C453),"",IF(E453=Constants!$B$2, TRUE(), IF(E453=Constants!$B$3, FALSE(), TRUE())))</f>
        <v/>
      </c>
      <c r="V453" s="59" t="str">
        <f aca="false">IF(ISBLANK($C453),"",IF(F453=Constants!$B$2, TRUE(), IF(F453=Constants!$B$3, FALSE(), TRUE())))</f>
        <v/>
      </c>
      <c r="W453" s="59" t="str">
        <f aca="false">IF(ISBLANK($C453),"",IF(G453=Constants!$B$15,Constants!$B$8,IF(G453=Constants!$B$16,Constants!$B$9,Constants!$B$10)))</f>
        <v/>
      </c>
      <c r="X453" s="59" t="str">
        <f aca="false">IF(ISBLANK($C453),"",IF(H453=Constants!$B$2, TRUE(), IF(H453=Constants!$B$3, FALSE(), TRUE())))</f>
        <v/>
      </c>
      <c r="Y453" s="59" t="str">
        <f aca="false">IF(ISBLANK($C453),"",IF(I453=Constants!$B$19,Constants!$B$19,Constants!$B$18))</f>
        <v/>
      </c>
      <c r="Z453" s="59" t="str">
        <f aca="false">IF(ISBLANK($C453),"",IF(ISNUMBER(J453),IF(J453&gt;=0,J453,""),""))</f>
        <v/>
      </c>
      <c r="AA453" s="59" t="str">
        <f aca="false">IF(ISBLANK($C453),"",IF(K453=Constants!$B$19,Constants!$B$19,Constants!$B$18))</f>
        <v/>
      </c>
      <c r="AB453" s="59" t="str">
        <f aca="false">IF(ISBLANK($C453),"",IF(ISNUMBER(L453),IF(L453&gt;=0,L453,""),""))</f>
        <v/>
      </c>
      <c r="AC453" s="59" t="str">
        <f aca="false">IF(ISBLANK($C453),"",IF(M453=Constants!$B$19,Constants!$B$19,Constants!$B$18))</f>
        <v/>
      </c>
      <c r="AD453" s="59" t="str">
        <f aca="false">IF(ISBLANK($C453),"",IF(ISNUMBER(N453),IF(N453&gt;=0,N453,""),""))</f>
        <v/>
      </c>
      <c r="AE453" s="59" t="str">
        <f aca="false">IF(ISBLANK($C453),"",IF(O453=Constants!$B$19,Constants!$B$19,Constants!$B$18))</f>
        <v/>
      </c>
      <c r="AF453" s="59" t="str">
        <f aca="false">IF(ISBLANK($C453),"",IF(ISNUMBER(P453),IF(P453&gt;=0,P453,""),""))</f>
        <v/>
      </c>
      <c r="AG453" s="59" t="str">
        <f aca="false">IF(ISBLANK($C453),"",IF(Q453=Constants!$B$19,Constants!$B$19,Constants!$B$18))</f>
        <v/>
      </c>
      <c r="AH453" s="59" t="str">
        <f aca="false">IF(ISBLANK($C453),"",IF(ISNUMBER(R453),IF(R453&gt;=0,R453,""),""))</f>
        <v/>
      </c>
      <c r="AI453" s="59" t="str">
        <f aca="false">IF(ISBLANK($C453),"",IF(S453=Constants!$B$2, TRUE(), IF(S453=Constants!$B$3, FALSE(), FALSE())))</f>
        <v/>
      </c>
      <c r="AJ453" s="59" t="str">
        <f aca="false">IF(ISBLANK($C453),"",IF(AI453,Constants!$B$4,IF(COUNTA(E453:R453)=0,Constants!$B$5,IF(COUNTA(J453,L453,N453,P453,R453)=0,Constants!$B$6,Constants!$B$7))))</f>
        <v/>
      </c>
      <c r="AK453" s="59" t="str">
        <f aca="false">IF(ISBLANK($C453),"",IF($AJ453&lt;&gt;Constants!$B$7,$AJ453,IF(OR(NOT(X453),AND(NOT(U453),COUNTIFS(Y453:AG453,Constants!$B$18,Z453:AH453,"&gt;=0")&gt;0),AND(NOT(V453),COUNTIFS(Y453:AG453,Constants!$B$19,Z453:AH453,"&gt;=0")&gt;0)),Constants!$B$12,Constants!$B$11)))</f>
        <v/>
      </c>
      <c r="AL453" s="59" t="str">
        <f aca="false">IF($AJ453=Constants!$B$7,IF(Z453="",Constants!$B$13,Z453),"")</f>
        <v/>
      </c>
      <c r="AM453" s="59" t="str">
        <f aca="false">IF($AJ453=Constants!$B$7,IF(AB453="",Constants!$B$13,AB453),"")</f>
        <v/>
      </c>
      <c r="AN453" s="59" t="str">
        <f aca="false">IF($AJ453=Constants!$B$7,IF(AD453="",Constants!$B$13,AD453),"")</f>
        <v/>
      </c>
      <c r="AO453" s="59" t="str">
        <f aca="false">IF($AJ453=Constants!$B$7,IF(AF453="",Constants!$B$13,AF453),"")</f>
        <v/>
      </c>
      <c r="AP453" s="59" t="str">
        <f aca="false">IF($AJ453=Constants!$B$7,IF(AH453="",Constants!$B$13,AH453),"")</f>
        <v/>
      </c>
      <c r="AQ453" s="59" t="str">
        <f aca="false">IF($AJ453=Constants!$B$7,IF(SUMPRODUCT(--($AL453:$AP453&gt;AL453))+SUMPRODUCT(--($AL453:AL453=AL453))=1,1,IF(SUMPRODUCT(--($AL453:$AP453&gt;AM453))+SUMPRODUCT(--($AL453:AM453=AM453))=1,2,IF(SUMPRODUCT(--($AL453:$AP453&gt;AN453))+SUMPRODUCT(--($AL453:AN453=AN453))=1,3,IF(SUMPRODUCT(--($AL453:$AP453&gt;AO453))+SUMPRODUCT(--($AL453:AO453=AO453))=1,4,5)))),"")</f>
        <v/>
      </c>
      <c r="AR453" s="59" t="str">
        <f aca="false">IF($AJ453=Constants!$B$7,IF(SUMPRODUCT(--($AL453:$AP453&gt;AL453))+SUMPRODUCT(--($AL453:AL453=AL453))=2,1,IF(SUMPRODUCT(--($AL453:$AP453&gt;AM453))+SUMPRODUCT(--($AL453:AM453=AM453))=2,2,IF(SUMPRODUCT(--($AL453:$AP453&gt;AN453))+SUMPRODUCT(--($AL453:AN453=AN453))=2,3,IF(SUMPRODUCT(--($AL453:$AP453&gt;AO453))+SUMPRODUCT(--($AL453:AO453=AO453))=2,4,5)))),"")</f>
        <v/>
      </c>
      <c r="AS453" s="59" t="str">
        <f aca="false">IF($AJ453=Constants!$B$7,IF(SUMPRODUCT(--($AL453:$AP453&gt;AL453))+SUMPRODUCT(--($AL453:AL453=AL453))=3,1,IF(SUMPRODUCT(--($AL453:$AP453&gt;AM453))+SUMPRODUCT(--($AL453:AM453=AM453))=3,2,IF(SUMPRODUCT(--($AL453:$AP453&gt;AN453))+SUMPRODUCT(--($AL453:AN453=AN453))=3,3,IF(SUMPRODUCT(--($AL453:$AP453&gt;AO453))+SUMPRODUCT(--($AL453:AO453=AO453))=3,4,5)))),"")</f>
        <v/>
      </c>
      <c r="AT453" s="59" t="str">
        <f aca="false">IF($AJ453=Constants!$B$7,LARGE(AL453:AP453,1)+LARGE(AL453:AP453,2)+LARGE(AL453:AP453,3),"")</f>
        <v/>
      </c>
      <c r="AU453" s="59" t="str">
        <f aca="false">IF(ISBLANK($C453),"",IF($AJ453&lt;&gt;Constants!$B$7,$AJ453,AT453*W453))</f>
        <v/>
      </c>
      <c r="AV453" s="59" t="str">
        <f aca="false">IF(ISBLANK($C453),"",IF($AJ453=Constants!$B$7,IF(ISNUMBER(AU453),RANK(AU453,$AU$8:$AU$507),Constants!$B$14),$AJ453))</f>
        <v/>
      </c>
      <c r="AW453" s="59" t="str">
        <f aca="false">IF(ISBLANK($C453),"",IF($AJ453=Constants!$B$7,IF(ISNUMBER(AV453),COUNTIFS($AK$8:$AK$507,"&lt;"&amp;$AK453)+COUNTIFS($AK$8:$AK$507,$AK453,$AV$8:$AV$507,"&lt;"&amp;$AV453)+1,Constants!$B$14),$AJ453))</f>
        <v/>
      </c>
      <c r="AX453" s="59" t="str">
        <f aca="false">IF(ISBLANK($C453),"",IF($AJ453=Constants!$B$7,LARGE(AL453:AP453,4)*W453,""))</f>
        <v/>
      </c>
      <c r="AY453" s="59" t="str">
        <f aca="false">IF(ISBLANK($C453),"",IF($AJ453=Constants!$B$7,RANK(AX453,$AX$8:$AX$507),$AJ453))</f>
        <v/>
      </c>
      <c r="AZ453" s="59" t="str">
        <f aca="false">IF(ISBLANK($C453),"",IF($AJ453=Constants!$B$7,IF(ISNUMBER(AV453),COUNTIFS($AK$8:$AK$507,"&lt;"&amp;$AK453)+COUNTIFS($AK$8:$AK$507,$AK453,$AV$8:$AV$507,"&lt;"&amp;$AV453)+COUNTIFS($AK$8:$AK$507,$AK453,$AV$8:$AV$507,$AV453,$AY$8:$AY$507,"&lt;"&amp;$AY453)+1,Constants!$B$14),$AJ453))</f>
        <v/>
      </c>
      <c r="BA453" s="59" t="str">
        <f aca="false">IF(ISBLANK($C453),"",IF($AJ453=Constants!$B$7,IF(ISNUMBER(AW453),AW453-AZ453,Constants!$B$14),$AJ453))</f>
        <v/>
      </c>
      <c r="BB453" s="61"/>
      <c r="BC453" s="62" t="str">
        <f aca="false">IF(ISBLANK($C453),"",IF($AJ453&lt;&gt;Constants!$B$7,$AJ453,SMALL(AQ453:AS453,1)&amp;", "&amp;SMALL(AQ453:AS453,2)&amp;", "&amp;SMALL(AQ453:AS453,3)))</f>
        <v/>
      </c>
      <c r="BD453" s="63" t="str">
        <f aca="false">IF(ISBLANK($C453),"",IF($AJ453&lt;&gt;Constants!$B$7,$AJ453,W453))</f>
        <v/>
      </c>
      <c r="BE453" s="64" t="str">
        <f aca="false">IF(ISBLANK($C453),"",IF($AJ453&lt;&gt;Constants!$B$7,$AJ453,AU453))</f>
        <v/>
      </c>
      <c r="BF453" s="65" t="str">
        <f aca="false">IF(ISBLANK($C453),"",IF($AJ453&lt;&gt;Constants!$B$7,$AJ453,AK453))</f>
        <v/>
      </c>
      <c r="BG453" s="63" t="str">
        <f aca="false">IF(ISBLANK($C453),"",BA453)</f>
        <v/>
      </c>
      <c r="BH453" s="63" t="str">
        <f aca="false">IF(ISBLANK($C453),"",AZ453)</f>
        <v/>
      </c>
      <c r="BI453" s="66" t="str">
        <f aca="false">IF(ISBLANK($C453),"",IF(BH453=Constants!$B$4,COUNTA($C$8:$C$507)+2,IF(BH453=Constants!$B$5,COUNTA($C$8:$C$507)+1,IF(BH453=Constants!$B$6,COUNTA($C$8:$C$507),BH453))))</f>
        <v/>
      </c>
      <c r="BJ453" s="5"/>
      <c r="BK453" s="67" t="n">
        <f aca="false">IF(OR(ISNUMBER(BH453),BH453=Constants!$B$4,BH453=Constants!$B$6,BH453=Constants!$B$5),1,0)</f>
        <v>0</v>
      </c>
      <c r="BL453" s="67" t="n">
        <v>446</v>
      </c>
      <c r="BM453" s="67" t="str">
        <f aca="false">IF(ISBLANK($C453),"",IF(ISNUMBER(BI453),BI453+ROW($B453)/1000,""))</f>
        <v/>
      </c>
      <c r="BN453" s="67" t="str">
        <f aca="false">IF(ISNUMBER(BM453),RANK(BM453,$BM$8:$BM$507,1),"")</f>
        <v/>
      </c>
      <c r="BO453" s="67" t="str">
        <f aca="false">IF(ISBLANK($C453),"",$B453)</f>
        <v/>
      </c>
      <c r="BP453" s="67" t="str">
        <f aca="false">IF(ISBLANK($C453),"",$C453)</f>
        <v/>
      </c>
      <c r="BQ453" s="67" t="str">
        <f aca="false">IF(ISBLANK($C453),"",$D453)</f>
        <v/>
      </c>
      <c r="BR453" s="68" t="str">
        <f aca="false">BF453</f>
        <v/>
      </c>
      <c r="BS453" s="69" t="str">
        <f aca="false">BE453</f>
        <v/>
      </c>
      <c r="BT453" s="67" t="str">
        <f aca="false">IF(ISBLANK($C453),"",BH453)</f>
        <v/>
      </c>
      <c r="BU453" s="70" t="str">
        <f aca="false">IF($BL453&gt;$BK$7,"",VLOOKUP($BL453,$BN$8:$BT$507,7,FALSE()))</f>
        <v/>
      </c>
      <c r="BV453" s="71" t="str">
        <f aca="false">IF($BL453&gt;$BK$7,"",VLOOKUP($BL453,$BN$8:$BT$507,2,FALSE()))</f>
        <v/>
      </c>
      <c r="BW453" s="71" t="str">
        <f aca="false">IF($BL453&gt;$BK$7,"",VLOOKUP($BL453,$BN$8:$BT$507,3,FALSE()))</f>
        <v/>
      </c>
      <c r="BX453" s="71" t="str">
        <f aca="false">IF($BL453&gt;$BK$7,"",VLOOKUP($BL453,$BN$8:$BT$507,4,FALSE()))</f>
        <v/>
      </c>
      <c r="BY453" s="71" t="str">
        <f aca="false">IF($BL453&gt;$BK$7,"",VLOOKUP($BL453,$BN$8:$BT$507,5,FALSE()))</f>
        <v/>
      </c>
      <c r="BZ453" s="72" t="str">
        <f aca="false">IF($BL453&gt;$BK$7,"",VLOOKUP($BL453,$BN$8:$BT$507,6,FALSE()))</f>
        <v/>
      </c>
      <c r="CA453" s="48"/>
    </row>
    <row r="454" customFormat="false" ht="15.75" hidden="false" customHeight="false" outlineLevel="0" collapsed="false">
      <c r="A454" s="5"/>
      <c r="B454" s="121"/>
      <c r="C454" s="50"/>
      <c r="D454" s="51"/>
      <c r="E454" s="74"/>
      <c r="F454" s="122"/>
      <c r="G454" s="54"/>
      <c r="H454" s="123"/>
      <c r="I454" s="124"/>
      <c r="J454" s="54"/>
      <c r="K454" s="123"/>
      <c r="L454" s="54"/>
      <c r="M454" s="123"/>
      <c r="N454" s="54"/>
      <c r="O454" s="123"/>
      <c r="P454" s="54"/>
      <c r="Q454" s="123"/>
      <c r="R454" s="54"/>
      <c r="S454" s="74"/>
      <c r="T454" s="58"/>
      <c r="U454" s="59" t="str">
        <f aca="false">IF(ISBLANK($C454),"",IF(E454=Constants!$B$2, TRUE(), IF(E454=Constants!$B$3, FALSE(), TRUE())))</f>
        <v/>
      </c>
      <c r="V454" s="59" t="str">
        <f aca="false">IF(ISBLANK($C454),"",IF(F454=Constants!$B$2, TRUE(), IF(F454=Constants!$B$3, FALSE(), TRUE())))</f>
        <v/>
      </c>
      <c r="W454" s="59" t="str">
        <f aca="false">IF(ISBLANK($C454),"",IF(G454=Constants!$B$15,Constants!$B$8,IF(G454=Constants!$B$16,Constants!$B$9,Constants!$B$10)))</f>
        <v/>
      </c>
      <c r="X454" s="59" t="str">
        <f aca="false">IF(ISBLANK($C454),"",IF(H454=Constants!$B$2, TRUE(), IF(H454=Constants!$B$3, FALSE(), TRUE())))</f>
        <v/>
      </c>
      <c r="Y454" s="59" t="str">
        <f aca="false">IF(ISBLANK($C454),"",IF(I454=Constants!$B$19,Constants!$B$19,Constants!$B$18))</f>
        <v/>
      </c>
      <c r="Z454" s="59" t="str">
        <f aca="false">IF(ISBLANK($C454),"",IF(ISNUMBER(J454),IF(J454&gt;=0,J454,""),""))</f>
        <v/>
      </c>
      <c r="AA454" s="59" t="str">
        <f aca="false">IF(ISBLANK($C454),"",IF(K454=Constants!$B$19,Constants!$B$19,Constants!$B$18))</f>
        <v/>
      </c>
      <c r="AB454" s="59" t="str">
        <f aca="false">IF(ISBLANK($C454),"",IF(ISNUMBER(L454),IF(L454&gt;=0,L454,""),""))</f>
        <v/>
      </c>
      <c r="AC454" s="59" t="str">
        <f aca="false">IF(ISBLANK($C454),"",IF(M454=Constants!$B$19,Constants!$B$19,Constants!$B$18))</f>
        <v/>
      </c>
      <c r="AD454" s="59" t="str">
        <f aca="false">IF(ISBLANK($C454),"",IF(ISNUMBER(N454),IF(N454&gt;=0,N454,""),""))</f>
        <v/>
      </c>
      <c r="AE454" s="59" t="str">
        <f aca="false">IF(ISBLANK($C454),"",IF(O454=Constants!$B$19,Constants!$B$19,Constants!$B$18))</f>
        <v/>
      </c>
      <c r="AF454" s="59" t="str">
        <f aca="false">IF(ISBLANK($C454),"",IF(ISNUMBER(P454),IF(P454&gt;=0,P454,""),""))</f>
        <v/>
      </c>
      <c r="AG454" s="59" t="str">
        <f aca="false">IF(ISBLANK($C454),"",IF(Q454=Constants!$B$19,Constants!$B$19,Constants!$B$18))</f>
        <v/>
      </c>
      <c r="AH454" s="59" t="str">
        <f aca="false">IF(ISBLANK($C454),"",IF(ISNUMBER(R454),IF(R454&gt;=0,R454,""),""))</f>
        <v/>
      </c>
      <c r="AI454" s="59" t="str">
        <f aca="false">IF(ISBLANK($C454),"",IF(S454=Constants!$B$2, TRUE(), IF(S454=Constants!$B$3, FALSE(), FALSE())))</f>
        <v/>
      </c>
      <c r="AJ454" s="59" t="str">
        <f aca="false">IF(ISBLANK($C454),"",IF(AI454,Constants!$B$4,IF(COUNTA(E454:R454)=0,Constants!$B$5,IF(COUNTA(J454,L454,N454,P454,R454)=0,Constants!$B$6,Constants!$B$7))))</f>
        <v/>
      </c>
      <c r="AK454" s="59" t="str">
        <f aca="false">IF(ISBLANK($C454),"",IF($AJ454&lt;&gt;Constants!$B$7,$AJ454,IF(OR(NOT(X454),AND(NOT(U454),COUNTIFS(Y454:AG454,Constants!$B$18,Z454:AH454,"&gt;=0")&gt;0),AND(NOT(V454),COUNTIFS(Y454:AG454,Constants!$B$19,Z454:AH454,"&gt;=0")&gt;0)),Constants!$B$12,Constants!$B$11)))</f>
        <v/>
      </c>
      <c r="AL454" s="59" t="str">
        <f aca="false">IF($AJ454=Constants!$B$7,IF(Z454="",Constants!$B$13,Z454),"")</f>
        <v/>
      </c>
      <c r="AM454" s="59" t="str">
        <f aca="false">IF($AJ454=Constants!$B$7,IF(AB454="",Constants!$B$13,AB454),"")</f>
        <v/>
      </c>
      <c r="AN454" s="59" t="str">
        <f aca="false">IF($AJ454=Constants!$B$7,IF(AD454="",Constants!$B$13,AD454),"")</f>
        <v/>
      </c>
      <c r="AO454" s="59" t="str">
        <f aca="false">IF($AJ454=Constants!$B$7,IF(AF454="",Constants!$B$13,AF454),"")</f>
        <v/>
      </c>
      <c r="AP454" s="59" t="str">
        <f aca="false">IF($AJ454=Constants!$B$7,IF(AH454="",Constants!$B$13,AH454),"")</f>
        <v/>
      </c>
      <c r="AQ454" s="59" t="str">
        <f aca="false">IF($AJ454=Constants!$B$7,IF(SUMPRODUCT(--($AL454:$AP454&gt;AL454))+SUMPRODUCT(--($AL454:AL454=AL454))=1,1,IF(SUMPRODUCT(--($AL454:$AP454&gt;AM454))+SUMPRODUCT(--($AL454:AM454=AM454))=1,2,IF(SUMPRODUCT(--($AL454:$AP454&gt;AN454))+SUMPRODUCT(--($AL454:AN454=AN454))=1,3,IF(SUMPRODUCT(--($AL454:$AP454&gt;AO454))+SUMPRODUCT(--($AL454:AO454=AO454))=1,4,5)))),"")</f>
        <v/>
      </c>
      <c r="AR454" s="59" t="str">
        <f aca="false">IF($AJ454=Constants!$B$7,IF(SUMPRODUCT(--($AL454:$AP454&gt;AL454))+SUMPRODUCT(--($AL454:AL454=AL454))=2,1,IF(SUMPRODUCT(--($AL454:$AP454&gt;AM454))+SUMPRODUCT(--($AL454:AM454=AM454))=2,2,IF(SUMPRODUCT(--($AL454:$AP454&gt;AN454))+SUMPRODUCT(--($AL454:AN454=AN454))=2,3,IF(SUMPRODUCT(--($AL454:$AP454&gt;AO454))+SUMPRODUCT(--($AL454:AO454=AO454))=2,4,5)))),"")</f>
        <v/>
      </c>
      <c r="AS454" s="59" t="str">
        <f aca="false">IF($AJ454=Constants!$B$7,IF(SUMPRODUCT(--($AL454:$AP454&gt;AL454))+SUMPRODUCT(--($AL454:AL454=AL454))=3,1,IF(SUMPRODUCT(--($AL454:$AP454&gt;AM454))+SUMPRODUCT(--($AL454:AM454=AM454))=3,2,IF(SUMPRODUCT(--($AL454:$AP454&gt;AN454))+SUMPRODUCT(--($AL454:AN454=AN454))=3,3,IF(SUMPRODUCT(--($AL454:$AP454&gt;AO454))+SUMPRODUCT(--($AL454:AO454=AO454))=3,4,5)))),"")</f>
        <v/>
      </c>
      <c r="AT454" s="59" t="str">
        <f aca="false">IF($AJ454=Constants!$B$7,LARGE(AL454:AP454,1)+LARGE(AL454:AP454,2)+LARGE(AL454:AP454,3),"")</f>
        <v/>
      </c>
      <c r="AU454" s="59" t="str">
        <f aca="false">IF(ISBLANK($C454),"",IF($AJ454&lt;&gt;Constants!$B$7,$AJ454,AT454*W454))</f>
        <v/>
      </c>
      <c r="AV454" s="59" t="str">
        <f aca="false">IF(ISBLANK($C454),"",IF($AJ454=Constants!$B$7,IF(ISNUMBER(AU454),RANK(AU454,$AU$8:$AU$507),Constants!$B$14),$AJ454))</f>
        <v/>
      </c>
      <c r="AW454" s="59" t="str">
        <f aca="false">IF(ISBLANK($C454),"",IF($AJ454=Constants!$B$7,IF(ISNUMBER(AV454),COUNTIFS($AK$8:$AK$507,"&lt;"&amp;$AK454)+COUNTIFS($AK$8:$AK$507,$AK454,$AV$8:$AV$507,"&lt;"&amp;$AV454)+1,Constants!$B$14),$AJ454))</f>
        <v/>
      </c>
      <c r="AX454" s="59" t="str">
        <f aca="false">IF(ISBLANK($C454),"",IF($AJ454=Constants!$B$7,LARGE(AL454:AP454,4)*W454,""))</f>
        <v/>
      </c>
      <c r="AY454" s="59" t="str">
        <f aca="false">IF(ISBLANK($C454),"",IF($AJ454=Constants!$B$7,RANK(AX454,$AX$8:$AX$507),$AJ454))</f>
        <v/>
      </c>
      <c r="AZ454" s="59" t="str">
        <f aca="false">IF(ISBLANK($C454),"",IF($AJ454=Constants!$B$7,IF(ISNUMBER(AV454),COUNTIFS($AK$8:$AK$507,"&lt;"&amp;$AK454)+COUNTIFS($AK$8:$AK$507,$AK454,$AV$8:$AV$507,"&lt;"&amp;$AV454)+COUNTIFS($AK$8:$AK$507,$AK454,$AV$8:$AV$507,$AV454,$AY$8:$AY$507,"&lt;"&amp;$AY454)+1,Constants!$B$14),$AJ454))</f>
        <v/>
      </c>
      <c r="BA454" s="59" t="str">
        <f aca="false">IF(ISBLANK($C454),"",IF($AJ454=Constants!$B$7,IF(ISNUMBER(AW454),AW454-AZ454,Constants!$B$14),$AJ454))</f>
        <v/>
      </c>
      <c r="BB454" s="61"/>
      <c r="BC454" s="62" t="str">
        <f aca="false">IF(ISBLANK($C454),"",IF($AJ454&lt;&gt;Constants!$B$7,$AJ454,SMALL(AQ454:AS454,1)&amp;", "&amp;SMALL(AQ454:AS454,2)&amp;", "&amp;SMALL(AQ454:AS454,3)))</f>
        <v/>
      </c>
      <c r="BD454" s="63" t="str">
        <f aca="false">IF(ISBLANK($C454),"",IF($AJ454&lt;&gt;Constants!$B$7,$AJ454,W454))</f>
        <v/>
      </c>
      <c r="BE454" s="64" t="str">
        <f aca="false">IF(ISBLANK($C454),"",IF($AJ454&lt;&gt;Constants!$B$7,$AJ454,AU454))</f>
        <v/>
      </c>
      <c r="BF454" s="65" t="str">
        <f aca="false">IF(ISBLANK($C454),"",IF($AJ454&lt;&gt;Constants!$B$7,$AJ454,AK454))</f>
        <v/>
      </c>
      <c r="BG454" s="63" t="str">
        <f aca="false">IF(ISBLANK($C454),"",BA454)</f>
        <v/>
      </c>
      <c r="BH454" s="63" t="str">
        <f aca="false">IF(ISBLANK($C454),"",AZ454)</f>
        <v/>
      </c>
      <c r="BI454" s="66" t="str">
        <f aca="false">IF(ISBLANK($C454),"",IF(BH454=Constants!$B$4,COUNTA($C$8:$C$507)+2,IF(BH454=Constants!$B$5,COUNTA($C$8:$C$507)+1,IF(BH454=Constants!$B$6,COUNTA($C$8:$C$507),BH454))))</f>
        <v/>
      </c>
      <c r="BJ454" s="5"/>
      <c r="BK454" s="67" t="n">
        <f aca="false">IF(OR(ISNUMBER(BH454),BH454=Constants!$B$4,BH454=Constants!$B$6,BH454=Constants!$B$5),1,0)</f>
        <v>0</v>
      </c>
      <c r="BL454" s="67" t="n">
        <v>447</v>
      </c>
      <c r="BM454" s="67" t="str">
        <f aca="false">IF(ISBLANK($C454),"",IF(ISNUMBER(BI454),BI454+ROW($B454)/1000,""))</f>
        <v/>
      </c>
      <c r="BN454" s="67" t="str">
        <f aca="false">IF(ISNUMBER(BM454),RANK(BM454,$BM$8:$BM$507,1),"")</f>
        <v/>
      </c>
      <c r="BO454" s="67" t="str">
        <f aca="false">IF(ISBLANK($C454),"",$B454)</f>
        <v/>
      </c>
      <c r="BP454" s="67" t="str">
        <f aca="false">IF(ISBLANK($C454),"",$C454)</f>
        <v/>
      </c>
      <c r="BQ454" s="67" t="str">
        <f aca="false">IF(ISBLANK($C454),"",$D454)</f>
        <v/>
      </c>
      <c r="BR454" s="68" t="str">
        <f aca="false">BF454</f>
        <v/>
      </c>
      <c r="BS454" s="69" t="str">
        <f aca="false">BE454</f>
        <v/>
      </c>
      <c r="BT454" s="67" t="str">
        <f aca="false">IF(ISBLANK($C454),"",BH454)</f>
        <v/>
      </c>
      <c r="BU454" s="70" t="str">
        <f aca="false">IF($BL454&gt;$BK$7,"",VLOOKUP($BL454,$BN$8:$BT$507,7,FALSE()))</f>
        <v/>
      </c>
      <c r="BV454" s="71" t="str">
        <f aca="false">IF($BL454&gt;$BK$7,"",VLOOKUP($BL454,$BN$8:$BT$507,2,FALSE()))</f>
        <v/>
      </c>
      <c r="BW454" s="71" t="str">
        <f aca="false">IF($BL454&gt;$BK$7,"",VLOOKUP($BL454,$BN$8:$BT$507,3,FALSE()))</f>
        <v/>
      </c>
      <c r="BX454" s="71" t="str">
        <f aca="false">IF($BL454&gt;$BK$7,"",VLOOKUP($BL454,$BN$8:$BT$507,4,FALSE()))</f>
        <v/>
      </c>
      <c r="BY454" s="71" t="str">
        <f aca="false">IF($BL454&gt;$BK$7,"",VLOOKUP($BL454,$BN$8:$BT$507,5,FALSE()))</f>
        <v/>
      </c>
      <c r="BZ454" s="72" t="str">
        <f aca="false">IF($BL454&gt;$BK$7,"",VLOOKUP($BL454,$BN$8:$BT$507,6,FALSE()))</f>
        <v/>
      </c>
      <c r="CA454" s="48"/>
    </row>
    <row r="455" customFormat="false" ht="15.75" hidden="false" customHeight="false" outlineLevel="0" collapsed="false">
      <c r="A455" s="5"/>
      <c r="B455" s="114"/>
      <c r="C455" s="115"/>
      <c r="D455" s="100"/>
      <c r="E455" s="120"/>
      <c r="F455" s="125"/>
      <c r="G455" s="82"/>
      <c r="H455" s="126"/>
      <c r="I455" s="127"/>
      <c r="J455" s="82"/>
      <c r="K455" s="126"/>
      <c r="L455" s="82"/>
      <c r="M455" s="126"/>
      <c r="N455" s="82"/>
      <c r="O455" s="126"/>
      <c r="P455" s="82"/>
      <c r="Q455" s="126"/>
      <c r="R455" s="82"/>
      <c r="S455" s="120"/>
      <c r="T455" s="86"/>
      <c r="U455" s="87" t="str">
        <f aca="false">IF(ISBLANK($C455),"",IF(E455=Constants!$B$2, TRUE(), IF(E455=Constants!$B$3, FALSE(), TRUE())))</f>
        <v/>
      </c>
      <c r="V455" s="87" t="str">
        <f aca="false">IF(ISBLANK($C455),"",IF(F455=Constants!$B$2, TRUE(), IF(F455=Constants!$B$3, FALSE(), TRUE())))</f>
        <v/>
      </c>
      <c r="W455" s="87" t="str">
        <f aca="false">IF(ISBLANK($C455),"",IF(G455=Constants!$B$15,Constants!$B$8,IF(G455=Constants!$B$16,Constants!$B$9,Constants!$B$10)))</f>
        <v/>
      </c>
      <c r="X455" s="87" t="str">
        <f aca="false">IF(ISBLANK($C455),"",IF(H455=Constants!$B$2, TRUE(), IF(H455=Constants!$B$3, FALSE(), TRUE())))</f>
        <v/>
      </c>
      <c r="Y455" s="87" t="str">
        <f aca="false">IF(ISBLANK($C455),"",IF(I455=Constants!$B$19,Constants!$B$19,Constants!$B$18))</f>
        <v/>
      </c>
      <c r="Z455" s="87" t="str">
        <f aca="false">IF(ISBLANK($C455),"",IF(ISNUMBER(J455),IF(J455&gt;=0,J455,""),""))</f>
        <v/>
      </c>
      <c r="AA455" s="87" t="str">
        <f aca="false">IF(ISBLANK($C455),"",IF(K455=Constants!$B$19,Constants!$B$19,Constants!$B$18))</f>
        <v/>
      </c>
      <c r="AB455" s="87" t="str">
        <f aca="false">IF(ISBLANK($C455),"",IF(ISNUMBER(L455),IF(L455&gt;=0,L455,""),""))</f>
        <v/>
      </c>
      <c r="AC455" s="87" t="str">
        <f aca="false">IF(ISBLANK($C455),"",IF(M455=Constants!$B$19,Constants!$B$19,Constants!$B$18))</f>
        <v/>
      </c>
      <c r="AD455" s="87" t="str">
        <f aca="false">IF(ISBLANK($C455),"",IF(ISNUMBER(N455),IF(N455&gt;=0,N455,""),""))</f>
        <v/>
      </c>
      <c r="AE455" s="87" t="str">
        <f aca="false">IF(ISBLANK($C455),"",IF(O455=Constants!$B$19,Constants!$B$19,Constants!$B$18))</f>
        <v/>
      </c>
      <c r="AF455" s="87" t="str">
        <f aca="false">IF(ISBLANK($C455),"",IF(ISNUMBER(P455),IF(P455&gt;=0,P455,""),""))</f>
        <v/>
      </c>
      <c r="AG455" s="87" t="str">
        <f aca="false">IF(ISBLANK($C455),"",IF(Q455=Constants!$B$19,Constants!$B$19,Constants!$B$18))</f>
        <v/>
      </c>
      <c r="AH455" s="87" t="str">
        <f aca="false">IF(ISBLANK($C455),"",IF(ISNUMBER(R455),IF(R455&gt;=0,R455,""),""))</f>
        <v/>
      </c>
      <c r="AI455" s="87" t="str">
        <f aca="false">IF(ISBLANK($C455),"",IF(S455=Constants!$B$2, TRUE(), IF(S455=Constants!$B$3, FALSE(), FALSE())))</f>
        <v/>
      </c>
      <c r="AJ455" s="87" t="str">
        <f aca="false">IF(ISBLANK($C455),"",IF(AI455,Constants!$B$4,IF(COUNTA(E455:R455)=0,Constants!$B$5,IF(COUNTA(J455,L455,N455,P455,R455)=0,Constants!$B$6,Constants!$B$7))))</f>
        <v/>
      </c>
      <c r="AK455" s="87" t="str">
        <f aca="false">IF(ISBLANK($C455),"",IF($AJ455&lt;&gt;Constants!$B$7,$AJ455,IF(OR(NOT(X455),AND(NOT(U455),COUNTIFS(Y455:AG455,Constants!$B$18,Z455:AH455,"&gt;=0")&gt;0),AND(NOT(V455),COUNTIFS(Y455:AG455,Constants!$B$19,Z455:AH455,"&gt;=0")&gt;0)),Constants!$B$12,Constants!$B$11)))</f>
        <v/>
      </c>
      <c r="AL455" s="87" t="str">
        <f aca="false">IF($AJ455=Constants!$B$7,IF(Z455="",Constants!$B$13,Z455),"")</f>
        <v/>
      </c>
      <c r="AM455" s="87" t="str">
        <f aca="false">IF($AJ455=Constants!$B$7,IF(AB455="",Constants!$B$13,AB455),"")</f>
        <v/>
      </c>
      <c r="AN455" s="87" t="str">
        <f aca="false">IF($AJ455=Constants!$B$7,IF(AD455="",Constants!$B$13,AD455),"")</f>
        <v/>
      </c>
      <c r="AO455" s="87" t="str">
        <f aca="false">IF($AJ455=Constants!$B$7,IF(AF455="",Constants!$B$13,AF455),"")</f>
        <v/>
      </c>
      <c r="AP455" s="87" t="str">
        <f aca="false">IF($AJ455=Constants!$B$7,IF(AH455="",Constants!$B$13,AH455),"")</f>
        <v/>
      </c>
      <c r="AQ455" s="87" t="str">
        <f aca="false">IF($AJ455=Constants!$B$7,IF(SUMPRODUCT(--($AL455:$AP455&gt;AL455))+SUMPRODUCT(--($AL455:AL455=AL455))=1,1,IF(SUMPRODUCT(--($AL455:$AP455&gt;AM455))+SUMPRODUCT(--($AL455:AM455=AM455))=1,2,IF(SUMPRODUCT(--($AL455:$AP455&gt;AN455))+SUMPRODUCT(--($AL455:AN455=AN455))=1,3,IF(SUMPRODUCT(--($AL455:$AP455&gt;AO455))+SUMPRODUCT(--($AL455:AO455=AO455))=1,4,5)))),"")</f>
        <v/>
      </c>
      <c r="AR455" s="87" t="str">
        <f aca="false">IF($AJ455=Constants!$B$7,IF(SUMPRODUCT(--($AL455:$AP455&gt;AL455))+SUMPRODUCT(--($AL455:AL455=AL455))=2,1,IF(SUMPRODUCT(--($AL455:$AP455&gt;AM455))+SUMPRODUCT(--($AL455:AM455=AM455))=2,2,IF(SUMPRODUCT(--($AL455:$AP455&gt;AN455))+SUMPRODUCT(--($AL455:AN455=AN455))=2,3,IF(SUMPRODUCT(--($AL455:$AP455&gt;AO455))+SUMPRODUCT(--($AL455:AO455=AO455))=2,4,5)))),"")</f>
        <v/>
      </c>
      <c r="AS455" s="87" t="str">
        <f aca="false">IF($AJ455=Constants!$B$7,IF(SUMPRODUCT(--($AL455:$AP455&gt;AL455))+SUMPRODUCT(--($AL455:AL455=AL455))=3,1,IF(SUMPRODUCT(--($AL455:$AP455&gt;AM455))+SUMPRODUCT(--($AL455:AM455=AM455))=3,2,IF(SUMPRODUCT(--($AL455:$AP455&gt;AN455))+SUMPRODUCT(--($AL455:AN455=AN455))=3,3,IF(SUMPRODUCT(--($AL455:$AP455&gt;AO455))+SUMPRODUCT(--($AL455:AO455=AO455))=3,4,5)))),"")</f>
        <v/>
      </c>
      <c r="AT455" s="87" t="str">
        <f aca="false">IF($AJ455=Constants!$B$7,LARGE(AL455:AP455,1)+LARGE(AL455:AP455,2)+LARGE(AL455:AP455,3),"")</f>
        <v/>
      </c>
      <c r="AU455" s="87" t="str">
        <f aca="false">IF(ISBLANK($C455),"",IF($AJ455&lt;&gt;Constants!$B$7,$AJ455,AT455*W455))</f>
        <v/>
      </c>
      <c r="AV455" s="87" t="str">
        <f aca="false">IF(ISBLANK($C455),"",IF($AJ455=Constants!$B$7,IF(ISNUMBER(AU455),RANK(AU455,$AU$8:$AU$507),Constants!$B$14),$AJ455))</f>
        <v/>
      </c>
      <c r="AW455" s="87" t="str">
        <f aca="false">IF(ISBLANK($C455),"",IF($AJ455=Constants!$B$7,IF(ISNUMBER(AV455),COUNTIFS($AK$8:$AK$507,"&lt;"&amp;$AK455)+COUNTIFS($AK$8:$AK$507,$AK455,$AV$8:$AV$507,"&lt;"&amp;$AV455)+1,Constants!$B$14),$AJ455))</f>
        <v/>
      </c>
      <c r="AX455" s="87" t="str">
        <f aca="false">IF(ISBLANK($C455),"",IF($AJ455=Constants!$B$7,LARGE(AL455:AP455,4)*W455,""))</f>
        <v/>
      </c>
      <c r="AY455" s="87" t="str">
        <f aca="false">IF(ISBLANK($C455),"",IF($AJ455=Constants!$B$7,RANK(AX455,$AX$8:$AX$507),$AJ455))</f>
        <v/>
      </c>
      <c r="AZ455" s="87" t="str">
        <f aca="false">IF(ISBLANK($C455),"",IF($AJ455=Constants!$B$7,IF(ISNUMBER(AV455),COUNTIFS($AK$8:$AK$507,"&lt;"&amp;$AK455)+COUNTIFS($AK$8:$AK$507,$AK455,$AV$8:$AV$507,"&lt;"&amp;$AV455)+COUNTIFS($AK$8:$AK$507,$AK455,$AV$8:$AV$507,$AV455,$AY$8:$AY$507,"&lt;"&amp;$AY455)+1,Constants!$B$14),$AJ455))</f>
        <v/>
      </c>
      <c r="BA455" s="87" t="str">
        <f aca="false">IF(ISBLANK($C455),"",IF($AJ455=Constants!$B$7,IF(ISNUMBER(AW455),AW455-AZ455,Constants!$B$14),$AJ455))</f>
        <v/>
      </c>
      <c r="BB455" s="88"/>
      <c r="BC455" s="89" t="str">
        <f aca="false">IF(ISBLANK($C455),"",IF($AJ455&lt;&gt;Constants!$B$7,$AJ455,SMALL(AQ455:AS455,1)&amp;", "&amp;SMALL(AQ455:AS455,2)&amp;", "&amp;SMALL(AQ455:AS455,3)))</f>
        <v/>
      </c>
      <c r="BD455" s="90" t="str">
        <f aca="false">IF(ISBLANK($C455),"",IF($AJ455&lt;&gt;Constants!$B$7,$AJ455,W455))</f>
        <v/>
      </c>
      <c r="BE455" s="91" t="str">
        <f aca="false">IF(ISBLANK($C455),"",IF($AJ455&lt;&gt;Constants!$B$7,$AJ455,AU455))</f>
        <v/>
      </c>
      <c r="BF455" s="92" t="str">
        <f aca="false">IF(ISBLANK($C455),"",IF($AJ455&lt;&gt;Constants!$B$7,$AJ455,AK455))</f>
        <v/>
      </c>
      <c r="BG455" s="90" t="str">
        <f aca="false">IF(ISBLANK($C455),"",BA455)</f>
        <v/>
      </c>
      <c r="BH455" s="90" t="str">
        <f aca="false">IF(ISBLANK($C455),"",AZ455)</f>
        <v/>
      </c>
      <c r="BI455" s="93" t="str">
        <f aca="false">IF(ISBLANK($C455),"",IF(BH455=Constants!$B$4,COUNTA($C$8:$C$507)+2,IF(BH455=Constants!$B$5,COUNTA($C$8:$C$507)+1,IF(BH455=Constants!$B$6,COUNTA($C$8:$C$507),BH455))))</f>
        <v/>
      </c>
      <c r="BJ455" s="5"/>
      <c r="BK455" s="94" t="n">
        <f aca="false">IF(OR(ISNUMBER(BH455),BH455=Constants!$B$4,BH455=Constants!$B$6,BH455=Constants!$B$5),1,0)</f>
        <v>0</v>
      </c>
      <c r="BL455" s="94" t="n">
        <v>448</v>
      </c>
      <c r="BM455" s="94" t="str">
        <f aca="false">IF(ISBLANK($C455),"",IF(ISNUMBER(BI455),BI455+ROW($B455)/1000,""))</f>
        <v/>
      </c>
      <c r="BN455" s="94" t="str">
        <f aca="false">IF(ISNUMBER(BM455),RANK(BM455,$BM$8:$BM$507,1),"")</f>
        <v/>
      </c>
      <c r="BO455" s="94" t="str">
        <f aca="false">IF(ISBLANK($C455),"",$B455)</f>
        <v/>
      </c>
      <c r="BP455" s="94" t="str">
        <f aca="false">IF(ISBLANK($C455),"",$C455)</f>
        <v/>
      </c>
      <c r="BQ455" s="94" t="str">
        <f aca="false">IF(ISBLANK($C455),"",$D455)</f>
        <v/>
      </c>
      <c r="BR455" s="95" t="str">
        <f aca="false">BF455</f>
        <v/>
      </c>
      <c r="BS455" s="96" t="str">
        <f aca="false">BE455</f>
        <v/>
      </c>
      <c r="BT455" s="94" t="str">
        <f aca="false">IF(ISBLANK($C455),"",BH455)</f>
        <v/>
      </c>
      <c r="BU455" s="97" t="str">
        <f aca="false">IF($BL455&gt;$BK$7,"",VLOOKUP($BL455,$BN$8:$BT$507,7,FALSE()))</f>
        <v/>
      </c>
      <c r="BV455" s="98" t="str">
        <f aca="false">IF($BL455&gt;$BK$7,"",VLOOKUP($BL455,$BN$8:$BT$507,2,FALSE()))</f>
        <v/>
      </c>
      <c r="BW455" s="98" t="str">
        <f aca="false">IF($BL455&gt;$BK$7,"",VLOOKUP($BL455,$BN$8:$BT$507,3,FALSE()))</f>
        <v/>
      </c>
      <c r="BX455" s="98" t="str">
        <f aca="false">IF($BL455&gt;$BK$7,"",VLOOKUP($BL455,$BN$8:$BT$507,4,FALSE()))</f>
        <v/>
      </c>
      <c r="BY455" s="98" t="str">
        <f aca="false">IF($BL455&gt;$BK$7,"",VLOOKUP($BL455,$BN$8:$BT$507,5,FALSE()))</f>
        <v/>
      </c>
      <c r="BZ455" s="99" t="str">
        <f aca="false">IF($BL455&gt;$BK$7,"",VLOOKUP($BL455,$BN$8:$BT$507,6,FALSE()))</f>
        <v/>
      </c>
      <c r="CA455" s="48"/>
    </row>
    <row r="456" customFormat="false" ht="15.75" hidden="false" customHeight="false" outlineLevel="0" collapsed="false">
      <c r="A456" s="5"/>
      <c r="B456" s="114"/>
      <c r="C456" s="115"/>
      <c r="D456" s="100"/>
      <c r="E456" s="120"/>
      <c r="F456" s="125"/>
      <c r="G456" s="82"/>
      <c r="H456" s="126"/>
      <c r="I456" s="127"/>
      <c r="J456" s="82"/>
      <c r="K456" s="126"/>
      <c r="L456" s="82"/>
      <c r="M456" s="126"/>
      <c r="N456" s="82"/>
      <c r="O456" s="126"/>
      <c r="P456" s="82"/>
      <c r="Q456" s="126"/>
      <c r="R456" s="82"/>
      <c r="S456" s="120"/>
      <c r="T456" s="86"/>
      <c r="U456" s="87" t="str">
        <f aca="false">IF(ISBLANK($C456),"",IF(E456=Constants!$B$2, TRUE(), IF(E456=Constants!$B$3, FALSE(), TRUE())))</f>
        <v/>
      </c>
      <c r="V456" s="87" t="str">
        <f aca="false">IF(ISBLANK($C456),"",IF(F456=Constants!$B$2, TRUE(), IF(F456=Constants!$B$3, FALSE(), TRUE())))</f>
        <v/>
      </c>
      <c r="W456" s="87" t="str">
        <f aca="false">IF(ISBLANK($C456),"",IF(G456=Constants!$B$15,Constants!$B$8,IF(G456=Constants!$B$16,Constants!$B$9,Constants!$B$10)))</f>
        <v/>
      </c>
      <c r="X456" s="87" t="str">
        <f aca="false">IF(ISBLANK($C456),"",IF(H456=Constants!$B$2, TRUE(), IF(H456=Constants!$B$3, FALSE(), TRUE())))</f>
        <v/>
      </c>
      <c r="Y456" s="87" t="str">
        <f aca="false">IF(ISBLANK($C456),"",IF(I456=Constants!$B$19,Constants!$B$19,Constants!$B$18))</f>
        <v/>
      </c>
      <c r="Z456" s="87" t="str">
        <f aca="false">IF(ISBLANK($C456),"",IF(ISNUMBER(J456),IF(J456&gt;=0,J456,""),""))</f>
        <v/>
      </c>
      <c r="AA456" s="87" t="str">
        <f aca="false">IF(ISBLANK($C456),"",IF(K456=Constants!$B$19,Constants!$B$19,Constants!$B$18))</f>
        <v/>
      </c>
      <c r="AB456" s="87" t="str">
        <f aca="false">IF(ISBLANK($C456),"",IF(ISNUMBER(L456),IF(L456&gt;=0,L456,""),""))</f>
        <v/>
      </c>
      <c r="AC456" s="87" t="str">
        <f aca="false">IF(ISBLANK($C456),"",IF(M456=Constants!$B$19,Constants!$B$19,Constants!$B$18))</f>
        <v/>
      </c>
      <c r="AD456" s="87" t="str">
        <f aca="false">IF(ISBLANK($C456),"",IF(ISNUMBER(N456),IF(N456&gt;=0,N456,""),""))</f>
        <v/>
      </c>
      <c r="AE456" s="87" t="str">
        <f aca="false">IF(ISBLANK($C456),"",IF(O456=Constants!$B$19,Constants!$B$19,Constants!$B$18))</f>
        <v/>
      </c>
      <c r="AF456" s="87" t="str">
        <f aca="false">IF(ISBLANK($C456),"",IF(ISNUMBER(P456),IF(P456&gt;=0,P456,""),""))</f>
        <v/>
      </c>
      <c r="AG456" s="87" t="str">
        <f aca="false">IF(ISBLANK($C456),"",IF(Q456=Constants!$B$19,Constants!$B$19,Constants!$B$18))</f>
        <v/>
      </c>
      <c r="AH456" s="87" t="str">
        <f aca="false">IF(ISBLANK($C456),"",IF(ISNUMBER(R456),IF(R456&gt;=0,R456,""),""))</f>
        <v/>
      </c>
      <c r="AI456" s="87" t="str">
        <f aca="false">IF(ISBLANK($C456),"",IF(S456=Constants!$B$2, TRUE(), IF(S456=Constants!$B$3, FALSE(), FALSE())))</f>
        <v/>
      </c>
      <c r="AJ456" s="87" t="str">
        <f aca="false">IF(ISBLANK($C456),"",IF(AI456,Constants!$B$4,IF(COUNTA(E456:R456)=0,Constants!$B$5,IF(COUNTA(J456,L456,N456,P456,R456)=0,Constants!$B$6,Constants!$B$7))))</f>
        <v/>
      </c>
      <c r="AK456" s="87" t="str">
        <f aca="false">IF(ISBLANK($C456),"",IF($AJ456&lt;&gt;Constants!$B$7,$AJ456,IF(OR(NOT(X456),AND(NOT(U456),COUNTIFS(Y456:AG456,Constants!$B$18,Z456:AH456,"&gt;=0")&gt;0),AND(NOT(V456),COUNTIFS(Y456:AG456,Constants!$B$19,Z456:AH456,"&gt;=0")&gt;0)),Constants!$B$12,Constants!$B$11)))</f>
        <v/>
      </c>
      <c r="AL456" s="87" t="str">
        <f aca="false">IF($AJ456=Constants!$B$7,IF(Z456="",Constants!$B$13,Z456),"")</f>
        <v/>
      </c>
      <c r="AM456" s="87" t="str">
        <f aca="false">IF($AJ456=Constants!$B$7,IF(AB456="",Constants!$B$13,AB456),"")</f>
        <v/>
      </c>
      <c r="AN456" s="87" t="str">
        <f aca="false">IF($AJ456=Constants!$B$7,IF(AD456="",Constants!$B$13,AD456),"")</f>
        <v/>
      </c>
      <c r="AO456" s="87" t="str">
        <f aca="false">IF($AJ456=Constants!$B$7,IF(AF456="",Constants!$B$13,AF456),"")</f>
        <v/>
      </c>
      <c r="AP456" s="87" t="str">
        <f aca="false">IF($AJ456=Constants!$B$7,IF(AH456="",Constants!$B$13,AH456),"")</f>
        <v/>
      </c>
      <c r="AQ456" s="87" t="str">
        <f aca="false">IF($AJ456=Constants!$B$7,IF(SUMPRODUCT(--($AL456:$AP456&gt;AL456))+SUMPRODUCT(--($AL456:AL456=AL456))=1,1,IF(SUMPRODUCT(--($AL456:$AP456&gt;AM456))+SUMPRODUCT(--($AL456:AM456=AM456))=1,2,IF(SUMPRODUCT(--($AL456:$AP456&gt;AN456))+SUMPRODUCT(--($AL456:AN456=AN456))=1,3,IF(SUMPRODUCT(--($AL456:$AP456&gt;AO456))+SUMPRODUCT(--($AL456:AO456=AO456))=1,4,5)))),"")</f>
        <v/>
      </c>
      <c r="AR456" s="87" t="str">
        <f aca="false">IF($AJ456=Constants!$B$7,IF(SUMPRODUCT(--($AL456:$AP456&gt;AL456))+SUMPRODUCT(--($AL456:AL456=AL456))=2,1,IF(SUMPRODUCT(--($AL456:$AP456&gt;AM456))+SUMPRODUCT(--($AL456:AM456=AM456))=2,2,IF(SUMPRODUCT(--($AL456:$AP456&gt;AN456))+SUMPRODUCT(--($AL456:AN456=AN456))=2,3,IF(SUMPRODUCT(--($AL456:$AP456&gt;AO456))+SUMPRODUCT(--($AL456:AO456=AO456))=2,4,5)))),"")</f>
        <v/>
      </c>
      <c r="AS456" s="87" t="str">
        <f aca="false">IF($AJ456=Constants!$B$7,IF(SUMPRODUCT(--($AL456:$AP456&gt;AL456))+SUMPRODUCT(--($AL456:AL456=AL456))=3,1,IF(SUMPRODUCT(--($AL456:$AP456&gt;AM456))+SUMPRODUCT(--($AL456:AM456=AM456))=3,2,IF(SUMPRODUCT(--($AL456:$AP456&gt;AN456))+SUMPRODUCT(--($AL456:AN456=AN456))=3,3,IF(SUMPRODUCT(--($AL456:$AP456&gt;AO456))+SUMPRODUCT(--($AL456:AO456=AO456))=3,4,5)))),"")</f>
        <v/>
      </c>
      <c r="AT456" s="87" t="str">
        <f aca="false">IF($AJ456=Constants!$B$7,LARGE(AL456:AP456,1)+LARGE(AL456:AP456,2)+LARGE(AL456:AP456,3),"")</f>
        <v/>
      </c>
      <c r="AU456" s="87" t="str">
        <f aca="false">IF(ISBLANK($C456),"",IF($AJ456&lt;&gt;Constants!$B$7,$AJ456,AT456*W456))</f>
        <v/>
      </c>
      <c r="AV456" s="87" t="str">
        <f aca="false">IF(ISBLANK($C456),"",IF($AJ456=Constants!$B$7,IF(ISNUMBER(AU456),RANK(AU456,$AU$8:$AU$507),Constants!$B$14),$AJ456))</f>
        <v/>
      </c>
      <c r="AW456" s="87" t="str">
        <f aca="false">IF(ISBLANK($C456),"",IF($AJ456=Constants!$B$7,IF(ISNUMBER(AV456),COUNTIFS($AK$8:$AK$507,"&lt;"&amp;$AK456)+COUNTIFS($AK$8:$AK$507,$AK456,$AV$8:$AV$507,"&lt;"&amp;$AV456)+1,Constants!$B$14),$AJ456))</f>
        <v/>
      </c>
      <c r="AX456" s="87" t="str">
        <f aca="false">IF(ISBLANK($C456),"",IF($AJ456=Constants!$B$7,LARGE(AL456:AP456,4)*W456,""))</f>
        <v/>
      </c>
      <c r="AY456" s="87" t="str">
        <f aca="false">IF(ISBLANK($C456),"",IF($AJ456=Constants!$B$7,RANK(AX456,$AX$8:$AX$507),$AJ456))</f>
        <v/>
      </c>
      <c r="AZ456" s="87" t="str">
        <f aca="false">IF(ISBLANK($C456),"",IF($AJ456=Constants!$B$7,IF(ISNUMBER(AV456),COUNTIFS($AK$8:$AK$507,"&lt;"&amp;$AK456)+COUNTIFS($AK$8:$AK$507,$AK456,$AV$8:$AV$507,"&lt;"&amp;$AV456)+COUNTIFS($AK$8:$AK$507,$AK456,$AV$8:$AV$507,$AV456,$AY$8:$AY$507,"&lt;"&amp;$AY456)+1,Constants!$B$14),$AJ456))</f>
        <v/>
      </c>
      <c r="BA456" s="87" t="str">
        <f aca="false">IF(ISBLANK($C456),"",IF($AJ456=Constants!$B$7,IF(ISNUMBER(AW456),AW456-AZ456,Constants!$B$14),$AJ456))</f>
        <v/>
      </c>
      <c r="BB456" s="88"/>
      <c r="BC456" s="89" t="str">
        <f aca="false">IF(ISBLANK($C456),"",IF($AJ456&lt;&gt;Constants!$B$7,$AJ456,SMALL(AQ456:AS456,1)&amp;", "&amp;SMALL(AQ456:AS456,2)&amp;", "&amp;SMALL(AQ456:AS456,3)))</f>
        <v/>
      </c>
      <c r="BD456" s="90" t="str">
        <f aca="false">IF(ISBLANK($C456),"",IF($AJ456&lt;&gt;Constants!$B$7,$AJ456,W456))</f>
        <v/>
      </c>
      <c r="BE456" s="91" t="str">
        <f aca="false">IF(ISBLANK($C456),"",IF($AJ456&lt;&gt;Constants!$B$7,$AJ456,AU456))</f>
        <v/>
      </c>
      <c r="BF456" s="92" t="str">
        <f aca="false">IF(ISBLANK($C456),"",IF($AJ456&lt;&gt;Constants!$B$7,$AJ456,AK456))</f>
        <v/>
      </c>
      <c r="BG456" s="90" t="str">
        <f aca="false">IF(ISBLANK($C456),"",BA456)</f>
        <v/>
      </c>
      <c r="BH456" s="90" t="str">
        <f aca="false">IF(ISBLANK($C456),"",AZ456)</f>
        <v/>
      </c>
      <c r="BI456" s="93" t="str">
        <f aca="false">IF(ISBLANK($C456),"",IF(BH456=Constants!$B$4,COUNTA($C$8:$C$507)+2,IF(BH456=Constants!$B$5,COUNTA($C$8:$C$507)+1,IF(BH456=Constants!$B$6,COUNTA($C$8:$C$507),BH456))))</f>
        <v/>
      </c>
      <c r="BJ456" s="5"/>
      <c r="BK456" s="94" t="n">
        <f aca="false">IF(OR(ISNUMBER(BH456),BH456=Constants!$B$4,BH456=Constants!$B$6,BH456=Constants!$B$5),1,0)</f>
        <v>0</v>
      </c>
      <c r="BL456" s="94" t="n">
        <v>449</v>
      </c>
      <c r="BM456" s="94" t="str">
        <f aca="false">IF(ISBLANK($C456),"",IF(ISNUMBER(BI456),BI456+ROW($B456)/1000,""))</f>
        <v/>
      </c>
      <c r="BN456" s="94" t="str">
        <f aca="false">IF(ISNUMBER(BM456),RANK(BM456,$BM$8:$BM$507,1),"")</f>
        <v/>
      </c>
      <c r="BO456" s="94" t="str">
        <f aca="false">IF(ISBLANK($C456),"",$B456)</f>
        <v/>
      </c>
      <c r="BP456" s="94" t="str">
        <f aca="false">IF(ISBLANK($C456),"",$C456)</f>
        <v/>
      </c>
      <c r="BQ456" s="94" t="str">
        <f aca="false">IF(ISBLANK($C456),"",$D456)</f>
        <v/>
      </c>
      <c r="BR456" s="95" t="str">
        <f aca="false">BF456</f>
        <v/>
      </c>
      <c r="BS456" s="96" t="str">
        <f aca="false">BE456</f>
        <v/>
      </c>
      <c r="BT456" s="94" t="str">
        <f aca="false">IF(ISBLANK($C456),"",BH456)</f>
        <v/>
      </c>
      <c r="BU456" s="97" t="str">
        <f aca="false">IF($BL456&gt;$BK$7,"",VLOOKUP($BL456,$BN$8:$BT$507,7,FALSE()))</f>
        <v/>
      </c>
      <c r="BV456" s="98" t="str">
        <f aca="false">IF($BL456&gt;$BK$7,"",VLOOKUP($BL456,$BN$8:$BT$507,2,FALSE()))</f>
        <v/>
      </c>
      <c r="BW456" s="98" t="str">
        <f aca="false">IF($BL456&gt;$BK$7,"",VLOOKUP($BL456,$BN$8:$BT$507,3,FALSE()))</f>
        <v/>
      </c>
      <c r="BX456" s="98" t="str">
        <f aca="false">IF($BL456&gt;$BK$7,"",VLOOKUP($BL456,$BN$8:$BT$507,4,FALSE()))</f>
        <v/>
      </c>
      <c r="BY456" s="98" t="str">
        <f aca="false">IF($BL456&gt;$BK$7,"",VLOOKUP($BL456,$BN$8:$BT$507,5,FALSE()))</f>
        <v/>
      </c>
      <c r="BZ456" s="99" t="str">
        <f aca="false">IF($BL456&gt;$BK$7,"",VLOOKUP($BL456,$BN$8:$BT$507,6,FALSE()))</f>
        <v/>
      </c>
      <c r="CA456" s="48"/>
    </row>
    <row r="457" customFormat="false" ht="15.75" hidden="false" customHeight="false" outlineLevel="0" collapsed="false">
      <c r="A457" s="5"/>
      <c r="B457" s="114"/>
      <c r="C457" s="115"/>
      <c r="D457" s="100"/>
      <c r="E457" s="120"/>
      <c r="F457" s="125"/>
      <c r="G457" s="82"/>
      <c r="H457" s="126"/>
      <c r="I457" s="127"/>
      <c r="J457" s="82"/>
      <c r="K457" s="126"/>
      <c r="L457" s="82"/>
      <c r="M457" s="126"/>
      <c r="N457" s="82"/>
      <c r="O457" s="126"/>
      <c r="P457" s="82"/>
      <c r="Q457" s="126"/>
      <c r="R457" s="82"/>
      <c r="S457" s="120"/>
      <c r="T457" s="86"/>
      <c r="U457" s="87" t="str">
        <f aca="false">IF(ISBLANK($C457),"",IF(E457=Constants!$B$2, TRUE(), IF(E457=Constants!$B$3, FALSE(), TRUE())))</f>
        <v/>
      </c>
      <c r="V457" s="87" t="str">
        <f aca="false">IF(ISBLANK($C457),"",IF(F457=Constants!$B$2, TRUE(), IF(F457=Constants!$B$3, FALSE(), TRUE())))</f>
        <v/>
      </c>
      <c r="W457" s="87" t="str">
        <f aca="false">IF(ISBLANK($C457),"",IF(G457=Constants!$B$15,Constants!$B$8,IF(G457=Constants!$B$16,Constants!$B$9,Constants!$B$10)))</f>
        <v/>
      </c>
      <c r="X457" s="87" t="str">
        <f aca="false">IF(ISBLANK($C457),"",IF(H457=Constants!$B$2, TRUE(), IF(H457=Constants!$B$3, FALSE(), TRUE())))</f>
        <v/>
      </c>
      <c r="Y457" s="87" t="str">
        <f aca="false">IF(ISBLANK($C457),"",IF(I457=Constants!$B$19,Constants!$B$19,Constants!$B$18))</f>
        <v/>
      </c>
      <c r="Z457" s="87" t="str">
        <f aca="false">IF(ISBLANK($C457),"",IF(ISNUMBER(J457),IF(J457&gt;=0,J457,""),""))</f>
        <v/>
      </c>
      <c r="AA457" s="87" t="str">
        <f aca="false">IF(ISBLANK($C457),"",IF(K457=Constants!$B$19,Constants!$B$19,Constants!$B$18))</f>
        <v/>
      </c>
      <c r="AB457" s="87" t="str">
        <f aca="false">IF(ISBLANK($C457),"",IF(ISNUMBER(L457),IF(L457&gt;=0,L457,""),""))</f>
        <v/>
      </c>
      <c r="AC457" s="87" t="str">
        <f aca="false">IF(ISBLANK($C457),"",IF(M457=Constants!$B$19,Constants!$B$19,Constants!$B$18))</f>
        <v/>
      </c>
      <c r="AD457" s="87" t="str">
        <f aca="false">IF(ISBLANK($C457),"",IF(ISNUMBER(N457),IF(N457&gt;=0,N457,""),""))</f>
        <v/>
      </c>
      <c r="AE457" s="87" t="str">
        <f aca="false">IF(ISBLANK($C457),"",IF(O457=Constants!$B$19,Constants!$B$19,Constants!$B$18))</f>
        <v/>
      </c>
      <c r="AF457" s="87" t="str">
        <f aca="false">IF(ISBLANK($C457),"",IF(ISNUMBER(P457),IF(P457&gt;=0,P457,""),""))</f>
        <v/>
      </c>
      <c r="AG457" s="87" t="str">
        <f aca="false">IF(ISBLANK($C457),"",IF(Q457=Constants!$B$19,Constants!$B$19,Constants!$B$18))</f>
        <v/>
      </c>
      <c r="AH457" s="87" t="str">
        <f aca="false">IF(ISBLANK($C457),"",IF(ISNUMBER(R457),IF(R457&gt;=0,R457,""),""))</f>
        <v/>
      </c>
      <c r="AI457" s="87" t="str">
        <f aca="false">IF(ISBLANK($C457),"",IF(S457=Constants!$B$2, TRUE(), IF(S457=Constants!$B$3, FALSE(), FALSE())))</f>
        <v/>
      </c>
      <c r="AJ457" s="87" t="str">
        <f aca="false">IF(ISBLANK($C457),"",IF(AI457,Constants!$B$4,IF(COUNTA(E457:R457)=0,Constants!$B$5,IF(COUNTA(J457,L457,N457,P457,R457)=0,Constants!$B$6,Constants!$B$7))))</f>
        <v/>
      </c>
      <c r="AK457" s="87" t="str">
        <f aca="false">IF(ISBLANK($C457),"",IF($AJ457&lt;&gt;Constants!$B$7,$AJ457,IF(OR(NOT(X457),AND(NOT(U457),COUNTIFS(Y457:AG457,Constants!$B$18,Z457:AH457,"&gt;=0")&gt;0),AND(NOT(V457),COUNTIFS(Y457:AG457,Constants!$B$19,Z457:AH457,"&gt;=0")&gt;0)),Constants!$B$12,Constants!$B$11)))</f>
        <v/>
      </c>
      <c r="AL457" s="87" t="str">
        <f aca="false">IF($AJ457=Constants!$B$7,IF(Z457="",Constants!$B$13,Z457),"")</f>
        <v/>
      </c>
      <c r="AM457" s="87" t="str">
        <f aca="false">IF($AJ457=Constants!$B$7,IF(AB457="",Constants!$B$13,AB457),"")</f>
        <v/>
      </c>
      <c r="AN457" s="87" t="str">
        <f aca="false">IF($AJ457=Constants!$B$7,IF(AD457="",Constants!$B$13,AD457),"")</f>
        <v/>
      </c>
      <c r="AO457" s="87" t="str">
        <f aca="false">IF($AJ457=Constants!$B$7,IF(AF457="",Constants!$B$13,AF457),"")</f>
        <v/>
      </c>
      <c r="AP457" s="87" t="str">
        <f aca="false">IF($AJ457=Constants!$B$7,IF(AH457="",Constants!$B$13,AH457),"")</f>
        <v/>
      </c>
      <c r="AQ457" s="87" t="str">
        <f aca="false">IF($AJ457=Constants!$B$7,IF(SUMPRODUCT(--($AL457:$AP457&gt;AL457))+SUMPRODUCT(--($AL457:AL457=AL457))=1,1,IF(SUMPRODUCT(--($AL457:$AP457&gt;AM457))+SUMPRODUCT(--($AL457:AM457=AM457))=1,2,IF(SUMPRODUCT(--($AL457:$AP457&gt;AN457))+SUMPRODUCT(--($AL457:AN457=AN457))=1,3,IF(SUMPRODUCT(--($AL457:$AP457&gt;AO457))+SUMPRODUCT(--($AL457:AO457=AO457))=1,4,5)))),"")</f>
        <v/>
      </c>
      <c r="AR457" s="87" t="str">
        <f aca="false">IF($AJ457=Constants!$B$7,IF(SUMPRODUCT(--($AL457:$AP457&gt;AL457))+SUMPRODUCT(--($AL457:AL457=AL457))=2,1,IF(SUMPRODUCT(--($AL457:$AP457&gt;AM457))+SUMPRODUCT(--($AL457:AM457=AM457))=2,2,IF(SUMPRODUCT(--($AL457:$AP457&gt;AN457))+SUMPRODUCT(--($AL457:AN457=AN457))=2,3,IF(SUMPRODUCT(--($AL457:$AP457&gt;AO457))+SUMPRODUCT(--($AL457:AO457=AO457))=2,4,5)))),"")</f>
        <v/>
      </c>
      <c r="AS457" s="87" t="str">
        <f aca="false">IF($AJ457=Constants!$B$7,IF(SUMPRODUCT(--($AL457:$AP457&gt;AL457))+SUMPRODUCT(--($AL457:AL457=AL457))=3,1,IF(SUMPRODUCT(--($AL457:$AP457&gt;AM457))+SUMPRODUCT(--($AL457:AM457=AM457))=3,2,IF(SUMPRODUCT(--($AL457:$AP457&gt;AN457))+SUMPRODUCT(--($AL457:AN457=AN457))=3,3,IF(SUMPRODUCT(--($AL457:$AP457&gt;AO457))+SUMPRODUCT(--($AL457:AO457=AO457))=3,4,5)))),"")</f>
        <v/>
      </c>
      <c r="AT457" s="87" t="str">
        <f aca="false">IF($AJ457=Constants!$B$7,LARGE(AL457:AP457,1)+LARGE(AL457:AP457,2)+LARGE(AL457:AP457,3),"")</f>
        <v/>
      </c>
      <c r="AU457" s="87" t="str">
        <f aca="false">IF(ISBLANK($C457),"",IF($AJ457&lt;&gt;Constants!$B$7,$AJ457,AT457*W457))</f>
        <v/>
      </c>
      <c r="AV457" s="87" t="str">
        <f aca="false">IF(ISBLANK($C457),"",IF($AJ457=Constants!$B$7,IF(ISNUMBER(AU457),RANK(AU457,$AU$8:$AU$507),Constants!$B$14),$AJ457))</f>
        <v/>
      </c>
      <c r="AW457" s="87" t="str">
        <f aca="false">IF(ISBLANK($C457),"",IF($AJ457=Constants!$B$7,IF(ISNUMBER(AV457),COUNTIFS($AK$8:$AK$507,"&lt;"&amp;$AK457)+COUNTIFS($AK$8:$AK$507,$AK457,$AV$8:$AV$507,"&lt;"&amp;$AV457)+1,Constants!$B$14),$AJ457))</f>
        <v/>
      </c>
      <c r="AX457" s="87" t="str">
        <f aca="false">IF(ISBLANK($C457),"",IF($AJ457=Constants!$B$7,LARGE(AL457:AP457,4)*W457,""))</f>
        <v/>
      </c>
      <c r="AY457" s="87" t="str">
        <f aca="false">IF(ISBLANK($C457),"",IF($AJ457=Constants!$B$7,RANK(AX457,$AX$8:$AX$507),$AJ457))</f>
        <v/>
      </c>
      <c r="AZ457" s="87" t="str">
        <f aca="false">IF(ISBLANK($C457),"",IF($AJ457=Constants!$B$7,IF(ISNUMBER(AV457),COUNTIFS($AK$8:$AK$507,"&lt;"&amp;$AK457)+COUNTIFS($AK$8:$AK$507,$AK457,$AV$8:$AV$507,"&lt;"&amp;$AV457)+COUNTIFS($AK$8:$AK$507,$AK457,$AV$8:$AV$507,$AV457,$AY$8:$AY$507,"&lt;"&amp;$AY457)+1,Constants!$B$14),$AJ457))</f>
        <v/>
      </c>
      <c r="BA457" s="87" t="str">
        <f aca="false">IF(ISBLANK($C457),"",IF($AJ457=Constants!$B$7,IF(ISNUMBER(AW457),AW457-AZ457,Constants!$B$14),$AJ457))</f>
        <v/>
      </c>
      <c r="BB457" s="88"/>
      <c r="BC457" s="89" t="str">
        <f aca="false">IF(ISBLANK($C457),"",IF($AJ457&lt;&gt;Constants!$B$7,$AJ457,SMALL(AQ457:AS457,1)&amp;", "&amp;SMALL(AQ457:AS457,2)&amp;", "&amp;SMALL(AQ457:AS457,3)))</f>
        <v/>
      </c>
      <c r="BD457" s="90" t="str">
        <f aca="false">IF(ISBLANK($C457),"",IF($AJ457&lt;&gt;Constants!$B$7,$AJ457,W457))</f>
        <v/>
      </c>
      <c r="BE457" s="91" t="str">
        <f aca="false">IF(ISBLANK($C457),"",IF($AJ457&lt;&gt;Constants!$B$7,$AJ457,AU457))</f>
        <v/>
      </c>
      <c r="BF457" s="92" t="str">
        <f aca="false">IF(ISBLANK($C457),"",IF($AJ457&lt;&gt;Constants!$B$7,$AJ457,AK457))</f>
        <v/>
      </c>
      <c r="BG457" s="90" t="str">
        <f aca="false">IF(ISBLANK($C457),"",BA457)</f>
        <v/>
      </c>
      <c r="BH457" s="90" t="str">
        <f aca="false">IF(ISBLANK($C457),"",AZ457)</f>
        <v/>
      </c>
      <c r="BI457" s="93" t="str">
        <f aca="false">IF(ISBLANK($C457),"",IF(BH457=Constants!$B$4,COUNTA($C$8:$C$507)+2,IF(BH457=Constants!$B$5,COUNTA($C$8:$C$507)+1,IF(BH457=Constants!$B$6,COUNTA($C$8:$C$507),BH457))))</f>
        <v/>
      </c>
      <c r="BJ457" s="5"/>
      <c r="BK457" s="94" t="n">
        <f aca="false">IF(OR(ISNUMBER(BH457),BH457=Constants!$B$4,BH457=Constants!$B$6,BH457=Constants!$B$5),1,0)</f>
        <v>0</v>
      </c>
      <c r="BL457" s="94" t="n">
        <v>450</v>
      </c>
      <c r="BM457" s="94" t="str">
        <f aca="false">IF(ISBLANK($C457),"",IF(ISNUMBER(BI457),BI457+ROW($B457)/1000,""))</f>
        <v/>
      </c>
      <c r="BN457" s="94" t="str">
        <f aca="false">IF(ISNUMBER(BM457),RANK(BM457,$BM$8:$BM$507,1),"")</f>
        <v/>
      </c>
      <c r="BO457" s="94" t="str">
        <f aca="false">IF(ISBLANK($C457),"",$B457)</f>
        <v/>
      </c>
      <c r="BP457" s="94" t="str">
        <f aca="false">IF(ISBLANK($C457),"",$C457)</f>
        <v/>
      </c>
      <c r="BQ457" s="94" t="str">
        <f aca="false">IF(ISBLANK($C457),"",$D457)</f>
        <v/>
      </c>
      <c r="BR457" s="95" t="str">
        <f aca="false">BF457</f>
        <v/>
      </c>
      <c r="BS457" s="96" t="str">
        <f aca="false">BE457</f>
        <v/>
      </c>
      <c r="BT457" s="94" t="str">
        <f aca="false">IF(ISBLANK($C457),"",BH457)</f>
        <v/>
      </c>
      <c r="BU457" s="97" t="str">
        <f aca="false">IF($BL457&gt;$BK$7,"",VLOOKUP($BL457,$BN$8:$BT$507,7,FALSE()))</f>
        <v/>
      </c>
      <c r="BV457" s="98" t="str">
        <f aca="false">IF($BL457&gt;$BK$7,"",VLOOKUP($BL457,$BN$8:$BT$507,2,FALSE()))</f>
        <v/>
      </c>
      <c r="BW457" s="98" t="str">
        <f aca="false">IF($BL457&gt;$BK$7,"",VLOOKUP($BL457,$BN$8:$BT$507,3,FALSE()))</f>
        <v/>
      </c>
      <c r="BX457" s="98" t="str">
        <f aca="false">IF($BL457&gt;$BK$7,"",VLOOKUP($BL457,$BN$8:$BT$507,4,FALSE()))</f>
        <v/>
      </c>
      <c r="BY457" s="98" t="str">
        <f aca="false">IF($BL457&gt;$BK$7,"",VLOOKUP($BL457,$BN$8:$BT$507,5,FALSE()))</f>
        <v/>
      </c>
      <c r="BZ457" s="99" t="str">
        <f aca="false">IF($BL457&gt;$BK$7,"",VLOOKUP($BL457,$BN$8:$BT$507,6,FALSE()))</f>
        <v/>
      </c>
      <c r="CA457" s="48"/>
    </row>
    <row r="458" customFormat="false" ht="15.75" hidden="false" customHeight="false" outlineLevel="0" collapsed="false">
      <c r="A458" s="5"/>
      <c r="B458" s="121"/>
      <c r="C458" s="50"/>
      <c r="D458" s="51"/>
      <c r="E458" s="74"/>
      <c r="F458" s="122"/>
      <c r="G458" s="54"/>
      <c r="H458" s="123"/>
      <c r="I458" s="124"/>
      <c r="J458" s="54"/>
      <c r="K458" s="123"/>
      <c r="L458" s="54"/>
      <c r="M458" s="123"/>
      <c r="N458" s="54"/>
      <c r="O458" s="123"/>
      <c r="P458" s="54"/>
      <c r="Q458" s="123"/>
      <c r="R458" s="54"/>
      <c r="S458" s="74"/>
      <c r="T458" s="58"/>
      <c r="U458" s="59" t="str">
        <f aca="false">IF(ISBLANK($C458),"",IF(E458=Constants!$B$2, TRUE(), IF(E458=Constants!$B$3, FALSE(), TRUE())))</f>
        <v/>
      </c>
      <c r="V458" s="59" t="str">
        <f aca="false">IF(ISBLANK($C458),"",IF(F458=Constants!$B$2, TRUE(), IF(F458=Constants!$B$3, FALSE(), TRUE())))</f>
        <v/>
      </c>
      <c r="W458" s="59" t="str">
        <f aca="false">IF(ISBLANK($C458),"",IF(G458=Constants!$B$15,Constants!$B$8,IF(G458=Constants!$B$16,Constants!$B$9,Constants!$B$10)))</f>
        <v/>
      </c>
      <c r="X458" s="59" t="str">
        <f aca="false">IF(ISBLANK($C458),"",IF(H458=Constants!$B$2, TRUE(), IF(H458=Constants!$B$3, FALSE(), TRUE())))</f>
        <v/>
      </c>
      <c r="Y458" s="59" t="str">
        <f aca="false">IF(ISBLANK($C458),"",IF(I458=Constants!$B$19,Constants!$B$19,Constants!$B$18))</f>
        <v/>
      </c>
      <c r="Z458" s="59" t="str">
        <f aca="false">IF(ISBLANK($C458),"",IF(ISNUMBER(J458),IF(J458&gt;=0,J458,""),""))</f>
        <v/>
      </c>
      <c r="AA458" s="59" t="str">
        <f aca="false">IF(ISBLANK($C458),"",IF(K458=Constants!$B$19,Constants!$B$19,Constants!$B$18))</f>
        <v/>
      </c>
      <c r="AB458" s="59" t="str">
        <f aca="false">IF(ISBLANK($C458),"",IF(ISNUMBER(L458),IF(L458&gt;=0,L458,""),""))</f>
        <v/>
      </c>
      <c r="AC458" s="59" t="str">
        <f aca="false">IF(ISBLANK($C458),"",IF(M458=Constants!$B$19,Constants!$B$19,Constants!$B$18))</f>
        <v/>
      </c>
      <c r="AD458" s="59" t="str">
        <f aca="false">IF(ISBLANK($C458),"",IF(ISNUMBER(N458),IF(N458&gt;=0,N458,""),""))</f>
        <v/>
      </c>
      <c r="AE458" s="59" t="str">
        <f aca="false">IF(ISBLANK($C458),"",IF(O458=Constants!$B$19,Constants!$B$19,Constants!$B$18))</f>
        <v/>
      </c>
      <c r="AF458" s="59" t="str">
        <f aca="false">IF(ISBLANK($C458),"",IF(ISNUMBER(P458),IF(P458&gt;=0,P458,""),""))</f>
        <v/>
      </c>
      <c r="AG458" s="59" t="str">
        <f aca="false">IF(ISBLANK($C458),"",IF(Q458=Constants!$B$19,Constants!$B$19,Constants!$B$18))</f>
        <v/>
      </c>
      <c r="AH458" s="59" t="str">
        <f aca="false">IF(ISBLANK($C458),"",IF(ISNUMBER(R458),IF(R458&gt;=0,R458,""),""))</f>
        <v/>
      </c>
      <c r="AI458" s="59" t="str">
        <f aca="false">IF(ISBLANK($C458),"",IF(S458=Constants!$B$2, TRUE(), IF(S458=Constants!$B$3, FALSE(), FALSE())))</f>
        <v/>
      </c>
      <c r="AJ458" s="59" t="str">
        <f aca="false">IF(ISBLANK($C458),"",IF(AI458,Constants!$B$4,IF(COUNTA(E458:R458)=0,Constants!$B$5,IF(COUNTA(J458,L458,N458,P458,R458)=0,Constants!$B$6,Constants!$B$7))))</f>
        <v/>
      </c>
      <c r="AK458" s="59" t="str">
        <f aca="false">IF(ISBLANK($C458),"",IF($AJ458&lt;&gt;Constants!$B$7,$AJ458,IF(OR(NOT(X458),AND(NOT(U458),COUNTIFS(Y458:AG458,Constants!$B$18,Z458:AH458,"&gt;=0")&gt;0),AND(NOT(V458),COUNTIFS(Y458:AG458,Constants!$B$19,Z458:AH458,"&gt;=0")&gt;0)),Constants!$B$12,Constants!$B$11)))</f>
        <v/>
      </c>
      <c r="AL458" s="59" t="str">
        <f aca="false">IF($AJ458=Constants!$B$7,IF(Z458="",Constants!$B$13,Z458),"")</f>
        <v/>
      </c>
      <c r="AM458" s="59" t="str">
        <f aca="false">IF($AJ458=Constants!$B$7,IF(AB458="",Constants!$B$13,AB458),"")</f>
        <v/>
      </c>
      <c r="AN458" s="59" t="str">
        <f aca="false">IF($AJ458=Constants!$B$7,IF(AD458="",Constants!$B$13,AD458),"")</f>
        <v/>
      </c>
      <c r="AO458" s="59" t="str">
        <f aca="false">IF($AJ458=Constants!$B$7,IF(AF458="",Constants!$B$13,AF458),"")</f>
        <v/>
      </c>
      <c r="AP458" s="59" t="str">
        <f aca="false">IF($AJ458=Constants!$B$7,IF(AH458="",Constants!$B$13,AH458),"")</f>
        <v/>
      </c>
      <c r="AQ458" s="59" t="str">
        <f aca="false">IF($AJ458=Constants!$B$7,IF(SUMPRODUCT(--($AL458:$AP458&gt;AL458))+SUMPRODUCT(--($AL458:AL458=AL458))=1,1,IF(SUMPRODUCT(--($AL458:$AP458&gt;AM458))+SUMPRODUCT(--($AL458:AM458=AM458))=1,2,IF(SUMPRODUCT(--($AL458:$AP458&gt;AN458))+SUMPRODUCT(--($AL458:AN458=AN458))=1,3,IF(SUMPRODUCT(--($AL458:$AP458&gt;AO458))+SUMPRODUCT(--($AL458:AO458=AO458))=1,4,5)))),"")</f>
        <v/>
      </c>
      <c r="AR458" s="59" t="str">
        <f aca="false">IF($AJ458=Constants!$B$7,IF(SUMPRODUCT(--($AL458:$AP458&gt;AL458))+SUMPRODUCT(--($AL458:AL458=AL458))=2,1,IF(SUMPRODUCT(--($AL458:$AP458&gt;AM458))+SUMPRODUCT(--($AL458:AM458=AM458))=2,2,IF(SUMPRODUCT(--($AL458:$AP458&gt;AN458))+SUMPRODUCT(--($AL458:AN458=AN458))=2,3,IF(SUMPRODUCT(--($AL458:$AP458&gt;AO458))+SUMPRODUCT(--($AL458:AO458=AO458))=2,4,5)))),"")</f>
        <v/>
      </c>
      <c r="AS458" s="59" t="str">
        <f aca="false">IF($AJ458=Constants!$B$7,IF(SUMPRODUCT(--($AL458:$AP458&gt;AL458))+SUMPRODUCT(--($AL458:AL458=AL458))=3,1,IF(SUMPRODUCT(--($AL458:$AP458&gt;AM458))+SUMPRODUCT(--($AL458:AM458=AM458))=3,2,IF(SUMPRODUCT(--($AL458:$AP458&gt;AN458))+SUMPRODUCT(--($AL458:AN458=AN458))=3,3,IF(SUMPRODUCT(--($AL458:$AP458&gt;AO458))+SUMPRODUCT(--($AL458:AO458=AO458))=3,4,5)))),"")</f>
        <v/>
      </c>
      <c r="AT458" s="59" t="str">
        <f aca="false">IF($AJ458=Constants!$B$7,LARGE(AL458:AP458,1)+LARGE(AL458:AP458,2)+LARGE(AL458:AP458,3),"")</f>
        <v/>
      </c>
      <c r="AU458" s="59" t="str">
        <f aca="false">IF(ISBLANK($C458),"",IF($AJ458&lt;&gt;Constants!$B$7,$AJ458,AT458*W458))</f>
        <v/>
      </c>
      <c r="AV458" s="59" t="str">
        <f aca="false">IF(ISBLANK($C458),"",IF($AJ458=Constants!$B$7,IF(ISNUMBER(AU458),RANK(AU458,$AU$8:$AU$507),Constants!$B$14),$AJ458))</f>
        <v/>
      </c>
      <c r="AW458" s="59" t="str">
        <f aca="false">IF(ISBLANK($C458),"",IF($AJ458=Constants!$B$7,IF(ISNUMBER(AV458),COUNTIFS($AK$8:$AK$507,"&lt;"&amp;$AK458)+COUNTIFS($AK$8:$AK$507,$AK458,$AV$8:$AV$507,"&lt;"&amp;$AV458)+1,Constants!$B$14),$AJ458))</f>
        <v/>
      </c>
      <c r="AX458" s="59" t="str">
        <f aca="false">IF(ISBLANK($C458),"",IF($AJ458=Constants!$B$7,LARGE(AL458:AP458,4)*W458,""))</f>
        <v/>
      </c>
      <c r="AY458" s="59" t="str">
        <f aca="false">IF(ISBLANK($C458),"",IF($AJ458=Constants!$B$7,RANK(AX458,$AX$8:$AX$507),$AJ458))</f>
        <v/>
      </c>
      <c r="AZ458" s="59" t="str">
        <f aca="false">IF(ISBLANK($C458),"",IF($AJ458=Constants!$B$7,IF(ISNUMBER(AV458),COUNTIFS($AK$8:$AK$507,"&lt;"&amp;$AK458)+COUNTIFS($AK$8:$AK$507,$AK458,$AV$8:$AV$507,"&lt;"&amp;$AV458)+COUNTIFS($AK$8:$AK$507,$AK458,$AV$8:$AV$507,$AV458,$AY$8:$AY$507,"&lt;"&amp;$AY458)+1,Constants!$B$14),$AJ458))</f>
        <v/>
      </c>
      <c r="BA458" s="59" t="str">
        <f aca="false">IF(ISBLANK($C458),"",IF($AJ458=Constants!$B$7,IF(ISNUMBER(AW458),AW458-AZ458,Constants!$B$14),$AJ458))</f>
        <v/>
      </c>
      <c r="BB458" s="61"/>
      <c r="BC458" s="62" t="str">
        <f aca="false">IF(ISBLANK($C458),"",IF($AJ458&lt;&gt;Constants!$B$7,$AJ458,SMALL(AQ458:AS458,1)&amp;", "&amp;SMALL(AQ458:AS458,2)&amp;", "&amp;SMALL(AQ458:AS458,3)))</f>
        <v/>
      </c>
      <c r="BD458" s="63" t="str">
        <f aca="false">IF(ISBLANK($C458),"",IF($AJ458&lt;&gt;Constants!$B$7,$AJ458,W458))</f>
        <v/>
      </c>
      <c r="BE458" s="64" t="str">
        <f aca="false">IF(ISBLANK($C458),"",IF($AJ458&lt;&gt;Constants!$B$7,$AJ458,AU458))</f>
        <v/>
      </c>
      <c r="BF458" s="65" t="str">
        <f aca="false">IF(ISBLANK($C458),"",IF($AJ458&lt;&gt;Constants!$B$7,$AJ458,AK458))</f>
        <v/>
      </c>
      <c r="BG458" s="63" t="str">
        <f aca="false">IF(ISBLANK($C458),"",BA458)</f>
        <v/>
      </c>
      <c r="BH458" s="63" t="str">
        <f aca="false">IF(ISBLANK($C458),"",AZ458)</f>
        <v/>
      </c>
      <c r="BI458" s="66" t="str">
        <f aca="false">IF(ISBLANK($C458),"",IF(BH458=Constants!$B$4,COUNTA($C$8:$C$507)+2,IF(BH458=Constants!$B$5,COUNTA($C$8:$C$507)+1,IF(BH458=Constants!$B$6,COUNTA($C$8:$C$507),BH458))))</f>
        <v/>
      </c>
      <c r="BJ458" s="5"/>
      <c r="BK458" s="67" t="n">
        <f aca="false">IF(OR(ISNUMBER(BH458),BH458=Constants!$B$4,BH458=Constants!$B$6,BH458=Constants!$B$5),1,0)</f>
        <v>0</v>
      </c>
      <c r="BL458" s="67" t="n">
        <v>451</v>
      </c>
      <c r="BM458" s="67" t="str">
        <f aca="false">IF(ISBLANK($C458),"",IF(ISNUMBER(BI458),BI458+ROW($B458)/1000,""))</f>
        <v/>
      </c>
      <c r="BN458" s="67" t="str">
        <f aca="false">IF(ISNUMBER(BM458),RANK(BM458,$BM$8:$BM$507,1),"")</f>
        <v/>
      </c>
      <c r="BO458" s="67" t="str">
        <f aca="false">IF(ISBLANK($C458),"",$B458)</f>
        <v/>
      </c>
      <c r="BP458" s="67" t="str">
        <f aca="false">IF(ISBLANK($C458),"",$C458)</f>
        <v/>
      </c>
      <c r="BQ458" s="67" t="str">
        <f aca="false">IF(ISBLANK($C458),"",$D458)</f>
        <v/>
      </c>
      <c r="BR458" s="68" t="str">
        <f aca="false">BF458</f>
        <v/>
      </c>
      <c r="BS458" s="69" t="str">
        <f aca="false">BE458</f>
        <v/>
      </c>
      <c r="BT458" s="67" t="str">
        <f aca="false">IF(ISBLANK($C458),"",BH458)</f>
        <v/>
      </c>
      <c r="BU458" s="70" t="str">
        <f aca="false">IF($BL458&gt;$BK$7,"",VLOOKUP($BL458,$BN$8:$BT$507,7,FALSE()))</f>
        <v/>
      </c>
      <c r="BV458" s="71" t="str">
        <f aca="false">IF($BL458&gt;$BK$7,"",VLOOKUP($BL458,$BN$8:$BT$507,2,FALSE()))</f>
        <v/>
      </c>
      <c r="BW458" s="71" t="str">
        <f aca="false">IF($BL458&gt;$BK$7,"",VLOOKUP($BL458,$BN$8:$BT$507,3,FALSE()))</f>
        <v/>
      </c>
      <c r="BX458" s="71" t="str">
        <f aca="false">IF($BL458&gt;$BK$7,"",VLOOKUP($BL458,$BN$8:$BT$507,4,FALSE()))</f>
        <v/>
      </c>
      <c r="BY458" s="71" t="str">
        <f aca="false">IF($BL458&gt;$BK$7,"",VLOOKUP($BL458,$BN$8:$BT$507,5,FALSE()))</f>
        <v/>
      </c>
      <c r="BZ458" s="72" t="str">
        <f aca="false">IF($BL458&gt;$BK$7,"",VLOOKUP($BL458,$BN$8:$BT$507,6,FALSE()))</f>
        <v/>
      </c>
      <c r="CA458" s="48"/>
    </row>
    <row r="459" customFormat="false" ht="15.75" hidden="false" customHeight="false" outlineLevel="0" collapsed="false">
      <c r="A459" s="5"/>
      <c r="B459" s="121"/>
      <c r="C459" s="50"/>
      <c r="D459" s="51"/>
      <c r="E459" s="74"/>
      <c r="F459" s="122"/>
      <c r="G459" s="54"/>
      <c r="H459" s="123"/>
      <c r="I459" s="124"/>
      <c r="J459" s="54"/>
      <c r="K459" s="123"/>
      <c r="L459" s="54"/>
      <c r="M459" s="123"/>
      <c r="N459" s="54"/>
      <c r="O459" s="123"/>
      <c r="P459" s="54"/>
      <c r="Q459" s="123"/>
      <c r="R459" s="54"/>
      <c r="S459" s="74"/>
      <c r="T459" s="58"/>
      <c r="U459" s="59" t="str">
        <f aca="false">IF(ISBLANK($C459),"",IF(E459=Constants!$B$2, TRUE(), IF(E459=Constants!$B$3, FALSE(), TRUE())))</f>
        <v/>
      </c>
      <c r="V459" s="59" t="str">
        <f aca="false">IF(ISBLANK($C459),"",IF(F459=Constants!$B$2, TRUE(), IF(F459=Constants!$B$3, FALSE(), TRUE())))</f>
        <v/>
      </c>
      <c r="W459" s="59" t="str">
        <f aca="false">IF(ISBLANK($C459),"",IF(G459=Constants!$B$15,Constants!$B$8,IF(G459=Constants!$B$16,Constants!$B$9,Constants!$B$10)))</f>
        <v/>
      </c>
      <c r="X459" s="59" t="str">
        <f aca="false">IF(ISBLANK($C459),"",IF(H459=Constants!$B$2, TRUE(), IF(H459=Constants!$B$3, FALSE(), TRUE())))</f>
        <v/>
      </c>
      <c r="Y459" s="59" t="str">
        <f aca="false">IF(ISBLANK($C459),"",IF(I459=Constants!$B$19,Constants!$B$19,Constants!$B$18))</f>
        <v/>
      </c>
      <c r="Z459" s="59" t="str">
        <f aca="false">IF(ISBLANK($C459),"",IF(ISNUMBER(J459),IF(J459&gt;=0,J459,""),""))</f>
        <v/>
      </c>
      <c r="AA459" s="59" t="str">
        <f aca="false">IF(ISBLANK($C459),"",IF(K459=Constants!$B$19,Constants!$B$19,Constants!$B$18))</f>
        <v/>
      </c>
      <c r="AB459" s="59" t="str">
        <f aca="false">IF(ISBLANK($C459),"",IF(ISNUMBER(L459),IF(L459&gt;=0,L459,""),""))</f>
        <v/>
      </c>
      <c r="AC459" s="59" t="str">
        <f aca="false">IF(ISBLANK($C459),"",IF(M459=Constants!$B$19,Constants!$B$19,Constants!$B$18))</f>
        <v/>
      </c>
      <c r="AD459" s="59" t="str">
        <f aca="false">IF(ISBLANK($C459),"",IF(ISNUMBER(N459),IF(N459&gt;=0,N459,""),""))</f>
        <v/>
      </c>
      <c r="AE459" s="59" t="str">
        <f aca="false">IF(ISBLANK($C459),"",IF(O459=Constants!$B$19,Constants!$B$19,Constants!$B$18))</f>
        <v/>
      </c>
      <c r="AF459" s="59" t="str">
        <f aca="false">IF(ISBLANK($C459),"",IF(ISNUMBER(P459),IF(P459&gt;=0,P459,""),""))</f>
        <v/>
      </c>
      <c r="AG459" s="59" t="str">
        <f aca="false">IF(ISBLANK($C459),"",IF(Q459=Constants!$B$19,Constants!$B$19,Constants!$B$18))</f>
        <v/>
      </c>
      <c r="AH459" s="59" t="str">
        <f aca="false">IF(ISBLANK($C459),"",IF(ISNUMBER(R459),IF(R459&gt;=0,R459,""),""))</f>
        <v/>
      </c>
      <c r="AI459" s="59" t="str">
        <f aca="false">IF(ISBLANK($C459),"",IF(S459=Constants!$B$2, TRUE(), IF(S459=Constants!$B$3, FALSE(), FALSE())))</f>
        <v/>
      </c>
      <c r="AJ459" s="59" t="str">
        <f aca="false">IF(ISBLANK($C459),"",IF(AI459,Constants!$B$4,IF(COUNTA(E459:R459)=0,Constants!$B$5,IF(COUNTA(J459,L459,N459,P459,R459)=0,Constants!$B$6,Constants!$B$7))))</f>
        <v/>
      </c>
      <c r="AK459" s="59" t="str">
        <f aca="false">IF(ISBLANK($C459),"",IF($AJ459&lt;&gt;Constants!$B$7,$AJ459,IF(OR(NOT(X459),AND(NOT(U459),COUNTIFS(Y459:AG459,Constants!$B$18,Z459:AH459,"&gt;=0")&gt;0),AND(NOT(V459),COUNTIFS(Y459:AG459,Constants!$B$19,Z459:AH459,"&gt;=0")&gt;0)),Constants!$B$12,Constants!$B$11)))</f>
        <v/>
      </c>
      <c r="AL459" s="59" t="str">
        <f aca="false">IF($AJ459=Constants!$B$7,IF(Z459="",Constants!$B$13,Z459),"")</f>
        <v/>
      </c>
      <c r="AM459" s="59" t="str">
        <f aca="false">IF($AJ459=Constants!$B$7,IF(AB459="",Constants!$B$13,AB459),"")</f>
        <v/>
      </c>
      <c r="AN459" s="59" t="str">
        <f aca="false">IF($AJ459=Constants!$B$7,IF(AD459="",Constants!$B$13,AD459),"")</f>
        <v/>
      </c>
      <c r="AO459" s="59" t="str">
        <f aca="false">IF($AJ459=Constants!$B$7,IF(AF459="",Constants!$B$13,AF459),"")</f>
        <v/>
      </c>
      <c r="AP459" s="59" t="str">
        <f aca="false">IF($AJ459=Constants!$B$7,IF(AH459="",Constants!$B$13,AH459),"")</f>
        <v/>
      </c>
      <c r="AQ459" s="59" t="str">
        <f aca="false">IF($AJ459=Constants!$B$7,IF(SUMPRODUCT(--($AL459:$AP459&gt;AL459))+SUMPRODUCT(--($AL459:AL459=AL459))=1,1,IF(SUMPRODUCT(--($AL459:$AP459&gt;AM459))+SUMPRODUCT(--($AL459:AM459=AM459))=1,2,IF(SUMPRODUCT(--($AL459:$AP459&gt;AN459))+SUMPRODUCT(--($AL459:AN459=AN459))=1,3,IF(SUMPRODUCT(--($AL459:$AP459&gt;AO459))+SUMPRODUCT(--($AL459:AO459=AO459))=1,4,5)))),"")</f>
        <v/>
      </c>
      <c r="AR459" s="59" t="str">
        <f aca="false">IF($AJ459=Constants!$B$7,IF(SUMPRODUCT(--($AL459:$AP459&gt;AL459))+SUMPRODUCT(--($AL459:AL459=AL459))=2,1,IF(SUMPRODUCT(--($AL459:$AP459&gt;AM459))+SUMPRODUCT(--($AL459:AM459=AM459))=2,2,IF(SUMPRODUCT(--($AL459:$AP459&gt;AN459))+SUMPRODUCT(--($AL459:AN459=AN459))=2,3,IF(SUMPRODUCT(--($AL459:$AP459&gt;AO459))+SUMPRODUCT(--($AL459:AO459=AO459))=2,4,5)))),"")</f>
        <v/>
      </c>
      <c r="AS459" s="59" t="str">
        <f aca="false">IF($AJ459=Constants!$B$7,IF(SUMPRODUCT(--($AL459:$AP459&gt;AL459))+SUMPRODUCT(--($AL459:AL459=AL459))=3,1,IF(SUMPRODUCT(--($AL459:$AP459&gt;AM459))+SUMPRODUCT(--($AL459:AM459=AM459))=3,2,IF(SUMPRODUCT(--($AL459:$AP459&gt;AN459))+SUMPRODUCT(--($AL459:AN459=AN459))=3,3,IF(SUMPRODUCT(--($AL459:$AP459&gt;AO459))+SUMPRODUCT(--($AL459:AO459=AO459))=3,4,5)))),"")</f>
        <v/>
      </c>
      <c r="AT459" s="59" t="str">
        <f aca="false">IF($AJ459=Constants!$B$7,LARGE(AL459:AP459,1)+LARGE(AL459:AP459,2)+LARGE(AL459:AP459,3),"")</f>
        <v/>
      </c>
      <c r="AU459" s="59" t="str">
        <f aca="false">IF(ISBLANK($C459),"",IF($AJ459&lt;&gt;Constants!$B$7,$AJ459,AT459*W459))</f>
        <v/>
      </c>
      <c r="AV459" s="59" t="str">
        <f aca="false">IF(ISBLANK($C459),"",IF($AJ459=Constants!$B$7,IF(ISNUMBER(AU459),RANK(AU459,$AU$8:$AU$507),Constants!$B$14),$AJ459))</f>
        <v/>
      </c>
      <c r="AW459" s="59" t="str">
        <f aca="false">IF(ISBLANK($C459),"",IF($AJ459=Constants!$B$7,IF(ISNUMBER(AV459),COUNTIFS($AK$8:$AK$507,"&lt;"&amp;$AK459)+COUNTIFS($AK$8:$AK$507,$AK459,$AV$8:$AV$507,"&lt;"&amp;$AV459)+1,Constants!$B$14),$AJ459))</f>
        <v/>
      </c>
      <c r="AX459" s="59" t="str">
        <f aca="false">IF(ISBLANK($C459),"",IF($AJ459=Constants!$B$7,LARGE(AL459:AP459,4)*W459,""))</f>
        <v/>
      </c>
      <c r="AY459" s="59" t="str">
        <f aca="false">IF(ISBLANK($C459),"",IF($AJ459=Constants!$B$7,RANK(AX459,$AX$8:$AX$507),$AJ459))</f>
        <v/>
      </c>
      <c r="AZ459" s="59" t="str">
        <f aca="false">IF(ISBLANK($C459),"",IF($AJ459=Constants!$B$7,IF(ISNUMBER(AV459),COUNTIFS($AK$8:$AK$507,"&lt;"&amp;$AK459)+COUNTIFS($AK$8:$AK$507,$AK459,$AV$8:$AV$507,"&lt;"&amp;$AV459)+COUNTIFS($AK$8:$AK$507,$AK459,$AV$8:$AV$507,$AV459,$AY$8:$AY$507,"&lt;"&amp;$AY459)+1,Constants!$B$14),$AJ459))</f>
        <v/>
      </c>
      <c r="BA459" s="59" t="str">
        <f aca="false">IF(ISBLANK($C459),"",IF($AJ459=Constants!$B$7,IF(ISNUMBER(AW459),AW459-AZ459,Constants!$B$14),$AJ459))</f>
        <v/>
      </c>
      <c r="BB459" s="61"/>
      <c r="BC459" s="62" t="str">
        <f aca="false">IF(ISBLANK($C459),"",IF($AJ459&lt;&gt;Constants!$B$7,$AJ459,SMALL(AQ459:AS459,1)&amp;", "&amp;SMALL(AQ459:AS459,2)&amp;", "&amp;SMALL(AQ459:AS459,3)))</f>
        <v/>
      </c>
      <c r="BD459" s="63" t="str">
        <f aca="false">IF(ISBLANK($C459),"",IF($AJ459&lt;&gt;Constants!$B$7,$AJ459,W459))</f>
        <v/>
      </c>
      <c r="BE459" s="64" t="str">
        <f aca="false">IF(ISBLANK($C459),"",IF($AJ459&lt;&gt;Constants!$B$7,$AJ459,AU459))</f>
        <v/>
      </c>
      <c r="BF459" s="65" t="str">
        <f aca="false">IF(ISBLANK($C459),"",IF($AJ459&lt;&gt;Constants!$B$7,$AJ459,AK459))</f>
        <v/>
      </c>
      <c r="BG459" s="63" t="str">
        <f aca="false">IF(ISBLANK($C459),"",BA459)</f>
        <v/>
      </c>
      <c r="BH459" s="63" t="str">
        <f aca="false">IF(ISBLANK($C459),"",AZ459)</f>
        <v/>
      </c>
      <c r="BI459" s="66" t="str">
        <f aca="false">IF(ISBLANK($C459),"",IF(BH459=Constants!$B$4,COUNTA($C$8:$C$507)+2,IF(BH459=Constants!$B$5,COUNTA($C$8:$C$507)+1,IF(BH459=Constants!$B$6,COUNTA($C$8:$C$507),BH459))))</f>
        <v/>
      </c>
      <c r="BJ459" s="5"/>
      <c r="BK459" s="67" t="n">
        <f aca="false">IF(OR(ISNUMBER(BH459),BH459=Constants!$B$4,BH459=Constants!$B$6,BH459=Constants!$B$5),1,0)</f>
        <v>0</v>
      </c>
      <c r="BL459" s="67" t="n">
        <v>452</v>
      </c>
      <c r="BM459" s="67" t="str">
        <f aca="false">IF(ISBLANK($C459),"",IF(ISNUMBER(BI459),BI459+ROW($B459)/1000,""))</f>
        <v/>
      </c>
      <c r="BN459" s="67" t="str">
        <f aca="false">IF(ISNUMBER(BM459),RANK(BM459,$BM$8:$BM$507,1),"")</f>
        <v/>
      </c>
      <c r="BO459" s="67" t="str">
        <f aca="false">IF(ISBLANK($C459),"",$B459)</f>
        <v/>
      </c>
      <c r="BP459" s="67" t="str">
        <f aca="false">IF(ISBLANK($C459),"",$C459)</f>
        <v/>
      </c>
      <c r="BQ459" s="67" t="str">
        <f aca="false">IF(ISBLANK($C459),"",$D459)</f>
        <v/>
      </c>
      <c r="BR459" s="68" t="str">
        <f aca="false">BF459</f>
        <v/>
      </c>
      <c r="BS459" s="69" t="str">
        <f aca="false">BE459</f>
        <v/>
      </c>
      <c r="BT459" s="67" t="str">
        <f aca="false">IF(ISBLANK($C459),"",BH459)</f>
        <v/>
      </c>
      <c r="BU459" s="70" t="str">
        <f aca="false">IF($BL459&gt;$BK$7,"",VLOOKUP($BL459,$BN$8:$BT$507,7,FALSE()))</f>
        <v/>
      </c>
      <c r="BV459" s="71" t="str">
        <f aca="false">IF($BL459&gt;$BK$7,"",VLOOKUP($BL459,$BN$8:$BT$507,2,FALSE()))</f>
        <v/>
      </c>
      <c r="BW459" s="71" t="str">
        <f aca="false">IF($BL459&gt;$BK$7,"",VLOOKUP($BL459,$BN$8:$BT$507,3,FALSE()))</f>
        <v/>
      </c>
      <c r="BX459" s="71" t="str">
        <f aca="false">IF($BL459&gt;$BK$7,"",VLOOKUP($BL459,$BN$8:$BT$507,4,FALSE()))</f>
        <v/>
      </c>
      <c r="BY459" s="71" t="str">
        <f aca="false">IF($BL459&gt;$BK$7,"",VLOOKUP($BL459,$BN$8:$BT$507,5,FALSE()))</f>
        <v/>
      </c>
      <c r="BZ459" s="72" t="str">
        <f aca="false">IF($BL459&gt;$BK$7,"",VLOOKUP($BL459,$BN$8:$BT$507,6,FALSE()))</f>
        <v/>
      </c>
      <c r="CA459" s="48"/>
    </row>
    <row r="460" customFormat="false" ht="15.75" hidden="false" customHeight="false" outlineLevel="0" collapsed="false">
      <c r="A460" s="5"/>
      <c r="B460" s="121"/>
      <c r="C460" s="50"/>
      <c r="D460" s="51"/>
      <c r="E460" s="74"/>
      <c r="F460" s="122"/>
      <c r="G460" s="54"/>
      <c r="H460" s="123"/>
      <c r="I460" s="124"/>
      <c r="J460" s="54"/>
      <c r="K460" s="123"/>
      <c r="L460" s="54"/>
      <c r="M460" s="123"/>
      <c r="N460" s="54"/>
      <c r="O460" s="123"/>
      <c r="P460" s="54"/>
      <c r="Q460" s="123"/>
      <c r="R460" s="54"/>
      <c r="S460" s="74"/>
      <c r="T460" s="58"/>
      <c r="U460" s="59" t="str">
        <f aca="false">IF(ISBLANK($C460),"",IF(E460=Constants!$B$2, TRUE(), IF(E460=Constants!$B$3, FALSE(), TRUE())))</f>
        <v/>
      </c>
      <c r="V460" s="59" t="str">
        <f aca="false">IF(ISBLANK($C460),"",IF(F460=Constants!$B$2, TRUE(), IF(F460=Constants!$B$3, FALSE(), TRUE())))</f>
        <v/>
      </c>
      <c r="W460" s="59" t="str">
        <f aca="false">IF(ISBLANK($C460),"",IF(G460=Constants!$B$15,Constants!$B$8,IF(G460=Constants!$B$16,Constants!$B$9,Constants!$B$10)))</f>
        <v/>
      </c>
      <c r="X460" s="59" t="str">
        <f aca="false">IF(ISBLANK($C460),"",IF(H460=Constants!$B$2, TRUE(), IF(H460=Constants!$B$3, FALSE(), TRUE())))</f>
        <v/>
      </c>
      <c r="Y460" s="59" t="str">
        <f aca="false">IF(ISBLANK($C460),"",IF(I460=Constants!$B$19,Constants!$B$19,Constants!$B$18))</f>
        <v/>
      </c>
      <c r="Z460" s="59" t="str">
        <f aca="false">IF(ISBLANK($C460),"",IF(ISNUMBER(J460),IF(J460&gt;=0,J460,""),""))</f>
        <v/>
      </c>
      <c r="AA460" s="59" t="str">
        <f aca="false">IF(ISBLANK($C460),"",IF(K460=Constants!$B$19,Constants!$B$19,Constants!$B$18))</f>
        <v/>
      </c>
      <c r="AB460" s="59" t="str">
        <f aca="false">IF(ISBLANK($C460),"",IF(ISNUMBER(L460),IF(L460&gt;=0,L460,""),""))</f>
        <v/>
      </c>
      <c r="AC460" s="59" t="str">
        <f aca="false">IF(ISBLANK($C460),"",IF(M460=Constants!$B$19,Constants!$B$19,Constants!$B$18))</f>
        <v/>
      </c>
      <c r="AD460" s="59" t="str">
        <f aca="false">IF(ISBLANK($C460),"",IF(ISNUMBER(N460),IF(N460&gt;=0,N460,""),""))</f>
        <v/>
      </c>
      <c r="AE460" s="59" t="str">
        <f aca="false">IF(ISBLANK($C460),"",IF(O460=Constants!$B$19,Constants!$B$19,Constants!$B$18))</f>
        <v/>
      </c>
      <c r="AF460" s="59" t="str">
        <f aca="false">IF(ISBLANK($C460),"",IF(ISNUMBER(P460),IF(P460&gt;=0,P460,""),""))</f>
        <v/>
      </c>
      <c r="AG460" s="59" t="str">
        <f aca="false">IF(ISBLANK($C460),"",IF(Q460=Constants!$B$19,Constants!$B$19,Constants!$B$18))</f>
        <v/>
      </c>
      <c r="AH460" s="59" t="str">
        <f aca="false">IF(ISBLANK($C460),"",IF(ISNUMBER(R460),IF(R460&gt;=0,R460,""),""))</f>
        <v/>
      </c>
      <c r="AI460" s="59" t="str">
        <f aca="false">IF(ISBLANK($C460),"",IF(S460=Constants!$B$2, TRUE(), IF(S460=Constants!$B$3, FALSE(), FALSE())))</f>
        <v/>
      </c>
      <c r="AJ460" s="59" t="str">
        <f aca="false">IF(ISBLANK($C460),"",IF(AI460,Constants!$B$4,IF(COUNTA(E460:R460)=0,Constants!$B$5,IF(COUNTA(J460,L460,N460,P460,R460)=0,Constants!$B$6,Constants!$B$7))))</f>
        <v/>
      </c>
      <c r="AK460" s="59" t="str">
        <f aca="false">IF(ISBLANK($C460),"",IF($AJ460&lt;&gt;Constants!$B$7,$AJ460,IF(OR(NOT(X460),AND(NOT(U460),COUNTIFS(Y460:AG460,Constants!$B$18,Z460:AH460,"&gt;=0")&gt;0),AND(NOT(V460),COUNTIFS(Y460:AG460,Constants!$B$19,Z460:AH460,"&gt;=0")&gt;0)),Constants!$B$12,Constants!$B$11)))</f>
        <v/>
      </c>
      <c r="AL460" s="59" t="str">
        <f aca="false">IF($AJ460=Constants!$B$7,IF(Z460="",Constants!$B$13,Z460),"")</f>
        <v/>
      </c>
      <c r="AM460" s="59" t="str">
        <f aca="false">IF($AJ460=Constants!$B$7,IF(AB460="",Constants!$B$13,AB460),"")</f>
        <v/>
      </c>
      <c r="AN460" s="59" t="str">
        <f aca="false">IF($AJ460=Constants!$B$7,IF(AD460="",Constants!$B$13,AD460),"")</f>
        <v/>
      </c>
      <c r="AO460" s="59" t="str">
        <f aca="false">IF($AJ460=Constants!$B$7,IF(AF460="",Constants!$B$13,AF460),"")</f>
        <v/>
      </c>
      <c r="AP460" s="59" t="str">
        <f aca="false">IF($AJ460=Constants!$B$7,IF(AH460="",Constants!$B$13,AH460),"")</f>
        <v/>
      </c>
      <c r="AQ460" s="59" t="str">
        <f aca="false">IF($AJ460=Constants!$B$7,IF(SUMPRODUCT(--($AL460:$AP460&gt;AL460))+SUMPRODUCT(--($AL460:AL460=AL460))=1,1,IF(SUMPRODUCT(--($AL460:$AP460&gt;AM460))+SUMPRODUCT(--($AL460:AM460=AM460))=1,2,IF(SUMPRODUCT(--($AL460:$AP460&gt;AN460))+SUMPRODUCT(--($AL460:AN460=AN460))=1,3,IF(SUMPRODUCT(--($AL460:$AP460&gt;AO460))+SUMPRODUCT(--($AL460:AO460=AO460))=1,4,5)))),"")</f>
        <v/>
      </c>
      <c r="AR460" s="59" t="str">
        <f aca="false">IF($AJ460=Constants!$B$7,IF(SUMPRODUCT(--($AL460:$AP460&gt;AL460))+SUMPRODUCT(--($AL460:AL460=AL460))=2,1,IF(SUMPRODUCT(--($AL460:$AP460&gt;AM460))+SUMPRODUCT(--($AL460:AM460=AM460))=2,2,IF(SUMPRODUCT(--($AL460:$AP460&gt;AN460))+SUMPRODUCT(--($AL460:AN460=AN460))=2,3,IF(SUMPRODUCT(--($AL460:$AP460&gt;AO460))+SUMPRODUCT(--($AL460:AO460=AO460))=2,4,5)))),"")</f>
        <v/>
      </c>
      <c r="AS460" s="59" t="str">
        <f aca="false">IF($AJ460=Constants!$B$7,IF(SUMPRODUCT(--($AL460:$AP460&gt;AL460))+SUMPRODUCT(--($AL460:AL460=AL460))=3,1,IF(SUMPRODUCT(--($AL460:$AP460&gt;AM460))+SUMPRODUCT(--($AL460:AM460=AM460))=3,2,IF(SUMPRODUCT(--($AL460:$AP460&gt;AN460))+SUMPRODUCT(--($AL460:AN460=AN460))=3,3,IF(SUMPRODUCT(--($AL460:$AP460&gt;AO460))+SUMPRODUCT(--($AL460:AO460=AO460))=3,4,5)))),"")</f>
        <v/>
      </c>
      <c r="AT460" s="59" t="str">
        <f aca="false">IF($AJ460=Constants!$B$7,LARGE(AL460:AP460,1)+LARGE(AL460:AP460,2)+LARGE(AL460:AP460,3),"")</f>
        <v/>
      </c>
      <c r="AU460" s="59" t="str">
        <f aca="false">IF(ISBLANK($C460),"",IF($AJ460&lt;&gt;Constants!$B$7,$AJ460,AT460*W460))</f>
        <v/>
      </c>
      <c r="AV460" s="59" t="str">
        <f aca="false">IF(ISBLANK($C460),"",IF($AJ460=Constants!$B$7,IF(ISNUMBER(AU460),RANK(AU460,$AU$8:$AU$507),Constants!$B$14),$AJ460))</f>
        <v/>
      </c>
      <c r="AW460" s="59" t="str">
        <f aca="false">IF(ISBLANK($C460),"",IF($AJ460=Constants!$B$7,IF(ISNUMBER(AV460),COUNTIFS($AK$8:$AK$507,"&lt;"&amp;$AK460)+COUNTIFS($AK$8:$AK$507,$AK460,$AV$8:$AV$507,"&lt;"&amp;$AV460)+1,Constants!$B$14),$AJ460))</f>
        <v/>
      </c>
      <c r="AX460" s="59" t="str">
        <f aca="false">IF(ISBLANK($C460),"",IF($AJ460=Constants!$B$7,LARGE(AL460:AP460,4)*W460,""))</f>
        <v/>
      </c>
      <c r="AY460" s="59" t="str">
        <f aca="false">IF(ISBLANK($C460),"",IF($AJ460=Constants!$B$7,RANK(AX460,$AX$8:$AX$507),$AJ460))</f>
        <v/>
      </c>
      <c r="AZ460" s="59" t="str">
        <f aca="false">IF(ISBLANK($C460),"",IF($AJ460=Constants!$B$7,IF(ISNUMBER(AV460),COUNTIFS($AK$8:$AK$507,"&lt;"&amp;$AK460)+COUNTIFS($AK$8:$AK$507,$AK460,$AV$8:$AV$507,"&lt;"&amp;$AV460)+COUNTIFS($AK$8:$AK$507,$AK460,$AV$8:$AV$507,$AV460,$AY$8:$AY$507,"&lt;"&amp;$AY460)+1,Constants!$B$14),$AJ460))</f>
        <v/>
      </c>
      <c r="BA460" s="59" t="str">
        <f aca="false">IF(ISBLANK($C460),"",IF($AJ460=Constants!$B$7,IF(ISNUMBER(AW460),AW460-AZ460,Constants!$B$14),$AJ460))</f>
        <v/>
      </c>
      <c r="BB460" s="61"/>
      <c r="BC460" s="62" t="str">
        <f aca="false">IF(ISBLANK($C460),"",IF($AJ460&lt;&gt;Constants!$B$7,$AJ460,SMALL(AQ460:AS460,1)&amp;", "&amp;SMALL(AQ460:AS460,2)&amp;", "&amp;SMALL(AQ460:AS460,3)))</f>
        <v/>
      </c>
      <c r="BD460" s="63" t="str">
        <f aca="false">IF(ISBLANK($C460),"",IF($AJ460&lt;&gt;Constants!$B$7,$AJ460,W460))</f>
        <v/>
      </c>
      <c r="BE460" s="64" t="str">
        <f aca="false">IF(ISBLANK($C460),"",IF($AJ460&lt;&gt;Constants!$B$7,$AJ460,AU460))</f>
        <v/>
      </c>
      <c r="BF460" s="65" t="str">
        <f aca="false">IF(ISBLANK($C460),"",IF($AJ460&lt;&gt;Constants!$B$7,$AJ460,AK460))</f>
        <v/>
      </c>
      <c r="BG460" s="63" t="str">
        <f aca="false">IF(ISBLANK($C460),"",BA460)</f>
        <v/>
      </c>
      <c r="BH460" s="63" t="str">
        <f aca="false">IF(ISBLANK($C460),"",AZ460)</f>
        <v/>
      </c>
      <c r="BI460" s="66" t="str">
        <f aca="false">IF(ISBLANK($C460),"",IF(BH460=Constants!$B$4,COUNTA($C$8:$C$507)+2,IF(BH460=Constants!$B$5,COUNTA($C$8:$C$507)+1,IF(BH460=Constants!$B$6,COUNTA($C$8:$C$507),BH460))))</f>
        <v/>
      </c>
      <c r="BJ460" s="5"/>
      <c r="BK460" s="67" t="n">
        <f aca="false">IF(OR(ISNUMBER(BH460),BH460=Constants!$B$4,BH460=Constants!$B$6,BH460=Constants!$B$5),1,0)</f>
        <v>0</v>
      </c>
      <c r="BL460" s="67" t="n">
        <v>453</v>
      </c>
      <c r="BM460" s="67" t="str">
        <f aca="false">IF(ISBLANK($C460),"",IF(ISNUMBER(BI460),BI460+ROW($B460)/1000,""))</f>
        <v/>
      </c>
      <c r="BN460" s="67" t="str">
        <f aca="false">IF(ISNUMBER(BM460),RANK(BM460,$BM$8:$BM$507,1),"")</f>
        <v/>
      </c>
      <c r="BO460" s="67" t="str">
        <f aca="false">IF(ISBLANK($C460),"",$B460)</f>
        <v/>
      </c>
      <c r="BP460" s="67" t="str">
        <f aca="false">IF(ISBLANK($C460),"",$C460)</f>
        <v/>
      </c>
      <c r="BQ460" s="67" t="str">
        <f aca="false">IF(ISBLANK($C460),"",$D460)</f>
        <v/>
      </c>
      <c r="BR460" s="68" t="str">
        <f aca="false">BF460</f>
        <v/>
      </c>
      <c r="BS460" s="69" t="str">
        <f aca="false">BE460</f>
        <v/>
      </c>
      <c r="BT460" s="67" t="str">
        <f aca="false">IF(ISBLANK($C460),"",BH460)</f>
        <v/>
      </c>
      <c r="BU460" s="70" t="str">
        <f aca="false">IF($BL460&gt;$BK$7,"",VLOOKUP($BL460,$BN$8:$BT$507,7,FALSE()))</f>
        <v/>
      </c>
      <c r="BV460" s="71" t="str">
        <f aca="false">IF($BL460&gt;$BK$7,"",VLOOKUP($BL460,$BN$8:$BT$507,2,FALSE()))</f>
        <v/>
      </c>
      <c r="BW460" s="71" t="str">
        <f aca="false">IF($BL460&gt;$BK$7,"",VLOOKUP($BL460,$BN$8:$BT$507,3,FALSE()))</f>
        <v/>
      </c>
      <c r="BX460" s="71" t="str">
        <f aca="false">IF($BL460&gt;$BK$7,"",VLOOKUP($BL460,$BN$8:$BT$507,4,FALSE()))</f>
        <v/>
      </c>
      <c r="BY460" s="71" t="str">
        <f aca="false">IF($BL460&gt;$BK$7,"",VLOOKUP($BL460,$BN$8:$BT$507,5,FALSE()))</f>
        <v/>
      </c>
      <c r="BZ460" s="72" t="str">
        <f aca="false">IF($BL460&gt;$BK$7,"",VLOOKUP($BL460,$BN$8:$BT$507,6,FALSE()))</f>
        <v/>
      </c>
      <c r="CA460" s="48"/>
    </row>
    <row r="461" customFormat="false" ht="15.75" hidden="false" customHeight="false" outlineLevel="0" collapsed="false">
      <c r="A461" s="5"/>
      <c r="B461" s="114"/>
      <c r="C461" s="115"/>
      <c r="D461" s="100"/>
      <c r="E461" s="120"/>
      <c r="F461" s="125"/>
      <c r="G461" s="82"/>
      <c r="H461" s="126"/>
      <c r="I461" s="127"/>
      <c r="J461" s="82"/>
      <c r="K461" s="126"/>
      <c r="L461" s="82"/>
      <c r="M461" s="126"/>
      <c r="N461" s="82"/>
      <c r="O461" s="126"/>
      <c r="P461" s="82"/>
      <c r="Q461" s="126"/>
      <c r="R461" s="82"/>
      <c r="S461" s="120"/>
      <c r="T461" s="86"/>
      <c r="U461" s="87" t="str">
        <f aca="false">IF(ISBLANK($C461),"",IF(E461=Constants!$B$2, TRUE(), IF(E461=Constants!$B$3, FALSE(), TRUE())))</f>
        <v/>
      </c>
      <c r="V461" s="87" t="str">
        <f aca="false">IF(ISBLANK($C461),"",IF(F461=Constants!$B$2, TRUE(), IF(F461=Constants!$B$3, FALSE(), TRUE())))</f>
        <v/>
      </c>
      <c r="W461" s="87" t="str">
        <f aca="false">IF(ISBLANK($C461),"",IF(G461=Constants!$B$15,Constants!$B$8,IF(G461=Constants!$B$16,Constants!$B$9,Constants!$B$10)))</f>
        <v/>
      </c>
      <c r="X461" s="87" t="str">
        <f aca="false">IF(ISBLANK($C461),"",IF(H461=Constants!$B$2, TRUE(), IF(H461=Constants!$B$3, FALSE(), TRUE())))</f>
        <v/>
      </c>
      <c r="Y461" s="87" t="str">
        <f aca="false">IF(ISBLANK($C461),"",IF(I461=Constants!$B$19,Constants!$B$19,Constants!$B$18))</f>
        <v/>
      </c>
      <c r="Z461" s="87" t="str">
        <f aca="false">IF(ISBLANK($C461),"",IF(ISNUMBER(J461),IF(J461&gt;=0,J461,""),""))</f>
        <v/>
      </c>
      <c r="AA461" s="87" t="str">
        <f aca="false">IF(ISBLANK($C461),"",IF(K461=Constants!$B$19,Constants!$B$19,Constants!$B$18))</f>
        <v/>
      </c>
      <c r="AB461" s="87" t="str">
        <f aca="false">IF(ISBLANK($C461),"",IF(ISNUMBER(L461),IF(L461&gt;=0,L461,""),""))</f>
        <v/>
      </c>
      <c r="AC461" s="87" t="str">
        <f aca="false">IF(ISBLANK($C461),"",IF(M461=Constants!$B$19,Constants!$B$19,Constants!$B$18))</f>
        <v/>
      </c>
      <c r="AD461" s="87" t="str">
        <f aca="false">IF(ISBLANK($C461),"",IF(ISNUMBER(N461),IF(N461&gt;=0,N461,""),""))</f>
        <v/>
      </c>
      <c r="AE461" s="87" t="str">
        <f aca="false">IF(ISBLANK($C461),"",IF(O461=Constants!$B$19,Constants!$B$19,Constants!$B$18))</f>
        <v/>
      </c>
      <c r="AF461" s="87" t="str">
        <f aca="false">IF(ISBLANK($C461),"",IF(ISNUMBER(P461),IF(P461&gt;=0,P461,""),""))</f>
        <v/>
      </c>
      <c r="AG461" s="87" t="str">
        <f aca="false">IF(ISBLANK($C461),"",IF(Q461=Constants!$B$19,Constants!$B$19,Constants!$B$18))</f>
        <v/>
      </c>
      <c r="AH461" s="87" t="str">
        <f aca="false">IF(ISBLANK($C461),"",IF(ISNUMBER(R461),IF(R461&gt;=0,R461,""),""))</f>
        <v/>
      </c>
      <c r="AI461" s="87" t="str">
        <f aca="false">IF(ISBLANK($C461),"",IF(S461=Constants!$B$2, TRUE(), IF(S461=Constants!$B$3, FALSE(), FALSE())))</f>
        <v/>
      </c>
      <c r="AJ461" s="87" t="str">
        <f aca="false">IF(ISBLANK($C461),"",IF(AI461,Constants!$B$4,IF(COUNTA(E461:R461)=0,Constants!$B$5,IF(COUNTA(J461,L461,N461,P461,R461)=0,Constants!$B$6,Constants!$B$7))))</f>
        <v/>
      </c>
      <c r="AK461" s="87" t="str">
        <f aca="false">IF(ISBLANK($C461),"",IF($AJ461&lt;&gt;Constants!$B$7,$AJ461,IF(OR(NOT(X461),AND(NOT(U461),COUNTIFS(Y461:AG461,Constants!$B$18,Z461:AH461,"&gt;=0")&gt;0),AND(NOT(V461),COUNTIFS(Y461:AG461,Constants!$B$19,Z461:AH461,"&gt;=0")&gt;0)),Constants!$B$12,Constants!$B$11)))</f>
        <v/>
      </c>
      <c r="AL461" s="87" t="str">
        <f aca="false">IF($AJ461=Constants!$B$7,IF(Z461="",Constants!$B$13,Z461),"")</f>
        <v/>
      </c>
      <c r="AM461" s="87" t="str">
        <f aca="false">IF($AJ461=Constants!$B$7,IF(AB461="",Constants!$B$13,AB461),"")</f>
        <v/>
      </c>
      <c r="AN461" s="87" t="str">
        <f aca="false">IF($AJ461=Constants!$B$7,IF(AD461="",Constants!$B$13,AD461),"")</f>
        <v/>
      </c>
      <c r="AO461" s="87" t="str">
        <f aca="false">IF($AJ461=Constants!$B$7,IF(AF461="",Constants!$B$13,AF461),"")</f>
        <v/>
      </c>
      <c r="AP461" s="87" t="str">
        <f aca="false">IF($AJ461=Constants!$B$7,IF(AH461="",Constants!$B$13,AH461),"")</f>
        <v/>
      </c>
      <c r="AQ461" s="87" t="str">
        <f aca="false">IF($AJ461=Constants!$B$7,IF(SUMPRODUCT(--($AL461:$AP461&gt;AL461))+SUMPRODUCT(--($AL461:AL461=AL461))=1,1,IF(SUMPRODUCT(--($AL461:$AP461&gt;AM461))+SUMPRODUCT(--($AL461:AM461=AM461))=1,2,IF(SUMPRODUCT(--($AL461:$AP461&gt;AN461))+SUMPRODUCT(--($AL461:AN461=AN461))=1,3,IF(SUMPRODUCT(--($AL461:$AP461&gt;AO461))+SUMPRODUCT(--($AL461:AO461=AO461))=1,4,5)))),"")</f>
        <v/>
      </c>
      <c r="AR461" s="87" t="str">
        <f aca="false">IF($AJ461=Constants!$B$7,IF(SUMPRODUCT(--($AL461:$AP461&gt;AL461))+SUMPRODUCT(--($AL461:AL461=AL461))=2,1,IF(SUMPRODUCT(--($AL461:$AP461&gt;AM461))+SUMPRODUCT(--($AL461:AM461=AM461))=2,2,IF(SUMPRODUCT(--($AL461:$AP461&gt;AN461))+SUMPRODUCT(--($AL461:AN461=AN461))=2,3,IF(SUMPRODUCT(--($AL461:$AP461&gt;AO461))+SUMPRODUCT(--($AL461:AO461=AO461))=2,4,5)))),"")</f>
        <v/>
      </c>
      <c r="AS461" s="87" t="str">
        <f aca="false">IF($AJ461=Constants!$B$7,IF(SUMPRODUCT(--($AL461:$AP461&gt;AL461))+SUMPRODUCT(--($AL461:AL461=AL461))=3,1,IF(SUMPRODUCT(--($AL461:$AP461&gt;AM461))+SUMPRODUCT(--($AL461:AM461=AM461))=3,2,IF(SUMPRODUCT(--($AL461:$AP461&gt;AN461))+SUMPRODUCT(--($AL461:AN461=AN461))=3,3,IF(SUMPRODUCT(--($AL461:$AP461&gt;AO461))+SUMPRODUCT(--($AL461:AO461=AO461))=3,4,5)))),"")</f>
        <v/>
      </c>
      <c r="AT461" s="87" t="str">
        <f aca="false">IF($AJ461=Constants!$B$7,LARGE(AL461:AP461,1)+LARGE(AL461:AP461,2)+LARGE(AL461:AP461,3),"")</f>
        <v/>
      </c>
      <c r="AU461" s="87" t="str">
        <f aca="false">IF(ISBLANK($C461),"",IF($AJ461&lt;&gt;Constants!$B$7,$AJ461,AT461*W461))</f>
        <v/>
      </c>
      <c r="AV461" s="87" t="str">
        <f aca="false">IF(ISBLANK($C461),"",IF($AJ461=Constants!$B$7,IF(ISNUMBER(AU461),RANK(AU461,$AU$8:$AU$507),Constants!$B$14),$AJ461))</f>
        <v/>
      </c>
      <c r="AW461" s="87" t="str">
        <f aca="false">IF(ISBLANK($C461),"",IF($AJ461=Constants!$B$7,IF(ISNUMBER(AV461),COUNTIFS($AK$8:$AK$507,"&lt;"&amp;$AK461)+COUNTIFS($AK$8:$AK$507,$AK461,$AV$8:$AV$507,"&lt;"&amp;$AV461)+1,Constants!$B$14),$AJ461))</f>
        <v/>
      </c>
      <c r="AX461" s="87" t="str">
        <f aca="false">IF(ISBLANK($C461),"",IF($AJ461=Constants!$B$7,LARGE(AL461:AP461,4)*W461,""))</f>
        <v/>
      </c>
      <c r="AY461" s="87" t="str">
        <f aca="false">IF(ISBLANK($C461),"",IF($AJ461=Constants!$B$7,RANK(AX461,$AX$8:$AX$507),$AJ461))</f>
        <v/>
      </c>
      <c r="AZ461" s="87" t="str">
        <f aca="false">IF(ISBLANK($C461),"",IF($AJ461=Constants!$B$7,IF(ISNUMBER(AV461),COUNTIFS($AK$8:$AK$507,"&lt;"&amp;$AK461)+COUNTIFS($AK$8:$AK$507,$AK461,$AV$8:$AV$507,"&lt;"&amp;$AV461)+COUNTIFS($AK$8:$AK$507,$AK461,$AV$8:$AV$507,$AV461,$AY$8:$AY$507,"&lt;"&amp;$AY461)+1,Constants!$B$14),$AJ461))</f>
        <v/>
      </c>
      <c r="BA461" s="87" t="str">
        <f aca="false">IF(ISBLANK($C461),"",IF($AJ461=Constants!$B$7,IF(ISNUMBER(AW461),AW461-AZ461,Constants!$B$14),$AJ461))</f>
        <v/>
      </c>
      <c r="BB461" s="88"/>
      <c r="BC461" s="89" t="str">
        <f aca="false">IF(ISBLANK($C461),"",IF($AJ461&lt;&gt;Constants!$B$7,$AJ461,SMALL(AQ461:AS461,1)&amp;", "&amp;SMALL(AQ461:AS461,2)&amp;", "&amp;SMALL(AQ461:AS461,3)))</f>
        <v/>
      </c>
      <c r="BD461" s="90" t="str">
        <f aca="false">IF(ISBLANK($C461),"",IF($AJ461&lt;&gt;Constants!$B$7,$AJ461,W461))</f>
        <v/>
      </c>
      <c r="BE461" s="91" t="str">
        <f aca="false">IF(ISBLANK($C461),"",IF($AJ461&lt;&gt;Constants!$B$7,$AJ461,AU461))</f>
        <v/>
      </c>
      <c r="BF461" s="92" t="str">
        <f aca="false">IF(ISBLANK($C461),"",IF($AJ461&lt;&gt;Constants!$B$7,$AJ461,AK461))</f>
        <v/>
      </c>
      <c r="BG461" s="90" t="str">
        <f aca="false">IF(ISBLANK($C461),"",BA461)</f>
        <v/>
      </c>
      <c r="BH461" s="90" t="str">
        <f aca="false">IF(ISBLANK($C461),"",AZ461)</f>
        <v/>
      </c>
      <c r="BI461" s="93" t="str">
        <f aca="false">IF(ISBLANK($C461),"",IF(BH461=Constants!$B$4,COUNTA($C$8:$C$507)+2,IF(BH461=Constants!$B$5,COUNTA($C$8:$C$507)+1,IF(BH461=Constants!$B$6,COUNTA($C$8:$C$507),BH461))))</f>
        <v/>
      </c>
      <c r="BJ461" s="5"/>
      <c r="BK461" s="94" t="n">
        <f aca="false">IF(OR(ISNUMBER(BH461),BH461=Constants!$B$4,BH461=Constants!$B$6,BH461=Constants!$B$5),1,0)</f>
        <v>0</v>
      </c>
      <c r="BL461" s="94" t="n">
        <v>454</v>
      </c>
      <c r="BM461" s="94" t="str">
        <f aca="false">IF(ISBLANK($C461),"",IF(ISNUMBER(BI461),BI461+ROW($B461)/1000,""))</f>
        <v/>
      </c>
      <c r="BN461" s="94" t="str">
        <f aca="false">IF(ISNUMBER(BM461),RANK(BM461,$BM$8:$BM$507,1),"")</f>
        <v/>
      </c>
      <c r="BO461" s="94" t="str">
        <f aca="false">IF(ISBLANK($C461),"",$B461)</f>
        <v/>
      </c>
      <c r="BP461" s="94" t="str">
        <f aca="false">IF(ISBLANK($C461),"",$C461)</f>
        <v/>
      </c>
      <c r="BQ461" s="94" t="str">
        <f aca="false">IF(ISBLANK($C461),"",$D461)</f>
        <v/>
      </c>
      <c r="BR461" s="95" t="str">
        <f aca="false">BF461</f>
        <v/>
      </c>
      <c r="BS461" s="96" t="str">
        <f aca="false">BE461</f>
        <v/>
      </c>
      <c r="BT461" s="94" t="str">
        <f aca="false">IF(ISBLANK($C461),"",BH461)</f>
        <v/>
      </c>
      <c r="BU461" s="97" t="str">
        <f aca="false">IF($BL461&gt;$BK$7,"",VLOOKUP($BL461,$BN$8:$BT$507,7,FALSE()))</f>
        <v/>
      </c>
      <c r="BV461" s="98" t="str">
        <f aca="false">IF($BL461&gt;$BK$7,"",VLOOKUP($BL461,$BN$8:$BT$507,2,FALSE()))</f>
        <v/>
      </c>
      <c r="BW461" s="98" t="str">
        <f aca="false">IF($BL461&gt;$BK$7,"",VLOOKUP($BL461,$BN$8:$BT$507,3,FALSE()))</f>
        <v/>
      </c>
      <c r="BX461" s="98" t="str">
        <f aca="false">IF($BL461&gt;$BK$7,"",VLOOKUP($BL461,$BN$8:$BT$507,4,FALSE()))</f>
        <v/>
      </c>
      <c r="BY461" s="98" t="str">
        <f aca="false">IF($BL461&gt;$BK$7,"",VLOOKUP($BL461,$BN$8:$BT$507,5,FALSE()))</f>
        <v/>
      </c>
      <c r="BZ461" s="99" t="str">
        <f aca="false">IF($BL461&gt;$BK$7,"",VLOOKUP($BL461,$BN$8:$BT$507,6,FALSE()))</f>
        <v/>
      </c>
      <c r="CA461" s="48"/>
    </row>
    <row r="462" customFormat="false" ht="15.75" hidden="false" customHeight="false" outlineLevel="0" collapsed="false">
      <c r="A462" s="5"/>
      <c r="B462" s="114"/>
      <c r="C462" s="115"/>
      <c r="D462" s="100"/>
      <c r="E462" s="120"/>
      <c r="F462" s="125"/>
      <c r="G462" s="82"/>
      <c r="H462" s="126"/>
      <c r="I462" s="127"/>
      <c r="J462" s="82"/>
      <c r="K462" s="126"/>
      <c r="L462" s="82"/>
      <c r="M462" s="126"/>
      <c r="N462" s="82"/>
      <c r="O462" s="126"/>
      <c r="P462" s="82"/>
      <c r="Q462" s="126"/>
      <c r="R462" s="82"/>
      <c r="S462" s="120"/>
      <c r="T462" s="86"/>
      <c r="U462" s="87" t="str">
        <f aca="false">IF(ISBLANK($C462),"",IF(E462=Constants!$B$2, TRUE(), IF(E462=Constants!$B$3, FALSE(), TRUE())))</f>
        <v/>
      </c>
      <c r="V462" s="87" t="str">
        <f aca="false">IF(ISBLANK($C462),"",IF(F462=Constants!$B$2, TRUE(), IF(F462=Constants!$B$3, FALSE(), TRUE())))</f>
        <v/>
      </c>
      <c r="W462" s="87" t="str">
        <f aca="false">IF(ISBLANK($C462),"",IF(G462=Constants!$B$15,Constants!$B$8,IF(G462=Constants!$B$16,Constants!$B$9,Constants!$B$10)))</f>
        <v/>
      </c>
      <c r="X462" s="87" t="str">
        <f aca="false">IF(ISBLANK($C462),"",IF(H462=Constants!$B$2, TRUE(), IF(H462=Constants!$B$3, FALSE(), TRUE())))</f>
        <v/>
      </c>
      <c r="Y462" s="87" t="str">
        <f aca="false">IF(ISBLANK($C462),"",IF(I462=Constants!$B$19,Constants!$B$19,Constants!$B$18))</f>
        <v/>
      </c>
      <c r="Z462" s="87" t="str">
        <f aca="false">IF(ISBLANK($C462),"",IF(ISNUMBER(J462),IF(J462&gt;=0,J462,""),""))</f>
        <v/>
      </c>
      <c r="AA462" s="87" t="str">
        <f aca="false">IF(ISBLANK($C462),"",IF(K462=Constants!$B$19,Constants!$B$19,Constants!$B$18))</f>
        <v/>
      </c>
      <c r="AB462" s="87" t="str">
        <f aca="false">IF(ISBLANK($C462),"",IF(ISNUMBER(L462),IF(L462&gt;=0,L462,""),""))</f>
        <v/>
      </c>
      <c r="AC462" s="87" t="str">
        <f aca="false">IF(ISBLANK($C462),"",IF(M462=Constants!$B$19,Constants!$B$19,Constants!$B$18))</f>
        <v/>
      </c>
      <c r="AD462" s="87" t="str">
        <f aca="false">IF(ISBLANK($C462),"",IF(ISNUMBER(N462),IF(N462&gt;=0,N462,""),""))</f>
        <v/>
      </c>
      <c r="AE462" s="87" t="str">
        <f aca="false">IF(ISBLANK($C462),"",IF(O462=Constants!$B$19,Constants!$B$19,Constants!$B$18))</f>
        <v/>
      </c>
      <c r="AF462" s="87" t="str">
        <f aca="false">IF(ISBLANK($C462),"",IF(ISNUMBER(P462),IF(P462&gt;=0,P462,""),""))</f>
        <v/>
      </c>
      <c r="AG462" s="87" t="str">
        <f aca="false">IF(ISBLANK($C462),"",IF(Q462=Constants!$B$19,Constants!$B$19,Constants!$B$18))</f>
        <v/>
      </c>
      <c r="AH462" s="87" t="str">
        <f aca="false">IF(ISBLANK($C462),"",IF(ISNUMBER(R462),IF(R462&gt;=0,R462,""),""))</f>
        <v/>
      </c>
      <c r="AI462" s="87" t="str">
        <f aca="false">IF(ISBLANK($C462),"",IF(S462=Constants!$B$2, TRUE(), IF(S462=Constants!$B$3, FALSE(), FALSE())))</f>
        <v/>
      </c>
      <c r="AJ462" s="87" t="str">
        <f aca="false">IF(ISBLANK($C462),"",IF(AI462,Constants!$B$4,IF(COUNTA(E462:R462)=0,Constants!$B$5,IF(COUNTA(J462,L462,N462,P462,R462)=0,Constants!$B$6,Constants!$B$7))))</f>
        <v/>
      </c>
      <c r="AK462" s="87" t="str">
        <f aca="false">IF(ISBLANK($C462),"",IF($AJ462&lt;&gt;Constants!$B$7,$AJ462,IF(OR(NOT(X462),AND(NOT(U462),COUNTIFS(Y462:AG462,Constants!$B$18,Z462:AH462,"&gt;=0")&gt;0),AND(NOT(V462),COUNTIFS(Y462:AG462,Constants!$B$19,Z462:AH462,"&gt;=0")&gt;0)),Constants!$B$12,Constants!$B$11)))</f>
        <v/>
      </c>
      <c r="AL462" s="87" t="str">
        <f aca="false">IF($AJ462=Constants!$B$7,IF(Z462="",Constants!$B$13,Z462),"")</f>
        <v/>
      </c>
      <c r="AM462" s="87" t="str">
        <f aca="false">IF($AJ462=Constants!$B$7,IF(AB462="",Constants!$B$13,AB462),"")</f>
        <v/>
      </c>
      <c r="AN462" s="87" t="str">
        <f aca="false">IF($AJ462=Constants!$B$7,IF(AD462="",Constants!$B$13,AD462),"")</f>
        <v/>
      </c>
      <c r="AO462" s="87" t="str">
        <f aca="false">IF($AJ462=Constants!$B$7,IF(AF462="",Constants!$B$13,AF462),"")</f>
        <v/>
      </c>
      <c r="AP462" s="87" t="str">
        <f aca="false">IF($AJ462=Constants!$B$7,IF(AH462="",Constants!$B$13,AH462),"")</f>
        <v/>
      </c>
      <c r="AQ462" s="87" t="str">
        <f aca="false">IF($AJ462=Constants!$B$7,IF(SUMPRODUCT(--($AL462:$AP462&gt;AL462))+SUMPRODUCT(--($AL462:AL462=AL462))=1,1,IF(SUMPRODUCT(--($AL462:$AP462&gt;AM462))+SUMPRODUCT(--($AL462:AM462=AM462))=1,2,IF(SUMPRODUCT(--($AL462:$AP462&gt;AN462))+SUMPRODUCT(--($AL462:AN462=AN462))=1,3,IF(SUMPRODUCT(--($AL462:$AP462&gt;AO462))+SUMPRODUCT(--($AL462:AO462=AO462))=1,4,5)))),"")</f>
        <v/>
      </c>
      <c r="AR462" s="87" t="str">
        <f aca="false">IF($AJ462=Constants!$B$7,IF(SUMPRODUCT(--($AL462:$AP462&gt;AL462))+SUMPRODUCT(--($AL462:AL462=AL462))=2,1,IF(SUMPRODUCT(--($AL462:$AP462&gt;AM462))+SUMPRODUCT(--($AL462:AM462=AM462))=2,2,IF(SUMPRODUCT(--($AL462:$AP462&gt;AN462))+SUMPRODUCT(--($AL462:AN462=AN462))=2,3,IF(SUMPRODUCT(--($AL462:$AP462&gt;AO462))+SUMPRODUCT(--($AL462:AO462=AO462))=2,4,5)))),"")</f>
        <v/>
      </c>
      <c r="AS462" s="87" t="str">
        <f aca="false">IF($AJ462=Constants!$B$7,IF(SUMPRODUCT(--($AL462:$AP462&gt;AL462))+SUMPRODUCT(--($AL462:AL462=AL462))=3,1,IF(SUMPRODUCT(--($AL462:$AP462&gt;AM462))+SUMPRODUCT(--($AL462:AM462=AM462))=3,2,IF(SUMPRODUCT(--($AL462:$AP462&gt;AN462))+SUMPRODUCT(--($AL462:AN462=AN462))=3,3,IF(SUMPRODUCT(--($AL462:$AP462&gt;AO462))+SUMPRODUCT(--($AL462:AO462=AO462))=3,4,5)))),"")</f>
        <v/>
      </c>
      <c r="AT462" s="87" t="str">
        <f aca="false">IF($AJ462=Constants!$B$7,LARGE(AL462:AP462,1)+LARGE(AL462:AP462,2)+LARGE(AL462:AP462,3),"")</f>
        <v/>
      </c>
      <c r="AU462" s="87" t="str">
        <f aca="false">IF(ISBLANK($C462),"",IF($AJ462&lt;&gt;Constants!$B$7,$AJ462,AT462*W462))</f>
        <v/>
      </c>
      <c r="AV462" s="87" t="str">
        <f aca="false">IF(ISBLANK($C462),"",IF($AJ462=Constants!$B$7,IF(ISNUMBER(AU462),RANK(AU462,$AU$8:$AU$507),Constants!$B$14),$AJ462))</f>
        <v/>
      </c>
      <c r="AW462" s="87" t="str">
        <f aca="false">IF(ISBLANK($C462),"",IF($AJ462=Constants!$B$7,IF(ISNUMBER(AV462),COUNTIFS($AK$8:$AK$507,"&lt;"&amp;$AK462)+COUNTIFS($AK$8:$AK$507,$AK462,$AV$8:$AV$507,"&lt;"&amp;$AV462)+1,Constants!$B$14),$AJ462))</f>
        <v/>
      </c>
      <c r="AX462" s="87" t="str">
        <f aca="false">IF(ISBLANK($C462),"",IF($AJ462=Constants!$B$7,LARGE(AL462:AP462,4)*W462,""))</f>
        <v/>
      </c>
      <c r="AY462" s="87" t="str">
        <f aca="false">IF(ISBLANK($C462),"",IF($AJ462=Constants!$B$7,RANK(AX462,$AX$8:$AX$507),$AJ462))</f>
        <v/>
      </c>
      <c r="AZ462" s="87" t="str">
        <f aca="false">IF(ISBLANK($C462),"",IF($AJ462=Constants!$B$7,IF(ISNUMBER(AV462),COUNTIFS($AK$8:$AK$507,"&lt;"&amp;$AK462)+COUNTIFS($AK$8:$AK$507,$AK462,$AV$8:$AV$507,"&lt;"&amp;$AV462)+COUNTIFS($AK$8:$AK$507,$AK462,$AV$8:$AV$507,$AV462,$AY$8:$AY$507,"&lt;"&amp;$AY462)+1,Constants!$B$14),$AJ462))</f>
        <v/>
      </c>
      <c r="BA462" s="87" t="str">
        <f aca="false">IF(ISBLANK($C462),"",IF($AJ462=Constants!$B$7,IF(ISNUMBER(AW462),AW462-AZ462,Constants!$B$14),$AJ462))</f>
        <v/>
      </c>
      <c r="BB462" s="88"/>
      <c r="BC462" s="89" t="str">
        <f aca="false">IF(ISBLANK($C462),"",IF($AJ462&lt;&gt;Constants!$B$7,$AJ462,SMALL(AQ462:AS462,1)&amp;", "&amp;SMALL(AQ462:AS462,2)&amp;", "&amp;SMALL(AQ462:AS462,3)))</f>
        <v/>
      </c>
      <c r="BD462" s="90" t="str">
        <f aca="false">IF(ISBLANK($C462),"",IF($AJ462&lt;&gt;Constants!$B$7,$AJ462,W462))</f>
        <v/>
      </c>
      <c r="BE462" s="91" t="str">
        <f aca="false">IF(ISBLANK($C462),"",IF($AJ462&lt;&gt;Constants!$B$7,$AJ462,AU462))</f>
        <v/>
      </c>
      <c r="BF462" s="92" t="str">
        <f aca="false">IF(ISBLANK($C462),"",IF($AJ462&lt;&gt;Constants!$B$7,$AJ462,AK462))</f>
        <v/>
      </c>
      <c r="BG462" s="90" t="str">
        <f aca="false">IF(ISBLANK($C462),"",BA462)</f>
        <v/>
      </c>
      <c r="BH462" s="90" t="str">
        <f aca="false">IF(ISBLANK($C462),"",AZ462)</f>
        <v/>
      </c>
      <c r="BI462" s="93" t="str">
        <f aca="false">IF(ISBLANK($C462),"",IF(BH462=Constants!$B$4,COUNTA($C$8:$C$507)+2,IF(BH462=Constants!$B$5,COUNTA($C$8:$C$507)+1,IF(BH462=Constants!$B$6,COUNTA($C$8:$C$507),BH462))))</f>
        <v/>
      </c>
      <c r="BJ462" s="5"/>
      <c r="BK462" s="94" t="n">
        <f aca="false">IF(OR(ISNUMBER(BH462),BH462=Constants!$B$4,BH462=Constants!$B$6,BH462=Constants!$B$5),1,0)</f>
        <v>0</v>
      </c>
      <c r="BL462" s="94" t="n">
        <v>455</v>
      </c>
      <c r="BM462" s="94" t="str">
        <f aca="false">IF(ISBLANK($C462),"",IF(ISNUMBER(BI462),BI462+ROW($B462)/1000,""))</f>
        <v/>
      </c>
      <c r="BN462" s="94" t="str">
        <f aca="false">IF(ISNUMBER(BM462),RANK(BM462,$BM$8:$BM$507,1),"")</f>
        <v/>
      </c>
      <c r="BO462" s="94" t="str">
        <f aca="false">IF(ISBLANK($C462),"",$B462)</f>
        <v/>
      </c>
      <c r="BP462" s="94" t="str">
        <f aca="false">IF(ISBLANK($C462),"",$C462)</f>
        <v/>
      </c>
      <c r="BQ462" s="94" t="str">
        <f aca="false">IF(ISBLANK($C462),"",$D462)</f>
        <v/>
      </c>
      <c r="BR462" s="95" t="str">
        <f aca="false">BF462</f>
        <v/>
      </c>
      <c r="BS462" s="96" t="str">
        <f aca="false">BE462</f>
        <v/>
      </c>
      <c r="BT462" s="94" t="str">
        <f aca="false">IF(ISBLANK($C462),"",BH462)</f>
        <v/>
      </c>
      <c r="BU462" s="97" t="str">
        <f aca="false">IF($BL462&gt;$BK$7,"",VLOOKUP($BL462,$BN$8:$BT$507,7,FALSE()))</f>
        <v/>
      </c>
      <c r="BV462" s="98" t="str">
        <f aca="false">IF($BL462&gt;$BK$7,"",VLOOKUP($BL462,$BN$8:$BT$507,2,FALSE()))</f>
        <v/>
      </c>
      <c r="BW462" s="98" t="str">
        <f aca="false">IF($BL462&gt;$BK$7,"",VLOOKUP($BL462,$BN$8:$BT$507,3,FALSE()))</f>
        <v/>
      </c>
      <c r="BX462" s="98" t="str">
        <f aca="false">IF($BL462&gt;$BK$7,"",VLOOKUP($BL462,$BN$8:$BT$507,4,FALSE()))</f>
        <v/>
      </c>
      <c r="BY462" s="98" t="str">
        <f aca="false">IF($BL462&gt;$BK$7,"",VLOOKUP($BL462,$BN$8:$BT$507,5,FALSE()))</f>
        <v/>
      </c>
      <c r="BZ462" s="99" t="str">
        <f aca="false">IF($BL462&gt;$BK$7,"",VLOOKUP($BL462,$BN$8:$BT$507,6,FALSE()))</f>
        <v/>
      </c>
      <c r="CA462" s="48"/>
    </row>
    <row r="463" customFormat="false" ht="15.75" hidden="false" customHeight="false" outlineLevel="0" collapsed="false">
      <c r="A463" s="5"/>
      <c r="B463" s="114"/>
      <c r="C463" s="115"/>
      <c r="D463" s="100"/>
      <c r="E463" s="120"/>
      <c r="F463" s="125"/>
      <c r="G463" s="82"/>
      <c r="H463" s="126"/>
      <c r="I463" s="127"/>
      <c r="J463" s="82"/>
      <c r="K463" s="126"/>
      <c r="L463" s="82"/>
      <c r="M463" s="126"/>
      <c r="N463" s="82"/>
      <c r="O463" s="126"/>
      <c r="P463" s="82"/>
      <c r="Q463" s="126"/>
      <c r="R463" s="82"/>
      <c r="S463" s="120"/>
      <c r="T463" s="86"/>
      <c r="U463" s="87" t="str">
        <f aca="false">IF(ISBLANK($C463),"",IF(E463=Constants!$B$2, TRUE(), IF(E463=Constants!$B$3, FALSE(), TRUE())))</f>
        <v/>
      </c>
      <c r="V463" s="87" t="str">
        <f aca="false">IF(ISBLANK($C463),"",IF(F463=Constants!$B$2, TRUE(), IF(F463=Constants!$B$3, FALSE(), TRUE())))</f>
        <v/>
      </c>
      <c r="W463" s="87" t="str">
        <f aca="false">IF(ISBLANK($C463),"",IF(G463=Constants!$B$15,Constants!$B$8,IF(G463=Constants!$B$16,Constants!$B$9,Constants!$B$10)))</f>
        <v/>
      </c>
      <c r="X463" s="87" t="str">
        <f aca="false">IF(ISBLANK($C463),"",IF(H463=Constants!$B$2, TRUE(), IF(H463=Constants!$B$3, FALSE(), TRUE())))</f>
        <v/>
      </c>
      <c r="Y463" s="87" t="str">
        <f aca="false">IF(ISBLANK($C463),"",IF(I463=Constants!$B$19,Constants!$B$19,Constants!$B$18))</f>
        <v/>
      </c>
      <c r="Z463" s="87" t="str">
        <f aca="false">IF(ISBLANK($C463),"",IF(ISNUMBER(J463),IF(J463&gt;=0,J463,""),""))</f>
        <v/>
      </c>
      <c r="AA463" s="87" t="str">
        <f aca="false">IF(ISBLANK($C463),"",IF(K463=Constants!$B$19,Constants!$B$19,Constants!$B$18))</f>
        <v/>
      </c>
      <c r="AB463" s="87" t="str">
        <f aca="false">IF(ISBLANK($C463),"",IF(ISNUMBER(L463),IF(L463&gt;=0,L463,""),""))</f>
        <v/>
      </c>
      <c r="AC463" s="87" t="str">
        <f aca="false">IF(ISBLANK($C463),"",IF(M463=Constants!$B$19,Constants!$B$19,Constants!$B$18))</f>
        <v/>
      </c>
      <c r="AD463" s="87" t="str">
        <f aca="false">IF(ISBLANK($C463),"",IF(ISNUMBER(N463),IF(N463&gt;=0,N463,""),""))</f>
        <v/>
      </c>
      <c r="AE463" s="87" t="str">
        <f aca="false">IF(ISBLANK($C463),"",IF(O463=Constants!$B$19,Constants!$B$19,Constants!$B$18))</f>
        <v/>
      </c>
      <c r="AF463" s="87" t="str">
        <f aca="false">IF(ISBLANK($C463),"",IF(ISNUMBER(P463),IF(P463&gt;=0,P463,""),""))</f>
        <v/>
      </c>
      <c r="AG463" s="87" t="str">
        <f aca="false">IF(ISBLANK($C463),"",IF(Q463=Constants!$B$19,Constants!$B$19,Constants!$B$18))</f>
        <v/>
      </c>
      <c r="AH463" s="87" t="str">
        <f aca="false">IF(ISBLANK($C463),"",IF(ISNUMBER(R463),IF(R463&gt;=0,R463,""),""))</f>
        <v/>
      </c>
      <c r="AI463" s="87" t="str">
        <f aca="false">IF(ISBLANK($C463),"",IF(S463=Constants!$B$2, TRUE(), IF(S463=Constants!$B$3, FALSE(), FALSE())))</f>
        <v/>
      </c>
      <c r="AJ463" s="87" t="str">
        <f aca="false">IF(ISBLANK($C463),"",IF(AI463,Constants!$B$4,IF(COUNTA(E463:R463)=0,Constants!$B$5,IF(COUNTA(J463,L463,N463,P463,R463)=0,Constants!$B$6,Constants!$B$7))))</f>
        <v/>
      </c>
      <c r="AK463" s="87" t="str">
        <f aca="false">IF(ISBLANK($C463),"",IF($AJ463&lt;&gt;Constants!$B$7,$AJ463,IF(OR(NOT(X463),AND(NOT(U463),COUNTIFS(Y463:AG463,Constants!$B$18,Z463:AH463,"&gt;=0")&gt;0),AND(NOT(V463),COUNTIFS(Y463:AG463,Constants!$B$19,Z463:AH463,"&gt;=0")&gt;0)),Constants!$B$12,Constants!$B$11)))</f>
        <v/>
      </c>
      <c r="AL463" s="87" t="str">
        <f aca="false">IF($AJ463=Constants!$B$7,IF(Z463="",Constants!$B$13,Z463),"")</f>
        <v/>
      </c>
      <c r="AM463" s="87" t="str">
        <f aca="false">IF($AJ463=Constants!$B$7,IF(AB463="",Constants!$B$13,AB463),"")</f>
        <v/>
      </c>
      <c r="AN463" s="87" t="str">
        <f aca="false">IF($AJ463=Constants!$B$7,IF(AD463="",Constants!$B$13,AD463),"")</f>
        <v/>
      </c>
      <c r="AO463" s="87" t="str">
        <f aca="false">IF($AJ463=Constants!$B$7,IF(AF463="",Constants!$B$13,AF463),"")</f>
        <v/>
      </c>
      <c r="AP463" s="87" t="str">
        <f aca="false">IF($AJ463=Constants!$B$7,IF(AH463="",Constants!$B$13,AH463),"")</f>
        <v/>
      </c>
      <c r="AQ463" s="87" t="str">
        <f aca="false">IF($AJ463=Constants!$B$7,IF(SUMPRODUCT(--($AL463:$AP463&gt;AL463))+SUMPRODUCT(--($AL463:AL463=AL463))=1,1,IF(SUMPRODUCT(--($AL463:$AP463&gt;AM463))+SUMPRODUCT(--($AL463:AM463=AM463))=1,2,IF(SUMPRODUCT(--($AL463:$AP463&gt;AN463))+SUMPRODUCT(--($AL463:AN463=AN463))=1,3,IF(SUMPRODUCT(--($AL463:$AP463&gt;AO463))+SUMPRODUCT(--($AL463:AO463=AO463))=1,4,5)))),"")</f>
        <v/>
      </c>
      <c r="AR463" s="87" t="str">
        <f aca="false">IF($AJ463=Constants!$B$7,IF(SUMPRODUCT(--($AL463:$AP463&gt;AL463))+SUMPRODUCT(--($AL463:AL463=AL463))=2,1,IF(SUMPRODUCT(--($AL463:$AP463&gt;AM463))+SUMPRODUCT(--($AL463:AM463=AM463))=2,2,IF(SUMPRODUCT(--($AL463:$AP463&gt;AN463))+SUMPRODUCT(--($AL463:AN463=AN463))=2,3,IF(SUMPRODUCT(--($AL463:$AP463&gt;AO463))+SUMPRODUCT(--($AL463:AO463=AO463))=2,4,5)))),"")</f>
        <v/>
      </c>
      <c r="AS463" s="87" t="str">
        <f aca="false">IF($AJ463=Constants!$B$7,IF(SUMPRODUCT(--($AL463:$AP463&gt;AL463))+SUMPRODUCT(--($AL463:AL463=AL463))=3,1,IF(SUMPRODUCT(--($AL463:$AP463&gt;AM463))+SUMPRODUCT(--($AL463:AM463=AM463))=3,2,IF(SUMPRODUCT(--($AL463:$AP463&gt;AN463))+SUMPRODUCT(--($AL463:AN463=AN463))=3,3,IF(SUMPRODUCT(--($AL463:$AP463&gt;AO463))+SUMPRODUCT(--($AL463:AO463=AO463))=3,4,5)))),"")</f>
        <v/>
      </c>
      <c r="AT463" s="87" t="str">
        <f aca="false">IF($AJ463=Constants!$B$7,LARGE(AL463:AP463,1)+LARGE(AL463:AP463,2)+LARGE(AL463:AP463,3),"")</f>
        <v/>
      </c>
      <c r="AU463" s="87" t="str">
        <f aca="false">IF(ISBLANK($C463),"",IF($AJ463&lt;&gt;Constants!$B$7,$AJ463,AT463*W463))</f>
        <v/>
      </c>
      <c r="AV463" s="87" t="str">
        <f aca="false">IF(ISBLANK($C463),"",IF($AJ463=Constants!$B$7,IF(ISNUMBER(AU463),RANK(AU463,$AU$8:$AU$507),Constants!$B$14),$AJ463))</f>
        <v/>
      </c>
      <c r="AW463" s="87" t="str">
        <f aca="false">IF(ISBLANK($C463),"",IF($AJ463=Constants!$B$7,IF(ISNUMBER(AV463),COUNTIFS($AK$8:$AK$507,"&lt;"&amp;$AK463)+COUNTIFS($AK$8:$AK$507,$AK463,$AV$8:$AV$507,"&lt;"&amp;$AV463)+1,Constants!$B$14),$AJ463))</f>
        <v/>
      </c>
      <c r="AX463" s="87" t="str">
        <f aca="false">IF(ISBLANK($C463),"",IF($AJ463=Constants!$B$7,LARGE(AL463:AP463,4)*W463,""))</f>
        <v/>
      </c>
      <c r="AY463" s="87" t="str">
        <f aca="false">IF(ISBLANK($C463),"",IF($AJ463=Constants!$B$7,RANK(AX463,$AX$8:$AX$507),$AJ463))</f>
        <v/>
      </c>
      <c r="AZ463" s="87" t="str">
        <f aca="false">IF(ISBLANK($C463),"",IF($AJ463=Constants!$B$7,IF(ISNUMBER(AV463),COUNTIFS($AK$8:$AK$507,"&lt;"&amp;$AK463)+COUNTIFS($AK$8:$AK$507,$AK463,$AV$8:$AV$507,"&lt;"&amp;$AV463)+COUNTIFS($AK$8:$AK$507,$AK463,$AV$8:$AV$507,$AV463,$AY$8:$AY$507,"&lt;"&amp;$AY463)+1,Constants!$B$14),$AJ463))</f>
        <v/>
      </c>
      <c r="BA463" s="87" t="str">
        <f aca="false">IF(ISBLANK($C463),"",IF($AJ463=Constants!$B$7,IF(ISNUMBER(AW463),AW463-AZ463,Constants!$B$14),$AJ463))</f>
        <v/>
      </c>
      <c r="BB463" s="88"/>
      <c r="BC463" s="89" t="str">
        <f aca="false">IF(ISBLANK($C463),"",IF($AJ463&lt;&gt;Constants!$B$7,$AJ463,SMALL(AQ463:AS463,1)&amp;", "&amp;SMALL(AQ463:AS463,2)&amp;", "&amp;SMALL(AQ463:AS463,3)))</f>
        <v/>
      </c>
      <c r="BD463" s="90" t="str">
        <f aca="false">IF(ISBLANK($C463),"",IF($AJ463&lt;&gt;Constants!$B$7,$AJ463,W463))</f>
        <v/>
      </c>
      <c r="BE463" s="91" t="str">
        <f aca="false">IF(ISBLANK($C463),"",IF($AJ463&lt;&gt;Constants!$B$7,$AJ463,AU463))</f>
        <v/>
      </c>
      <c r="BF463" s="92" t="str">
        <f aca="false">IF(ISBLANK($C463),"",IF($AJ463&lt;&gt;Constants!$B$7,$AJ463,AK463))</f>
        <v/>
      </c>
      <c r="BG463" s="90" t="str">
        <f aca="false">IF(ISBLANK($C463),"",BA463)</f>
        <v/>
      </c>
      <c r="BH463" s="90" t="str">
        <f aca="false">IF(ISBLANK($C463),"",AZ463)</f>
        <v/>
      </c>
      <c r="BI463" s="93" t="str">
        <f aca="false">IF(ISBLANK($C463),"",IF(BH463=Constants!$B$4,COUNTA($C$8:$C$507)+2,IF(BH463=Constants!$B$5,COUNTA($C$8:$C$507)+1,IF(BH463=Constants!$B$6,COUNTA($C$8:$C$507),BH463))))</f>
        <v/>
      </c>
      <c r="BJ463" s="5"/>
      <c r="BK463" s="94" t="n">
        <f aca="false">IF(OR(ISNUMBER(BH463),BH463=Constants!$B$4,BH463=Constants!$B$6,BH463=Constants!$B$5),1,0)</f>
        <v>0</v>
      </c>
      <c r="BL463" s="94" t="n">
        <v>456</v>
      </c>
      <c r="BM463" s="94" t="str">
        <f aca="false">IF(ISBLANK($C463),"",IF(ISNUMBER(BI463),BI463+ROW($B463)/1000,""))</f>
        <v/>
      </c>
      <c r="BN463" s="94" t="str">
        <f aca="false">IF(ISNUMBER(BM463),RANK(BM463,$BM$8:$BM$507,1),"")</f>
        <v/>
      </c>
      <c r="BO463" s="94" t="str">
        <f aca="false">IF(ISBLANK($C463),"",$B463)</f>
        <v/>
      </c>
      <c r="BP463" s="94" t="str">
        <f aca="false">IF(ISBLANK($C463),"",$C463)</f>
        <v/>
      </c>
      <c r="BQ463" s="94" t="str">
        <f aca="false">IF(ISBLANK($C463),"",$D463)</f>
        <v/>
      </c>
      <c r="BR463" s="95" t="str">
        <f aca="false">BF463</f>
        <v/>
      </c>
      <c r="BS463" s="96" t="str">
        <f aca="false">BE463</f>
        <v/>
      </c>
      <c r="BT463" s="94" t="str">
        <f aca="false">IF(ISBLANK($C463),"",BH463)</f>
        <v/>
      </c>
      <c r="BU463" s="97" t="str">
        <f aca="false">IF($BL463&gt;$BK$7,"",VLOOKUP($BL463,$BN$8:$BT$507,7,FALSE()))</f>
        <v/>
      </c>
      <c r="BV463" s="98" t="str">
        <f aca="false">IF($BL463&gt;$BK$7,"",VLOOKUP($BL463,$BN$8:$BT$507,2,FALSE()))</f>
        <v/>
      </c>
      <c r="BW463" s="98" t="str">
        <f aca="false">IF($BL463&gt;$BK$7,"",VLOOKUP($BL463,$BN$8:$BT$507,3,FALSE()))</f>
        <v/>
      </c>
      <c r="BX463" s="98" t="str">
        <f aca="false">IF($BL463&gt;$BK$7,"",VLOOKUP($BL463,$BN$8:$BT$507,4,FALSE()))</f>
        <v/>
      </c>
      <c r="BY463" s="98" t="str">
        <f aca="false">IF($BL463&gt;$BK$7,"",VLOOKUP($BL463,$BN$8:$BT$507,5,FALSE()))</f>
        <v/>
      </c>
      <c r="BZ463" s="99" t="str">
        <f aca="false">IF($BL463&gt;$BK$7,"",VLOOKUP($BL463,$BN$8:$BT$507,6,FALSE()))</f>
        <v/>
      </c>
      <c r="CA463" s="48"/>
    </row>
    <row r="464" customFormat="false" ht="15.75" hidden="false" customHeight="false" outlineLevel="0" collapsed="false">
      <c r="A464" s="5"/>
      <c r="B464" s="121"/>
      <c r="C464" s="50"/>
      <c r="D464" s="51"/>
      <c r="E464" s="74"/>
      <c r="F464" s="122"/>
      <c r="G464" s="54"/>
      <c r="H464" s="123"/>
      <c r="I464" s="124"/>
      <c r="J464" s="54"/>
      <c r="K464" s="123"/>
      <c r="L464" s="54"/>
      <c r="M464" s="123"/>
      <c r="N464" s="54"/>
      <c r="O464" s="123"/>
      <c r="P464" s="54"/>
      <c r="Q464" s="123"/>
      <c r="R464" s="54"/>
      <c r="S464" s="74"/>
      <c r="T464" s="58"/>
      <c r="U464" s="59" t="str">
        <f aca="false">IF(ISBLANK($C464),"",IF(E464=Constants!$B$2, TRUE(), IF(E464=Constants!$B$3, FALSE(), TRUE())))</f>
        <v/>
      </c>
      <c r="V464" s="59" t="str">
        <f aca="false">IF(ISBLANK($C464),"",IF(F464=Constants!$B$2, TRUE(), IF(F464=Constants!$B$3, FALSE(), TRUE())))</f>
        <v/>
      </c>
      <c r="W464" s="59" t="str">
        <f aca="false">IF(ISBLANK($C464),"",IF(G464=Constants!$B$15,Constants!$B$8,IF(G464=Constants!$B$16,Constants!$B$9,Constants!$B$10)))</f>
        <v/>
      </c>
      <c r="X464" s="59" t="str">
        <f aca="false">IF(ISBLANK($C464),"",IF(H464=Constants!$B$2, TRUE(), IF(H464=Constants!$B$3, FALSE(), TRUE())))</f>
        <v/>
      </c>
      <c r="Y464" s="59" t="str">
        <f aca="false">IF(ISBLANK($C464),"",IF(I464=Constants!$B$19,Constants!$B$19,Constants!$B$18))</f>
        <v/>
      </c>
      <c r="Z464" s="59" t="str">
        <f aca="false">IF(ISBLANK($C464),"",IF(ISNUMBER(J464),IF(J464&gt;=0,J464,""),""))</f>
        <v/>
      </c>
      <c r="AA464" s="59" t="str">
        <f aca="false">IF(ISBLANK($C464),"",IF(K464=Constants!$B$19,Constants!$B$19,Constants!$B$18))</f>
        <v/>
      </c>
      <c r="AB464" s="59" t="str">
        <f aca="false">IF(ISBLANK($C464),"",IF(ISNUMBER(L464),IF(L464&gt;=0,L464,""),""))</f>
        <v/>
      </c>
      <c r="AC464" s="59" t="str">
        <f aca="false">IF(ISBLANK($C464),"",IF(M464=Constants!$B$19,Constants!$B$19,Constants!$B$18))</f>
        <v/>
      </c>
      <c r="AD464" s="59" t="str">
        <f aca="false">IF(ISBLANK($C464),"",IF(ISNUMBER(N464),IF(N464&gt;=0,N464,""),""))</f>
        <v/>
      </c>
      <c r="AE464" s="59" t="str">
        <f aca="false">IF(ISBLANK($C464),"",IF(O464=Constants!$B$19,Constants!$B$19,Constants!$B$18))</f>
        <v/>
      </c>
      <c r="AF464" s="59" t="str">
        <f aca="false">IF(ISBLANK($C464),"",IF(ISNUMBER(P464),IF(P464&gt;=0,P464,""),""))</f>
        <v/>
      </c>
      <c r="AG464" s="59" t="str">
        <f aca="false">IF(ISBLANK($C464),"",IF(Q464=Constants!$B$19,Constants!$B$19,Constants!$B$18))</f>
        <v/>
      </c>
      <c r="AH464" s="59" t="str">
        <f aca="false">IF(ISBLANK($C464),"",IF(ISNUMBER(R464),IF(R464&gt;=0,R464,""),""))</f>
        <v/>
      </c>
      <c r="AI464" s="59" t="str">
        <f aca="false">IF(ISBLANK($C464),"",IF(S464=Constants!$B$2, TRUE(), IF(S464=Constants!$B$3, FALSE(), FALSE())))</f>
        <v/>
      </c>
      <c r="AJ464" s="59" t="str">
        <f aca="false">IF(ISBLANK($C464),"",IF(AI464,Constants!$B$4,IF(COUNTA(E464:R464)=0,Constants!$B$5,IF(COUNTA(J464,L464,N464,P464,R464)=0,Constants!$B$6,Constants!$B$7))))</f>
        <v/>
      </c>
      <c r="AK464" s="59" t="str">
        <f aca="false">IF(ISBLANK($C464),"",IF($AJ464&lt;&gt;Constants!$B$7,$AJ464,IF(OR(NOT(X464),AND(NOT(U464),COUNTIFS(Y464:AG464,Constants!$B$18,Z464:AH464,"&gt;=0")&gt;0),AND(NOT(V464),COUNTIFS(Y464:AG464,Constants!$B$19,Z464:AH464,"&gt;=0")&gt;0)),Constants!$B$12,Constants!$B$11)))</f>
        <v/>
      </c>
      <c r="AL464" s="59" t="str">
        <f aca="false">IF($AJ464=Constants!$B$7,IF(Z464="",Constants!$B$13,Z464),"")</f>
        <v/>
      </c>
      <c r="AM464" s="59" t="str">
        <f aca="false">IF($AJ464=Constants!$B$7,IF(AB464="",Constants!$B$13,AB464),"")</f>
        <v/>
      </c>
      <c r="AN464" s="59" t="str">
        <f aca="false">IF($AJ464=Constants!$B$7,IF(AD464="",Constants!$B$13,AD464),"")</f>
        <v/>
      </c>
      <c r="AO464" s="59" t="str">
        <f aca="false">IF($AJ464=Constants!$B$7,IF(AF464="",Constants!$B$13,AF464),"")</f>
        <v/>
      </c>
      <c r="AP464" s="59" t="str">
        <f aca="false">IF($AJ464=Constants!$B$7,IF(AH464="",Constants!$B$13,AH464),"")</f>
        <v/>
      </c>
      <c r="AQ464" s="59" t="str">
        <f aca="false">IF($AJ464=Constants!$B$7,IF(SUMPRODUCT(--($AL464:$AP464&gt;AL464))+SUMPRODUCT(--($AL464:AL464=AL464))=1,1,IF(SUMPRODUCT(--($AL464:$AP464&gt;AM464))+SUMPRODUCT(--($AL464:AM464=AM464))=1,2,IF(SUMPRODUCT(--($AL464:$AP464&gt;AN464))+SUMPRODUCT(--($AL464:AN464=AN464))=1,3,IF(SUMPRODUCT(--($AL464:$AP464&gt;AO464))+SUMPRODUCT(--($AL464:AO464=AO464))=1,4,5)))),"")</f>
        <v/>
      </c>
      <c r="AR464" s="59" t="str">
        <f aca="false">IF($AJ464=Constants!$B$7,IF(SUMPRODUCT(--($AL464:$AP464&gt;AL464))+SUMPRODUCT(--($AL464:AL464=AL464))=2,1,IF(SUMPRODUCT(--($AL464:$AP464&gt;AM464))+SUMPRODUCT(--($AL464:AM464=AM464))=2,2,IF(SUMPRODUCT(--($AL464:$AP464&gt;AN464))+SUMPRODUCT(--($AL464:AN464=AN464))=2,3,IF(SUMPRODUCT(--($AL464:$AP464&gt;AO464))+SUMPRODUCT(--($AL464:AO464=AO464))=2,4,5)))),"")</f>
        <v/>
      </c>
      <c r="AS464" s="59" t="str">
        <f aca="false">IF($AJ464=Constants!$B$7,IF(SUMPRODUCT(--($AL464:$AP464&gt;AL464))+SUMPRODUCT(--($AL464:AL464=AL464))=3,1,IF(SUMPRODUCT(--($AL464:$AP464&gt;AM464))+SUMPRODUCT(--($AL464:AM464=AM464))=3,2,IF(SUMPRODUCT(--($AL464:$AP464&gt;AN464))+SUMPRODUCT(--($AL464:AN464=AN464))=3,3,IF(SUMPRODUCT(--($AL464:$AP464&gt;AO464))+SUMPRODUCT(--($AL464:AO464=AO464))=3,4,5)))),"")</f>
        <v/>
      </c>
      <c r="AT464" s="59" t="str">
        <f aca="false">IF($AJ464=Constants!$B$7,LARGE(AL464:AP464,1)+LARGE(AL464:AP464,2)+LARGE(AL464:AP464,3),"")</f>
        <v/>
      </c>
      <c r="AU464" s="59" t="str">
        <f aca="false">IF(ISBLANK($C464),"",IF($AJ464&lt;&gt;Constants!$B$7,$AJ464,AT464*W464))</f>
        <v/>
      </c>
      <c r="AV464" s="59" t="str">
        <f aca="false">IF(ISBLANK($C464),"",IF($AJ464=Constants!$B$7,IF(ISNUMBER(AU464),RANK(AU464,$AU$8:$AU$507),Constants!$B$14),$AJ464))</f>
        <v/>
      </c>
      <c r="AW464" s="59" t="str">
        <f aca="false">IF(ISBLANK($C464),"",IF($AJ464=Constants!$B$7,IF(ISNUMBER(AV464),COUNTIFS($AK$8:$AK$507,"&lt;"&amp;$AK464)+COUNTIFS($AK$8:$AK$507,$AK464,$AV$8:$AV$507,"&lt;"&amp;$AV464)+1,Constants!$B$14),$AJ464))</f>
        <v/>
      </c>
      <c r="AX464" s="59" t="str">
        <f aca="false">IF(ISBLANK($C464),"",IF($AJ464=Constants!$B$7,LARGE(AL464:AP464,4)*W464,""))</f>
        <v/>
      </c>
      <c r="AY464" s="59" t="str">
        <f aca="false">IF(ISBLANK($C464),"",IF($AJ464=Constants!$B$7,RANK(AX464,$AX$8:$AX$507),$AJ464))</f>
        <v/>
      </c>
      <c r="AZ464" s="59" t="str">
        <f aca="false">IF(ISBLANK($C464),"",IF($AJ464=Constants!$B$7,IF(ISNUMBER(AV464),COUNTIFS($AK$8:$AK$507,"&lt;"&amp;$AK464)+COUNTIFS($AK$8:$AK$507,$AK464,$AV$8:$AV$507,"&lt;"&amp;$AV464)+COUNTIFS($AK$8:$AK$507,$AK464,$AV$8:$AV$507,$AV464,$AY$8:$AY$507,"&lt;"&amp;$AY464)+1,Constants!$B$14),$AJ464))</f>
        <v/>
      </c>
      <c r="BA464" s="59" t="str">
        <f aca="false">IF(ISBLANK($C464),"",IF($AJ464=Constants!$B$7,IF(ISNUMBER(AW464),AW464-AZ464,Constants!$B$14),$AJ464))</f>
        <v/>
      </c>
      <c r="BB464" s="61"/>
      <c r="BC464" s="62" t="str">
        <f aca="false">IF(ISBLANK($C464),"",IF($AJ464&lt;&gt;Constants!$B$7,$AJ464,SMALL(AQ464:AS464,1)&amp;", "&amp;SMALL(AQ464:AS464,2)&amp;", "&amp;SMALL(AQ464:AS464,3)))</f>
        <v/>
      </c>
      <c r="BD464" s="63" t="str">
        <f aca="false">IF(ISBLANK($C464),"",IF($AJ464&lt;&gt;Constants!$B$7,$AJ464,W464))</f>
        <v/>
      </c>
      <c r="BE464" s="64" t="str">
        <f aca="false">IF(ISBLANK($C464),"",IF($AJ464&lt;&gt;Constants!$B$7,$AJ464,AU464))</f>
        <v/>
      </c>
      <c r="BF464" s="65" t="str">
        <f aca="false">IF(ISBLANK($C464),"",IF($AJ464&lt;&gt;Constants!$B$7,$AJ464,AK464))</f>
        <v/>
      </c>
      <c r="BG464" s="63" t="str">
        <f aca="false">IF(ISBLANK($C464),"",BA464)</f>
        <v/>
      </c>
      <c r="BH464" s="63" t="str">
        <f aca="false">IF(ISBLANK($C464),"",AZ464)</f>
        <v/>
      </c>
      <c r="BI464" s="66" t="str">
        <f aca="false">IF(ISBLANK($C464),"",IF(BH464=Constants!$B$4,COUNTA($C$8:$C$507)+2,IF(BH464=Constants!$B$5,COUNTA($C$8:$C$507)+1,IF(BH464=Constants!$B$6,COUNTA($C$8:$C$507),BH464))))</f>
        <v/>
      </c>
      <c r="BJ464" s="5"/>
      <c r="BK464" s="67" t="n">
        <f aca="false">IF(OR(ISNUMBER(BH464),BH464=Constants!$B$4,BH464=Constants!$B$6,BH464=Constants!$B$5),1,0)</f>
        <v>0</v>
      </c>
      <c r="BL464" s="67" t="n">
        <v>457</v>
      </c>
      <c r="BM464" s="67" t="str">
        <f aca="false">IF(ISBLANK($C464),"",IF(ISNUMBER(BI464),BI464+ROW($B464)/1000,""))</f>
        <v/>
      </c>
      <c r="BN464" s="67" t="str">
        <f aca="false">IF(ISNUMBER(BM464),RANK(BM464,$BM$8:$BM$507,1),"")</f>
        <v/>
      </c>
      <c r="BO464" s="67" t="str">
        <f aca="false">IF(ISBLANK($C464),"",$B464)</f>
        <v/>
      </c>
      <c r="BP464" s="67" t="str">
        <f aca="false">IF(ISBLANK($C464),"",$C464)</f>
        <v/>
      </c>
      <c r="BQ464" s="67" t="str">
        <f aca="false">IF(ISBLANK($C464),"",$D464)</f>
        <v/>
      </c>
      <c r="BR464" s="68" t="str">
        <f aca="false">BF464</f>
        <v/>
      </c>
      <c r="BS464" s="69" t="str">
        <f aca="false">BE464</f>
        <v/>
      </c>
      <c r="BT464" s="67" t="str">
        <f aca="false">IF(ISBLANK($C464),"",BH464)</f>
        <v/>
      </c>
      <c r="BU464" s="70" t="str">
        <f aca="false">IF($BL464&gt;$BK$7,"",VLOOKUP($BL464,$BN$8:$BT$507,7,FALSE()))</f>
        <v/>
      </c>
      <c r="BV464" s="71" t="str">
        <f aca="false">IF($BL464&gt;$BK$7,"",VLOOKUP($BL464,$BN$8:$BT$507,2,FALSE()))</f>
        <v/>
      </c>
      <c r="BW464" s="71" t="str">
        <f aca="false">IF($BL464&gt;$BK$7,"",VLOOKUP($BL464,$BN$8:$BT$507,3,FALSE()))</f>
        <v/>
      </c>
      <c r="BX464" s="71" t="str">
        <f aca="false">IF($BL464&gt;$BK$7,"",VLOOKUP($BL464,$BN$8:$BT$507,4,FALSE()))</f>
        <v/>
      </c>
      <c r="BY464" s="71" t="str">
        <f aca="false">IF($BL464&gt;$BK$7,"",VLOOKUP($BL464,$BN$8:$BT$507,5,FALSE()))</f>
        <v/>
      </c>
      <c r="BZ464" s="72" t="str">
        <f aca="false">IF($BL464&gt;$BK$7,"",VLOOKUP($BL464,$BN$8:$BT$507,6,FALSE()))</f>
        <v/>
      </c>
      <c r="CA464" s="48"/>
    </row>
    <row r="465" customFormat="false" ht="15.75" hidden="false" customHeight="false" outlineLevel="0" collapsed="false">
      <c r="A465" s="5"/>
      <c r="B465" s="121"/>
      <c r="C465" s="50"/>
      <c r="D465" s="51"/>
      <c r="E465" s="74"/>
      <c r="F465" s="122"/>
      <c r="G465" s="54"/>
      <c r="H465" s="123"/>
      <c r="I465" s="124"/>
      <c r="J465" s="54"/>
      <c r="K465" s="123"/>
      <c r="L465" s="54"/>
      <c r="M465" s="123"/>
      <c r="N465" s="54"/>
      <c r="O465" s="123"/>
      <c r="P465" s="54"/>
      <c r="Q465" s="123"/>
      <c r="R465" s="54"/>
      <c r="S465" s="74"/>
      <c r="T465" s="58"/>
      <c r="U465" s="59" t="str">
        <f aca="false">IF(ISBLANK($C465),"",IF(E465=Constants!$B$2, TRUE(), IF(E465=Constants!$B$3, FALSE(), TRUE())))</f>
        <v/>
      </c>
      <c r="V465" s="59" t="str">
        <f aca="false">IF(ISBLANK($C465),"",IF(F465=Constants!$B$2, TRUE(), IF(F465=Constants!$B$3, FALSE(), TRUE())))</f>
        <v/>
      </c>
      <c r="W465" s="59" t="str">
        <f aca="false">IF(ISBLANK($C465),"",IF(G465=Constants!$B$15,Constants!$B$8,IF(G465=Constants!$B$16,Constants!$B$9,Constants!$B$10)))</f>
        <v/>
      </c>
      <c r="X465" s="59" t="str">
        <f aca="false">IF(ISBLANK($C465),"",IF(H465=Constants!$B$2, TRUE(), IF(H465=Constants!$B$3, FALSE(), TRUE())))</f>
        <v/>
      </c>
      <c r="Y465" s="59" t="str">
        <f aca="false">IF(ISBLANK($C465),"",IF(I465=Constants!$B$19,Constants!$B$19,Constants!$B$18))</f>
        <v/>
      </c>
      <c r="Z465" s="59" t="str">
        <f aca="false">IF(ISBLANK($C465),"",IF(ISNUMBER(J465),IF(J465&gt;=0,J465,""),""))</f>
        <v/>
      </c>
      <c r="AA465" s="59" t="str">
        <f aca="false">IF(ISBLANK($C465),"",IF(K465=Constants!$B$19,Constants!$B$19,Constants!$B$18))</f>
        <v/>
      </c>
      <c r="AB465" s="59" t="str">
        <f aca="false">IF(ISBLANK($C465),"",IF(ISNUMBER(L465),IF(L465&gt;=0,L465,""),""))</f>
        <v/>
      </c>
      <c r="AC465" s="59" t="str">
        <f aca="false">IF(ISBLANK($C465),"",IF(M465=Constants!$B$19,Constants!$B$19,Constants!$B$18))</f>
        <v/>
      </c>
      <c r="AD465" s="59" t="str">
        <f aca="false">IF(ISBLANK($C465),"",IF(ISNUMBER(N465),IF(N465&gt;=0,N465,""),""))</f>
        <v/>
      </c>
      <c r="AE465" s="59" t="str">
        <f aca="false">IF(ISBLANK($C465),"",IF(O465=Constants!$B$19,Constants!$B$19,Constants!$B$18))</f>
        <v/>
      </c>
      <c r="AF465" s="59" t="str">
        <f aca="false">IF(ISBLANK($C465),"",IF(ISNUMBER(P465),IF(P465&gt;=0,P465,""),""))</f>
        <v/>
      </c>
      <c r="AG465" s="59" t="str">
        <f aca="false">IF(ISBLANK($C465),"",IF(Q465=Constants!$B$19,Constants!$B$19,Constants!$B$18))</f>
        <v/>
      </c>
      <c r="AH465" s="59" t="str">
        <f aca="false">IF(ISBLANK($C465),"",IF(ISNUMBER(R465),IF(R465&gt;=0,R465,""),""))</f>
        <v/>
      </c>
      <c r="AI465" s="59" t="str">
        <f aca="false">IF(ISBLANK($C465),"",IF(S465=Constants!$B$2, TRUE(), IF(S465=Constants!$B$3, FALSE(), FALSE())))</f>
        <v/>
      </c>
      <c r="AJ465" s="59" t="str">
        <f aca="false">IF(ISBLANK($C465),"",IF(AI465,Constants!$B$4,IF(COUNTA(E465:R465)=0,Constants!$B$5,IF(COUNTA(J465,L465,N465,P465,R465)=0,Constants!$B$6,Constants!$B$7))))</f>
        <v/>
      </c>
      <c r="AK465" s="59" t="str">
        <f aca="false">IF(ISBLANK($C465),"",IF($AJ465&lt;&gt;Constants!$B$7,$AJ465,IF(OR(NOT(X465),AND(NOT(U465),COUNTIFS(Y465:AG465,Constants!$B$18,Z465:AH465,"&gt;=0")&gt;0),AND(NOT(V465),COUNTIFS(Y465:AG465,Constants!$B$19,Z465:AH465,"&gt;=0")&gt;0)),Constants!$B$12,Constants!$B$11)))</f>
        <v/>
      </c>
      <c r="AL465" s="59" t="str">
        <f aca="false">IF($AJ465=Constants!$B$7,IF(Z465="",Constants!$B$13,Z465),"")</f>
        <v/>
      </c>
      <c r="AM465" s="59" t="str">
        <f aca="false">IF($AJ465=Constants!$B$7,IF(AB465="",Constants!$B$13,AB465),"")</f>
        <v/>
      </c>
      <c r="AN465" s="59" t="str">
        <f aca="false">IF($AJ465=Constants!$B$7,IF(AD465="",Constants!$B$13,AD465),"")</f>
        <v/>
      </c>
      <c r="AO465" s="59" t="str">
        <f aca="false">IF($AJ465=Constants!$B$7,IF(AF465="",Constants!$B$13,AF465),"")</f>
        <v/>
      </c>
      <c r="AP465" s="59" t="str">
        <f aca="false">IF($AJ465=Constants!$B$7,IF(AH465="",Constants!$B$13,AH465),"")</f>
        <v/>
      </c>
      <c r="AQ465" s="59" t="str">
        <f aca="false">IF($AJ465=Constants!$B$7,IF(SUMPRODUCT(--($AL465:$AP465&gt;AL465))+SUMPRODUCT(--($AL465:AL465=AL465))=1,1,IF(SUMPRODUCT(--($AL465:$AP465&gt;AM465))+SUMPRODUCT(--($AL465:AM465=AM465))=1,2,IF(SUMPRODUCT(--($AL465:$AP465&gt;AN465))+SUMPRODUCT(--($AL465:AN465=AN465))=1,3,IF(SUMPRODUCT(--($AL465:$AP465&gt;AO465))+SUMPRODUCT(--($AL465:AO465=AO465))=1,4,5)))),"")</f>
        <v/>
      </c>
      <c r="AR465" s="59" t="str">
        <f aca="false">IF($AJ465=Constants!$B$7,IF(SUMPRODUCT(--($AL465:$AP465&gt;AL465))+SUMPRODUCT(--($AL465:AL465=AL465))=2,1,IF(SUMPRODUCT(--($AL465:$AP465&gt;AM465))+SUMPRODUCT(--($AL465:AM465=AM465))=2,2,IF(SUMPRODUCT(--($AL465:$AP465&gt;AN465))+SUMPRODUCT(--($AL465:AN465=AN465))=2,3,IF(SUMPRODUCT(--($AL465:$AP465&gt;AO465))+SUMPRODUCT(--($AL465:AO465=AO465))=2,4,5)))),"")</f>
        <v/>
      </c>
      <c r="AS465" s="59" t="str">
        <f aca="false">IF($AJ465=Constants!$B$7,IF(SUMPRODUCT(--($AL465:$AP465&gt;AL465))+SUMPRODUCT(--($AL465:AL465=AL465))=3,1,IF(SUMPRODUCT(--($AL465:$AP465&gt;AM465))+SUMPRODUCT(--($AL465:AM465=AM465))=3,2,IF(SUMPRODUCT(--($AL465:$AP465&gt;AN465))+SUMPRODUCT(--($AL465:AN465=AN465))=3,3,IF(SUMPRODUCT(--($AL465:$AP465&gt;AO465))+SUMPRODUCT(--($AL465:AO465=AO465))=3,4,5)))),"")</f>
        <v/>
      </c>
      <c r="AT465" s="59" t="str">
        <f aca="false">IF($AJ465=Constants!$B$7,LARGE(AL465:AP465,1)+LARGE(AL465:AP465,2)+LARGE(AL465:AP465,3),"")</f>
        <v/>
      </c>
      <c r="AU465" s="59" t="str">
        <f aca="false">IF(ISBLANK($C465),"",IF($AJ465&lt;&gt;Constants!$B$7,$AJ465,AT465*W465))</f>
        <v/>
      </c>
      <c r="AV465" s="59" t="str">
        <f aca="false">IF(ISBLANK($C465),"",IF($AJ465=Constants!$B$7,IF(ISNUMBER(AU465),RANK(AU465,$AU$8:$AU$507),Constants!$B$14),$AJ465))</f>
        <v/>
      </c>
      <c r="AW465" s="59" t="str">
        <f aca="false">IF(ISBLANK($C465),"",IF($AJ465=Constants!$B$7,IF(ISNUMBER(AV465),COUNTIFS($AK$8:$AK$507,"&lt;"&amp;$AK465)+COUNTIFS($AK$8:$AK$507,$AK465,$AV$8:$AV$507,"&lt;"&amp;$AV465)+1,Constants!$B$14),$AJ465))</f>
        <v/>
      </c>
      <c r="AX465" s="59" t="str">
        <f aca="false">IF(ISBLANK($C465),"",IF($AJ465=Constants!$B$7,LARGE(AL465:AP465,4)*W465,""))</f>
        <v/>
      </c>
      <c r="AY465" s="59" t="str">
        <f aca="false">IF(ISBLANK($C465),"",IF($AJ465=Constants!$B$7,RANK(AX465,$AX$8:$AX$507),$AJ465))</f>
        <v/>
      </c>
      <c r="AZ465" s="59" t="str">
        <f aca="false">IF(ISBLANK($C465),"",IF($AJ465=Constants!$B$7,IF(ISNUMBER(AV465),COUNTIFS($AK$8:$AK$507,"&lt;"&amp;$AK465)+COUNTIFS($AK$8:$AK$507,$AK465,$AV$8:$AV$507,"&lt;"&amp;$AV465)+COUNTIFS($AK$8:$AK$507,$AK465,$AV$8:$AV$507,$AV465,$AY$8:$AY$507,"&lt;"&amp;$AY465)+1,Constants!$B$14),$AJ465))</f>
        <v/>
      </c>
      <c r="BA465" s="59" t="str">
        <f aca="false">IF(ISBLANK($C465),"",IF($AJ465=Constants!$B$7,IF(ISNUMBER(AW465),AW465-AZ465,Constants!$B$14),$AJ465))</f>
        <v/>
      </c>
      <c r="BB465" s="61"/>
      <c r="BC465" s="62" t="str">
        <f aca="false">IF(ISBLANK($C465),"",IF($AJ465&lt;&gt;Constants!$B$7,$AJ465,SMALL(AQ465:AS465,1)&amp;", "&amp;SMALL(AQ465:AS465,2)&amp;", "&amp;SMALL(AQ465:AS465,3)))</f>
        <v/>
      </c>
      <c r="BD465" s="63" t="str">
        <f aca="false">IF(ISBLANK($C465),"",IF($AJ465&lt;&gt;Constants!$B$7,$AJ465,W465))</f>
        <v/>
      </c>
      <c r="BE465" s="64" t="str">
        <f aca="false">IF(ISBLANK($C465),"",IF($AJ465&lt;&gt;Constants!$B$7,$AJ465,AU465))</f>
        <v/>
      </c>
      <c r="BF465" s="65" t="str">
        <f aca="false">IF(ISBLANK($C465),"",IF($AJ465&lt;&gt;Constants!$B$7,$AJ465,AK465))</f>
        <v/>
      </c>
      <c r="BG465" s="63" t="str">
        <f aca="false">IF(ISBLANK($C465),"",BA465)</f>
        <v/>
      </c>
      <c r="BH465" s="63" t="str">
        <f aca="false">IF(ISBLANK($C465),"",AZ465)</f>
        <v/>
      </c>
      <c r="BI465" s="66" t="str">
        <f aca="false">IF(ISBLANK($C465),"",IF(BH465=Constants!$B$4,COUNTA($C$8:$C$507)+2,IF(BH465=Constants!$B$5,COUNTA($C$8:$C$507)+1,IF(BH465=Constants!$B$6,COUNTA($C$8:$C$507),BH465))))</f>
        <v/>
      </c>
      <c r="BJ465" s="5"/>
      <c r="BK465" s="67" t="n">
        <f aca="false">IF(OR(ISNUMBER(BH465),BH465=Constants!$B$4,BH465=Constants!$B$6,BH465=Constants!$B$5),1,0)</f>
        <v>0</v>
      </c>
      <c r="BL465" s="67" t="n">
        <v>458</v>
      </c>
      <c r="BM465" s="67" t="str">
        <f aca="false">IF(ISBLANK($C465),"",IF(ISNUMBER(BI465),BI465+ROW($B465)/1000,""))</f>
        <v/>
      </c>
      <c r="BN465" s="67" t="str">
        <f aca="false">IF(ISNUMBER(BM465),RANK(BM465,$BM$8:$BM$507,1),"")</f>
        <v/>
      </c>
      <c r="BO465" s="67" t="str">
        <f aca="false">IF(ISBLANK($C465),"",$B465)</f>
        <v/>
      </c>
      <c r="BP465" s="67" t="str">
        <f aca="false">IF(ISBLANK($C465),"",$C465)</f>
        <v/>
      </c>
      <c r="BQ465" s="67" t="str">
        <f aca="false">IF(ISBLANK($C465),"",$D465)</f>
        <v/>
      </c>
      <c r="BR465" s="68" t="str">
        <f aca="false">BF465</f>
        <v/>
      </c>
      <c r="BS465" s="69" t="str">
        <f aca="false">BE465</f>
        <v/>
      </c>
      <c r="BT465" s="67" t="str">
        <f aca="false">IF(ISBLANK($C465),"",BH465)</f>
        <v/>
      </c>
      <c r="BU465" s="70" t="str">
        <f aca="false">IF($BL465&gt;$BK$7,"",VLOOKUP($BL465,$BN$8:$BT$507,7,FALSE()))</f>
        <v/>
      </c>
      <c r="BV465" s="71" t="str">
        <f aca="false">IF($BL465&gt;$BK$7,"",VLOOKUP($BL465,$BN$8:$BT$507,2,FALSE()))</f>
        <v/>
      </c>
      <c r="BW465" s="71" t="str">
        <f aca="false">IF($BL465&gt;$BK$7,"",VLOOKUP($BL465,$BN$8:$BT$507,3,FALSE()))</f>
        <v/>
      </c>
      <c r="BX465" s="71" t="str">
        <f aca="false">IF($BL465&gt;$BK$7,"",VLOOKUP($BL465,$BN$8:$BT$507,4,FALSE()))</f>
        <v/>
      </c>
      <c r="BY465" s="71" t="str">
        <f aca="false">IF($BL465&gt;$BK$7,"",VLOOKUP($BL465,$BN$8:$BT$507,5,FALSE()))</f>
        <v/>
      </c>
      <c r="BZ465" s="72" t="str">
        <f aca="false">IF($BL465&gt;$BK$7,"",VLOOKUP($BL465,$BN$8:$BT$507,6,FALSE()))</f>
        <v/>
      </c>
      <c r="CA465" s="48"/>
    </row>
    <row r="466" customFormat="false" ht="15.75" hidden="false" customHeight="false" outlineLevel="0" collapsed="false">
      <c r="A466" s="5"/>
      <c r="B466" s="121"/>
      <c r="C466" s="50"/>
      <c r="D466" s="51"/>
      <c r="E466" s="74"/>
      <c r="F466" s="122"/>
      <c r="G466" s="54"/>
      <c r="H466" s="123"/>
      <c r="I466" s="124"/>
      <c r="J466" s="54"/>
      <c r="K466" s="123"/>
      <c r="L466" s="54"/>
      <c r="M466" s="123"/>
      <c r="N466" s="54"/>
      <c r="O466" s="123"/>
      <c r="P466" s="54"/>
      <c r="Q466" s="123"/>
      <c r="R466" s="54"/>
      <c r="S466" s="74"/>
      <c r="T466" s="58"/>
      <c r="U466" s="59" t="str">
        <f aca="false">IF(ISBLANK($C466),"",IF(E466=Constants!$B$2, TRUE(), IF(E466=Constants!$B$3, FALSE(), TRUE())))</f>
        <v/>
      </c>
      <c r="V466" s="59" t="str">
        <f aca="false">IF(ISBLANK($C466),"",IF(F466=Constants!$B$2, TRUE(), IF(F466=Constants!$B$3, FALSE(), TRUE())))</f>
        <v/>
      </c>
      <c r="W466" s="59" t="str">
        <f aca="false">IF(ISBLANK($C466),"",IF(G466=Constants!$B$15,Constants!$B$8,IF(G466=Constants!$B$16,Constants!$B$9,Constants!$B$10)))</f>
        <v/>
      </c>
      <c r="X466" s="59" t="str">
        <f aca="false">IF(ISBLANK($C466),"",IF(H466=Constants!$B$2, TRUE(), IF(H466=Constants!$B$3, FALSE(), TRUE())))</f>
        <v/>
      </c>
      <c r="Y466" s="59" t="str">
        <f aca="false">IF(ISBLANK($C466),"",IF(I466=Constants!$B$19,Constants!$B$19,Constants!$B$18))</f>
        <v/>
      </c>
      <c r="Z466" s="59" t="str">
        <f aca="false">IF(ISBLANK($C466),"",IF(ISNUMBER(J466),IF(J466&gt;=0,J466,""),""))</f>
        <v/>
      </c>
      <c r="AA466" s="59" t="str">
        <f aca="false">IF(ISBLANK($C466),"",IF(K466=Constants!$B$19,Constants!$B$19,Constants!$B$18))</f>
        <v/>
      </c>
      <c r="AB466" s="59" t="str">
        <f aca="false">IF(ISBLANK($C466),"",IF(ISNUMBER(L466),IF(L466&gt;=0,L466,""),""))</f>
        <v/>
      </c>
      <c r="AC466" s="59" t="str">
        <f aca="false">IF(ISBLANK($C466),"",IF(M466=Constants!$B$19,Constants!$B$19,Constants!$B$18))</f>
        <v/>
      </c>
      <c r="AD466" s="59" t="str">
        <f aca="false">IF(ISBLANK($C466),"",IF(ISNUMBER(N466),IF(N466&gt;=0,N466,""),""))</f>
        <v/>
      </c>
      <c r="AE466" s="59" t="str">
        <f aca="false">IF(ISBLANK($C466),"",IF(O466=Constants!$B$19,Constants!$B$19,Constants!$B$18))</f>
        <v/>
      </c>
      <c r="AF466" s="59" t="str">
        <f aca="false">IF(ISBLANK($C466),"",IF(ISNUMBER(P466),IF(P466&gt;=0,P466,""),""))</f>
        <v/>
      </c>
      <c r="AG466" s="59" t="str">
        <f aca="false">IF(ISBLANK($C466),"",IF(Q466=Constants!$B$19,Constants!$B$19,Constants!$B$18))</f>
        <v/>
      </c>
      <c r="AH466" s="59" t="str">
        <f aca="false">IF(ISBLANK($C466),"",IF(ISNUMBER(R466),IF(R466&gt;=0,R466,""),""))</f>
        <v/>
      </c>
      <c r="AI466" s="59" t="str">
        <f aca="false">IF(ISBLANK($C466),"",IF(S466=Constants!$B$2, TRUE(), IF(S466=Constants!$B$3, FALSE(), FALSE())))</f>
        <v/>
      </c>
      <c r="AJ466" s="59" t="str">
        <f aca="false">IF(ISBLANK($C466),"",IF(AI466,Constants!$B$4,IF(COUNTA(E466:R466)=0,Constants!$B$5,IF(COUNTA(J466,L466,N466,P466,R466)=0,Constants!$B$6,Constants!$B$7))))</f>
        <v/>
      </c>
      <c r="AK466" s="59" t="str">
        <f aca="false">IF(ISBLANK($C466),"",IF($AJ466&lt;&gt;Constants!$B$7,$AJ466,IF(OR(NOT(X466),AND(NOT(U466),COUNTIFS(Y466:AG466,Constants!$B$18,Z466:AH466,"&gt;=0")&gt;0),AND(NOT(V466),COUNTIFS(Y466:AG466,Constants!$B$19,Z466:AH466,"&gt;=0")&gt;0)),Constants!$B$12,Constants!$B$11)))</f>
        <v/>
      </c>
      <c r="AL466" s="59" t="str">
        <f aca="false">IF($AJ466=Constants!$B$7,IF(Z466="",Constants!$B$13,Z466),"")</f>
        <v/>
      </c>
      <c r="AM466" s="59" t="str">
        <f aca="false">IF($AJ466=Constants!$B$7,IF(AB466="",Constants!$B$13,AB466),"")</f>
        <v/>
      </c>
      <c r="AN466" s="59" t="str">
        <f aca="false">IF($AJ466=Constants!$B$7,IF(AD466="",Constants!$B$13,AD466),"")</f>
        <v/>
      </c>
      <c r="AO466" s="59" t="str">
        <f aca="false">IF($AJ466=Constants!$B$7,IF(AF466="",Constants!$B$13,AF466),"")</f>
        <v/>
      </c>
      <c r="AP466" s="59" t="str">
        <f aca="false">IF($AJ466=Constants!$B$7,IF(AH466="",Constants!$B$13,AH466),"")</f>
        <v/>
      </c>
      <c r="AQ466" s="59" t="str">
        <f aca="false">IF($AJ466=Constants!$B$7,IF(SUMPRODUCT(--($AL466:$AP466&gt;AL466))+SUMPRODUCT(--($AL466:AL466=AL466))=1,1,IF(SUMPRODUCT(--($AL466:$AP466&gt;AM466))+SUMPRODUCT(--($AL466:AM466=AM466))=1,2,IF(SUMPRODUCT(--($AL466:$AP466&gt;AN466))+SUMPRODUCT(--($AL466:AN466=AN466))=1,3,IF(SUMPRODUCT(--($AL466:$AP466&gt;AO466))+SUMPRODUCT(--($AL466:AO466=AO466))=1,4,5)))),"")</f>
        <v/>
      </c>
      <c r="AR466" s="59" t="str">
        <f aca="false">IF($AJ466=Constants!$B$7,IF(SUMPRODUCT(--($AL466:$AP466&gt;AL466))+SUMPRODUCT(--($AL466:AL466=AL466))=2,1,IF(SUMPRODUCT(--($AL466:$AP466&gt;AM466))+SUMPRODUCT(--($AL466:AM466=AM466))=2,2,IF(SUMPRODUCT(--($AL466:$AP466&gt;AN466))+SUMPRODUCT(--($AL466:AN466=AN466))=2,3,IF(SUMPRODUCT(--($AL466:$AP466&gt;AO466))+SUMPRODUCT(--($AL466:AO466=AO466))=2,4,5)))),"")</f>
        <v/>
      </c>
      <c r="AS466" s="59" t="str">
        <f aca="false">IF($AJ466=Constants!$B$7,IF(SUMPRODUCT(--($AL466:$AP466&gt;AL466))+SUMPRODUCT(--($AL466:AL466=AL466))=3,1,IF(SUMPRODUCT(--($AL466:$AP466&gt;AM466))+SUMPRODUCT(--($AL466:AM466=AM466))=3,2,IF(SUMPRODUCT(--($AL466:$AP466&gt;AN466))+SUMPRODUCT(--($AL466:AN466=AN466))=3,3,IF(SUMPRODUCT(--($AL466:$AP466&gt;AO466))+SUMPRODUCT(--($AL466:AO466=AO466))=3,4,5)))),"")</f>
        <v/>
      </c>
      <c r="AT466" s="59" t="str">
        <f aca="false">IF($AJ466=Constants!$B$7,LARGE(AL466:AP466,1)+LARGE(AL466:AP466,2)+LARGE(AL466:AP466,3),"")</f>
        <v/>
      </c>
      <c r="AU466" s="59" t="str">
        <f aca="false">IF(ISBLANK($C466),"",IF($AJ466&lt;&gt;Constants!$B$7,$AJ466,AT466*W466))</f>
        <v/>
      </c>
      <c r="AV466" s="59" t="str">
        <f aca="false">IF(ISBLANK($C466),"",IF($AJ466=Constants!$B$7,IF(ISNUMBER(AU466),RANK(AU466,$AU$8:$AU$507),Constants!$B$14),$AJ466))</f>
        <v/>
      </c>
      <c r="AW466" s="59" t="str">
        <f aca="false">IF(ISBLANK($C466),"",IF($AJ466=Constants!$B$7,IF(ISNUMBER(AV466),COUNTIFS($AK$8:$AK$507,"&lt;"&amp;$AK466)+COUNTIFS($AK$8:$AK$507,$AK466,$AV$8:$AV$507,"&lt;"&amp;$AV466)+1,Constants!$B$14),$AJ466))</f>
        <v/>
      </c>
      <c r="AX466" s="59" t="str">
        <f aca="false">IF(ISBLANK($C466),"",IF($AJ466=Constants!$B$7,LARGE(AL466:AP466,4)*W466,""))</f>
        <v/>
      </c>
      <c r="AY466" s="59" t="str">
        <f aca="false">IF(ISBLANK($C466),"",IF($AJ466=Constants!$B$7,RANK(AX466,$AX$8:$AX$507),$AJ466))</f>
        <v/>
      </c>
      <c r="AZ466" s="59" t="str">
        <f aca="false">IF(ISBLANK($C466),"",IF($AJ466=Constants!$B$7,IF(ISNUMBER(AV466),COUNTIFS($AK$8:$AK$507,"&lt;"&amp;$AK466)+COUNTIFS($AK$8:$AK$507,$AK466,$AV$8:$AV$507,"&lt;"&amp;$AV466)+COUNTIFS($AK$8:$AK$507,$AK466,$AV$8:$AV$507,$AV466,$AY$8:$AY$507,"&lt;"&amp;$AY466)+1,Constants!$B$14),$AJ466))</f>
        <v/>
      </c>
      <c r="BA466" s="59" t="str">
        <f aca="false">IF(ISBLANK($C466),"",IF($AJ466=Constants!$B$7,IF(ISNUMBER(AW466),AW466-AZ466,Constants!$B$14),$AJ466))</f>
        <v/>
      </c>
      <c r="BB466" s="61"/>
      <c r="BC466" s="62" t="str">
        <f aca="false">IF(ISBLANK($C466),"",IF($AJ466&lt;&gt;Constants!$B$7,$AJ466,SMALL(AQ466:AS466,1)&amp;", "&amp;SMALL(AQ466:AS466,2)&amp;", "&amp;SMALL(AQ466:AS466,3)))</f>
        <v/>
      </c>
      <c r="BD466" s="63" t="str">
        <f aca="false">IF(ISBLANK($C466),"",IF($AJ466&lt;&gt;Constants!$B$7,$AJ466,W466))</f>
        <v/>
      </c>
      <c r="BE466" s="64" t="str">
        <f aca="false">IF(ISBLANK($C466),"",IF($AJ466&lt;&gt;Constants!$B$7,$AJ466,AU466))</f>
        <v/>
      </c>
      <c r="BF466" s="65" t="str">
        <f aca="false">IF(ISBLANK($C466),"",IF($AJ466&lt;&gt;Constants!$B$7,$AJ466,AK466))</f>
        <v/>
      </c>
      <c r="BG466" s="63" t="str">
        <f aca="false">IF(ISBLANK($C466),"",BA466)</f>
        <v/>
      </c>
      <c r="BH466" s="63" t="str">
        <f aca="false">IF(ISBLANK($C466),"",AZ466)</f>
        <v/>
      </c>
      <c r="BI466" s="66" t="str">
        <f aca="false">IF(ISBLANK($C466),"",IF(BH466=Constants!$B$4,COUNTA($C$8:$C$507)+2,IF(BH466=Constants!$B$5,COUNTA($C$8:$C$507)+1,IF(BH466=Constants!$B$6,COUNTA($C$8:$C$507),BH466))))</f>
        <v/>
      </c>
      <c r="BJ466" s="5"/>
      <c r="BK466" s="67" t="n">
        <f aca="false">IF(OR(ISNUMBER(BH466),BH466=Constants!$B$4,BH466=Constants!$B$6,BH466=Constants!$B$5),1,0)</f>
        <v>0</v>
      </c>
      <c r="BL466" s="67" t="n">
        <v>459</v>
      </c>
      <c r="BM466" s="67" t="str">
        <f aca="false">IF(ISBLANK($C466),"",IF(ISNUMBER(BI466),BI466+ROW($B466)/1000,""))</f>
        <v/>
      </c>
      <c r="BN466" s="67" t="str">
        <f aca="false">IF(ISNUMBER(BM466),RANK(BM466,$BM$8:$BM$507,1),"")</f>
        <v/>
      </c>
      <c r="BO466" s="67" t="str">
        <f aca="false">IF(ISBLANK($C466),"",$B466)</f>
        <v/>
      </c>
      <c r="BP466" s="67" t="str">
        <f aca="false">IF(ISBLANK($C466),"",$C466)</f>
        <v/>
      </c>
      <c r="BQ466" s="67" t="str">
        <f aca="false">IF(ISBLANK($C466),"",$D466)</f>
        <v/>
      </c>
      <c r="BR466" s="68" t="str">
        <f aca="false">BF466</f>
        <v/>
      </c>
      <c r="BS466" s="69" t="str">
        <f aca="false">BE466</f>
        <v/>
      </c>
      <c r="BT466" s="67" t="str">
        <f aca="false">IF(ISBLANK($C466),"",BH466)</f>
        <v/>
      </c>
      <c r="BU466" s="70" t="str">
        <f aca="false">IF($BL466&gt;$BK$7,"",VLOOKUP($BL466,$BN$8:$BT$507,7,FALSE()))</f>
        <v/>
      </c>
      <c r="BV466" s="71" t="str">
        <f aca="false">IF($BL466&gt;$BK$7,"",VLOOKUP($BL466,$BN$8:$BT$507,2,FALSE()))</f>
        <v/>
      </c>
      <c r="BW466" s="71" t="str">
        <f aca="false">IF($BL466&gt;$BK$7,"",VLOOKUP($BL466,$BN$8:$BT$507,3,FALSE()))</f>
        <v/>
      </c>
      <c r="BX466" s="71" t="str">
        <f aca="false">IF($BL466&gt;$BK$7,"",VLOOKUP($BL466,$BN$8:$BT$507,4,FALSE()))</f>
        <v/>
      </c>
      <c r="BY466" s="71" t="str">
        <f aca="false">IF($BL466&gt;$BK$7,"",VLOOKUP($BL466,$BN$8:$BT$507,5,FALSE()))</f>
        <v/>
      </c>
      <c r="BZ466" s="72" t="str">
        <f aca="false">IF($BL466&gt;$BK$7,"",VLOOKUP($BL466,$BN$8:$BT$507,6,FALSE()))</f>
        <v/>
      </c>
      <c r="CA466" s="48"/>
    </row>
    <row r="467" customFormat="false" ht="15.75" hidden="false" customHeight="false" outlineLevel="0" collapsed="false">
      <c r="A467" s="5"/>
      <c r="B467" s="114"/>
      <c r="C467" s="115"/>
      <c r="D467" s="100"/>
      <c r="E467" s="120"/>
      <c r="F467" s="125"/>
      <c r="G467" s="82"/>
      <c r="H467" s="126"/>
      <c r="I467" s="127"/>
      <c r="J467" s="82"/>
      <c r="K467" s="126"/>
      <c r="L467" s="82"/>
      <c r="M467" s="126"/>
      <c r="N467" s="82"/>
      <c r="O467" s="126"/>
      <c r="P467" s="82"/>
      <c r="Q467" s="126"/>
      <c r="R467" s="82"/>
      <c r="S467" s="120"/>
      <c r="T467" s="86"/>
      <c r="U467" s="87" t="str">
        <f aca="false">IF(ISBLANK($C467),"",IF(E467=Constants!$B$2, TRUE(), IF(E467=Constants!$B$3, FALSE(), TRUE())))</f>
        <v/>
      </c>
      <c r="V467" s="87" t="str">
        <f aca="false">IF(ISBLANK($C467),"",IF(F467=Constants!$B$2, TRUE(), IF(F467=Constants!$B$3, FALSE(), TRUE())))</f>
        <v/>
      </c>
      <c r="W467" s="87" t="str">
        <f aca="false">IF(ISBLANK($C467),"",IF(G467=Constants!$B$15,Constants!$B$8,IF(G467=Constants!$B$16,Constants!$B$9,Constants!$B$10)))</f>
        <v/>
      </c>
      <c r="X467" s="87" t="str">
        <f aca="false">IF(ISBLANK($C467),"",IF(H467=Constants!$B$2, TRUE(), IF(H467=Constants!$B$3, FALSE(), TRUE())))</f>
        <v/>
      </c>
      <c r="Y467" s="87" t="str">
        <f aca="false">IF(ISBLANK($C467),"",IF(I467=Constants!$B$19,Constants!$B$19,Constants!$B$18))</f>
        <v/>
      </c>
      <c r="Z467" s="87" t="str">
        <f aca="false">IF(ISBLANK($C467),"",IF(ISNUMBER(J467),IF(J467&gt;=0,J467,""),""))</f>
        <v/>
      </c>
      <c r="AA467" s="87" t="str">
        <f aca="false">IF(ISBLANK($C467),"",IF(K467=Constants!$B$19,Constants!$B$19,Constants!$B$18))</f>
        <v/>
      </c>
      <c r="AB467" s="87" t="str">
        <f aca="false">IF(ISBLANK($C467),"",IF(ISNUMBER(L467),IF(L467&gt;=0,L467,""),""))</f>
        <v/>
      </c>
      <c r="AC467" s="87" t="str">
        <f aca="false">IF(ISBLANK($C467),"",IF(M467=Constants!$B$19,Constants!$B$19,Constants!$B$18))</f>
        <v/>
      </c>
      <c r="AD467" s="87" t="str">
        <f aca="false">IF(ISBLANK($C467),"",IF(ISNUMBER(N467),IF(N467&gt;=0,N467,""),""))</f>
        <v/>
      </c>
      <c r="AE467" s="87" t="str">
        <f aca="false">IF(ISBLANK($C467),"",IF(O467=Constants!$B$19,Constants!$B$19,Constants!$B$18))</f>
        <v/>
      </c>
      <c r="AF467" s="87" t="str">
        <f aca="false">IF(ISBLANK($C467),"",IF(ISNUMBER(P467),IF(P467&gt;=0,P467,""),""))</f>
        <v/>
      </c>
      <c r="AG467" s="87" t="str">
        <f aca="false">IF(ISBLANK($C467),"",IF(Q467=Constants!$B$19,Constants!$B$19,Constants!$B$18))</f>
        <v/>
      </c>
      <c r="AH467" s="87" t="str">
        <f aca="false">IF(ISBLANK($C467),"",IF(ISNUMBER(R467),IF(R467&gt;=0,R467,""),""))</f>
        <v/>
      </c>
      <c r="AI467" s="87" t="str">
        <f aca="false">IF(ISBLANK($C467),"",IF(S467=Constants!$B$2, TRUE(), IF(S467=Constants!$B$3, FALSE(), FALSE())))</f>
        <v/>
      </c>
      <c r="AJ467" s="87" t="str">
        <f aca="false">IF(ISBLANK($C467),"",IF(AI467,Constants!$B$4,IF(COUNTA(E467:R467)=0,Constants!$B$5,IF(COUNTA(J467,L467,N467,P467,R467)=0,Constants!$B$6,Constants!$B$7))))</f>
        <v/>
      </c>
      <c r="AK467" s="87" t="str">
        <f aca="false">IF(ISBLANK($C467),"",IF($AJ467&lt;&gt;Constants!$B$7,$AJ467,IF(OR(NOT(X467),AND(NOT(U467),COUNTIFS(Y467:AG467,Constants!$B$18,Z467:AH467,"&gt;=0")&gt;0),AND(NOT(V467),COUNTIFS(Y467:AG467,Constants!$B$19,Z467:AH467,"&gt;=0")&gt;0)),Constants!$B$12,Constants!$B$11)))</f>
        <v/>
      </c>
      <c r="AL467" s="87" t="str">
        <f aca="false">IF($AJ467=Constants!$B$7,IF(Z467="",Constants!$B$13,Z467),"")</f>
        <v/>
      </c>
      <c r="AM467" s="87" t="str">
        <f aca="false">IF($AJ467=Constants!$B$7,IF(AB467="",Constants!$B$13,AB467),"")</f>
        <v/>
      </c>
      <c r="AN467" s="87" t="str">
        <f aca="false">IF($AJ467=Constants!$B$7,IF(AD467="",Constants!$B$13,AD467),"")</f>
        <v/>
      </c>
      <c r="AO467" s="87" t="str">
        <f aca="false">IF($AJ467=Constants!$B$7,IF(AF467="",Constants!$B$13,AF467),"")</f>
        <v/>
      </c>
      <c r="AP467" s="87" t="str">
        <f aca="false">IF($AJ467=Constants!$B$7,IF(AH467="",Constants!$B$13,AH467),"")</f>
        <v/>
      </c>
      <c r="AQ467" s="87" t="str">
        <f aca="false">IF($AJ467=Constants!$B$7,IF(SUMPRODUCT(--($AL467:$AP467&gt;AL467))+SUMPRODUCT(--($AL467:AL467=AL467))=1,1,IF(SUMPRODUCT(--($AL467:$AP467&gt;AM467))+SUMPRODUCT(--($AL467:AM467=AM467))=1,2,IF(SUMPRODUCT(--($AL467:$AP467&gt;AN467))+SUMPRODUCT(--($AL467:AN467=AN467))=1,3,IF(SUMPRODUCT(--($AL467:$AP467&gt;AO467))+SUMPRODUCT(--($AL467:AO467=AO467))=1,4,5)))),"")</f>
        <v/>
      </c>
      <c r="AR467" s="87" t="str">
        <f aca="false">IF($AJ467=Constants!$B$7,IF(SUMPRODUCT(--($AL467:$AP467&gt;AL467))+SUMPRODUCT(--($AL467:AL467=AL467))=2,1,IF(SUMPRODUCT(--($AL467:$AP467&gt;AM467))+SUMPRODUCT(--($AL467:AM467=AM467))=2,2,IF(SUMPRODUCT(--($AL467:$AP467&gt;AN467))+SUMPRODUCT(--($AL467:AN467=AN467))=2,3,IF(SUMPRODUCT(--($AL467:$AP467&gt;AO467))+SUMPRODUCT(--($AL467:AO467=AO467))=2,4,5)))),"")</f>
        <v/>
      </c>
      <c r="AS467" s="87" t="str">
        <f aca="false">IF($AJ467=Constants!$B$7,IF(SUMPRODUCT(--($AL467:$AP467&gt;AL467))+SUMPRODUCT(--($AL467:AL467=AL467))=3,1,IF(SUMPRODUCT(--($AL467:$AP467&gt;AM467))+SUMPRODUCT(--($AL467:AM467=AM467))=3,2,IF(SUMPRODUCT(--($AL467:$AP467&gt;AN467))+SUMPRODUCT(--($AL467:AN467=AN467))=3,3,IF(SUMPRODUCT(--($AL467:$AP467&gt;AO467))+SUMPRODUCT(--($AL467:AO467=AO467))=3,4,5)))),"")</f>
        <v/>
      </c>
      <c r="AT467" s="87" t="str">
        <f aca="false">IF($AJ467=Constants!$B$7,LARGE(AL467:AP467,1)+LARGE(AL467:AP467,2)+LARGE(AL467:AP467,3),"")</f>
        <v/>
      </c>
      <c r="AU467" s="87" t="str">
        <f aca="false">IF(ISBLANK($C467),"",IF($AJ467&lt;&gt;Constants!$B$7,$AJ467,AT467*W467))</f>
        <v/>
      </c>
      <c r="AV467" s="87" t="str">
        <f aca="false">IF(ISBLANK($C467),"",IF($AJ467=Constants!$B$7,IF(ISNUMBER(AU467),RANK(AU467,$AU$8:$AU$507),Constants!$B$14),$AJ467))</f>
        <v/>
      </c>
      <c r="AW467" s="87" t="str">
        <f aca="false">IF(ISBLANK($C467),"",IF($AJ467=Constants!$B$7,IF(ISNUMBER(AV467),COUNTIFS($AK$8:$AK$507,"&lt;"&amp;$AK467)+COUNTIFS($AK$8:$AK$507,$AK467,$AV$8:$AV$507,"&lt;"&amp;$AV467)+1,Constants!$B$14),$AJ467))</f>
        <v/>
      </c>
      <c r="AX467" s="87" t="str">
        <f aca="false">IF(ISBLANK($C467),"",IF($AJ467=Constants!$B$7,LARGE(AL467:AP467,4)*W467,""))</f>
        <v/>
      </c>
      <c r="AY467" s="87" t="str">
        <f aca="false">IF(ISBLANK($C467),"",IF($AJ467=Constants!$B$7,RANK(AX467,$AX$8:$AX$507),$AJ467))</f>
        <v/>
      </c>
      <c r="AZ467" s="87" t="str">
        <f aca="false">IF(ISBLANK($C467),"",IF($AJ467=Constants!$B$7,IF(ISNUMBER(AV467),COUNTIFS($AK$8:$AK$507,"&lt;"&amp;$AK467)+COUNTIFS($AK$8:$AK$507,$AK467,$AV$8:$AV$507,"&lt;"&amp;$AV467)+COUNTIFS($AK$8:$AK$507,$AK467,$AV$8:$AV$507,$AV467,$AY$8:$AY$507,"&lt;"&amp;$AY467)+1,Constants!$B$14),$AJ467))</f>
        <v/>
      </c>
      <c r="BA467" s="87" t="str">
        <f aca="false">IF(ISBLANK($C467),"",IF($AJ467=Constants!$B$7,IF(ISNUMBER(AW467),AW467-AZ467,Constants!$B$14),$AJ467))</f>
        <v/>
      </c>
      <c r="BB467" s="88"/>
      <c r="BC467" s="89" t="str">
        <f aca="false">IF(ISBLANK($C467),"",IF($AJ467&lt;&gt;Constants!$B$7,$AJ467,SMALL(AQ467:AS467,1)&amp;", "&amp;SMALL(AQ467:AS467,2)&amp;", "&amp;SMALL(AQ467:AS467,3)))</f>
        <v/>
      </c>
      <c r="BD467" s="90" t="str">
        <f aca="false">IF(ISBLANK($C467),"",IF($AJ467&lt;&gt;Constants!$B$7,$AJ467,W467))</f>
        <v/>
      </c>
      <c r="BE467" s="91" t="str">
        <f aca="false">IF(ISBLANK($C467),"",IF($AJ467&lt;&gt;Constants!$B$7,$AJ467,AU467))</f>
        <v/>
      </c>
      <c r="BF467" s="92" t="str">
        <f aca="false">IF(ISBLANK($C467),"",IF($AJ467&lt;&gt;Constants!$B$7,$AJ467,AK467))</f>
        <v/>
      </c>
      <c r="BG467" s="90" t="str">
        <f aca="false">IF(ISBLANK($C467),"",BA467)</f>
        <v/>
      </c>
      <c r="BH467" s="90" t="str">
        <f aca="false">IF(ISBLANK($C467),"",AZ467)</f>
        <v/>
      </c>
      <c r="BI467" s="93" t="str">
        <f aca="false">IF(ISBLANK($C467),"",IF(BH467=Constants!$B$4,COUNTA($C$8:$C$507)+2,IF(BH467=Constants!$B$5,COUNTA($C$8:$C$507)+1,IF(BH467=Constants!$B$6,COUNTA($C$8:$C$507),BH467))))</f>
        <v/>
      </c>
      <c r="BJ467" s="5"/>
      <c r="BK467" s="94" t="n">
        <f aca="false">IF(OR(ISNUMBER(BH467),BH467=Constants!$B$4,BH467=Constants!$B$6,BH467=Constants!$B$5),1,0)</f>
        <v>0</v>
      </c>
      <c r="BL467" s="94" t="n">
        <v>460</v>
      </c>
      <c r="BM467" s="94" t="str">
        <f aca="false">IF(ISBLANK($C467),"",IF(ISNUMBER(BI467),BI467+ROW($B467)/1000,""))</f>
        <v/>
      </c>
      <c r="BN467" s="94" t="str">
        <f aca="false">IF(ISNUMBER(BM467),RANK(BM467,$BM$8:$BM$507,1),"")</f>
        <v/>
      </c>
      <c r="BO467" s="94" t="str">
        <f aca="false">IF(ISBLANK($C467),"",$B467)</f>
        <v/>
      </c>
      <c r="BP467" s="94" t="str">
        <f aca="false">IF(ISBLANK($C467),"",$C467)</f>
        <v/>
      </c>
      <c r="BQ467" s="94" t="str">
        <f aca="false">IF(ISBLANK($C467),"",$D467)</f>
        <v/>
      </c>
      <c r="BR467" s="95" t="str">
        <f aca="false">BF467</f>
        <v/>
      </c>
      <c r="BS467" s="96" t="str">
        <f aca="false">BE467</f>
        <v/>
      </c>
      <c r="BT467" s="94" t="str">
        <f aca="false">IF(ISBLANK($C467),"",BH467)</f>
        <v/>
      </c>
      <c r="BU467" s="97" t="str">
        <f aca="false">IF($BL467&gt;$BK$7,"",VLOOKUP($BL467,$BN$8:$BT$507,7,FALSE()))</f>
        <v/>
      </c>
      <c r="BV467" s="98" t="str">
        <f aca="false">IF($BL467&gt;$BK$7,"",VLOOKUP($BL467,$BN$8:$BT$507,2,FALSE()))</f>
        <v/>
      </c>
      <c r="BW467" s="98" t="str">
        <f aca="false">IF($BL467&gt;$BK$7,"",VLOOKUP($BL467,$BN$8:$BT$507,3,FALSE()))</f>
        <v/>
      </c>
      <c r="BX467" s="98" t="str">
        <f aca="false">IF($BL467&gt;$BK$7,"",VLOOKUP($BL467,$BN$8:$BT$507,4,FALSE()))</f>
        <v/>
      </c>
      <c r="BY467" s="98" t="str">
        <f aca="false">IF($BL467&gt;$BK$7,"",VLOOKUP($BL467,$BN$8:$BT$507,5,FALSE()))</f>
        <v/>
      </c>
      <c r="BZ467" s="99" t="str">
        <f aca="false">IF($BL467&gt;$BK$7,"",VLOOKUP($BL467,$BN$8:$BT$507,6,FALSE()))</f>
        <v/>
      </c>
      <c r="CA467" s="48"/>
    </row>
    <row r="468" customFormat="false" ht="15.75" hidden="false" customHeight="false" outlineLevel="0" collapsed="false">
      <c r="A468" s="5"/>
      <c r="B468" s="114"/>
      <c r="C468" s="115"/>
      <c r="D468" s="100"/>
      <c r="E468" s="120"/>
      <c r="F468" s="125"/>
      <c r="G468" s="82"/>
      <c r="H468" s="126"/>
      <c r="I468" s="127"/>
      <c r="J468" s="82"/>
      <c r="K468" s="126"/>
      <c r="L468" s="82"/>
      <c r="M468" s="126"/>
      <c r="N468" s="82"/>
      <c r="O468" s="126"/>
      <c r="P468" s="82"/>
      <c r="Q468" s="126"/>
      <c r="R468" s="82"/>
      <c r="S468" s="120"/>
      <c r="T468" s="86"/>
      <c r="U468" s="87" t="str">
        <f aca="false">IF(ISBLANK($C468),"",IF(E468=Constants!$B$2, TRUE(), IF(E468=Constants!$B$3, FALSE(), TRUE())))</f>
        <v/>
      </c>
      <c r="V468" s="87" t="str">
        <f aca="false">IF(ISBLANK($C468),"",IF(F468=Constants!$B$2, TRUE(), IF(F468=Constants!$B$3, FALSE(), TRUE())))</f>
        <v/>
      </c>
      <c r="W468" s="87" t="str">
        <f aca="false">IF(ISBLANK($C468),"",IF(G468=Constants!$B$15,Constants!$B$8,IF(G468=Constants!$B$16,Constants!$B$9,Constants!$B$10)))</f>
        <v/>
      </c>
      <c r="X468" s="87" t="str">
        <f aca="false">IF(ISBLANK($C468),"",IF(H468=Constants!$B$2, TRUE(), IF(H468=Constants!$B$3, FALSE(), TRUE())))</f>
        <v/>
      </c>
      <c r="Y468" s="87" t="str">
        <f aca="false">IF(ISBLANK($C468),"",IF(I468=Constants!$B$19,Constants!$B$19,Constants!$B$18))</f>
        <v/>
      </c>
      <c r="Z468" s="87" t="str">
        <f aca="false">IF(ISBLANK($C468),"",IF(ISNUMBER(J468),IF(J468&gt;=0,J468,""),""))</f>
        <v/>
      </c>
      <c r="AA468" s="87" t="str">
        <f aca="false">IF(ISBLANK($C468),"",IF(K468=Constants!$B$19,Constants!$B$19,Constants!$B$18))</f>
        <v/>
      </c>
      <c r="AB468" s="87" t="str">
        <f aca="false">IF(ISBLANK($C468),"",IF(ISNUMBER(L468),IF(L468&gt;=0,L468,""),""))</f>
        <v/>
      </c>
      <c r="AC468" s="87" t="str">
        <f aca="false">IF(ISBLANK($C468),"",IF(M468=Constants!$B$19,Constants!$B$19,Constants!$B$18))</f>
        <v/>
      </c>
      <c r="AD468" s="87" t="str">
        <f aca="false">IF(ISBLANK($C468),"",IF(ISNUMBER(N468),IF(N468&gt;=0,N468,""),""))</f>
        <v/>
      </c>
      <c r="AE468" s="87" t="str">
        <f aca="false">IF(ISBLANK($C468),"",IF(O468=Constants!$B$19,Constants!$B$19,Constants!$B$18))</f>
        <v/>
      </c>
      <c r="AF468" s="87" t="str">
        <f aca="false">IF(ISBLANK($C468),"",IF(ISNUMBER(P468),IF(P468&gt;=0,P468,""),""))</f>
        <v/>
      </c>
      <c r="AG468" s="87" t="str">
        <f aca="false">IF(ISBLANK($C468),"",IF(Q468=Constants!$B$19,Constants!$B$19,Constants!$B$18))</f>
        <v/>
      </c>
      <c r="AH468" s="87" t="str">
        <f aca="false">IF(ISBLANK($C468),"",IF(ISNUMBER(R468),IF(R468&gt;=0,R468,""),""))</f>
        <v/>
      </c>
      <c r="AI468" s="87" t="str">
        <f aca="false">IF(ISBLANK($C468),"",IF(S468=Constants!$B$2, TRUE(), IF(S468=Constants!$B$3, FALSE(), FALSE())))</f>
        <v/>
      </c>
      <c r="AJ468" s="87" t="str">
        <f aca="false">IF(ISBLANK($C468),"",IF(AI468,Constants!$B$4,IF(COUNTA(E468:R468)=0,Constants!$B$5,IF(COUNTA(J468,L468,N468,P468,R468)=0,Constants!$B$6,Constants!$B$7))))</f>
        <v/>
      </c>
      <c r="AK468" s="87" t="str">
        <f aca="false">IF(ISBLANK($C468),"",IF($AJ468&lt;&gt;Constants!$B$7,$AJ468,IF(OR(NOT(X468),AND(NOT(U468),COUNTIFS(Y468:AG468,Constants!$B$18,Z468:AH468,"&gt;=0")&gt;0),AND(NOT(V468),COUNTIFS(Y468:AG468,Constants!$B$19,Z468:AH468,"&gt;=0")&gt;0)),Constants!$B$12,Constants!$B$11)))</f>
        <v/>
      </c>
      <c r="AL468" s="87" t="str">
        <f aca="false">IF($AJ468=Constants!$B$7,IF(Z468="",Constants!$B$13,Z468),"")</f>
        <v/>
      </c>
      <c r="AM468" s="87" t="str">
        <f aca="false">IF($AJ468=Constants!$B$7,IF(AB468="",Constants!$B$13,AB468),"")</f>
        <v/>
      </c>
      <c r="AN468" s="87" t="str">
        <f aca="false">IF($AJ468=Constants!$B$7,IF(AD468="",Constants!$B$13,AD468),"")</f>
        <v/>
      </c>
      <c r="AO468" s="87" t="str">
        <f aca="false">IF($AJ468=Constants!$B$7,IF(AF468="",Constants!$B$13,AF468),"")</f>
        <v/>
      </c>
      <c r="AP468" s="87" t="str">
        <f aca="false">IF($AJ468=Constants!$B$7,IF(AH468="",Constants!$B$13,AH468),"")</f>
        <v/>
      </c>
      <c r="AQ468" s="87" t="str">
        <f aca="false">IF($AJ468=Constants!$B$7,IF(SUMPRODUCT(--($AL468:$AP468&gt;AL468))+SUMPRODUCT(--($AL468:AL468=AL468))=1,1,IF(SUMPRODUCT(--($AL468:$AP468&gt;AM468))+SUMPRODUCT(--($AL468:AM468=AM468))=1,2,IF(SUMPRODUCT(--($AL468:$AP468&gt;AN468))+SUMPRODUCT(--($AL468:AN468=AN468))=1,3,IF(SUMPRODUCT(--($AL468:$AP468&gt;AO468))+SUMPRODUCT(--($AL468:AO468=AO468))=1,4,5)))),"")</f>
        <v/>
      </c>
      <c r="AR468" s="87" t="str">
        <f aca="false">IF($AJ468=Constants!$B$7,IF(SUMPRODUCT(--($AL468:$AP468&gt;AL468))+SUMPRODUCT(--($AL468:AL468=AL468))=2,1,IF(SUMPRODUCT(--($AL468:$AP468&gt;AM468))+SUMPRODUCT(--($AL468:AM468=AM468))=2,2,IF(SUMPRODUCT(--($AL468:$AP468&gt;AN468))+SUMPRODUCT(--($AL468:AN468=AN468))=2,3,IF(SUMPRODUCT(--($AL468:$AP468&gt;AO468))+SUMPRODUCT(--($AL468:AO468=AO468))=2,4,5)))),"")</f>
        <v/>
      </c>
      <c r="AS468" s="87" t="str">
        <f aca="false">IF($AJ468=Constants!$B$7,IF(SUMPRODUCT(--($AL468:$AP468&gt;AL468))+SUMPRODUCT(--($AL468:AL468=AL468))=3,1,IF(SUMPRODUCT(--($AL468:$AP468&gt;AM468))+SUMPRODUCT(--($AL468:AM468=AM468))=3,2,IF(SUMPRODUCT(--($AL468:$AP468&gt;AN468))+SUMPRODUCT(--($AL468:AN468=AN468))=3,3,IF(SUMPRODUCT(--($AL468:$AP468&gt;AO468))+SUMPRODUCT(--($AL468:AO468=AO468))=3,4,5)))),"")</f>
        <v/>
      </c>
      <c r="AT468" s="87" t="str">
        <f aca="false">IF($AJ468=Constants!$B$7,LARGE(AL468:AP468,1)+LARGE(AL468:AP468,2)+LARGE(AL468:AP468,3),"")</f>
        <v/>
      </c>
      <c r="AU468" s="87" t="str">
        <f aca="false">IF(ISBLANK($C468),"",IF($AJ468&lt;&gt;Constants!$B$7,$AJ468,AT468*W468))</f>
        <v/>
      </c>
      <c r="AV468" s="87" t="str">
        <f aca="false">IF(ISBLANK($C468),"",IF($AJ468=Constants!$B$7,IF(ISNUMBER(AU468),RANK(AU468,$AU$8:$AU$507),Constants!$B$14),$AJ468))</f>
        <v/>
      </c>
      <c r="AW468" s="87" t="str">
        <f aca="false">IF(ISBLANK($C468),"",IF($AJ468=Constants!$B$7,IF(ISNUMBER(AV468),COUNTIFS($AK$8:$AK$507,"&lt;"&amp;$AK468)+COUNTIFS($AK$8:$AK$507,$AK468,$AV$8:$AV$507,"&lt;"&amp;$AV468)+1,Constants!$B$14),$AJ468))</f>
        <v/>
      </c>
      <c r="AX468" s="87" t="str">
        <f aca="false">IF(ISBLANK($C468),"",IF($AJ468=Constants!$B$7,LARGE(AL468:AP468,4)*W468,""))</f>
        <v/>
      </c>
      <c r="AY468" s="87" t="str">
        <f aca="false">IF(ISBLANK($C468),"",IF($AJ468=Constants!$B$7,RANK(AX468,$AX$8:$AX$507),$AJ468))</f>
        <v/>
      </c>
      <c r="AZ468" s="87" t="str">
        <f aca="false">IF(ISBLANK($C468),"",IF($AJ468=Constants!$B$7,IF(ISNUMBER(AV468),COUNTIFS($AK$8:$AK$507,"&lt;"&amp;$AK468)+COUNTIFS($AK$8:$AK$507,$AK468,$AV$8:$AV$507,"&lt;"&amp;$AV468)+COUNTIFS($AK$8:$AK$507,$AK468,$AV$8:$AV$507,$AV468,$AY$8:$AY$507,"&lt;"&amp;$AY468)+1,Constants!$B$14),$AJ468))</f>
        <v/>
      </c>
      <c r="BA468" s="87" t="str">
        <f aca="false">IF(ISBLANK($C468),"",IF($AJ468=Constants!$B$7,IF(ISNUMBER(AW468),AW468-AZ468,Constants!$B$14),$AJ468))</f>
        <v/>
      </c>
      <c r="BB468" s="88"/>
      <c r="BC468" s="89" t="str">
        <f aca="false">IF(ISBLANK($C468),"",IF($AJ468&lt;&gt;Constants!$B$7,$AJ468,SMALL(AQ468:AS468,1)&amp;", "&amp;SMALL(AQ468:AS468,2)&amp;", "&amp;SMALL(AQ468:AS468,3)))</f>
        <v/>
      </c>
      <c r="BD468" s="90" t="str">
        <f aca="false">IF(ISBLANK($C468),"",IF($AJ468&lt;&gt;Constants!$B$7,$AJ468,W468))</f>
        <v/>
      </c>
      <c r="BE468" s="91" t="str">
        <f aca="false">IF(ISBLANK($C468),"",IF($AJ468&lt;&gt;Constants!$B$7,$AJ468,AU468))</f>
        <v/>
      </c>
      <c r="BF468" s="92" t="str">
        <f aca="false">IF(ISBLANK($C468),"",IF($AJ468&lt;&gt;Constants!$B$7,$AJ468,AK468))</f>
        <v/>
      </c>
      <c r="BG468" s="90" t="str">
        <f aca="false">IF(ISBLANK($C468),"",BA468)</f>
        <v/>
      </c>
      <c r="BH468" s="90" t="str">
        <f aca="false">IF(ISBLANK($C468),"",AZ468)</f>
        <v/>
      </c>
      <c r="BI468" s="93" t="str">
        <f aca="false">IF(ISBLANK($C468),"",IF(BH468=Constants!$B$4,COUNTA($C$8:$C$507)+2,IF(BH468=Constants!$B$5,COUNTA($C$8:$C$507)+1,IF(BH468=Constants!$B$6,COUNTA($C$8:$C$507),BH468))))</f>
        <v/>
      </c>
      <c r="BJ468" s="5"/>
      <c r="BK468" s="94" t="n">
        <f aca="false">IF(OR(ISNUMBER(BH468),BH468=Constants!$B$4,BH468=Constants!$B$6,BH468=Constants!$B$5),1,0)</f>
        <v>0</v>
      </c>
      <c r="BL468" s="94" t="n">
        <v>461</v>
      </c>
      <c r="BM468" s="94" t="str">
        <f aca="false">IF(ISBLANK($C468),"",IF(ISNUMBER(BI468),BI468+ROW($B468)/1000,""))</f>
        <v/>
      </c>
      <c r="BN468" s="94" t="str">
        <f aca="false">IF(ISNUMBER(BM468),RANK(BM468,$BM$8:$BM$507,1),"")</f>
        <v/>
      </c>
      <c r="BO468" s="94" t="str">
        <f aca="false">IF(ISBLANK($C468),"",$B468)</f>
        <v/>
      </c>
      <c r="BP468" s="94" t="str">
        <f aca="false">IF(ISBLANK($C468),"",$C468)</f>
        <v/>
      </c>
      <c r="BQ468" s="94" t="str">
        <f aca="false">IF(ISBLANK($C468),"",$D468)</f>
        <v/>
      </c>
      <c r="BR468" s="95" t="str">
        <f aca="false">BF468</f>
        <v/>
      </c>
      <c r="BS468" s="96" t="str">
        <f aca="false">BE468</f>
        <v/>
      </c>
      <c r="BT468" s="94" t="str">
        <f aca="false">IF(ISBLANK($C468),"",BH468)</f>
        <v/>
      </c>
      <c r="BU468" s="97" t="str">
        <f aca="false">IF($BL468&gt;$BK$7,"",VLOOKUP($BL468,$BN$8:$BT$507,7,FALSE()))</f>
        <v/>
      </c>
      <c r="BV468" s="98" t="str">
        <f aca="false">IF($BL468&gt;$BK$7,"",VLOOKUP($BL468,$BN$8:$BT$507,2,FALSE()))</f>
        <v/>
      </c>
      <c r="BW468" s="98" t="str">
        <f aca="false">IF($BL468&gt;$BK$7,"",VLOOKUP($BL468,$BN$8:$BT$507,3,FALSE()))</f>
        <v/>
      </c>
      <c r="BX468" s="98" t="str">
        <f aca="false">IF($BL468&gt;$BK$7,"",VLOOKUP($BL468,$BN$8:$BT$507,4,FALSE()))</f>
        <v/>
      </c>
      <c r="BY468" s="98" t="str">
        <f aca="false">IF($BL468&gt;$BK$7,"",VLOOKUP($BL468,$BN$8:$BT$507,5,FALSE()))</f>
        <v/>
      </c>
      <c r="BZ468" s="99" t="str">
        <f aca="false">IF($BL468&gt;$BK$7,"",VLOOKUP($BL468,$BN$8:$BT$507,6,FALSE()))</f>
        <v/>
      </c>
      <c r="CA468" s="48"/>
    </row>
    <row r="469" customFormat="false" ht="15.75" hidden="false" customHeight="false" outlineLevel="0" collapsed="false">
      <c r="A469" s="5"/>
      <c r="B469" s="114"/>
      <c r="C469" s="115"/>
      <c r="D469" s="100"/>
      <c r="E469" s="120"/>
      <c r="F469" s="125"/>
      <c r="G469" s="82"/>
      <c r="H469" s="126"/>
      <c r="I469" s="127"/>
      <c r="J469" s="82"/>
      <c r="K469" s="126"/>
      <c r="L469" s="82"/>
      <c r="M469" s="126"/>
      <c r="N469" s="82"/>
      <c r="O469" s="126"/>
      <c r="P469" s="82"/>
      <c r="Q469" s="126"/>
      <c r="R469" s="82"/>
      <c r="S469" s="120"/>
      <c r="T469" s="86"/>
      <c r="U469" s="87" t="str">
        <f aca="false">IF(ISBLANK($C469),"",IF(E469=Constants!$B$2, TRUE(), IF(E469=Constants!$B$3, FALSE(), TRUE())))</f>
        <v/>
      </c>
      <c r="V469" s="87" t="str">
        <f aca="false">IF(ISBLANK($C469),"",IF(F469=Constants!$B$2, TRUE(), IF(F469=Constants!$B$3, FALSE(), TRUE())))</f>
        <v/>
      </c>
      <c r="W469" s="87" t="str">
        <f aca="false">IF(ISBLANK($C469),"",IF(G469=Constants!$B$15,Constants!$B$8,IF(G469=Constants!$B$16,Constants!$B$9,Constants!$B$10)))</f>
        <v/>
      </c>
      <c r="X469" s="87" t="str">
        <f aca="false">IF(ISBLANK($C469),"",IF(H469=Constants!$B$2, TRUE(), IF(H469=Constants!$B$3, FALSE(), TRUE())))</f>
        <v/>
      </c>
      <c r="Y469" s="87" t="str">
        <f aca="false">IF(ISBLANK($C469),"",IF(I469=Constants!$B$19,Constants!$B$19,Constants!$B$18))</f>
        <v/>
      </c>
      <c r="Z469" s="87" t="str">
        <f aca="false">IF(ISBLANK($C469),"",IF(ISNUMBER(J469),IF(J469&gt;=0,J469,""),""))</f>
        <v/>
      </c>
      <c r="AA469" s="87" t="str">
        <f aca="false">IF(ISBLANK($C469),"",IF(K469=Constants!$B$19,Constants!$B$19,Constants!$B$18))</f>
        <v/>
      </c>
      <c r="AB469" s="87" t="str">
        <f aca="false">IF(ISBLANK($C469),"",IF(ISNUMBER(L469),IF(L469&gt;=0,L469,""),""))</f>
        <v/>
      </c>
      <c r="AC469" s="87" t="str">
        <f aca="false">IF(ISBLANK($C469),"",IF(M469=Constants!$B$19,Constants!$B$19,Constants!$B$18))</f>
        <v/>
      </c>
      <c r="AD469" s="87" t="str">
        <f aca="false">IF(ISBLANK($C469),"",IF(ISNUMBER(N469),IF(N469&gt;=0,N469,""),""))</f>
        <v/>
      </c>
      <c r="AE469" s="87" t="str">
        <f aca="false">IF(ISBLANK($C469),"",IF(O469=Constants!$B$19,Constants!$B$19,Constants!$B$18))</f>
        <v/>
      </c>
      <c r="AF469" s="87" t="str">
        <f aca="false">IF(ISBLANK($C469),"",IF(ISNUMBER(P469),IF(P469&gt;=0,P469,""),""))</f>
        <v/>
      </c>
      <c r="AG469" s="87" t="str">
        <f aca="false">IF(ISBLANK($C469),"",IF(Q469=Constants!$B$19,Constants!$B$19,Constants!$B$18))</f>
        <v/>
      </c>
      <c r="AH469" s="87" t="str">
        <f aca="false">IF(ISBLANK($C469),"",IF(ISNUMBER(R469),IF(R469&gt;=0,R469,""),""))</f>
        <v/>
      </c>
      <c r="AI469" s="87" t="str">
        <f aca="false">IF(ISBLANK($C469),"",IF(S469=Constants!$B$2, TRUE(), IF(S469=Constants!$B$3, FALSE(), FALSE())))</f>
        <v/>
      </c>
      <c r="AJ469" s="87" t="str">
        <f aca="false">IF(ISBLANK($C469),"",IF(AI469,Constants!$B$4,IF(COUNTA(E469:R469)=0,Constants!$B$5,IF(COUNTA(J469,L469,N469,P469,R469)=0,Constants!$B$6,Constants!$B$7))))</f>
        <v/>
      </c>
      <c r="AK469" s="87" t="str">
        <f aca="false">IF(ISBLANK($C469),"",IF($AJ469&lt;&gt;Constants!$B$7,$AJ469,IF(OR(NOT(X469),AND(NOT(U469),COUNTIFS(Y469:AG469,Constants!$B$18,Z469:AH469,"&gt;=0")&gt;0),AND(NOT(V469),COUNTIFS(Y469:AG469,Constants!$B$19,Z469:AH469,"&gt;=0")&gt;0)),Constants!$B$12,Constants!$B$11)))</f>
        <v/>
      </c>
      <c r="AL469" s="87" t="str">
        <f aca="false">IF($AJ469=Constants!$B$7,IF(Z469="",Constants!$B$13,Z469),"")</f>
        <v/>
      </c>
      <c r="AM469" s="87" t="str">
        <f aca="false">IF($AJ469=Constants!$B$7,IF(AB469="",Constants!$B$13,AB469),"")</f>
        <v/>
      </c>
      <c r="AN469" s="87" t="str">
        <f aca="false">IF($AJ469=Constants!$B$7,IF(AD469="",Constants!$B$13,AD469),"")</f>
        <v/>
      </c>
      <c r="AO469" s="87" t="str">
        <f aca="false">IF($AJ469=Constants!$B$7,IF(AF469="",Constants!$B$13,AF469),"")</f>
        <v/>
      </c>
      <c r="AP469" s="87" t="str">
        <f aca="false">IF($AJ469=Constants!$B$7,IF(AH469="",Constants!$B$13,AH469),"")</f>
        <v/>
      </c>
      <c r="AQ469" s="87" t="str">
        <f aca="false">IF($AJ469=Constants!$B$7,IF(SUMPRODUCT(--($AL469:$AP469&gt;AL469))+SUMPRODUCT(--($AL469:AL469=AL469))=1,1,IF(SUMPRODUCT(--($AL469:$AP469&gt;AM469))+SUMPRODUCT(--($AL469:AM469=AM469))=1,2,IF(SUMPRODUCT(--($AL469:$AP469&gt;AN469))+SUMPRODUCT(--($AL469:AN469=AN469))=1,3,IF(SUMPRODUCT(--($AL469:$AP469&gt;AO469))+SUMPRODUCT(--($AL469:AO469=AO469))=1,4,5)))),"")</f>
        <v/>
      </c>
      <c r="AR469" s="87" t="str">
        <f aca="false">IF($AJ469=Constants!$B$7,IF(SUMPRODUCT(--($AL469:$AP469&gt;AL469))+SUMPRODUCT(--($AL469:AL469=AL469))=2,1,IF(SUMPRODUCT(--($AL469:$AP469&gt;AM469))+SUMPRODUCT(--($AL469:AM469=AM469))=2,2,IF(SUMPRODUCT(--($AL469:$AP469&gt;AN469))+SUMPRODUCT(--($AL469:AN469=AN469))=2,3,IF(SUMPRODUCT(--($AL469:$AP469&gt;AO469))+SUMPRODUCT(--($AL469:AO469=AO469))=2,4,5)))),"")</f>
        <v/>
      </c>
      <c r="AS469" s="87" t="str">
        <f aca="false">IF($AJ469=Constants!$B$7,IF(SUMPRODUCT(--($AL469:$AP469&gt;AL469))+SUMPRODUCT(--($AL469:AL469=AL469))=3,1,IF(SUMPRODUCT(--($AL469:$AP469&gt;AM469))+SUMPRODUCT(--($AL469:AM469=AM469))=3,2,IF(SUMPRODUCT(--($AL469:$AP469&gt;AN469))+SUMPRODUCT(--($AL469:AN469=AN469))=3,3,IF(SUMPRODUCT(--($AL469:$AP469&gt;AO469))+SUMPRODUCT(--($AL469:AO469=AO469))=3,4,5)))),"")</f>
        <v/>
      </c>
      <c r="AT469" s="87" t="str">
        <f aca="false">IF($AJ469=Constants!$B$7,LARGE(AL469:AP469,1)+LARGE(AL469:AP469,2)+LARGE(AL469:AP469,3),"")</f>
        <v/>
      </c>
      <c r="AU469" s="87" t="str">
        <f aca="false">IF(ISBLANK($C469),"",IF($AJ469&lt;&gt;Constants!$B$7,$AJ469,AT469*W469))</f>
        <v/>
      </c>
      <c r="AV469" s="87" t="str">
        <f aca="false">IF(ISBLANK($C469),"",IF($AJ469=Constants!$B$7,IF(ISNUMBER(AU469),RANK(AU469,$AU$8:$AU$507),Constants!$B$14),$AJ469))</f>
        <v/>
      </c>
      <c r="AW469" s="87" t="str">
        <f aca="false">IF(ISBLANK($C469),"",IF($AJ469=Constants!$B$7,IF(ISNUMBER(AV469),COUNTIFS($AK$8:$AK$507,"&lt;"&amp;$AK469)+COUNTIFS($AK$8:$AK$507,$AK469,$AV$8:$AV$507,"&lt;"&amp;$AV469)+1,Constants!$B$14),$AJ469))</f>
        <v/>
      </c>
      <c r="AX469" s="87" t="str">
        <f aca="false">IF(ISBLANK($C469),"",IF($AJ469=Constants!$B$7,LARGE(AL469:AP469,4)*W469,""))</f>
        <v/>
      </c>
      <c r="AY469" s="87" t="str">
        <f aca="false">IF(ISBLANK($C469),"",IF($AJ469=Constants!$B$7,RANK(AX469,$AX$8:$AX$507),$AJ469))</f>
        <v/>
      </c>
      <c r="AZ469" s="87" t="str">
        <f aca="false">IF(ISBLANK($C469),"",IF($AJ469=Constants!$B$7,IF(ISNUMBER(AV469),COUNTIFS($AK$8:$AK$507,"&lt;"&amp;$AK469)+COUNTIFS($AK$8:$AK$507,$AK469,$AV$8:$AV$507,"&lt;"&amp;$AV469)+COUNTIFS($AK$8:$AK$507,$AK469,$AV$8:$AV$507,$AV469,$AY$8:$AY$507,"&lt;"&amp;$AY469)+1,Constants!$B$14),$AJ469))</f>
        <v/>
      </c>
      <c r="BA469" s="87" t="str">
        <f aca="false">IF(ISBLANK($C469),"",IF($AJ469=Constants!$B$7,IF(ISNUMBER(AW469),AW469-AZ469,Constants!$B$14),$AJ469))</f>
        <v/>
      </c>
      <c r="BB469" s="88"/>
      <c r="BC469" s="89" t="str">
        <f aca="false">IF(ISBLANK($C469),"",IF($AJ469&lt;&gt;Constants!$B$7,$AJ469,SMALL(AQ469:AS469,1)&amp;", "&amp;SMALL(AQ469:AS469,2)&amp;", "&amp;SMALL(AQ469:AS469,3)))</f>
        <v/>
      </c>
      <c r="BD469" s="90" t="str">
        <f aca="false">IF(ISBLANK($C469),"",IF($AJ469&lt;&gt;Constants!$B$7,$AJ469,W469))</f>
        <v/>
      </c>
      <c r="BE469" s="91" t="str">
        <f aca="false">IF(ISBLANK($C469),"",IF($AJ469&lt;&gt;Constants!$B$7,$AJ469,AU469))</f>
        <v/>
      </c>
      <c r="BF469" s="92" t="str">
        <f aca="false">IF(ISBLANK($C469),"",IF($AJ469&lt;&gt;Constants!$B$7,$AJ469,AK469))</f>
        <v/>
      </c>
      <c r="BG469" s="90" t="str">
        <f aca="false">IF(ISBLANK($C469),"",BA469)</f>
        <v/>
      </c>
      <c r="BH469" s="90" t="str">
        <f aca="false">IF(ISBLANK($C469),"",AZ469)</f>
        <v/>
      </c>
      <c r="BI469" s="93" t="str">
        <f aca="false">IF(ISBLANK($C469),"",IF(BH469=Constants!$B$4,COUNTA($C$8:$C$507)+2,IF(BH469=Constants!$B$5,COUNTA($C$8:$C$507)+1,IF(BH469=Constants!$B$6,COUNTA($C$8:$C$507),BH469))))</f>
        <v/>
      </c>
      <c r="BJ469" s="5"/>
      <c r="BK469" s="94" t="n">
        <f aca="false">IF(OR(ISNUMBER(BH469),BH469=Constants!$B$4,BH469=Constants!$B$6,BH469=Constants!$B$5),1,0)</f>
        <v>0</v>
      </c>
      <c r="BL469" s="94" t="n">
        <v>462</v>
      </c>
      <c r="BM469" s="94" t="str">
        <f aca="false">IF(ISBLANK($C469),"",IF(ISNUMBER(BI469),BI469+ROW($B469)/1000,""))</f>
        <v/>
      </c>
      <c r="BN469" s="94" t="str">
        <f aca="false">IF(ISNUMBER(BM469),RANK(BM469,$BM$8:$BM$507,1),"")</f>
        <v/>
      </c>
      <c r="BO469" s="94" t="str">
        <f aca="false">IF(ISBLANK($C469),"",$B469)</f>
        <v/>
      </c>
      <c r="BP469" s="94" t="str">
        <f aca="false">IF(ISBLANK($C469),"",$C469)</f>
        <v/>
      </c>
      <c r="BQ469" s="94" t="str">
        <f aca="false">IF(ISBLANK($C469),"",$D469)</f>
        <v/>
      </c>
      <c r="BR469" s="95" t="str">
        <f aca="false">BF469</f>
        <v/>
      </c>
      <c r="BS469" s="96" t="str">
        <f aca="false">BE469</f>
        <v/>
      </c>
      <c r="BT469" s="94" t="str">
        <f aca="false">IF(ISBLANK($C469),"",BH469)</f>
        <v/>
      </c>
      <c r="BU469" s="97" t="str">
        <f aca="false">IF($BL469&gt;$BK$7,"",VLOOKUP($BL469,$BN$8:$BT$507,7,FALSE()))</f>
        <v/>
      </c>
      <c r="BV469" s="98" t="str">
        <f aca="false">IF($BL469&gt;$BK$7,"",VLOOKUP($BL469,$BN$8:$BT$507,2,FALSE()))</f>
        <v/>
      </c>
      <c r="BW469" s="98" t="str">
        <f aca="false">IF($BL469&gt;$BK$7,"",VLOOKUP($BL469,$BN$8:$BT$507,3,FALSE()))</f>
        <v/>
      </c>
      <c r="BX469" s="98" t="str">
        <f aca="false">IF($BL469&gt;$BK$7,"",VLOOKUP($BL469,$BN$8:$BT$507,4,FALSE()))</f>
        <v/>
      </c>
      <c r="BY469" s="98" t="str">
        <f aca="false">IF($BL469&gt;$BK$7,"",VLOOKUP($BL469,$BN$8:$BT$507,5,FALSE()))</f>
        <v/>
      </c>
      <c r="BZ469" s="99" t="str">
        <f aca="false">IF($BL469&gt;$BK$7,"",VLOOKUP($BL469,$BN$8:$BT$507,6,FALSE()))</f>
        <v/>
      </c>
      <c r="CA469" s="48"/>
    </row>
    <row r="470" customFormat="false" ht="15.75" hidden="false" customHeight="false" outlineLevel="0" collapsed="false">
      <c r="A470" s="5"/>
      <c r="B470" s="121"/>
      <c r="C470" s="50"/>
      <c r="D470" s="51"/>
      <c r="E470" s="74"/>
      <c r="F470" s="122"/>
      <c r="G470" s="54"/>
      <c r="H470" s="123"/>
      <c r="I470" s="124"/>
      <c r="J470" s="54"/>
      <c r="K470" s="123"/>
      <c r="L470" s="54"/>
      <c r="M470" s="123"/>
      <c r="N470" s="54"/>
      <c r="O470" s="123"/>
      <c r="P470" s="54"/>
      <c r="Q470" s="123"/>
      <c r="R470" s="54"/>
      <c r="S470" s="74"/>
      <c r="T470" s="58"/>
      <c r="U470" s="59" t="str">
        <f aca="false">IF(ISBLANK($C470),"",IF(E470=Constants!$B$2, TRUE(), IF(E470=Constants!$B$3, FALSE(), TRUE())))</f>
        <v/>
      </c>
      <c r="V470" s="59" t="str">
        <f aca="false">IF(ISBLANK($C470),"",IF(F470=Constants!$B$2, TRUE(), IF(F470=Constants!$B$3, FALSE(), TRUE())))</f>
        <v/>
      </c>
      <c r="W470" s="59" t="str">
        <f aca="false">IF(ISBLANK($C470),"",IF(G470=Constants!$B$15,Constants!$B$8,IF(G470=Constants!$B$16,Constants!$B$9,Constants!$B$10)))</f>
        <v/>
      </c>
      <c r="X470" s="59" t="str">
        <f aca="false">IF(ISBLANK($C470),"",IF(H470=Constants!$B$2, TRUE(), IF(H470=Constants!$B$3, FALSE(), TRUE())))</f>
        <v/>
      </c>
      <c r="Y470" s="59" t="str">
        <f aca="false">IF(ISBLANK($C470),"",IF(I470=Constants!$B$19,Constants!$B$19,Constants!$B$18))</f>
        <v/>
      </c>
      <c r="Z470" s="59" t="str">
        <f aca="false">IF(ISBLANK($C470),"",IF(ISNUMBER(J470),IF(J470&gt;=0,J470,""),""))</f>
        <v/>
      </c>
      <c r="AA470" s="59" t="str">
        <f aca="false">IF(ISBLANK($C470),"",IF(K470=Constants!$B$19,Constants!$B$19,Constants!$B$18))</f>
        <v/>
      </c>
      <c r="AB470" s="59" t="str">
        <f aca="false">IF(ISBLANK($C470),"",IF(ISNUMBER(L470),IF(L470&gt;=0,L470,""),""))</f>
        <v/>
      </c>
      <c r="AC470" s="59" t="str">
        <f aca="false">IF(ISBLANK($C470),"",IF(M470=Constants!$B$19,Constants!$B$19,Constants!$B$18))</f>
        <v/>
      </c>
      <c r="AD470" s="59" t="str">
        <f aca="false">IF(ISBLANK($C470),"",IF(ISNUMBER(N470),IF(N470&gt;=0,N470,""),""))</f>
        <v/>
      </c>
      <c r="AE470" s="59" t="str">
        <f aca="false">IF(ISBLANK($C470),"",IF(O470=Constants!$B$19,Constants!$B$19,Constants!$B$18))</f>
        <v/>
      </c>
      <c r="AF470" s="59" t="str">
        <f aca="false">IF(ISBLANK($C470),"",IF(ISNUMBER(P470),IF(P470&gt;=0,P470,""),""))</f>
        <v/>
      </c>
      <c r="AG470" s="59" t="str">
        <f aca="false">IF(ISBLANK($C470),"",IF(Q470=Constants!$B$19,Constants!$B$19,Constants!$B$18))</f>
        <v/>
      </c>
      <c r="AH470" s="59" t="str">
        <f aca="false">IF(ISBLANK($C470),"",IF(ISNUMBER(R470),IF(R470&gt;=0,R470,""),""))</f>
        <v/>
      </c>
      <c r="AI470" s="59" t="str">
        <f aca="false">IF(ISBLANK($C470),"",IF(S470=Constants!$B$2, TRUE(), IF(S470=Constants!$B$3, FALSE(), FALSE())))</f>
        <v/>
      </c>
      <c r="AJ470" s="59" t="str">
        <f aca="false">IF(ISBLANK($C470),"",IF(AI470,Constants!$B$4,IF(COUNTA(E470:R470)=0,Constants!$B$5,IF(COUNTA(J470,L470,N470,P470,R470)=0,Constants!$B$6,Constants!$B$7))))</f>
        <v/>
      </c>
      <c r="AK470" s="59" t="str">
        <f aca="false">IF(ISBLANK($C470),"",IF($AJ470&lt;&gt;Constants!$B$7,$AJ470,IF(OR(NOT(X470),AND(NOT(U470),COUNTIFS(Y470:AG470,Constants!$B$18,Z470:AH470,"&gt;=0")&gt;0),AND(NOT(V470),COUNTIFS(Y470:AG470,Constants!$B$19,Z470:AH470,"&gt;=0")&gt;0)),Constants!$B$12,Constants!$B$11)))</f>
        <v/>
      </c>
      <c r="AL470" s="59" t="str">
        <f aca="false">IF($AJ470=Constants!$B$7,IF(Z470="",Constants!$B$13,Z470),"")</f>
        <v/>
      </c>
      <c r="AM470" s="59" t="str">
        <f aca="false">IF($AJ470=Constants!$B$7,IF(AB470="",Constants!$B$13,AB470),"")</f>
        <v/>
      </c>
      <c r="AN470" s="59" t="str">
        <f aca="false">IF($AJ470=Constants!$B$7,IF(AD470="",Constants!$B$13,AD470),"")</f>
        <v/>
      </c>
      <c r="AO470" s="59" t="str">
        <f aca="false">IF($AJ470=Constants!$B$7,IF(AF470="",Constants!$B$13,AF470),"")</f>
        <v/>
      </c>
      <c r="AP470" s="59" t="str">
        <f aca="false">IF($AJ470=Constants!$B$7,IF(AH470="",Constants!$B$13,AH470),"")</f>
        <v/>
      </c>
      <c r="AQ470" s="59" t="str">
        <f aca="false">IF($AJ470=Constants!$B$7,IF(SUMPRODUCT(--($AL470:$AP470&gt;AL470))+SUMPRODUCT(--($AL470:AL470=AL470))=1,1,IF(SUMPRODUCT(--($AL470:$AP470&gt;AM470))+SUMPRODUCT(--($AL470:AM470=AM470))=1,2,IF(SUMPRODUCT(--($AL470:$AP470&gt;AN470))+SUMPRODUCT(--($AL470:AN470=AN470))=1,3,IF(SUMPRODUCT(--($AL470:$AP470&gt;AO470))+SUMPRODUCT(--($AL470:AO470=AO470))=1,4,5)))),"")</f>
        <v/>
      </c>
      <c r="AR470" s="59" t="str">
        <f aca="false">IF($AJ470=Constants!$B$7,IF(SUMPRODUCT(--($AL470:$AP470&gt;AL470))+SUMPRODUCT(--($AL470:AL470=AL470))=2,1,IF(SUMPRODUCT(--($AL470:$AP470&gt;AM470))+SUMPRODUCT(--($AL470:AM470=AM470))=2,2,IF(SUMPRODUCT(--($AL470:$AP470&gt;AN470))+SUMPRODUCT(--($AL470:AN470=AN470))=2,3,IF(SUMPRODUCT(--($AL470:$AP470&gt;AO470))+SUMPRODUCT(--($AL470:AO470=AO470))=2,4,5)))),"")</f>
        <v/>
      </c>
      <c r="AS470" s="59" t="str">
        <f aca="false">IF($AJ470=Constants!$B$7,IF(SUMPRODUCT(--($AL470:$AP470&gt;AL470))+SUMPRODUCT(--($AL470:AL470=AL470))=3,1,IF(SUMPRODUCT(--($AL470:$AP470&gt;AM470))+SUMPRODUCT(--($AL470:AM470=AM470))=3,2,IF(SUMPRODUCT(--($AL470:$AP470&gt;AN470))+SUMPRODUCT(--($AL470:AN470=AN470))=3,3,IF(SUMPRODUCT(--($AL470:$AP470&gt;AO470))+SUMPRODUCT(--($AL470:AO470=AO470))=3,4,5)))),"")</f>
        <v/>
      </c>
      <c r="AT470" s="59" t="str">
        <f aca="false">IF($AJ470=Constants!$B$7,LARGE(AL470:AP470,1)+LARGE(AL470:AP470,2)+LARGE(AL470:AP470,3),"")</f>
        <v/>
      </c>
      <c r="AU470" s="59" t="str">
        <f aca="false">IF(ISBLANK($C470),"",IF($AJ470&lt;&gt;Constants!$B$7,$AJ470,AT470*W470))</f>
        <v/>
      </c>
      <c r="AV470" s="59" t="str">
        <f aca="false">IF(ISBLANK($C470),"",IF($AJ470=Constants!$B$7,IF(ISNUMBER(AU470),RANK(AU470,$AU$8:$AU$507),Constants!$B$14),$AJ470))</f>
        <v/>
      </c>
      <c r="AW470" s="59" t="str">
        <f aca="false">IF(ISBLANK($C470),"",IF($AJ470=Constants!$B$7,IF(ISNUMBER(AV470),COUNTIFS($AK$8:$AK$507,"&lt;"&amp;$AK470)+COUNTIFS($AK$8:$AK$507,$AK470,$AV$8:$AV$507,"&lt;"&amp;$AV470)+1,Constants!$B$14),$AJ470))</f>
        <v/>
      </c>
      <c r="AX470" s="59" t="str">
        <f aca="false">IF(ISBLANK($C470),"",IF($AJ470=Constants!$B$7,LARGE(AL470:AP470,4)*W470,""))</f>
        <v/>
      </c>
      <c r="AY470" s="59" t="str">
        <f aca="false">IF(ISBLANK($C470),"",IF($AJ470=Constants!$B$7,RANK(AX470,$AX$8:$AX$507),$AJ470))</f>
        <v/>
      </c>
      <c r="AZ470" s="59" t="str">
        <f aca="false">IF(ISBLANK($C470),"",IF($AJ470=Constants!$B$7,IF(ISNUMBER(AV470),COUNTIFS($AK$8:$AK$507,"&lt;"&amp;$AK470)+COUNTIFS($AK$8:$AK$507,$AK470,$AV$8:$AV$507,"&lt;"&amp;$AV470)+COUNTIFS($AK$8:$AK$507,$AK470,$AV$8:$AV$507,$AV470,$AY$8:$AY$507,"&lt;"&amp;$AY470)+1,Constants!$B$14),$AJ470))</f>
        <v/>
      </c>
      <c r="BA470" s="59" t="str">
        <f aca="false">IF(ISBLANK($C470),"",IF($AJ470=Constants!$B$7,IF(ISNUMBER(AW470),AW470-AZ470,Constants!$B$14),$AJ470))</f>
        <v/>
      </c>
      <c r="BB470" s="61"/>
      <c r="BC470" s="62" t="str">
        <f aca="false">IF(ISBLANK($C470),"",IF($AJ470&lt;&gt;Constants!$B$7,$AJ470,SMALL(AQ470:AS470,1)&amp;", "&amp;SMALL(AQ470:AS470,2)&amp;", "&amp;SMALL(AQ470:AS470,3)))</f>
        <v/>
      </c>
      <c r="BD470" s="63" t="str">
        <f aca="false">IF(ISBLANK($C470),"",IF($AJ470&lt;&gt;Constants!$B$7,$AJ470,W470))</f>
        <v/>
      </c>
      <c r="BE470" s="64" t="str">
        <f aca="false">IF(ISBLANK($C470),"",IF($AJ470&lt;&gt;Constants!$B$7,$AJ470,AU470))</f>
        <v/>
      </c>
      <c r="BF470" s="65" t="str">
        <f aca="false">IF(ISBLANK($C470),"",IF($AJ470&lt;&gt;Constants!$B$7,$AJ470,AK470))</f>
        <v/>
      </c>
      <c r="BG470" s="63" t="str">
        <f aca="false">IF(ISBLANK($C470),"",BA470)</f>
        <v/>
      </c>
      <c r="BH470" s="63" t="str">
        <f aca="false">IF(ISBLANK($C470),"",AZ470)</f>
        <v/>
      </c>
      <c r="BI470" s="66" t="str">
        <f aca="false">IF(ISBLANK($C470),"",IF(BH470=Constants!$B$4,COUNTA($C$8:$C$507)+2,IF(BH470=Constants!$B$5,COUNTA($C$8:$C$507)+1,IF(BH470=Constants!$B$6,COUNTA($C$8:$C$507),BH470))))</f>
        <v/>
      </c>
      <c r="BJ470" s="5"/>
      <c r="BK470" s="67" t="n">
        <f aca="false">IF(OR(ISNUMBER(BH470),BH470=Constants!$B$4,BH470=Constants!$B$6,BH470=Constants!$B$5),1,0)</f>
        <v>0</v>
      </c>
      <c r="BL470" s="67" t="n">
        <v>463</v>
      </c>
      <c r="BM470" s="67" t="str">
        <f aca="false">IF(ISBLANK($C470),"",IF(ISNUMBER(BI470),BI470+ROW($B470)/1000,""))</f>
        <v/>
      </c>
      <c r="BN470" s="67" t="str">
        <f aca="false">IF(ISNUMBER(BM470),RANK(BM470,$BM$8:$BM$507,1),"")</f>
        <v/>
      </c>
      <c r="BO470" s="67" t="str">
        <f aca="false">IF(ISBLANK($C470),"",$B470)</f>
        <v/>
      </c>
      <c r="BP470" s="67" t="str">
        <f aca="false">IF(ISBLANK($C470),"",$C470)</f>
        <v/>
      </c>
      <c r="BQ470" s="67" t="str">
        <f aca="false">IF(ISBLANK($C470),"",$D470)</f>
        <v/>
      </c>
      <c r="BR470" s="68" t="str">
        <f aca="false">BF470</f>
        <v/>
      </c>
      <c r="BS470" s="69" t="str">
        <f aca="false">BE470</f>
        <v/>
      </c>
      <c r="BT470" s="67" t="str">
        <f aca="false">IF(ISBLANK($C470),"",BH470)</f>
        <v/>
      </c>
      <c r="BU470" s="70" t="str">
        <f aca="false">IF($BL470&gt;$BK$7,"",VLOOKUP($BL470,$BN$8:$BT$507,7,FALSE()))</f>
        <v/>
      </c>
      <c r="BV470" s="71" t="str">
        <f aca="false">IF($BL470&gt;$BK$7,"",VLOOKUP($BL470,$BN$8:$BT$507,2,FALSE()))</f>
        <v/>
      </c>
      <c r="BW470" s="71" t="str">
        <f aca="false">IF($BL470&gt;$BK$7,"",VLOOKUP($BL470,$BN$8:$BT$507,3,FALSE()))</f>
        <v/>
      </c>
      <c r="BX470" s="71" t="str">
        <f aca="false">IF($BL470&gt;$BK$7,"",VLOOKUP($BL470,$BN$8:$BT$507,4,FALSE()))</f>
        <v/>
      </c>
      <c r="BY470" s="71" t="str">
        <f aca="false">IF($BL470&gt;$BK$7,"",VLOOKUP($BL470,$BN$8:$BT$507,5,FALSE()))</f>
        <v/>
      </c>
      <c r="BZ470" s="72" t="str">
        <f aca="false">IF($BL470&gt;$BK$7,"",VLOOKUP($BL470,$BN$8:$BT$507,6,FALSE()))</f>
        <v/>
      </c>
      <c r="CA470" s="48"/>
    </row>
    <row r="471" customFormat="false" ht="15.75" hidden="false" customHeight="false" outlineLevel="0" collapsed="false">
      <c r="A471" s="5"/>
      <c r="B471" s="121"/>
      <c r="C471" s="50"/>
      <c r="D471" s="51"/>
      <c r="E471" s="74"/>
      <c r="F471" s="122"/>
      <c r="G471" s="54"/>
      <c r="H471" s="123"/>
      <c r="I471" s="124"/>
      <c r="J471" s="54"/>
      <c r="K471" s="123"/>
      <c r="L471" s="54"/>
      <c r="M471" s="123"/>
      <c r="N471" s="54"/>
      <c r="O471" s="123"/>
      <c r="P471" s="54"/>
      <c r="Q471" s="123"/>
      <c r="R471" s="54"/>
      <c r="S471" s="74"/>
      <c r="T471" s="58"/>
      <c r="U471" s="59" t="str">
        <f aca="false">IF(ISBLANK($C471),"",IF(E471=Constants!$B$2, TRUE(), IF(E471=Constants!$B$3, FALSE(), TRUE())))</f>
        <v/>
      </c>
      <c r="V471" s="59" t="str">
        <f aca="false">IF(ISBLANK($C471),"",IF(F471=Constants!$B$2, TRUE(), IF(F471=Constants!$B$3, FALSE(), TRUE())))</f>
        <v/>
      </c>
      <c r="W471" s="59" t="str">
        <f aca="false">IF(ISBLANK($C471),"",IF(G471=Constants!$B$15,Constants!$B$8,IF(G471=Constants!$B$16,Constants!$B$9,Constants!$B$10)))</f>
        <v/>
      </c>
      <c r="X471" s="59" t="str">
        <f aca="false">IF(ISBLANK($C471),"",IF(H471=Constants!$B$2, TRUE(), IF(H471=Constants!$B$3, FALSE(), TRUE())))</f>
        <v/>
      </c>
      <c r="Y471" s="59" t="str">
        <f aca="false">IF(ISBLANK($C471),"",IF(I471=Constants!$B$19,Constants!$B$19,Constants!$B$18))</f>
        <v/>
      </c>
      <c r="Z471" s="59" t="str">
        <f aca="false">IF(ISBLANK($C471),"",IF(ISNUMBER(J471),IF(J471&gt;=0,J471,""),""))</f>
        <v/>
      </c>
      <c r="AA471" s="59" t="str">
        <f aca="false">IF(ISBLANK($C471),"",IF(K471=Constants!$B$19,Constants!$B$19,Constants!$B$18))</f>
        <v/>
      </c>
      <c r="AB471" s="59" t="str">
        <f aca="false">IF(ISBLANK($C471),"",IF(ISNUMBER(L471),IF(L471&gt;=0,L471,""),""))</f>
        <v/>
      </c>
      <c r="AC471" s="59" t="str">
        <f aca="false">IF(ISBLANK($C471),"",IF(M471=Constants!$B$19,Constants!$B$19,Constants!$B$18))</f>
        <v/>
      </c>
      <c r="AD471" s="59" t="str">
        <f aca="false">IF(ISBLANK($C471),"",IF(ISNUMBER(N471),IF(N471&gt;=0,N471,""),""))</f>
        <v/>
      </c>
      <c r="AE471" s="59" t="str">
        <f aca="false">IF(ISBLANK($C471),"",IF(O471=Constants!$B$19,Constants!$B$19,Constants!$B$18))</f>
        <v/>
      </c>
      <c r="AF471" s="59" t="str">
        <f aca="false">IF(ISBLANK($C471),"",IF(ISNUMBER(P471),IF(P471&gt;=0,P471,""),""))</f>
        <v/>
      </c>
      <c r="AG471" s="59" t="str">
        <f aca="false">IF(ISBLANK($C471),"",IF(Q471=Constants!$B$19,Constants!$B$19,Constants!$B$18))</f>
        <v/>
      </c>
      <c r="AH471" s="59" t="str">
        <f aca="false">IF(ISBLANK($C471),"",IF(ISNUMBER(R471),IF(R471&gt;=0,R471,""),""))</f>
        <v/>
      </c>
      <c r="AI471" s="59" t="str">
        <f aca="false">IF(ISBLANK($C471),"",IF(S471=Constants!$B$2, TRUE(), IF(S471=Constants!$B$3, FALSE(), FALSE())))</f>
        <v/>
      </c>
      <c r="AJ471" s="59" t="str">
        <f aca="false">IF(ISBLANK($C471),"",IF(AI471,Constants!$B$4,IF(COUNTA(E471:R471)=0,Constants!$B$5,IF(COUNTA(J471,L471,N471,P471,R471)=0,Constants!$B$6,Constants!$B$7))))</f>
        <v/>
      </c>
      <c r="AK471" s="59" t="str">
        <f aca="false">IF(ISBLANK($C471),"",IF($AJ471&lt;&gt;Constants!$B$7,$AJ471,IF(OR(NOT(X471),AND(NOT(U471),COUNTIFS(Y471:AG471,Constants!$B$18,Z471:AH471,"&gt;=0")&gt;0),AND(NOT(V471),COUNTIFS(Y471:AG471,Constants!$B$19,Z471:AH471,"&gt;=0")&gt;0)),Constants!$B$12,Constants!$B$11)))</f>
        <v/>
      </c>
      <c r="AL471" s="59" t="str">
        <f aca="false">IF($AJ471=Constants!$B$7,IF(Z471="",Constants!$B$13,Z471),"")</f>
        <v/>
      </c>
      <c r="AM471" s="59" t="str">
        <f aca="false">IF($AJ471=Constants!$B$7,IF(AB471="",Constants!$B$13,AB471),"")</f>
        <v/>
      </c>
      <c r="AN471" s="59" t="str">
        <f aca="false">IF($AJ471=Constants!$B$7,IF(AD471="",Constants!$B$13,AD471),"")</f>
        <v/>
      </c>
      <c r="AO471" s="59" t="str">
        <f aca="false">IF($AJ471=Constants!$B$7,IF(AF471="",Constants!$B$13,AF471),"")</f>
        <v/>
      </c>
      <c r="AP471" s="59" t="str">
        <f aca="false">IF($AJ471=Constants!$B$7,IF(AH471="",Constants!$B$13,AH471),"")</f>
        <v/>
      </c>
      <c r="AQ471" s="59" t="str">
        <f aca="false">IF($AJ471=Constants!$B$7,IF(SUMPRODUCT(--($AL471:$AP471&gt;AL471))+SUMPRODUCT(--($AL471:AL471=AL471))=1,1,IF(SUMPRODUCT(--($AL471:$AP471&gt;AM471))+SUMPRODUCT(--($AL471:AM471=AM471))=1,2,IF(SUMPRODUCT(--($AL471:$AP471&gt;AN471))+SUMPRODUCT(--($AL471:AN471=AN471))=1,3,IF(SUMPRODUCT(--($AL471:$AP471&gt;AO471))+SUMPRODUCT(--($AL471:AO471=AO471))=1,4,5)))),"")</f>
        <v/>
      </c>
      <c r="AR471" s="59" t="str">
        <f aca="false">IF($AJ471=Constants!$B$7,IF(SUMPRODUCT(--($AL471:$AP471&gt;AL471))+SUMPRODUCT(--($AL471:AL471=AL471))=2,1,IF(SUMPRODUCT(--($AL471:$AP471&gt;AM471))+SUMPRODUCT(--($AL471:AM471=AM471))=2,2,IF(SUMPRODUCT(--($AL471:$AP471&gt;AN471))+SUMPRODUCT(--($AL471:AN471=AN471))=2,3,IF(SUMPRODUCT(--($AL471:$AP471&gt;AO471))+SUMPRODUCT(--($AL471:AO471=AO471))=2,4,5)))),"")</f>
        <v/>
      </c>
      <c r="AS471" s="59" t="str">
        <f aca="false">IF($AJ471=Constants!$B$7,IF(SUMPRODUCT(--($AL471:$AP471&gt;AL471))+SUMPRODUCT(--($AL471:AL471=AL471))=3,1,IF(SUMPRODUCT(--($AL471:$AP471&gt;AM471))+SUMPRODUCT(--($AL471:AM471=AM471))=3,2,IF(SUMPRODUCT(--($AL471:$AP471&gt;AN471))+SUMPRODUCT(--($AL471:AN471=AN471))=3,3,IF(SUMPRODUCT(--($AL471:$AP471&gt;AO471))+SUMPRODUCT(--($AL471:AO471=AO471))=3,4,5)))),"")</f>
        <v/>
      </c>
      <c r="AT471" s="59" t="str">
        <f aca="false">IF($AJ471=Constants!$B$7,LARGE(AL471:AP471,1)+LARGE(AL471:AP471,2)+LARGE(AL471:AP471,3),"")</f>
        <v/>
      </c>
      <c r="AU471" s="59" t="str">
        <f aca="false">IF(ISBLANK($C471),"",IF($AJ471&lt;&gt;Constants!$B$7,$AJ471,AT471*W471))</f>
        <v/>
      </c>
      <c r="AV471" s="59" t="str">
        <f aca="false">IF(ISBLANK($C471),"",IF($AJ471=Constants!$B$7,IF(ISNUMBER(AU471),RANK(AU471,$AU$8:$AU$507),Constants!$B$14),$AJ471))</f>
        <v/>
      </c>
      <c r="AW471" s="59" t="str">
        <f aca="false">IF(ISBLANK($C471),"",IF($AJ471=Constants!$B$7,IF(ISNUMBER(AV471),COUNTIFS($AK$8:$AK$507,"&lt;"&amp;$AK471)+COUNTIFS($AK$8:$AK$507,$AK471,$AV$8:$AV$507,"&lt;"&amp;$AV471)+1,Constants!$B$14),$AJ471))</f>
        <v/>
      </c>
      <c r="AX471" s="59" t="str">
        <f aca="false">IF(ISBLANK($C471),"",IF($AJ471=Constants!$B$7,LARGE(AL471:AP471,4)*W471,""))</f>
        <v/>
      </c>
      <c r="AY471" s="59" t="str">
        <f aca="false">IF(ISBLANK($C471),"",IF($AJ471=Constants!$B$7,RANK(AX471,$AX$8:$AX$507),$AJ471))</f>
        <v/>
      </c>
      <c r="AZ471" s="59" t="str">
        <f aca="false">IF(ISBLANK($C471),"",IF($AJ471=Constants!$B$7,IF(ISNUMBER(AV471),COUNTIFS($AK$8:$AK$507,"&lt;"&amp;$AK471)+COUNTIFS($AK$8:$AK$507,$AK471,$AV$8:$AV$507,"&lt;"&amp;$AV471)+COUNTIFS($AK$8:$AK$507,$AK471,$AV$8:$AV$507,$AV471,$AY$8:$AY$507,"&lt;"&amp;$AY471)+1,Constants!$B$14),$AJ471))</f>
        <v/>
      </c>
      <c r="BA471" s="59" t="str">
        <f aca="false">IF(ISBLANK($C471),"",IF($AJ471=Constants!$B$7,IF(ISNUMBER(AW471),AW471-AZ471,Constants!$B$14),$AJ471))</f>
        <v/>
      </c>
      <c r="BB471" s="61"/>
      <c r="BC471" s="62" t="str">
        <f aca="false">IF(ISBLANK($C471),"",IF($AJ471&lt;&gt;Constants!$B$7,$AJ471,SMALL(AQ471:AS471,1)&amp;", "&amp;SMALL(AQ471:AS471,2)&amp;", "&amp;SMALL(AQ471:AS471,3)))</f>
        <v/>
      </c>
      <c r="BD471" s="63" t="str">
        <f aca="false">IF(ISBLANK($C471),"",IF($AJ471&lt;&gt;Constants!$B$7,$AJ471,W471))</f>
        <v/>
      </c>
      <c r="BE471" s="64" t="str">
        <f aca="false">IF(ISBLANK($C471),"",IF($AJ471&lt;&gt;Constants!$B$7,$AJ471,AU471))</f>
        <v/>
      </c>
      <c r="BF471" s="65" t="str">
        <f aca="false">IF(ISBLANK($C471),"",IF($AJ471&lt;&gt;Constants!$B$7,$AJ471,AK471))</f>
        <v/>
      </c>
      <c r="BG471" s="63" t="str">
        <f aca="false">IF(ISBLANK($C471),"",BA471)</f>
        <v/>
      </c>
      <c r="BH471" s="63" t="str">
        <f aca="false">IF(ISBLANK($C471),"",AZ471)</f>
        <v/>
      </c>
      <c r="BI471" s="66" t="str">
        <f aca="false">IF(ISBLANK($C471),"",IF(BH471=Constants!$B$4,COUNTA($C$8:$C$507)+2,IF(BH471=Constants!$B$5,COUNTA($C$8:$C$507)+1,IF(BH471=Constants!$B$6,COUNTA($C$8:$C$507),BH471))))</f>
        <v/>
      </c>
      <c r="BJ471" s="5"/>
      <c r="BK471" s="67" t="n">
        <f aca="false">IF(OR(ISNUMBER(BH471),BH471=Constants!$B$4,BH471=Constants!$B$6,BH471=Constants!$B$5),1,0)</f>
        <v>0</v>
      </c>
      <c r="BL471" s="67" t="n">
        <v>464</v>
      </c>
      <c r="BM471" s="67" t="str">
        <f aca="false">IF(ISBLANK($C471),"",IF(ISNUMBER(BI471),BI471+ROW($B471)/1000,""))</f>
        <v/>
      </c>
      <c r="BN471" s="67" t="str">
        <f aca="false">IF(ISNUMBER(BM471),RANK(BM471,$BM$8:$BM$507,1),"")</f>
        <v/>
      </c>
      <c r="BO471" s="67" t="str">
        <f aca="false">IF(ISBLANK($C471),"",$B471)</f>
        <v/>
      </c>
      <c r="BP471" s="67" t="str">
        <f aca="false">IF(ISBLANK($C471),"",$C471)</f>
        <v/>
      </c>
      <c r="BQ471" s="67" t="str">
        <f aca="false">IF(ISBLANK($C471),"",$D471)</f>
        <v/>
      </c>
      <c r="BR471" s="68" t="str">
        <f aca="false">BF471</f>
        <v/>
      </c>
      <c r="BS471" s="69" t="str">
        <f aca="false">BE471</f>
        <v/>
      </c>
      <c r="BT471" s="67" t="str">
        <f aca="false">IF(ISBLANK($C471),"",BH471)</f>
        <v/>
      </c>
      <c r="BU471" s="70" t="str">
        <f aca="false">IF($BL471&gt;$BK$7,"",VLOOKUP($BL471,$BN$8:$BT$507,7,FALSE()))</f>
        <v/>
      </c>
      <c r="BV471" s="71" t="str">
        <f aca="false">IF($BL471&gt;$BK$7,"",VLOOKUP($BL471,$BN$8:$BT$507,2,FALSE()))</f>
        <v/>
      </c>
      <c r="BW471" s="71" t="str">
        <f aca="false">IF($BL471&gt;$BK$7,"",VLOOKUP($BL471,$BN$8:$BT$507,3,FALSE()))</f>
        <v/>
      </c>
      <c r="BX471" s="71" t="str">
        <f aca="false">IF($BL471&gt;$BK$7,"",VLOOKUP($BL471,$BN$8:$BT$507,4,FALSE()))</f>
        <v/>
      </c>
      <c r="BY471" s="71" t="str">
        <f aca="false">IF($BL471&gt;$BK$7,"",VLOOKUP($BL471,$BN$8:$BT$507,5,FALSE()))</f>
        <v/>
      </c>
      <c r="BZ471" s="72" t="str">
        <f aca="false">IF($BL471&gt;$BK$7,"",VLOOKUP($BL471,$BN$8:$BT$507,6,FALSE()))</f>
        <v/>
      </c>
      <c r="CA471" s="48"/>
    </row>
    <row r="472" customFormat="false" ht="15.75" hidden="false" customHeight="false" outlineLevel="0" collapsed="false">
      <c r="A472" s="5"/>
      <c r="B472" s="121"/>
      <c r="C472" s="50"/>
      <c r="D472" s="51"/>
      <c r="E472" s="74"/>
      <c r="F472" s="122"/>
      <c r="G472" s="54"/>
      <c r="H472" s="123"/>
      <c r="I472" s="124"/>
      <c r="J472" s="54"/>
      <c r="K472" s="123"/>
      <c r="L472" s="54"/>
      <c r="M472" s="123"/>
      <c r="N472" s="54"/>
      <c r="O472" s="123"/>
      <c r="P472" s="54"/>
      <c r="Q472" s="123"/>
      <c r="R472" s="54"/>
      <c r="S472" s="74"/>
      <c r="T472" s="58"/>
      <c r="U472" s="59" t="str">
        <f aca="false">IF(ISBLANK($C472),"",IF(E472=Constants!$B$2, TRUE(), IF(E472=Constants!$B$3, FALSE(), TRUE())))</f>
        <v/>
      </c>
      <c r="V472" s="59" t="str">
        <f aca="false">IF(ISBLANK($C472),"",IF(F472=Constants!$B$2, TRUE(), IF(F472=Constants!$B$3, FALSE(), TRUE())))</f>
        <v/>
      </c>
      <c r="W472" s="59" t="str">
        <f aca="false">IF(ISBLANK($C472),"",IF(G472=Constants!$B$15,Constants!$B$8,IF(G472=Constants!$B$16,Constants!$B$9,Constants!$B$10)))</f>
        <v/>
      </c>
      <c r="X472" s="59" t="str">
        <f aca="false">IF(ISBLANK($C472),"",IF(H472=Constants!$B$2, TRUE(), IF(H472=Constants!$B$3, FALSE(), TRUE())))</f>
        <v/>
      </c>
      <c r="Y472" s="59" t="str">
        <f aca="false">IF(ISBLANK($C472),"",IF(I472=Constants!$B$19,Constants!$B$19,Constants!$B$18))</f>
        <v/>
      </c>
      <c r="Z472" s="59" t="str">
        <f aca="false">IF(ISBLANK($C472),"",IF(ISNUMBER(J472),IF(J472&gt;=0,J472,""),""))</f>
        <v/>
      </c>
      <c r="AA472" s="59" t="str">
        <f aca="false">IF(ISBLANK($C472),"",IF(K472=Constants!$B$19,Constants!$B$19,Constants!$B$18))</f>
        <v/>
      </c>
      <c r="AB472" s="59" t="str">
        <f aca="false">IF(ISBLANK($C472),"",IF(ISNUMBER(L472),IF(L472&gt;=0,L472,""),""))</f>
        <v/>
      </c>
      <c r="AC472" s="59" t="str">
        <f aca="false">IF(ISBLANK($C472),"",IF(M472=Constants!$B$19,Constants!$B$19,Constants!$B$18))</f>
        <v/>
      </c>
      <c r="AD472" s="59" t="str">
        <f aca="false">IF(ISBLANK($C472),"",IF(ISNUMBER(N472),IF(N472&gt;=0,N472,""),""))</f>
        <v/>
      </c>
      <c r="AE472" s="59" t="str">
        <f aca="false">IF(ISBLANK($C472),"",IF(O472=Constants!$B$19,Constants!$B$19,Constants!$B$18))</f>
        <v/>
      </c>
      <c r="AF472" s="59" t="str">
        <f aca="false">IF(ISBLANK($C472),"",IF(ISNUMBER(P472),IF(P472&gt;=0,P472,""),""))</f>
        <v/>
      </c>
      <c r="AG472" s="59" t="str">
        <f aca="false">IF(ISBLANK($C472),"",IF(Q472=Constants!$B$19,Constants!$B$19,Constants!$B$18))</f>
        <v/>
      </c>
      <c r="AH472" s="59" t="str">
        <f aca="false">IF(ISBLANK($C472),"",IF(ISNUMBER(R472),IF(R472&gt;=0,R472,""),""))</f>
        <v/>
      </c>
      <c r="AI472" s="59" t="str">
        <f aca="false">IF(ISBLANK($C472),"",IF(S472=Constants!$B$2, TRUE(), IF(S472=Constants!$B$3, FALSE(), FALSE())))</f>
        <v/>
      </c>
      <c r="AJ472" s="59" t="str">
        <f aca="false">IF(ISBLANK($C472),"",IF(AI472,Constants!$B$4,IF(COUNTA(E472:R472)=0,Constants!$B$5,IF(COUNTA(J472,L472,N472,P472,R472)=0,Constants!$B$6,Constants!$B$7))))</f>
        <v/>
      </c>
      <c r="AK472" s="59" t="str">
        <f aca="false">IF(ISBLANK($C472),"",IF($AJ472&lt;&gt;Constants!$B$7,$AJ472,IF(OR(NOT(X472),AND(NOT(U472),COUNTIFS(Y472:AG472,Constants!$B$18,Z472:AH472,"&gt;=0")&gt;0),AND(NOT(V472),COUNTIFS(Y472:AG472,Constants!$B$19,Z472:AH472,"&gt;=0")&gt;0)),Constants!$B$12,Constants!$B$11)))</f>
        <v/>
      </c>
      <c r="AL472" s="59" t="str">
        <f aca="false">IF($AJ472=Constants!$B$7,IF(Z472="",Constants!$B$13,Z472),"")</f>
        <v/>
      </c>
      <c r="AM472" s="59" t="str">
        <f aca="false">IF($AJ472=Constants!$B$7,IF(AB472="",Constants!$B$13,AB472),"")</f>
        <v/>
      </c>
      <c r="AN472" s="59" t="str">
        <f aca="false">IF($AJ472=Constants!$B$7,IF(AD472="",Constants!$B$13,AD472),"")</f>
        <v/>
      </c>
      <c r="AO472" s="59" t="str">
        <f aca="false">IF($AJ472=Constants!$B$7,IF(AF472="",Constants!$B$13,AF472),"")</f>
        <v/>
      </c>
      <c r="AP472" s="59" t="str">
        <f aca="false">IF($AJ472=Constants!$B$7,IF(AH472="",Constants!$B$13,AH472),"")</f>
        <v/>
      </c>
      <c r="AQ472" s="59" t="str">
        <f aca="false">IF($AJ472=Constants!$B$7,IF(SUMPRODUCT(--($AL472:$AP472&gt;AL472))+SUMPRODUCT(--($AL472:AL472=AL472))=1,1,IF(SUMPRODUCT(--($AL472:$AP472&gt;AM472))+SUMPRODUCT(--($AL472:AM472=AM472))=1,2,IF(SUMPRODUCT(--($AL472:$AP472&gt;AN472))+SUMPRODUCT(--($AL472:AN472=AN472))=1,3,IF(SUMPRODUCT(--($AL472:$AP472&gt;AO472))+SUMPRODUCT(--($AL472:AO472=AO472))=1,4,5)))),"")</f>
        <v/>
      </c>
      <c r="AR472" s="59" t="str">
        <f aca="false">IF($AJ472=Constants!$B$7,IF(SUMPRODUCT(--($AL472:$AP472&gt;AL472))+SUMPRODUCT(--($AL472:AL472=AL472))=2,1,IF(SUMPRODUCT(--($AL472:$AP472&gt;AM472))+SUMPRODUCT(--($AL472:AM472=AM472))=2,2,IF(SUMPRODUCT(--($AL472:$AP472&gt;AN472))+SUMPRODUCT(--($AL472:AN472=AN472))=2,3,IF(SUMPRODUCT(--($AL472:$AP472&gt;AO472))+SUMPRODUCT(--($AL472:AO472=AO472))=2,4,5)))),"")</f>
        <v/>
      </c>
      <c r="AS472" s="59" t="str">
        <f aca="false">IF($AJ472=Constants!$B$7,IF(SUMPRODUCT(--($AL472:$AP472&gt;AL472))+SUMPRODUCT(--($AL472:AL472=AL472))=3,1,IF(SUMPRODUCT(--($AL472:$AP472&gt;AM472))+SUMPRODUCT(--($AL472:AM472=AM472))=3,2,IF(SUMPRODUCT(--($AL472:$AP472&gt;AN472))+SUMPRODUCT(--($AL472:AN472=AN472))=3,3,IF(SUMPRODUCT(--($AL472:$AP472&gt;AO472))+SUMPRODUCT(--($AL472:AO472=AO472))=3,4,5)))),"")</f>
        <v/>
      </c>
      <c r="AT472" s="59" t="str">
        <f aca="false">IF($AJ472=Constants!$B$7,LARGE(AL472:AP472,1)+LARGE(AL472:AP472,2)+LARGE(AL472:AP472,3),"")</f>
        <v/>
      </c>
      <c r="AU472" s="59" t="str">
        <f aca="false">IF(ISBLANK($C472),"",IF($AJ472&lt;&gt;Constants!$B$7,$AJ472,AT472*W472))</f>
        <v/>
      </c>
      <c r="AV472" s="59" t="str">
        <f aca="false">IF(ISBLANK($C472),"",IF($AJ472=Constants!$B$7,IF(ISNUMBER(AU472),RANK(AU472,$AU$8:$AU$507),Constants!$B$14),$AJ472))</f>
        <v/>
      </c>
      <c r="AW472" s="59" t="str">
        <f aca="false">IF(ISBLANK($C472),"",IF($AJ472=Constants!$B$7,IF(ISNUMBER(AV472),COUNTIFS($AK$8:$AK$507,"&lt;"&amp;$AK472)+COUNTIFS($AK$8:$AK$507,$AK472,$AV$8:$AV$507,"&lt;"&amp;$AV472)+1,Constants!$B$14),$AJ472))</f>
        <v/>
      </c>
      <c r="AX472" s="59" t="str">
        <f aca="false">IF(ISBLANK($C472),"",IF($AJ472=Constants!$B$7,LARGE(AL472:AP472,4)*W472,""))</f>
        <v/>
      </c>
      <c r="AY472" s="59" t="str">
        <f aca="false">IF(ISBLANK($C472),"",IF($AJ472=Constants!$B$7,RANK(AX472,$AX$8:$AX$507),$AJ472))</f>
        <v/>
      </c>
      <c r="AZ472" s="59" t="str">
        <f aca="false">IF(ISBLANK($C472),"",IF($AJ472=Constants!$B$7,IF(ISNUMBER(AV472),COUNTIFS($AK$8:$AK$507,"&lt;"&amp;$AK472)+COUNTIFS($AK$8:$AK$507,$AK472,$AV$8:$AV$507,"&lt;"&amp;$AV472)+COUNTIFS($AK$8:$AK$507,$AK472,$AV$8:$AV$507,$AV472,$AY$8:$AY$507,"&lt;"&amp;$AY472)+1,Constants!$B$14),$AJ472))</f>
        <v/>
      </c>
      <c r="BA472" s="59" t="str">
        <f aca="false">IF(ISBLANK($C472),"",IF($AJ472=Constants!$B$7,IF(ISNUMBER(AW472),AW472-AZ472,Constants!$B$14),$AJ472))</f>
        <v/>
      </c>
      <c r="BB472" s="61"/>
      <c r="BC472" s="62" t="str">
        <f aca="false">IF(ISBLANK($C472),"",IF($AJ472&lt;&gt;Constants!$B$7,$AJ472,SMALL(AQ472:AS472,1)&amp;", "&amp;SMALL(AQ472:AS472,2)&amp;", "&amp;SMALL(AQ472:AS472,3)))</f>
        <v/>
      </c>
      <c r="BD472" s="63" t="str">
        <f aca="false">IF(ISBLANK($C472),"",IF($AJ472&lt;&gt;Constants!$B$7,$AJ472,W472))</f>
        <v/>
      </c>
      <c r="BE472" s="64" t="str">
        <f aca="false">IF(ISBLANK($C472),"",IF($AJ472&lt;&gt;Constants!$B$7,$AJ472,AU472))</f>
        <v/>
      </c>
      <c r="BF472" s="65" t="str">
        <f aca="false">IF(ISBLANK($C472),"",IF($AJ472&lt;&gt;Constants!$B$7,$AJ472,AK472))</f>
        <v/>
      </c>
      <c r="BG472" s="63" t="str">
        <f aca="false">IF(ISBLANK($C472),"",BA472)</f>
        <v/>
      </c>
      <c r="BH472" s="63" t="str">
        <f aca="false">IF(ISBLANK($C472),"",AZ472)</f>
        <v/>
      </c>
      <c r="BI472" s="66" t="str">
        <f aca="false">IF(ISBLANK($C472),"",IF(BH472=Constants!$B$4,COUNTA($C$8:$C$507)+2,IF(BH472=Constants!$B$5,COUNTA($C$8:$C$507)+1,IF(BH472=Constants!$B$6,COUNTA($C$8:$C$507),BH472))))</f>
        <v/>
      </c>
      <c r="BJ472" s="5"/>
      <c r="BK472" s="67" t="n">
        <f aca="false">IF(OR(ISNUMBER(BH472),BH472=Constants!$B$4,BH472=Constants!$B$6,BH472=Constants!$B$5),1,0)</f>
        <v>0</v>
      </c>
      <c r="BL472" s="67" t="n">
        <v>465</v>
      </c>
      <c r="BM472" s="67" t="str">
        <f aca="false">IF(ISBLANK($C472),"",IF(ISNUMBER(BI472),BI472+ROW($B472)/1000,""))</f>
        <v/>
      </c>
      <c r="BN472" s="67" t="str">
        <f aca="false">IF(ISNUMBER(BM472),RANK(BM472,$BM$8:$BM$507,1),"")</f>
        <v/>
      </c>
      <c r="BO472" s="67" t="str">
        <f aca="false">IF(ISBLANK($C472),"",$B472)</f>
        <v/>
      </c>
      <c r="BP472" s="67" t="str">
        <f aca="false">IF(ISBLANK($C472),"",$C472)</f>
        <v/>
      </c>
      <c r="BQ472" s="67" t="str">
        <f aca="false">IF(ISBLANK($C472),"",$D472)</f>
        <v/>
      </c>
      <c r="BR472" s="68" t="str">
        <f aca="false">BF472</f>
        <v/>
      </c>
      <c r="BS472" s="69" t="str">
        <f aca="false">BE472</f>
        <v/>
      </c>
      <c r="BT472" s="67" t="str">
        <f aca="false">IF(ISBLANK($C472),"",BH472)</f>
        <v/>
      </c>
      <c r="BU472" s="70" t="str">
        <f aca="false">IF($BL472&gt;$BK$7,"",VLOOKUP($BL472,$BN$8:$BT$507,7,FALSE()))</f>
        <v/>
      </c>
      <c r="BV472" s="71" t="str">
        <f aca="false">IF($BL472&gt;$BK$7,"",VLOOKUP($BL472,$BN$8:$BT$507,2,FALSE()))</f>
        <v/>
      </c>
      <c r="BW472" s="71" t="str">
        <f aca="false">IF($BL472&gt;$BK$7,"",VLOOKUP($BL472,$BN$8:$BT$507,3,FALSE()))</f>
        <v/>
      </c>
      <c r="BX472" s="71" t="str">
        <f aca="false">IF($BL472&gt;$BK$7,"",VLOOKUP($BL472,$BN$8:$BT$507,4,FALSE()))</f>
        <v/>
      </c>
      <c r="BY472" s="71" t="str">
        <f aca="false">IF($BL472&gt;$BK$7,"",VLOOKUP($BL472,$BN$8:$BT$507,5,FALSE()))</f>
        <v/>
      </c>
      <c r="BZ472" s="72" t="str">
        <f aca="false">IF($BL472&gt;$BK$7,"",VLOOKUP($BL472,$BN$8:$BT$507,6,FALSE()))</f>
        <v/>
      </c>
      <c r="CA472" s="48"/>
    </row>
    <row r="473" customFormat="false" ht="15.75" hidden="false" customHeight="false" outlineLevel="0" collapsed="false">
      <c r="A473" s="5"/>
      <c r="B473" s="114"/>
      <c r="C473" s="115"/>
      <c r="D473" s="100"/>
      <c r="E473" s="120"/>
      <c r="F473" s="125"/>
      <c r="G473" s="82"/>
      <c r="H473" s="126"/>
      <c r="I473" s="127"/>
      <c r="J473" s="82"/>
      <c r="K473" s="126"/>
      <c r="L473" s="82"/>
      <c r="M473" s="126"/>
      <c r="N473" s="82"/>
      <c r="O473" s="126"/>
      <c r="P473" s="82"/>
      <c r="Q473" s="126"/>
      <c r="R473" s="82"/>
      <c r="S473" s="120"/>
      <c r="T473" s="86"/>
      <c r="U473" s="87" t="str">
        <f aca="false">IF(ISBLANK($C473),"",IF(E473=Constants!$B$2, TRUE(), IF(E473=Constants!$B$3, FALSE(), TRUE())))</f>
        <v/>
      </c>
      <c r="V473" s="87" t="str">
        <f aca="false">IF(ISBLANK($C473),"",IF(F473=Constants!$B$2, TRUE(), IF(F473=Constants!$B$3, FALSE(), TRUE())))</f>
        <v/>
      </c>
      <c r="W473" s="87" t="str">
        <f aca="false">IF(ISBLANK($C473),"",IF(G473=Constants!$B$15,Constants!$B$8,IF(G473=Constants!$B$16,Constants!$B$9,Constants!$B$10)))</f>
        <v/>
      </c>
      <c r="X473" s="87" t="str">
        <f aca="false">IF(ISBLANK($C473),"",IF(H473=Constants!$B$2, TRUE(), IF(H473=Constants!$B$3, FALSE(), TRUE())))</f>
        <v/>
      </c>
      <c r="Y473" s="87" t="str">
        <f aca="false">IF(ISBLANK($C473),"",IF(I473=Constants!$B$19,Constants!$B$19,Constants!$B$18))</f>
        <v/>
      </c>
      <c r="Z473" s="87" t="str">
        <f aca="false">IF(ISBLANK($C473),"",IF(ISNUMBER(J473),IF(J473&gt;=0,J473,""),""))</f>
        <v/>
      </c>
      <c r="AA473" s="87" t="str">
        <f aca="false">IF(ISBLANK($C473),"",IF(K473=Constants!$B$19,Constants!$B$19,Constants!$B$18))</f>
        <v/>
      </c>
      <c r="AB473" s="87" t="str">
        <f aca="false">IF(ISBLANK($C473),"",IF(ISNUMBER(L473),IF(L473&gt;=0,L473,""),""))</f>
        <v/>
      </c>
      <c r="AC473" s="87" t="str">
        <f aca="false">IF(ISBLANK($C473),"",IF(M473=Constants!$B$19,Constants!$B$19,Constants!$B$18))</f>
        <v/>
      </c>
      <c r="AD473" s="87" t="str">
        <f aca="false">IF(ISBLANK($C473),"",IF(ISNUMBER(N473),IF(N473&gt;=0,N473,""),""))</f>
        <v/>
      </c>
      <c r="AE473" s="87" t="str">
        <f aca="false">IF(ISBLANK($C473),"",IF(O473=Constants!$B$19,Constants!$B$19,Constants!$B$18))</f>
        <v/>
      </c>
      <c r="AF473" s="87" t="str">
        <f aca="false">IF(ISBLANK($C473),"",IF(ISNUMBER(P473),IF(P473&gt;=0,P473,""),""))</f>
        <v/>
      </c>
      <c r="AG473" s="87" t="str">
        <f aca="false">IF(ISBLANK($C473),"",IF(Q473=Constants!$B$19,Constants!$B$19,Constants!$B$18))</f>
        <v/>
      </c>
      <c r="AH473" s="87" t="str">
        <f aca="false">IF(ISBLANK($C473),"",IF(ISNUMBER(R473),IF(R473&gt;=0,R473,""),""))</f>
        <v/>
      </c>
      <c r="AI473" s="87" t="str">
        <f aca="false">IF(ISBLANK($C473),"",IF(S473=Constants!$B$2, TRUE(), IF(S473=Constants!$B$3, FALSE(), FALSE())))</f>
        <v/>
      </c>
      <c r="AJ473" s="87" t="str">
        <f aca="false">IF(ISBLANK($C473),"",IF(AI473,Constants!$B$4,IF(COUNTA(E473:R473)=0,Constants!$B$5,IF(COUNTA(J473,L473,N473,P473,R473)=0,Constants!$B$6,Constants!$B$7))))</f>
        <v/>
      </c>
      <c r="AK473" s="87" t="str">
        <f aca="false">IF(ISBLANK($C473),"",IF($AJ473&lt;&gt;Constants!$B$7,$AJ473,IF(OR(NOT(X473),AND(NOT(U473),COUNTIFS(Y473:AG473,Constants!$B$18,Z473:AH473,"&gt;=0")&gt;0),AND(NOT(V473),COUNTIFS(Y473:AG473,Constants!$B$19,Z473:AH473,"&gt;=0")&gt;0)),Constants!$B$12,Constants!$B$11)))</f>
        <v/>
      </c>
      <c r="AL473" s="87" t="str">
        <f aca="false">IF($AJ473=Constants!$B$7,IF(Z473="",Constants!$B$13,Z473),"")</f>
        <v/>
      </c>
      <c r="AM473" s="87" t="str">
        <f aca="false">IF($AJ473=Constants!$B$7,IF(AB473="",Constants!$B$13,AB473),"")</f>
        <v/>
      </c>
      <c r="AN473" s="87" t="str">
        <f aca="false">IF($AJ473=Constants!$B$7,IF(AD473="",Constants!$B$13,AD473),"")</f>
        <v/>
      </c>
      <c r="AO473" s="87" t="str">
        <f aca="false">IF($AJ473=Constants!$B$7,IF(AF473="",Constants!$B$13,AF473),"")</f>
        <v/>
      </c>
      <c r="AP473" s="87" t="str">
        <f aca="false">IF($AJ473=Constants!$B$7,IF(AH473="",Constants!$B$13,AH473),"")</f>
        <v/>
      </c>
      <c r="AQ473" s="87" t="str">
        <f aca="false">IF($AJ473=Constants!$B$7,IF(SUMPRODUCT(--($AL473:$AP473&gt;AL473))+SUMPRODUCT(--($AL473:AL473=AL473))=1,1,IF(SUMPRODUCT(--($AL473:$AP473&gt;AM473))+SUMPRODUCT(--($AL473:AM473=AM473))=1,2,IF(SUMPRODUCT(--($AL473:$AP473&gt;AN473))+SUMPRODUCT(--($AL473:AN473=AN473))=1,3,IF(SUMPRODUCT(--($AL473:$AP473&gt;AO473))+SUMPRODUCT(--($AL473:AO473=AO473))=1,4,5)))),"")</f>
        <v/>
      </c>
      <c r="AR473" s="87" t="str">
        <f aca="false">IF($AJ473=Constants!$B$7,IF(SUMPRODUCT(--($AL473:$AP473&gt;AL473))+SUMPRODUCT(--($AL473:AL473=AL473))=2,1,IF(SUMPRODUCT(--($AL473:$AP473&gt;AM473))+SUMPRODUCT(--($AL473:AM473=AM473))=2,2,IF(SUMPRODUCT(--($AL473:$AP473&gt;AN473))+SUMPRODUCT(--($AL473:AN473=AN473))=2,3,IF(SUMPRODUCT(--($AL473:$AP473&gt;AO473))+SUMPRODUCT(--($AL473:AO473=AO473))=2,4,5)))),"")</f>
        <v/>
      </c>
      <c r="AS473" s="87" t="str">
        <f aca="false">IF($AJ473=Constants!$B$7,IF(SUMPRODUCT(--($AL473:$AP473&gt;AL473))+SUMPRODUCT(--($AL473:AL473=AL473))=3,1,IF(SUMPRODUCT(--($AL473:$AP473&gt;AM473))+SUMPRODUCT(--($AL473:AM473=AM473))=3,2,IF(SUMPRODUCT(--($AL473:$AP473&gt;AN473))+SUMPRODUCT(--($AL473:AN473=AN473))=3,3,IF(SUMPRODUCT(--($AL473:$AP473&gt;AO473))+SUMPRODUCT(--($AL473:AO473=AO473))=3,4,5)))),"")</f>
        <v/>
      </c>
      <c r="AT473" s="87" t="str">
        <f aca="false">IF($AJ473=Constants!$B$7,LARGE(AL473:AP473,1)+LARGE(AL473:AP473,2)+LARGE(AL473:AP473,3),"")</f>
        <v/>
      </c>
      <c r="AU473" s="87" t="str">
        <f aca="false">IF(ISBLANK($C473),"",IF($AJ473&lt;&gt;Constants!$B$7,$AJ473,AT473*W473))</f>
        <v/>
      </c>
      <c r="AV473" s="87" t="str">
        <f aca="false">IF(ISBLANK($C473),"",IF($AJ473=Constants!$B$7,IF(ISNUMBER(AU473),RANK(AU473,$AU$8:$AU$507),Constants!$B$14),$AJ473))</f>
        <v/>
      </c>
      <c r="AW473" s="87" t="str">
        <f aca="false">IF(ISBLANK($C473),"",IF($AJ473=Constants!$B$7,IF(ISNUMBER(AV473),COUNTIFS($AK$8:$AK$507,"&lt;"&amp;$AK473)+COUNTIFS($AK$8:$AK$507,$AK473,$AV$8:$AV$507,"&lt;"&amp;$AV473)+1,Constants!$B$14),$AJ473))</f>
        <v/>
      </c>
      <c r="AX473" s="87" t="str">
        <f aca="false">IF(ISBLANK($C473),"",IF($AJ473=Constants!$B$7,LARGE(AL473:AP473,4)*W473,""))</f>
        <v/>
      </c>
      <c r="AY473" s="87" t="str">
        <f aca="false">IF(ISBLANK($C473),"",IF($AJ473=Constants!$B$7,RANK(AX473,$AX$8:$AX$507),$AJ473))</f>
        <v/>
      </c>
      <c r="AZ473" s="87" t="str">
        <f aca="false">IF(ISBLANK($C473),"",IF($AJ473=Constants!$B$7,IF(ISNUMBER(AV473),COUNTIFS($AK$8:$AK$507,"&lt;"&amp;$AK473)+COUNTIFS($AK$8:$AK$507,$AK473,$AV$8:$AV$507,"&lt;"&amp;$AV473)+COUNTIFS($AK$8:$AK$507,$AK473,$AV$8:$AV$507,$AV473,$AY$8:$AY$507,"&lt;"&amp;$AY473)+1,Constants!$B$14),$AJ473))</f>
        <v/>
      </c>
      <c r="BA473" s="87" t="str">
        <f aca="false">IF(ISBLANK($C473),"",IF($AJ473=Constants!$B$7,IF(ISNUMBER(AW473),AW473-AZ473,Constants!$B$14),$AJ473))</f>
        <v/>
      </c>
      <c r="BB473" s="88"/>
      <c r="BC473" s="89" t="str">
        <f aca="false">IF(ISBLANK($C473),"",IF($AJ473&lt;&gt;Constants!$B$7,$AJ473,SMALL(AQ473:AS473,1)&amp;", "&amp;SMALL(AQ473:AS473,2)&amp;", "&amp;SMALL(AQ473:AS473,3)))</f>
        <v/>
      </c>
      <c r="BD473" s="90" t="str">
        <f aca="false">IF(ISBLANK($C473),"",IF($AJ473&lt;&gt;Constants!$B$7,$AJ473,W473))</f>
        <v/>
      </c>
      <c r="BE473" s="91" t="str">
        <f aca="false">IF(ISBLANK($C473),"",IF($AJ473&lt;&gt;Constants!$B$7,$AJ473,AU473))</f>
        <v/>
      </c>
      <c r="BF473" s="92" t="str">
        <f aca="false">IF(ISBLANK($C473),"",IF($AJ473&lt;&gt;Constants!$B$7,$AJ473,AK473))</f>
        <v/>
      </c>
      <c r="BG473" s="90" t="str">
        <f aca="false">IF(ISBLANK($C473),"",BA473)</f>
        <v/>
      </c>
      <c r="BH473" s="90" t="str">
        <f aca="false">IF(ISBLANK($C473),"",AZ473)</f>
        <v/>
      </c>
      <c r="BI473" s="93" t="str">
        <f aca="false">IF(ISBLANK($C473),"",IF(BH473=Constants!$B$4,COUNTA($C$8:$C$507)+2,IF(BH473=Constants!$B$5,COUNTA($C$8:$C$507)+1,IF(BH473=Constants!$B$6,COUNTA($C$8:$C$507),BH473))))</f>
        <v/>
      </c>
      <c r="BJ473" s="5"/>
      <c r="BK473" s="94" t="n">
        <f aca="false">IF(OR(ISNUMBER(BH473),BH473=Constants!$B$4,BH473=Constants!$B$6,BH473=Constants!$B$5),1,0)</f>
        <v>0</v>
      </c>
      <c r="BL473" s="94" t="n">
        <v>466</v>
      </c>
      <c r="BM473" s="94" t="str">
        <f aca="false">IF(ISBLANK($C473),"",IF(ISNUMBER(BI473),BI473+ROW($B473)/1000,""))</f>
        <v/>
      </c>
      <c r="BN473" s="94" t="str">
        <f aca="false">IF(ISNUMBER(BM473),RANK(BM473,$BM$8:$BM$507,1),"")</f>
        <v/>
      </c>
      <c r="BO473" s="94" t="str">
        <f aca="false">IF(ISBLANK($C473),"",$B473)</f>
        <v/>
      </c>
      <c r="BP473" s="94" t="str">
        <f aca="false">IF(ISBLANK($C473),"",$C473)</f>
        <v/>
      </c>
      <c r="BQ473" s="94" t="str">
        <f aca="false">IF(ISBLANK($C473),"",$D473)</f>
        <v/>
      </c>
      <c r="BR473" s="95" t="str">
        <f aca="false">BF473</f>
        <v/>
      </c>
      <c r="BS473" s="96" t="str">
        <f aca="false">BE473</f>
        <v/>
      </c>
      <c r="BT473" s="94" t="str">
        <f aca="false">IF(ISBLANK($C473),"",BH473)</f>
        <v/>
      </c>
      <c r="BU473" s="97" t="str">
        <f aca="false">IF($BL473&gt;$BK$7,"",VLOOKUP($BL473,$BN$8:$BT$507,7,FALSE()))</f>
        <v/>
      </c>
      <c r="BV473" s="98" t="str">
        <f aca="false">IF($BL473&gt;$BK$7,"",VLOOKUP($BL473,$BN$8:$BT$507,2,FALSE()))</f>
        <v/>
      </c>
      <c r="BW473" s="98" t="str">
        <f aca="false">IF($BL473&gt;$BK$7,"",VLOOKUP($BL473,$BN$8:$BT$507,3,FALSE()))</f>
        <v/>
      </c>
      <c r="BX473" s="98" t="str">
        <f aca="false">IF($BL473&gt;$BK$7,"",VLOOKUP($BL473,$BN$8:$BT$507,4,FALSE()))</f>
        <v/>
      </c>
      <c r="BY473" s="98" t="str">
        <f aca="false">IF($BL473&gt;$BK$7,"",VLOOKUP($BL473,$BN$8:$BT$507,5,FALSE()))</f>
        <v/>
      </c>
      <c r="BZ473" s="99" t="str">
        <f aca="false">IF($BL473&gt;$BK$7,"",VLOOKUP($BL473,$BN$8:$BT$507,6,FALSE()))</f>
        <v/>
      </c>
      <c r="CA473" s="48"/>
    </row>
    <row r="474" customFormat="false" ht="15.75" hidden="false" customHeight="false" outlineLevel="0" collapsed="false">
      <c r="A474" s="5"/>
      <c r="B474" s="114"/>
      <c r="C474" s="115"/>
      <c r="D474" s="100"/>
      <c r="E474" s="120"/>
      <c r="F474" s="125"/>
      <c r="G474" s="82"/>
      <c r="H474" s="126"/>
      <c r="I474" s="127"/>
      <c r="J474" s="82"/>
      <c r="K474" s="126"/>
      <c r="L474" s="82"/>
      <c r="M474" s="126"/>
      <c r="N474" s="82"/>
      <c r="O474" s="126"/>
      <c r="P474" s="82"/>
      <c r="Q474" s="126"/>
      <c r="R474" s="82"/>
      <c r="S474" s="120"/>
      <c r="T474" s="86"/>
      <c r="U474" s="87" t="str">
        <f aca="false">IF(ISBLANK($C474),"",IF(E474=Constants!$B$2, TRUE(), IF(E474=Constants!$B$3, FALSE(), TRUE())))</f>
        <v/>
      </c>
      <c r="V474" s="87" t="str">
        <f aca="false">IF(ISBLANK($C474),"",IF(F474=Constants!$B$2, TRUE(), IF(F474=Constants!$B$3, FALSE(), TRUE())))</f>
        <v/>
      </c>
      <c r="W474" s="87" t="str">
        <f aca="false">IF(ISBLANK($C474),"",IF(G474=Constants!$B$15,Constants!$B$8,IF(G474=Constants!$B$16,Constants!$B$9,Constants!$B$10)))</f>
        <v/>
      </c>
      <c r="X474" s="87" t="str">
        <f aca="false">IF(ISBLANK($C474),"",IF(H474=Constants!$B$2, TRUE(), IF(H474=Constants!$B$3, FALSE(), TRUE())))</f>
        <v/>
      </c>
      <c r="Y474" s="87" t="str">
        <f aca="false">IF(ISBLANK($C474),"",IF(I474=Constants!$B$19,Constants!$B$19,Constants!$B$18))</f>
        <v/>
      </c>
      <c r="Z474" s="87" t="str">
        <f aca="false">IF(ISBLANK($C474),"",IF(ISNUMBER(J474),IF(J474&gt;=0,J474,""),""))</f>
        <v/>
      </c>
      <c r="AA474" s="87" t="str">
        <f aca="false">IF(ISBLANK($C474),"",IF(K474=Constants!$B$19,Constants!$B$19,Constants!$B$18))</f>
        <v/>
      </c>
      <c r="AB474" s="87" t="str">
        <f aca="false">IF(ISBLANK($C474),"",IF(ISNUMBER(L474),IF(L474&gt;=0,L474,""),""))</f>
        <v/>
      </c>
      <c r="AC474" s="87" t="str">
        <f aca="false">IF(ISBLANK($C474),"",IF(M474=Constants!$B$19,Constants!$B$19,Constants!$B$18))</f>
        <v/>
      </c>
      <c r="AD474" s="87" t="str">
        <f aca="false">IF(ISBLANK($C474),"",IF(ISNUMBER(N474),IF(N474&gt;=0,N474,""),""))</f>
        <v/>
      </c>
      <c r="AE474" s="87" t="str">
        <f aca="false">IF(ISBLANK($C474),"",IF(O474=Constants!$B$19,Constants!$B$19,Constants!$B$18))</f>
        <v/>
      </c>
      <c r="AF474" s="87" t="str">
        <f aca="false">IF(ISBLANK($C474),"",IF(ISNUMBER(P474),IF(P474&gt;=0,P474,""),""))</f>
        <v/>
      </c>
      <c r="AG474" s="87" t="str">
        <f aca="false">IF(ISBLANK($C474),"",IF(Q474=Constants!$B$19,Constants!$B$19,Constants!$B$18))</f>
        <v/>
      </c>
      <c r="AH474" s="87" t="str">
        <f aca="false">IF(ISBLANK($C474),"",IF(ISNUMBER(R474),IF(R474&gt;=0,R474,""),""))</f>
        <v/>
      </c>
      <c r="AI474" s="87" t="str">
        <f aca="false">IF(ISBLANK($C474),"",IF(S474=Constants!$B$2, TRUE(), IF(S474=Constants!$B$3, FALSE(), FALSE())))</f>
        <v/>
      </c>
      <c r="AJ474" s="87" t="str">
        <f aca="false">IF(ISBLANK($C474),"",IF(AI474,Constants!$B$4,IF(COUNTA(E474:R474)=0,Constants!$B$5,IF(COUNTA(J474,L474,N474,P474,R474)=0,Constants!$B$6,Constants!$B$7))))</f>
        <v/>
      </c>
      <c r="AK474" s="87" t="str">
        <f aca="false">IF(ISBLANK($C474),"",IF($AJ474&lt;&gt;Constants!$B$7,$AJ474,IF(OR(NOT(X474),AND(NOT(U474),COUNTIFS(Y474:AG474,Constants!$B$18,Z474:AH474,"&gt;=0")&gt;0),AND(NOT(V474),COUNTIFS(Y474:AG474,Constants!$B$19,Z474:AH474,"&gt;=0")&gt;0)),Constants!$B$12,Constants!$B$11)))</f>
        <v/>
      </c>
      <c r="AL474" s="87" t="str">
        <f aca="false">IF($AJ474=Constants!$B$7,IF(Z474="",Constants!$B$13,Z474),"")</f>
        <v/>
      </c>
      <c r="AM474" s="87" t="str">
        <f aca="false">IF($AJ474=Constants!$B$7,IF(AB474="",Constants!$B$13,AB474),"")</f>
        <v/>
      </c>
      <c r="AN474" s="87" t="str">
        <f aca="false">IF($AJ474=Constants!$B$7,IF(AD474="",Constants!$B$13,AD474),"")</f>
        <v/>
      </c>
      <c r="AO474" s="87" t="str">
        <f aca="false">IF($AJ474=Constants!$B$7,IF(AF474="",Constants!$B$13,AF474),"")</f>
        <v/>
      </c>
      <c r="AP474" s="87" t="str">
        <f aca="false">IF($AJ474=Constants!$B$7,IF(AH474="",Constants!$B$13,AH474),"")</f>
        <v/>
      </c>
      <c r="AQ474" s="87" t="str">
        <f aca="false">IF($AJ474=Constants!$B$7,IF(SUMPRODUCT(--($AL474:$AP474&gt;AL474))+SUMPRODUCT(--($AL474:AL474=AL474))=1,1,IF(SUMPRODUCT(--($AL474:$AP474&gt;AM474))+SUMPRODUCT(--($AL474:AM474=AM474))=1,2,IF(SUMPRODUCT(--($AL474:$AP474&gt;AN474))+SUMPRODUCT(--($AL474:AN474=AN474))=1,3,IF(SUMPRODUCT(--($AL474:$AP474&gt;AO474))+SUMPRODUCT(--($AL474:AO474=AO474))=1,4,5)))),"")</f>
        <v/>
      </c>
      <c r="AR474" s="87" t="str">
        <f aca="false">IF($AJ474=Constants!$B$7,IF(SUMPRODUCT(--($AL474:$AP474&gt;AL474))+SUMPRODUCT(--($AL474:AL474=AL474))=2,1,IF(SUMPRODUCT(--($AL474:$AP474&gt;AM474))+SUMPRODUCT(--($AL474:AM474=AM474))=2,2,IF(SUMPRODUCT(--($AL474:$AP474&gt;AN474))+SUMPRODUCT(--($AL474:AN474=AN474))=2,3,IF(SUMPRODUCT(--($AL474:$AP474&gt;AO474))+SUMPRODUCT(--($AL474:AO474=AO474))=2,4,5)))),"")</f>
        <v/>
      </c>
      <c r="AS474" s="87" t="str">
        <f aca="false">IF($AJ474=Constants!$B$7,IF(SUMPRODUCT(--($AL474:$AP474&gt;AL474))+SUMPRODUCT(--($AL474:AL474=AL474))=3,1,IF(SUMPRODUCT(--($AL474:$AP474&gt;AM474))+SUMPRODUCT(--($AL474:AM474=AM474))=3,2,IF(SUMPRODUCT(--($AL474:$AP474&gt;AN474))+SUMPRODUCT(--($AL474:AN474=AN474))=3,3,IF(SUMPRODUCT(--($AL474:$AP474&gt;AO474))+SUMPRODUCT(--($AL474:AO474=AO474))=3,4,5)))),"")</f>
        <v/>
      </c>
      <c r="AT474" s="87" t="str">
        <f aca="false">IF($AJ474=Constants!$B$7,LARGE(AL474:AP474,1)+LARGE(AL474:AP474,2)+LARGE(AL474:AP474,3),"")</f>
        <v/>
      </c>
      <c r="AU474" s="87" t="str">
        <f aca="false">IF(ISBLANK($C474),"",IF($AJ474&lt;&gt;Constants!$B$7,$AJ474,AT474*W474))</f>
        <v/>
      </c>
      <c r="AV474" s="87" t="str">
        <f aca="false">IF(ISBLANK($C474),"",IF($AJ474=Constants!$B$7,IF(ISNUMBER(AU474),RANK(AU474,$AU$8:$AU$507),Constants!$B$14),$AJ474))</f>
        <v/>
      </c>
      <c r="AW474" s="87" t="str">
        <f aca="false">IF(ISBLANK($C474),"",IF($AJ474=Constants!$B$7,IF(ISNUMBER(AV474),COUNTIFS($AK$8:$AK$507,"&lt;"&amp;$AK474)+COUNTIFS($AK$8:$AK$507,$AK474,$AV$8:$AV$507,"&lt;"&amp;$AV474)+1,Constants!$B$14),$AJ474))</f>
        <v/>
      </c>
      <c r="AX474" s="87" t="str">
        <f aca="false">IF(ISBLANK($C474),"",IF($AJ474=Constants!$B$7,LARGE(AL474:AP474,4)*W474,""))</f>
        <v/>
      </c>
      <c r="AY474" s="87" t="str">
        <f aca="false">IF(ISBLANK($C474),"",IF($AJ474=Constants!$B$7,RANK(AX474,$AX$8:$AX$507),$AJ474))</f>
        <v/>
      </c>
      <c r="AZ474" s="87" t="str">
        <f aca="false">IF(ISBLANK($C474),"",IF($AJ474=Constants!$B$7,IF(ISNUMBER(AV474),COUNTIFS($AK$8:$AK$507,"&lt;"&amp;$AK474)+COUNTIFS($AK$8:$AK$507,$AK474,$AV$8:$AV$507,"&lt;"&amp;$AV474)+COUNTIFS($AK$8:$AK$507,$AK474,$AV$8:$AV$507,$AV474,$AY$8:$AY$507,"&lt;"&amp;$AY474)+1,Constants!$B$14),$AJ474))</f>
        <v/>
      </c>
      <c r="BA474" s="87" t="str">
        <f aca="false">IF(ISBLANK($C474),"",IF($AJ474=Constants!$B$7,IF(ISNUMBER(AW474),AW474-AZ474,Constants!$B$14),$AJ474))</f>
        <v/>
      </c>
      <c r="BB474" s="88"/>
      <c r="BC474" s="89" t="str">
        <f aca="false">IF(ISBLANK($C474),"",IF($AJ474&lt;&gt;Constants!$B$7,$AJ474,SMALL(AQ474:AS474,1)&amp;", "&amp;SMALL(AQ474:AS474,2)&amp;", "&amp;SMALL(AQ474:AS474,3)))</f>
        <v/>
      </c>
      <c r="BD474" s="90" t="str">
        <f aca="false">IF(ISBLANK($C474),"",IF($AJ474&lt;&gt;Constants!$B$7,$AJ474,W474))</f>
        <v/>
      </c>
      <c r="BE474" s="91" t="str">
        <f aca="false">IF(ISBLANK($C474),"",IF($AJ474&lt;&gt;Constants!$B$7,$AJ474,AU474))</f>
        <v/>
      </c>
      <c r="BF474" s="92" t="str">
        <f aca="false">IF(ISBLANK($C474),"",IF($AJ474&lt;&gt;Constants!$B$7,$AJ474,AK474))</f>
        <v/>
      </c>
      <c r="BG474" s="90" t="str">
        <f aca="false">IF(ISBLANK($C474),"",BA474)</f>
        <v/>
      </c>
      <c r="BH474" s="90" t="str">
        <f aca="false">IF(ISBLANK($C474),"",AZ474)</f>
        <v/>
      </c>
      <c r="BI474" s="93" t="str">
        <f aca="false">IF(ISBLANK($C474),"",IF(BH474=Constants!$B$4,COUNTA($C$8:$C$507)+2,IF(BH474=Constants!$B$5,COUNTA($C$8:$C$507)+1,IF(BH474=Constants!$B$6,COUNTA($C$8:$C$507),BH474))))</f>
        <v/>
      </c>
      <c r="BJ474" s="5"/>
      <c r="BK474" s="94" t="n">
        <f aca="false">IF(OR(ISNUMBER(BH474),BH474=Constants!$B$4,BH474=Constants!$B$6,BH474=Constants!$B$5),1,0)</f>
        <v>0</v>
      </c>
      <c r="BL474" s="94" t="n">
        <v>467</v>
      </c>
      <c r="BM474" s="94" t="str">
        <f aca="false">IF(ISBLANK($C474),"",IF(ISNUMBER(BI474),BI474+ROW($B474)/1000,""))</f>
        <v/>
      </c>
      <c r="BN474" s="94" t="str">
        <f aca="false">IF(ISNUMBER(BM474),RANK(BM474,$BM$8:$BM$507,1),"")</f>
        <v/>
      </c>
      <c r="BO474" s="94" t="str">
        <f aca="false">IF(ISBLANK($C474),"",$B474)</f>
        <v/>
      </c>
      <c r="BP474" s="94" t="str">
        <f aca="false">IF(ISBLANK($C474),"",$C474)</f>
        <v/>
      </c>
      <c r="BQ474" s="94" t="str">
        <f aca="false">IF(ISBLANK($C474),"",$D474)</f>
        <v/>
      </c>
      <c r="BR474" s="95" t="str">
        <f aca="false">BF474</f>
        <v/>
      </c>
      <c r="BS474" s="96" t="str">
        <f aca="false">BE474</f>
        <v/>
      </c>
      <c r="BT474" s="94" t="str">
        <f aca="false">IF(ISBLANK($C474),"",BH474)</f>
        <v/>
      </c>
      <c r="BU474" s="97" t="str">
        <f aca="false">IF($BL474&gt;$BK$7,"",VLOOKUP($BL474,$BN$8:$BT$507,7,FALSE()))</f>
        <v/>
      </c>
      <c r="BV474" s="98" t="str">
        <f aca="false">IF($BL474&gt;$BK$7,"",VLOOKUP($BL474,$BN$8:$BT$507,2,FALSE()))</f>
        <v/>
      </c>
      <c r="BW474" s="98" t="str">
        <f aca="false">IF($BL474&gt;$BK$7,"",VLOOKUP($BL474,$BN$8:$BT$507,3,FALSE()))</f>
        <v/>
      </c>
      <c r="BX474" s="98" t="str">
        <f aca="false">IF($BL474&gt;$BK$7,"",VLOOKUP($BL474,$BN$8:$BT$507,4,FALSE()))</f>
        <v/>
      </c>
      <c r="BY474" s="98" t="str">
        <f aca="false">IF($BL474&gt;$BK$7,"",VLOOKUP($BL474,$BN$8:$BT$507,5,FALSE()))</f>
        <v/>
      </c>
      <c r="BZ474" s="99" t="str">
        <f aca="false">IF($BL474&gt;$BK$7,"",VLOOKUP($BL474,$BN$8:$BT$507,6,FALSE()))</f>
        <v/>
      </c>
      <c r="CA474" s="48"/>
    </row>
    <row r="475" customFormat="false" ht="15.75" hidden="false" customHeight="false" outlineLevel="0" collapsed="false">
      <c r="A475" s="5"/>
      <c r="B475" s="114"/>
      <c r="C475" s="115"/>
      <c r="D475" s="100"/>
      <c r="E475" s="120"/>
      <c r="F475" s="125"/>
      <c r="G475" s="82"/>
      <c r="H475" s="126"/>
      <c r="I475" s="127"/>
      <c r="J475" s="82"/>
      <c r="K475" s="126"/>
      <c r="L475" s="82"/>
      <c r="M475" s="126"/>
      <c r="N475" s="82"/>
      <c r="O475" s="126"/>
      <c r="P475" s="82"/>
      <c r="Q475" s="126"/>
      <c r="R475" s="82"/>
      <c r="S475" s="120"/>
      <c r="T475" s="86"/>
      <c r="U475" s="87" t="str">
        <f aca="false">IF(ISBLANK($C475),"",IF(E475=Constants!$B$2, TRUE(), IF(E475=Constants!$B$3, FALSE(), TRUE())))</f>
        <v/>
      </c>
      <c r="V475" s="87" t="str">
        <f aca="false">IF(ISBLANK($C475),"",IF(F475=Constants!$B$2, TRUE(), IF(F475=Constants!$B$3, FALSE(), TRUE())))</f>
        <v/>
      </c>
      <c r="W475" s="87" t="str">
        <f aca="false">IF(ISBLANK($C475),"",IF(G475=Constants!$B$15,Constants!$B$8,IF(G475=Constants!$B$16,Constants!$B$9,Constants!$B$10)))</f>
        <v/>
      </c>
      <c r="X475" s="87" t="str">
        <f aca="false">IF(ISBLANK($C475),"",IF(H475=Constants!$B$2, TRUE(), IF(H475=Constants!$B$3, FALSE(), TRUE())))</f>
        <v/>
      </c>
      <c r="Y475" s="87" t="str">
        <f aca="false">IF(ISBLANK($C475),"",IF(I475=Constants!$B$19,Constants!$B$19,Constants!$B$18))</f>
        <v/>
      </c>
      <c r="Z475" s="87" t="str">
        <f aca="false">IF(ISBLANK($C475),"",IF(ISNUMBER(J475),IF(J475&gt;=0,J475,""),""))</f>
        <v/>
      </c>
      <c r="AA475" s="87" t="str">
        <f aca="false">IF(ISBLANK($C475),"",IF(K475=Constants!$B$19,Constants!$B$19,Constants!$B$18))</f>
        <v/>
      </c>
      <c r="AB475" s="87" t="str">
        <f aca="false">IF(ISBLANK($C475),"",IF(ISNUMBER(L475),IF(L475&gt;=0,L475,""),""))</f>
        <v/>
      </c>
      <c r="AC475" s="87" t="str">
        <f aca="false">IF(ISBLANK($C475),"",IF(M475=Constants!$B$19,Constants!$B$19,Constants!$B$18))</f>
        <v/>
      </c>
      <c r="AD475" s="87" t="str">
        <f aca="false">IF(ISBLANK($C475),"",IF(ISNUMBER(N475),IF(N475&gt;=0,N475,""),""))</f>
        <v/>
      </c>
      <c r="AE475" s="87" t="str">
        <f aca="false">IF(ISBLANK($C475),"",IF(O475=Constants!$B$19,Constants!$B$19,Constants!$B$18))</f>
        <v/>
      </c>
      <c r="AF475" s="87" t="str">
        <f aca="false">IF(ISBLANK($C475),"",IF(ISNUMBER(P475),IF(P475&gt;=0,P475,""),""))</f>
        <v/>
      </c>
      <c r="AG475" s="87" t="str">
        <f aca="false">IF(ISBLANK($C475),"",IF(Q475=Constants!$B$19,Constants!$B$19,Constants!$B$18))</f>
        <v/>
      </c>
      <c r="AH475" s="87" t="str">
        <f aca="false">IF(ISBLANK($C475),"",IF(ISNUMBER(R475),IF(R475&gt;=0,R475,""),""))</f>
        <v/>
      </c>
      <c r="AI475" s="87" t="str">
        <f aca="false">IF(ISBLANK($C475),"",IF(S475=Constants!$B$2, TRUE(), IF(S475=Constants!$B$3, FALSE(), FALSE())))</f>
        <v/>
      </c>
      <c r="AJ475" s="87" t="str">
        <f aca="false">IF(ISBLANK($C475),"",IF(AI475,Constants!$B$4,IF(COUNTA(E475:R475)=0,Constants!$B$5,IF(COUNTA(J475,L475,N475,P475,R475)=0,Constants!$B$6,Constants!$B$7))))</f>
        <v/>
      </c>
      <c r="AK475" s="87" t="str">
        <f aca="false">IF(ISBLANK($C475),"",IF($AJ475&lt;&gt;Constants!$B$7,$AJ475,IF(OR(NOT(X475),AND(NOT(U475),COUNTIFS(Y475:AG475,Constants!$B$18,Z475:AH475,"&gt;=0")&gt;0),AND(NOT(V475),COUNTIFS(Y475:AG475,Constants!$B$19,Z475:AH475,"&gt;=0")&gt;0)),Constants!$B$12,Constants!$B$11)))</f>
        <v/>
      </c>
      <c r="AL475" s="87" t="str">
        <f aca="false">IF($AJ475=Constants!$B$7,IF(Z475="",Constants!$B$13,Z475),"")</f>
        <v/>
      </c>
      <c r="AM475" s="87" t="str">
        <f aca="false">IF($AJ475=Constants!$B$7,IF(AB475="",Constants!$B$13,AB475),"")</f>
        <v/>
      </c>
      <c r="AN475" s="87" t="str">
        <f aca="false">IF($AJ475=Constants!$B$7,IF(AD475="",Constants!$B$13,AD475),"")</f>
        <v/>
      </c>
      <c r="AO475" s="87" t="str">
        <f aca="false">IF($AJ475=Constants!$B$7,IF(AF475="",Constants!$B$13,AF475),"")</f>
        <v/>
      </c>
      <c r="AP475" s="87" t="str">
        <f aca="false">IF($AJ475=Constants!$B$7,IF(AH475="",Constants!$B$13,AH475),"")</f>
        <v/>
      </c>
      <c r="AQ475" s="87" t="str">
        <f aca="false">IF($AJ475=Constants!$B$7,IF(SUMPRODUCT(--($AL475:$AP475&gt;AL475))+SUMPRODUCT(--($AL475:AL475=AL475))=1,1,IF(SUMPRODUCT(--($AL475:$AP475&gt;AM475))+SUMPRODUCT(--($AL475:AM475=AM475))=1,2,IF(SUMPRODUCT(--($AL475:$AP475&gt;AN475))+SUMPRODUCT(--($AL475:AN475=AN475))=1,3,IF(SUMPRODUCT(--($AL475:$AP475&gt;AO475))+SUMPRODUCT(--($AL475:AO475=AO475))=1,4,5)))),"")</f>
        <v/>
      </c>
      <c r="AR475" s="87" t="str">
        <f aca="false">IF($AJ475=Constants!$B$7,IF(SUMPRODUCT(--($AL475:$AP475&gt;AL475))+SUMPRODUCT(--($AL475:AL475=AL475))=2,1,IF(SUMPRODUCT(--($AL475:$AP475&gt;AM475))+SUMPRODUCT(--($AL475:AM475=AM475))=2,2,IF(SUMPRODUCT(--($AL475:$AP475&gt;AN475))+SUMPRODUCT(--($AL475:AN475=AN475))=2,3,IF(SUMPRODUCT(--($AL475:$AP475&gt;AO475))+SUMPRODUCT(--($AL475:AO475=AO475))=2,4,5)))),"")</f>
        <v/>
      </c>
      <c r="AS475" s="87" t="str">
        <f aca="false">IF($AJ475=Constants!$B$7,IF(SUMPRODUCT(--($AL475:$AP475&gt;AL475))+SUMPRODUCT(--($AL475:AL475=AL475))=3,1,IF(SUMPRODUCT(--($AL475:$AP475&gt;AM475))+SUMPRODUCT(--($AL475:AM475=AM475))=3,2,IF(SUMPRODUCT(--($AL475:$AP475&gt;AN475))+SUMPRODUCT(--($AL475:AN475=AN475))=3,3,IF(SUMPRODUCT(--($AL475:$AP475&gt;AO475))+SUMPRODUCT(--($AL475:AO475=AO475))=3,4,5)))),"")</f>
        <v/>
      </c>
      <c r="AT475" s="87" t="str">
        <f aca="false">IF($AJ475=Constants!$B$7,LARGE(AL475:AP475,1)+LARGE(AL475:AP475,2)+LARGE(AL475:AP475,3),"")</f>
        <v/>
      </c>
      <c r="AU475" s="87" t="str">
        <f aca="false">IF(ISBLANK($C475),"",IF($AJ475&lt;&gt;Constants!$B$7,$AJ475,AT475*W475))</f>
        <v/>
      </c>
      <c r="AV475" s="87" t="str">
        <f aca="false">IF(ISBLANK($C475),"",IF($AJ475=Constants!$B$7,IF(ISNUMBER(AU475),RANK(AU475,$AU$8:$AU$507),Constants!$B$14),$AJ475))</f>
        <v/>
      </c>
      <c r="AW475" s="87" t="str">
        <f aca="false">IF(ISBLANK($C475),"",IF($AJ475=Constants!$B$7,IF(ISNUMBER(AV475),COUNTIFS($AK$8:$AK$507,"&lt;"&amp;$AK475)+COUNTIFS($AK$8:$AK$507,$AK475,$AV$8:$AV$507,"&lt;"&amp;$AV475)+1,Constants!$B$14),$AJ475))</f>
        <v/>
      </c>
      <c r="AX475" s="87" t="str">
        <f aca="false">IF(ISBLANK($C475),"",IF($AJ475=Constants!$B$7,LARGE(AL475:AP475,4)*W475,""))</f>
        <v/>
      </c>
      <c r="AY475" s="87" t="str">
        <f aca="false">IF(ISBLANK($C475),"",IF($AJ475=Constants!$B$7,RANK(AX475,$AX$8:$AX$507),$AJ475))</f>
        <v/>
      </c>
      <c r="AZ475" s="87" t="str">
        <f aca="false">IF(ISBLANK($C475),"",IF($AJ475=Constants!$B$7,IF(ISNUMBER(AV475),COUNTIFS($AK$8:$AK$507,"&lt;"&amp;$AK475)+COUNTIFS($AK$8:$AK$507,$AK475,$AV$8:$AV$507,"&lt;"&amp;$AV475)+COUNTIFS($AK$8:$AK$507,$AK475,$AV$8:$AV$507,$AV475,$AY$8:$AY$507,"&lt;"&amp;$AY475)+1,Constants!$B$14),$AJ475))</f>
        <v/>
      </c>
      <c r="BA475" s="87" t="str">
        <f aca="false">IF(ISBLANK($C475),"",IF($AJ475=Constants!$B$7,IF(ISNUMBER(AW475),AW475-AZ475,Constants!$B$14),$AJ475))</f>
        <v/>
      </c>
      <c r="BB475" s="88"/>
      <c r="BC475" s="89" t="str">
        <f aca="false">IF(ISBLANK($C475),"",IF($AJ475&lt;&gt;Constants!$B$7,$AJ475,SMALL(AQ475:AS475,1)&amp;", "&amp;SMALL(AQ475:AS475,2)&amp;", "&amp;SMALL(AQ475:AS475,3)))</f>
        <v/>
      </c>
      <c r="BD475" s="90" t="str">
        <f aca="false">IF(ISBLANK($C475),"",IF($AJ475&lt;&gt;Constants!$B$7,$AJ475,W475))</f>
        <v/>
      </c>
      <c r="BE475" s="91" t="str">
        <f aca="false">IF(ISBLANK($C475),"",IF($AJ475&lt;&gt;Constants!$B$7,$AJ475,AU475))</f>
        <v/>
      </c>
      <c r="BF475" s="92" t="str">
        <f aca="false">IF(ISBLANK($C475),"",IF($AJ475&lt;&gt;Constants!$B$7,$AJ475,AK475))</f>
        <v/>
      </c>
      <c r="BG475" s="90" t="str">
        <f aca="false">IF(ISBLANK($C475),"",BA475)</f>
        <v/>
      </c>
      <c r="BH475" s="90" t="str">
        <f aca="false">IF(ISBLANK($C475),"",AZ475)</f>
        <v/>
      </c>
      <c r="BI475" s="93" t="str">
        <f aca="false">IF(ISBLANK($C475),"",IF(BH475=Constants!$B$4,COUNTA($C$8:$C$507)+2,IF(BH475=Constants!$B$5,COUNTA($C$8:$C$507)+1,IF(BH475=Constants!$B$6,COUNTA($C$8:$C$507),BH475))))</f>
        <v/>
      </c>
      <c r="BJ475" s="5"/>
      <c r="BK475" s="94" t="n">
        <f aca="false">IF(OR(ISNUMBER(BH475),BH475=Constants!$B$4,BH475=Constants!$B$6,BH475=Constants!$B$5),1,0)</f>
        <v>0</v>
      </c>
      <c r="BL475" s="94" t="n">
        <v>468</v>
      </c>
      <c r="BM475" s="94" t="str">
        <f aca="false">IF(ISBLANK($C475),"",IF(ISNUMBER(BI475),BI475+ROW($B475)/1000,""))</f>
        <v/>
      </c>
      <c r="BN475" s="94" t="str">
        <f aca="false">IF(ISNUMBER(BM475),RANK(BM475,$BM$8:$BM$507,1),"")</f>
        <v/>
      </c>
      <c r="BO475" s="94" t="str">
        <f aca="false">IF(ISBLANK($C475),"",$B475)</f>
        <v/>
      </c>
      <c r="BP475" s="94" t="str">
        <f aca="false">IF(ISBLANK($C475),"",$C475)</f>
        <v/>
      </c>
      <c r="BQ475" s="94" t="str">
        <f aca="false">IF(ISBLANK($C475),"",$D475)</f>
        <v/>
      </c>
      <c r="BR475" s="95" t="str">
        <f aca="false">BF475</f>
        <v/>
      </c>
      <c r="BS475" s="96" t="str">
        <f aca="false">BE475</f>
        <v/>
      </c>
      <c r="BT475" s="94" t="str">
        <f aca="false">IF(ISBLANK($C475),"",BH475)</f>
        <v/>
      </c>
      <c r="BU475" s="97" t="str">
        <f aca="false">IF($BL475&gt;$BK$7,"",VLOOKUP($BL475,$BN$8:$BT$507,7,FALSE()))</f>
        <v/>
      </c>
      <c r="BV475" s="98" t="str">
        <f aca="false">IF($BL475&gt;$BK$7,"",VLOOKUP($BL475,$BN$8:$BT$507,2,FALSE()))</f>
        <v/>
      </c>
      <c r="BW475" s="98" t="str">
        <f aca="false">IF($BL475&gt;$BK$7,"",VLOOKUP($BL475,$BN$8:$BT$507,3,FALSE()))</f>
        <v/>
      </c>
      <c r="BX475" s="98" t="str">
        <f aca="false">IF($BL475&gt;$BK$7,"",VLOOKUP($BL475,$BN$8:$BT$507,4,FALSE()))</f>
        <v/>
      </c>
      <c r="BY475" s="98" t="str">
        <f aca="false">IF($BL475&gt;$BK$7,"",VLOOKUP($BL475,$BN$8:$BT$507,5,FALSE()))</f>
        <v/>
      </c>
      <c r="BZ475" s="99" t="str">
        <f aca="false">IF($BL475&gt;$BK$7,"",VLOOKUP($BL475,$BN$8:$BT$507,6,FALSE()))</f>
        <v/>
      </c>
      <c r="CA475" s="48"/>
    </row>
    <row r="476" customFormat="false" ht="15.75" hidden="false" customHeight="false" outlineLevel="0" collapsed="false">
      <c r="A476" s="5"/>
      <c r="B476" s="121"/>
      <c r="C476" s="50"/>
      <c r="D476" s="51"/>
      <c r="E476" s="74"/>
      <c r="F476" s="122"/>
      <c r="G476" s="54"/>
      <c r="H476" s="123"/>
      <c r="I476" s="124"/>
      <c r="J476" s="54"/>
      <c r="K476" s="123"/>
      <c r="L476" s="54"/>
      <c r="M476" s="123"/>
      <c r="N476" s="54"/>
      <c r="O476" s="123"/>
      <c r="P476" s="54"/>
      <c r="Q476" s="123"/>
      <c r="R476" s="54"/>
      <c r="S476" s="74"/>
      <c r="T476" s="58"/>
      <c r="U476" s="59" t="str">
        <f aca="false">IF(ISBLANK($C476),"",IF(E476=Constants!$B$2, TRUE(), IF(E476=Constants!$B$3, FALSE(), TRUE())))</f>
        <v/>
      </c>
      <c r="V476" s="59" t="str">
        <f aca="false">IF(ISBLANK($C476),"",IF(F476=Constants!$B$2, TRUE(), IF(F476=Constants!$B$3, FALSE(), TRUE())))</f>
        <v/>
      </c>
      <c r="W476" s="59" t="str">
        <f aca="false">IF(ISBLANK($C476),"",IF(G476=Constants!$B$15,Constants!$B$8,IF(G476=Constants!$B$16,Constants!$B$9,Constants!$B$10)))</f>
        <v/>
      </c>
      <c r="X476" s="59" t="str">
        <f aca="false">IF(ISBLANK($C476),"",IF(H476=Constants!$B$2, TRUE(), IF(H476=Constants!$B$3, FALSE(), TRUE())))</f>
        <v/>
      </c>
      <c r="Y476" s="59" t="str">
        <f aca="false">IF(ISBLANK($C476),"",IF(I476=Constants!$B$19,Constants!$B$19,Constants!$B$18))</f>
        <v/>
      </c>
      <c r="Z476" s="59" t="str">
        <f aca="false">IF(ISBLANK($C476),"",IF(ISNUMBER(J476),IF(J476&gt;=0,J476,""),""))</f>
        <v/>
      </c>
      <c r="AA476" s="59" t="str">
        <f aca="false">IF(ISBLANK($C476),"",IF(K476=Constants!$B$19,Constants!$B$19,Constants!$B$18))</f>
        <v/>
      </c>
      <c r="AB476" s="59" t="str">
        <f aca="false">IF(ISBLANK($C476),"",IF(ISNUMBER(L476),IF(L476&gt;=0,L476,""),""))</f>
        <v/>
      </c>
      <c r="AC476" s="59" t="str">
        <f aca="false">IF(ISBLANK($C476),"",IF(M476=Constants!$B$19,Constants!$B$19,Constants!$B$18))</f>
        <v/>
      </c>
      <c r="AD476" s="59" t="str">
        <f aca="false">IF(ISBLANK($C476),"",IF(ISNUMBER(N476),IF(N476&gt;=0,N476,""),""))</f>
        <v/>
      </c>
      <c r="AE476" s="59" t="str">
        <f aca="false">IF(ISBLANK($C476),"",IF(O476=Constants!$B$19,Constants!$B$19,Constants!$B$18))</f>
        <v/>
      </c>
      <c r="AF476" s="59" t="str">
        <f aca="false">IF(ISBLANK($C476),"",IF(ISNUMBER(P476),IF(P476&gt;=0,P476,""),""))</f>
        <v/>
      </c>
      <c r="AG476" s="59" t="str">
        <f aca="false">IF(ISBLANK($C476),"",IF(Q476=Constants!$B$19,Constants!$B$19,Constants!$B$18))</f>
        <v/>
      </c>
      <c r="AH476" s="59" t="str">
        <f aca="false">IF(ISBLANK($C476),"",IF(ISNUMBER(R476),IF(R476&gt;=0,R476,""),""))</f>
        <v/>
      </c>
      <c r="AI476" s="59" t="str">
        <f aca="false">IF(ISBLANK($C476),"",IF(S476=Constants!$B$2, TRUE(), IF(S476=Constants!$B$3, FALSE(), FALSE())))</f>
        <v/>
      </c>
      <c r="AJ476" s="59" t="str">
        <f aca="false">IF(ISBLANK($C476),"",IF(AI476,Constants!$B$4,IF(COUNTA(E476:R476)=0,Constants!$B$5,IF(COUNTA(J476,L476,N476,P476,R476)=0,Constants!$B$6,Constants!$B$7))))</f>
        <v/>
      </c>
      <c r="AK476" s="59" t="str">
        <f aca="false">IF(ISBLANK($C476),"",IF($AJ476&lt;&gt;Constants!$B$7,$AJ476,IF(OR(NOT(X476),AND(NOT(U476),COUNTIFS(Y476:AG476,Constants!$B$18,Z476:AH476,"&gt;=0")&gt;0),AND(NOT(V476),COUNTIFS(Y476:AG476,Constants!$B$19,Z476:AH476,"&gt;=0")&gt;0)),Constants!$B$12,Constants!$B$11)))</f>
        <v/>
      </c>
      <c r="AL476" s="59" t="str">
        <f aca="false">IF($AJ476=Constants!$B$7,IF(Z476="",Constants!$B$13,Z476),"")</f>
        <v/>
      </c>
      <c r="AM476" s="59" t="str">
        <f aca="false">IF($AJ476=Constants!$B$7,IF(AB476="",Constants!$B$13,AB476),"")</f>
        <v/>
      </c>
      <c r="AN476" s="59" t="str">
        <f aca="false">IF($AJ476=Constants!$B$7,IF(AD476="",Constants!$B$13,AD476),"")</f>
        <v/>
      </c>
      <c r="AO476" s="59" t="str">
        <f aca="false">IF($AJ476=Constants!$B$7,IF(AF476="",Constants!$B$13,AF476),"")</f>
        <v/>
      </c>
      <c r="AP476" s="59" t="str">
        <f aca="false">IF($AJ476=Constants!$B$7,IF(AH476="",Constants!$B$13,AH476),"")</f>
        <v/>
      </c>
      <c r="AQ476" s="59" t="str">
        <f aca="false">IF($AJ476=Constants!$B$7,IF(SUMPRODUCT(--($AL476:$AP476&gt;AL476))+SUMPRODUCT(--($AL476:AL476=AL476))=1,1,IF(SUMPRODUCT(--($AL476:$AP476&gt;AM476))+SUMPRODUCT(--($AL476:AM476=AM476))=1,2,IF(SUMPRODUCT(--($AL476:$AP476&gt;AN476))+SUMPRODUCT(--($AL476:AN476=AN476))=1,3,IF(SUMPRODUCT(--($AL476:$AP476&gt;AO476))+SUMPRODUCT(--($AL476:AO476=AO476))=1,4,5)))),"")</f>
        <v/>
      </c>
      <c r="AR476" s="59" t="str">
        <f aca="false">IF($AJ476=Constants!$B$7,IF(SUMPRODUCT(--($AL476:$AP476&gt;AL476))+SUMPRODUCT(--($AL476:AL476=AL476))=2,1,IF(SUMPRODUCT(--($AL476:$AP476&gt;AM476))+SUMPRODUCT(--($AL476:AM476=AM476))=2,2,IF(SUMPRODUCT(--($AL476:$AP476&gt;AN476))+SUMPRODUCT(--($AL476:AN476=AN476))=2,3,IF(SUMPRODUCT(--($AL476:$AP476&gt;AO476))+SUMPRODUCT(--($AL476:AO476=AO476))=2,4,5)))),"")</f>
        <v/>
      </c>
      <c r="AS476" s="59" t="str">
        <f aca="false">IF($AJ476=Constants!$B$7,IF(SUMPRODUCT(--($AL476:$AP476&gt;AL476))+SUMPRODUCT(--($AL476:AL476=AL476))=3,1,IF(SUMPRODUCT(--($AL476:$AP476&gt;AM476))+SUMPRODUCT(--($AL476:AM476=AM476))=3,2,IF(SUMPRODUCT(--($AL476:$AP476&gt;AN476))+SUMPRODUCT(--($AL476:AN476=AN476))=3,3,IF(SUMPRODUCT(--($AL476:$AP476&gt;AO476))+SUMPRODUCT(--($AL476:AO476=AO476))=3,4,5)))),"")</f>
        <v/>
      </c>
      <c r="AT476" s="59" t="str">
        <f aca="false">IF($AJ476=Constants!$B$7,LARGE(AL476:AP476,1)+LARGE(AL476:AP476,2)+LARGE(AL476:AP476,3),"")</f>
        <v/>
      </c>
      <c r="AU476" s="59" t="str">
        <f aca="false">IF(ISBLANK($C476),"",IF($AJ476&lt;&gt;Constants!$B$7,$AJ476,AT476*W476))</f>
        <v/>
      </c>
      <c r="AV476" s="59" t="str">
        <f aca="false">IF(ISBLANK($C476),"",IF($AJ476=Constants!$B$7,IF(ISNUMBER(AU476),RANK(AU476,$AU$8:$AU$507),Constants!$B$14),$AJ476))</f>
        <v/>
      </c>
      <c r="AW476" s="59" t="str">
        <f aca="false">IF(ISBLANK($C476),"",IF($AJ476=Constants!$B$7,IF(ISNUMBER(AV476),COUNTIFS($AK$8:$AK$507,"&lt;"&amp;$AK476)+COUNTIFS($AK$8:$AK$507,$AK476,$AV$8:$AV$507,"&lt;"&amp;$AV476)+1,Constants!$B$14),$AJ476))</f>
        <v/>
      </c>
      <c r="AX476" s="59" t="str">
        <f aca="false">IF(ISBLANK($C476),"",IF($AJ476=Constants!$B$7,LARGE(AL476:AP476,4)*W476,""))</f>
        <v/>
      </c>
      <c r="AY476" s="59" t="str">
        <f aca="false">IF(ISBLANK($C476),"",IF($AJ476=Constants!$B$7,RANK(AX476,$AX$8:$AX$507),$AJ476))</f>
        <v/>
      </c>
      <c r="AZ476" s="59" t="str">
        <f aca="false">IF(ISBLANK($C476),"",IF($AJ476=Constants!$B$7,IF(ISNUMBER(AV476),COUNTIFS($AK$8:$AK$507,"&lt;"&amp;$AK476)+COUNTIFS($AK$8:$AK$507,$AK476,$AV$8:$AV$507,"&lt;"&amp;$AV476)+COUNTIFS($AK$8:$AK$507,$AK476,$AV$8:$AV$507,$AV476,$AY$8:$AY$507,"&lt;"&amp;$AY476)+1,Constants!$B$14),$AJ476))</f>
        <v/>
      </c>
      <c r="BA476" s="59" t="str">
        <f aca="false">IF(ISBLANK($C476),"",IF($AJ476=Constants!$B$7,IF(ISNUMBER(AW476),AW476-AZ476,Constants!$B$14),$AJ476))</f>
        <v/>
      </c>
      <c r="BB476" s="61"/>
      <c r="BC476" s="62" t="str">
        <f aca="false">IF(ISBLANK($C476),"",IF($AJ476&lt;&gt;Constants!$B$7,$AJ476,SMALL(AQ476:AS476,1)&amp;", "&amp;SMALL(AQ476:AS476,2)&amp;", "&amp;SMALL(AQ476:AS476,3)))</f>
        <v/>
      </c>
      <c r="BD476" s="63" t="str">
        <f aca="false">IF(ISBLANK($C476),"",IF($AJ476&lt;&gt;Constants!$B$7,$AJ476,W476))</f>
        <v/>
      </c>
      <c r="BE476" s="64" t="str">
        <f aca="false">IF(ISBLANK($C476),"",IF($AJ476&lt;&gt;Constants!$B$7,$AJ476,AU476))</f>
        <v/>
      </c>
      <c r="BF476" s="65" t="str">
        <f aca="false">IF(ISBLANK($C476),"",IF($AJ476&lt;&gt;Constants!$B$7,$AJ476,AK476))</f>
        <v/>
      </c>
      <c r="BG476" s="63" t="str">
        <f aca="false">IF(ISBLANK($C476),"",BA476)</f>
        <v/>
      </c>
      <c r="BH476" s="63" t="str">
        <f aca="false">IF(ISBLANK($C476),"",AZ476)</f>
        <v/>
      </c>
      <c r="BI476" s="66" t="str">
        <f aca="false">IF(ISBLANK($C476),"",IF(BH476=Constants!$B$4,COUNTA($C$8:$C$507)+2,IF(BH476=Constants!$B$5,COUNTA($C$8:$C$507)+1,IF(BH476=Constants!$B$6,COUNTA($C$8:$C$507),BH476))))</f>
        <v/>
      </c>
      <c r="BJ476" s="5"/>
      <c r="BK476" s="67" t="n">
        <f aca="false">IF(OR(ISNUMBER(BH476),BH476=Constants!$B$4,BH476=Constants!$B$6,BH476=Constants!$B$5),1,0)</f>
        <v>0</v>
      </c>
      <c r="BL476" s="67" t="n">
        <v>469</v>
      </c>
      <c r="BM476" s="67" t="str">
        <f aca="false">IF(ISBLANK($C476),"",IF(ISNUMBER(BI476),BI476+ROW($B476)/1000,""))</f>
        <v/>
      </c>
      <c r="BN476" s="67" t="str">
        <f aca="false">IF(ISNUMBER(BM476),RANK(BM476,$BM$8:$BM$507,1),"")</f>
        <v/>
      </c>
      <c r="BO476" s="67" t="str">
        <f aca="false">IF(ISBLANK($C476),"",$B476)</f>
        <v/>
      </c>
      <c r="BP476" s="67" t="str">
        <f aca="false">IF(ISBLANK($C476),"",$C476)</f>
        <v/>
      </c>
      <c r="BQ476" s="67" t="str">
        <f aca="false">IF(ISBLANK($C476),"",$D476)</f>
        <v/>
      </c>
      <c r="BR476" s="68" t="str">
        <f aca="false">BF476</f>
        <v/>
      </c>
      <c r="BS476" s="69" t="str">
        <f aca="false">BE476</f>
        <v/>
      </c>
      <c r="BT476" s="67" t="str">
        <f aca="false">IF(ISBLANK($C476),"",BH476)</f>
        <v/>
      </c>
      <c r="BU476" s="70" t="str">
        <f aca="false">IF($BL476&gt;$BK$7,"",VLOOKUP($BL476,$BN$8:$BT$507,7,FALSE()))</f>
        <v/>
      </c>
      <c r="BV476" s="71" t="str">
        <f aca="false">IF($BL476&gt;$BK$7,"",VLOOKUP($BL476,$BN$8:$BT$507,2,FALSE()))</f>
        <v/>
      </c>
      <c r="BW476" s="71" t="str">
        <f aca="false">IF($BL476&gt;$BK$7,"",VLOOKUP($BL476,$BN$8:$BT$507,3,FALSE()))</f>
        <v/>
      </c>
      <c r="BX476" s="71" t="str">
        <f aca="false">IF($BL476&gt;$BK$7,"",VLOOKUP($BL476,$BN$8:$BT$507,4,FALSE()))</f>
        <v/>
      </c>
      <c r="BY476" s="71" t="str">
        <f aca="false">IF($BL476&gt;$BK$7,"",VLOOKUP($BL476,$BN$8:$BT$507,5,FALSE()))</f>
        <v/>
      </c>
      <c r="BZ476" s="72" t="str">
        <f aca="false">IF($BL476&gt;$BK$7,"",VLOOKUP($BL476,$BN$8:$BT$507,6,FALSE()))</f>
        <v/>
      </c>
      <c r="CA476" s="48"/>
    </row>
    <row r="477" customFormat="false" ht="15.75" hidden="false" customHeight="false" outlineLevel="0" collapsed="false">
      <c r="A477" s="5"/>
      <c r="B477" s="121"/>
      <c r="C477" s="50"/>
      <c r="D477" s="51"/>
      <c r="E477" s="74"/>
      <c r="F477" s="122"/>
      <c r="G477" s="54"/>
      <c r="H477" s="123"/>
      <c r="I477" s="124"/>
      <c r="J477" s="54"/>
      <c r="K477" s="123"/>
      <c r="L477" s="54"/>
      <c r="M477" s="123"/>
      <c r="N477" s="54"/>
      <c r="O477" s="123"/>
      <c r="P477" s="54"/>
      <c r="Q477" s="123"/>
      <c r="R477" s="54"/>
      <c r="S477" s="74"/>
      <c r="T477" s="58"/>
      <c r="U477" s="59" t="str">
        <f aca="false">IF(ISBLANK($C477),"",IF(E477=Constants!$B$2, TRUE(), IF(E477=Constants!$B$3, FALSE(), TRUE())))</f>
        <v/>
      </c>
      <c r="V477" s="59" t="str">
        <f aca="false">IF(ISBLANK($C477),"",IF(F477=Constants!$B$2, TRUE(), IF(F477=Constants!$B$3, FALSE(), TRUE())))</f>
        <v/>
      </c>
      <c r="W477" s="59" t="str">
        <f aca="false">IF(ISBLANK($C477),"",IF(G477=Constants!$B$15,Constants!$B$8,IF(G477=Constants!$B$16,Constants!$B$9,Constants!$B$10)))</f>
        <v/>
      </c>
      <c r="X477" s="59" t="str">
        <f aca="false">IF(ISBLANK($C477),"",IF(H477=Constants!$B$2, TRUE(), IF(H477=Constants!$B$3, FALSE(), TRUE())))</f>
        <v/>
      </c>
      <c r="Y477" s="59" t="str">
        <f aca="false">IF(ISBLANK($C477),"",IF(I477=Constants!$B$19,Constants!$B$19,Constants!$B$18))</f>
        <v/>
      </c>
      <c r="Z477" s="59" t="str">
        <f aca="false">IF(ISBLANK($C477),"",IF(ISNUMBER(J477),IF(J477&gt;=0,J477,""),""))</f>
        <v/>
      </c>
      <c r="AA477" s="59" t="str">
        <f aca="false">IF(ISBLANK($C477),"",IF(K477=Constants!$B$19,Constants!$B$19,Constants!$B$18))</f>
        <v/>
      </c>
      <c r="AB477" s="59" t="str">
        <f aca="false">IF(ISBLANK($C477),"",IF(ISNUMBER(L477),IF(L477&gt;=0,L477,""),""))</f>
        <v/>
      </c>
      <c r="AC477" s="59" t="str">
        <f aca="false">IF(ISBLANK($C477),"",IF(M477=Constants!$B$19,Constants!$B$19,Constants!$B$18))</f>
        <v/>
      </c>
      <c r="AD477" s="59" t="str">
        <f aca="false">IF(ISBLANK($C477),"",IF(ISNUMBER(N477),IF(N477&gt;=0,N477,""),""))</f>
        <v/>
      </c>
      <c r="AE477" s="59" t="str">
        <f aca="false">IF(ISBLANK($C477),"",IF(O477=Constants!$B$19,Constants!$B$19,Constants!$B$18))</f>
        <v/>
      </c>
      <c r="AF477" s="59" t="str">
        <f aca="false">IF(ISBLANK($C477),"",IF(ISNUMBER(P477),IF(P477&gt;=0,P477,""),""))</f>
        <v/>
      </c>
      <c r="AG477" s="59" t="str">
        <f aca="false">IF(ISBLANK($C477),"",IF(Q477=Constants!$B$19,Constants!$B$19,Constants!$B$18))</f>
        <v/>
      </c>
      <c r="AH477" s="59" t="str">
        <f aca="false">IF(ISBLANK($C477),"",IF(ISNUMBER(R477),IF(R477&gt;=0,R477,""),""))</f>
        <v/>
      </c>
      <c r="AI477" s="59" t="str">
        <f aca="false">IF(ISBLANK($C477),"",IF(S477=Constants!$B$2, TRUE(), IF(S477=Constants!$B$3, FALSE(), FALSE())))</f>
        <v/>
      </c>
      <c r="AJ477" s="59" t="str">
        <f aca="false">IF(ISBLANK($C477),"",IF(AI477,Constants!$B$4,IF(COUNTA(E477:R477)=0,Constants!$B$5,IF(COUNTA(J477,L477,N477,P477,R477)=0,Constants!$B$6,Constants!$B$7))))</f>
        <v/>
      </c>
      <c r="AK477" s="59" t="str">
        <f aca="false">IF(ISBLANK($C477),"",IF($AJ477&lt;&gt;Constants!$B$7,$AJ477,IF(OR(NOT(X477),AND(NOT(U477),COUNTIFS(Y477:AG477,Constants!$B$18,Z477:AH477,"&gt;=0")&gt;0),AND(NOT(V477),COUNTIFS(Y477:AG477,Constants!$B$19,Z477:AH477,"&gt;=0")&gt;0)),Constants!$B$12,Constants!$B$11)))</f>
        <v/>
      </c>
      <c r="AL477" s="59" t="str">
        <f aca="false">IF($AJ477=Constants!$B$7,IF(Z477="",Constants!$B$13,Z477),"")</f>
        <v/>
      </c>
      <c r="AM477" s="59" t="str">
        <f aca="false">IF($AJ477=Constants!$B$7,IF(AB477="",Constants!$B$13,AB477),"")</f>
        <v/>
      </c>
      <c r="AN477" s="59" t="str">
        <f aca="false">IF($AJ477=Constants!$B$7,IF(AD477="",Constants!$B$13,AD477),"")</f>
        <v/>
      </c>
      <c r="AO477" s="59" t="str">
        <f aca="false">IF($AJ477=Constants!$B$7,IF(AF477="",Constants!$B$13,AF477),"")</f>
        <v/>
      </c>
      <c r="AP477" s="59" t="str">
        <f aca="false">IF($AJ477=Constants!$B$7,IF(AH477="",Constants!$B$13,AH477),"")</f>
        <v/>
      </c>
      <c r="AQ477" s="59" t="str">
        <f aca="false">IF($AJ477=Constants!$B$7,IF(SUMPRODUCT(--($AL477:$AP477&gt;AL477))+SUMPRODUCT(--($AL477:AL477=AL477))=1,1,IF(SUMPRODUCT(--($AL477:$AP477&gt;AM477))+SUMPRODUCT(--($AL477:AM477=AM477))=1,2,IF(SUMPRODUCT(--($AL477:$AP477&gt;AN477))+SUMPRODUCT(--($AL477:AN477=AN477))=1,3,IF(SUMPRODUCT(--($AL477:$AP477&gt;AO477))+SUMPRODUCT(--($AL477:AO477=AO477))=1,4,5)))),"")</f>
        <v/>
      </c>
      <c r="AR477" s="59" t="str">
        <f aca="false">IF($AJ477=Constants!$B$7,IF(SUMPRODUCT(--($AL477:$AP477&gt;AL477))+SUMPRODUCT(--($AL477:AL477=AL477))=2,1,IF(SUMPRODUCT(--($AL477:$AP477&gt;AM477))+SUMPRODUCT(--($AL477:AM477=AM477))=2,2,IF(SUMPRODUCT(--($AL477:$AP477&gt;AN477))+SUMPRODUCT(--($AL477:AN477=AN477))=2,3,IF(SUMPRODUCT(--($AL477:$AP477&gt;AO477))+SUMPRODUCT(--($AL477:AO477=AO477))=2,4,5)))),"")</f>
        <v/>
      </c>
      <c r="AS477" s="59" t="str">
        <f aca="false">IF($AJ477=Constants!$B$7,IF(SUMPRODUCT(--($AL477:$AP477&gt;AL477))+SUMPRODUCT(--($AL477:AL477=AL477))=3,1,IF(SUMPRODUCT(--($AL477:$AP477&gt;AM477))+SUMPRODUCT(--($AL477:AM477=AM477))=3,2,IF(SUMPRODUCT(--($AL477:$AP477&gt;AN477))+SUMPRODUCT(--($AL477:AN477=AN477))=3,3,IF(SUMPRODUCT(--($AL477:$AP477&gt;AO477))+SUMPRODUCT(--($AL477:AO477=AO477))=3,4,5)))),"")</f>
        <v/>
      </c>
      <c r="AT477" s="59" t="str">
        <f aca="false">IF($AJ477=Constants!$B$7,LARGE(AL477:AP477,1)+LARGE(AL477:AP477,2)+LARGE(AL477:AP477,3),"")</f>
        <v/>
      </c>
      <c r="AU477" s="59" t="str">
        <f aca="false">IF(ISBLANK($C477),"",IF($AJ477&lt;&gt;Constants!$B$7,$AJ477,AT477*W477))</f>
        <v/>
      </c>
      <c r="AV477" s="59" t="str">
        <f aca="false">IF(ISBLANK($C477),"",IF($AJ477=Constants!$B$7,IF(ISNUMBER(AU477),RANK(AU477,$AU$8:$AU$507),Constants!$B$14),$AJ477))</f>
        <v/>
      </c>
      <c r="AW477" s="59" t="str">
        <f aca="false">IF(ISBLANK($C477),"",IF($AJ477=Constants!$B$7,IF(ISNUMBER(AV477),COUNTIFS($AK$8:$AK$507,"&lt;"&amp;$AK477)+COUNTIFS($AK$8:$AK$507,$AK477,$AV$8:$AV$507,"&lt;"&amp;$AV477)+1,Constants!$B$14),$AJ477))</f>
        <v/>
      </c>
      <c r="AX477" s="59" t="str">
        <f aca="false">IF(ISBLANK($C477),"",IF($AJ477=Constants!$B$7,LARGE(AL477:AP477,4)*W477,""))</f>
        <v/>
      </c>
      <c r="AY477" s="59" t="str">
        <f aca="false">IF(ISBLANK($C477),"",IF($AJ477=Constants!$B$7,RANK(AX477,$AX$8:$AX$507),$AJ477))</f>
        <v/>
      </c>
      <c r="AZ477" s="59" t="str">
        <f aca="false">IF(ISBLANK($C477),"",IF($AJ477=Constants!$B$7,IF(ISNUMBER(AV477),COUNTIFS($AK$8:$AK$507,"&lt;"&amp;$AK477)+COUNTIFS($AK$8:$AK$507,$AK477,$AV$8:$AV$507,"&lt;"&amp;$AV477)+COUNTIFS($AK$8:$AK$507,$AK477,$AV$8:$AV$507,$AV477,$AY$8:$AY$507,"&lt;"&amp;$AY477)+1,Constants!$B$14),$AJ477))</f>
        <v/>
      </c>
      <c r="BA477" s="59" t="str">
        <f aca="false">IF(ISBLANK($C477),"",IF($AJ477=Constants!$B$7,IF(ISNUMBER(AW477),AW477-AZ477,Constants!$B$14),$AJ477))</f>
        <v/>
      </c>
      <c r="BB477" s="61"/>
      <c r="BC477" s="62" t="str">
        <f aca="false">IF(ISBLANK($C477),"",IF($AJ477&lt;&gt;Constants!$B$7,$AJ477,SMALL(AQ477:AS477,1)&amp;", "&amp;SMALL(AQ477:AS477,2)&amp;", "&amp;SMALL(AQ477:AS477,3)))</f>
        <v/>
      </c>
      <c r="BD477" s="63" t="str">
        <f aca="false">IF(ISBLANK($C477),"",IF($AJ477&lt;&gt;Constants!$B$7,$AJ477,W477))</f>
        <v/>
      </c>
      <c r="BE477" s="64" t="str">
        <f aca="false">IF(ISBLANK($C477),"",IF($AJ477&lt;&gt;Constants!$B$7,$AJ477,AU477))</f>
        <v/>
      </c>
      <c r="BF477" s="65" t="str">
        <f aca="false">IF(ISBLANK($C477),"",IF($AJ477&lt;&gt;Constants!$B$7,$AJ477,AK477))</f>
        <v/>
      </c>
      <c r="BG477" s="63" t="str">
        <f aca="false">IF(ISBLANK($C477),"",BA477)</f>
        <v/>
      </c>
      <c r="BH477" s="63" t="str">
        <f aca="false">IF(ISBLANK($C477),"",AZ477)</f>
        <v/>
      </c>
      <c r="BI477" s="66" t="str">
        <f aca="false">IF(ISBLANK($C477),"",IF(BH477=Constants!$B$4,COUNTA($C$8:$C$507)+2,IF(BH477=Constants!$B$5,COUNTA($C$8:$C$507)+1,IF(BH477=Constants!$B$6,COUNTA($C$8:$C$507),BH477))))</f>
        <v/>
      </c>
      <c r="BJ477" s="5"/>
      <c r="BK477" s="67" t="n">
        <f aca="false">IF(OR(ISNUMBER(BH477),BH477=Constants!$B$4,BH477=Constants!$B$6,BH477=Constants!$B$5),1,0)</f>
        <v>0</v>
      </c>
      <c r="BL477" s="67" t="n">
        <v>470</v>
      </c>
      <c r="BM477" s="67" t="str">
        <f aca="false">IF(ISBLANK($C477),"",IF(ISNUMBER(BI477),BI477+ROW($B477)/1000,""))</f>
        <v/>
      </c>
      <c r="BN477" s="67" t="str">
        <f aca="false">IF(ISNUMBER(BM477),RANK(BM477,$BM$8:$BM$507,1),"")</f>
        <v/>
      </c>
      <c r="BO477" s="67" t="str">
        <f aca="false">IF(ISBLANK($C477),"",$B477)</f>
        <v/>
      </c>
      <c r="BP477" s="67" t="str">
        <f aca="false">IF(ISBLANK($C477),"",$C477)</f>
        <v/>
      </c>
      <c r="BQ477" s="67" t="str">
        <f aca="false">IF(ISBLANK($C477),"",$D477)</f>
        <v/>
      </c>
      <c r="BR477" s="68" t="str">
        <f aca="false">BF477</f>
        <v/>
      </c>
      <c r="BS477" s="69" t="str">
        <f aca="false">BE477</f>
        <v/>
      </c>
      <c r="BT477" s="67" t="str">
        <f aca="false">IF(ISBLANK($C477),"",BH477)</f>
        <v/>
      </c>
      <c r="BU477" s="70" t="str">
        <f aca="false">IF($BL477&gt;$BK$7,"",VLOOKUP($BL477,$BN$8:$BT$507,7,FALSE()))</f>
        <v/>
      </c>
      <c r="BV477" s="71" t="str">
        <f aca="false">IF($BL477&gt;$BK$7,"",VLOOKUP($BL477,$BN$8:$BT$507,2,FALSE()))</f>
        <v/>
      </c>
      <c r="BW477" s="71" t="str">
        <f aca="false">IF($BL477&gt;$BK$7,"",VLOOKUP($BL477,$BN$8:$BT$507,3,FALSE()))</f>
        <v/>
      </c>
      <c r="BX477" s="71" t="str">
        <f aca="false">IF($BL477&gt;$BK$7,"",VLOOKUP($BL477,$BN$8:$BT$507,4,FALSE()))</f>
        <v/>
      </c>
      <c r="BY477" s="71" t="str">
        <f aca="false">IF($BL477&gt;$BK$7,"",VLOOKUP($BL477,$BN$8:$BT$507,5,FALSE()))</f>
        <v/>
      </c>
      <c r="BZ477" s="72" t="str">
        <f aca="false">IF($BL477&gt;$BK$7,"",VLOOKUP($BL477,$BN$8:$BT$507,6,FALSE()))</f>
        <v/>
      </c>
      <c r="CA477" s="48"/>
    </row>
    <row r="478" customFormat="false" ht="15.75" hidden="false" customHeight="false" outlineLevel="0" collapsed="false">
      <c r="A478" s="5"/>
      <c r="B478" s="121"/>
      <c r="C478" s="50"/>
      <c r="D478" s="51"/>
      <c r="E478" s="74"/>
      <c r="F478" s="122"/>
      <c r="G478" s="54"/>
      <c r="H478" s="123"/>
      <c r="I478" s="124"/>
      <c r="J478" s="54"/>
      <c r="K478" s="123"/>
      <c r="L478" s="54"/>
      <c r="M478" s="123"/>
      <c r="N478" s="54"/>
      <c r="O478" s="123"/>
      <c r="P478" s="54"/>
      <c r="Q478" s="123"/>
      <c r="R478" s="54"/>
      <c r="S478" s="74"/>
      <c r="T478" s="58"/>
      <c r="U478" s="59" t="str">
        <f aca="false">IF(ISBLANK($C478),"",IF(E478=Constants!$B$2, TRUE(), IF(E478=Constants!$B$3, FALSE(), TRUE())))</f>
        <v/>
      </c>
      <c r="V478" s="59" t="str">
        <f aca="false">IF(ISBLANK($C478),"",IF(F478=Constants!$B$2, TRUE(), IF(F478=Constants!$B$3, FALSE(), TRUE())))</f>
        <v/>
      </c>
      <c r="W478" s="59" t="str">
        <f aca="false">IF(ISBLANK($C478),"",IF(G478=Constants!$B$15,Constants!$B$8,IF(G478=Constants!$B$16,Constants!$B$9,Constants!$B$10)))</f>
        <v/>
      </c>
      <c r="X478" s="59" t="str">
        <f aca="false">IF(ISBLANK($C478),"",IF(H478=Constants!$B$2, TRUE(), IF(H478=Constants!$B$3, FALSE(), TRUE())))</f>
        <v/>
      </c>
      <c r="Y478" s="59" t="str">
        <f aca="false">IF(ISBLANK($C478),"",IF(I478=Constants!$B$19,Constants!$B$19,Constants!$B$18))</f>
        <v/>
      </c>
      <c r="Z478" s="59" t="str">
        <f aca="false">IF(ISBLANK($C478),"",IF(ISNUMBER(J478),IF(J478&gt;=0,J478,""),""))</f>
        <v/>
      </c>
      <c r="AA478" s="59" t="str">
        <f aca="false">IF(ISBLANK($C478),"",IF(K478=Constants!$B$19,Constants!$B$19,Constants!$B$18))</f>
        <v/>
      </c>
      <c r="AB478" s="59" t="str">
        <f aca="false">IF(ISBLANK($C478),"",IF(ISNUMBER(L478),IF(L478&gt;=0,L478,""),""))</f>
        <v/>
      </c>
      <c r="AC478" s="59" t="str">
        <f aca="false">IF(ISBLANK($C478),"",IF(M478=Constants!$B$19,Constants!$B$19,Constants!$B$18))</f>
        <v/>
      </c>
      <c r="AD478" s="59" t="str">
        <f aca="false">IF(ISBLANK($C478),"",IF(ISNUMBER(N478),IF(N478&gt;=0,N478,""),""))</f>
        <v/>
      </c>
      <c r="AE478" s="59" t="str">
        <f aca="false">IF(ISBLANK($C478),"",IF(O478=Constants!$B$19,Constants!$B$19,Constants!$B$18))</f>
        <v/>
      </c>
      <c r="AF478" s="59" t="str">
        <f aca="false">IF(ISBLANK($C478),"",IF(ISNUMBER(P478),IF(P478&gt;=0,P478,""),""))</f>
        <v/>
      </c>
      <c r="AG478" s="59" t="str">
        <f aca="false">IF(ISBLANK($C478),"",IF(Q478=Constants!$B$19,Constants!$B$19,Constants!$B$18))</f>
        <v/>
      </c>
      <c r="AH478" s="59" t="str">
        <f aca="false">IF(ISBLANK($C478),"",IF(ISNUMBER(R478),IF(R478&gt;=0,R478,""),""))</f>
        <v/>
      </c>
      <c r="AI478" s="59" t="str">
        <f aca="false">IF(ISBLANK($C478),"",IF(S478=Constants!$B$2, TRUE(), IF(S478=Constants!$B$3, FALSE(), FALSE())))</f>
        <v/>
      </c>
      <c r="AJ478" s="59" t="str">
        <f aca="false">IF(ISBLANK($C478),"",IF(AI478,Constants!$B$4,IF(COUNTA(E478:R478)=0,Constants!$B$5,IF(COUNTA(J478,L478,N478,P478,R478)=0,Constants!$B$6,Constants!$B$7))))</f>
        <v/>
      </c>
      <c r="AK478" s="59" t="str">
        <f aca="false">IF(ISBLANK($C478),"",IF($AJ478&lt;&gt;Constants!$B$7,$AJ478,IF(OR(NOT(X478),AND(NOT(U478),COUNTIFS(Y478:AG478,Constants!$B$18,Z478:AH478,"&gt;=0")&gt;0),AND(NOT(V478),COUNTIFS(Y478:AG478,Constants!$B$19,Z478:AH478,"&gt;=0")&gt;0)),Constants!$B$12,Constants!$B$11)))</f>
        <v/>
      </c>
      <c r="AL478" s="59" t="str">
        <f aca="false">IF($AJ478=Constants!$B$7,IF(Z478="",Constants!$B$13,Z478),"")</f>
        <v/>
      </c>
      <c r="AM478" s="59" t="str">
        <f aca="false">IF($AJ478=Constants!$B$7,IF(AB478="",Constants!$B$13,AB478),"")</f>
        <v/>
      </c>
      <c r="AN478" s="59" t="str">
        <f aca="false">IF($AJ478=Constants!$B$7,IF(AD478="",Constants!$B$13,AD478),"")</f>
        <v/>
      </c>
      <c r="AO478" s="59" t="str">
        <f aca="false">IF($AJ478=Constants!$B$7,IF(AF478="",Constants!$B$13,AF478),"")</f>
        <v/>
      </c>
      <c r="AP478" s="59" t="str">
        <f aca="false">IF($AJ478=Constants!$B$7,IF(AH478="",Constants!$B$13,AH478),"")</f>
        <v/>
      </c>
      <c r="AQ478" s="59" t="str">
        <f aca="false">IF($AJ478=Constants!$B$7,IF(SUMPRODUCT(--($AL478:$AP478&gt;AL478))+SUMPRODUCT(--($AL478:AL478=AL478))=1,1,IF(SUMPRODUCT(--($AL478:$AP478&gt;AM478))+SUMPRODUCT(--($AL478:AM478=AM478))=1,2,IF(SUMPRODUCT(--($AL478:$AP478&gt;AN478))+SUMPRODUCT(--($AL478:AN478=AN478))=1,3,IF(SUMPRODUCT(--($AL478:$AP478&gt;AO478))+SUMPRODUCT(--($AL478:AO478=AO478))=1,4,5)))),"")</f>
        <v/>
      </c>
      <c r="AR478" s="59" t="str">
        <f aca="false">IF($AJ478=Constants!$B$7,IF(SUMPRODUCT(--($AL478:$AP478&gt;AL478))+SUMPRODUCT(--($AL478:AL478=AL478))=2,1,IF(SUMPRODUCT(--($AL478:$AP478&gt;AM478))+SUMPRODUCT(--($AL478:AM478=AM478))=2,2,IF(SUMPRODUCT(--($AL478:$AP478&gt;AN478))+SUMPRODUCT(--($AL478:AN478=AN478))=2,3,IF(SUMPRODUCT(--($AL478:$AP478&gt;AO478))+SUMPRODUCT(--($AL478:AO478=AO478))=2,4,5)))),"")</f>
        <v/>
      </c>
      <c r="AS478" s="59" t="str">
        <f aca="false">IF($AJ478=Constants!$B$7,IF(SUMPRODUCT(--($AL478:$AP478&gt;AL478))+SUMPRODUCT(--($AL478:AL478=AL478))=3,1,IF(SUMPRODUCT(--($AL478:$AP478&gt;AM478))+SUMPRODUCT(--($AL478:AM478=AM478))=3,2,IF(SUMPRODUCT(--($AL478:$AP478&gt;AN478))+SUMPRODUCT(--($AL478:AN478=AN478))=3,3,IF(SUMPRODUCT(--($AL478:$AP478&gt;AO478))+SUMPRODUCT(--($AL478:AO478=AO478))=3,4,5)))),"")</f>
        <v/>
      </c>
      <c r="AT478" s="59" t="str">
        <f aca="false">IF($AJ478=Constants!$B$7,LARGE(AL478:AP478,1)+LARGE(AL478:AP478,2)+LARGE(AL478:AP478,3),"")</f>
        <v/>
      </c>
      <c r="AU478" s="59" t="str">
        <f aca="false">IF(ISBLANK($C478),"",IF($AJ478&lt;&gt;Constants!$B$7,$AJ478,AT478*W478))</f>
        <v/>
      </c>
      <c r="AV478" s="59" t="str">
        <f aca="false">IF(ISBLANK($C478),"",IF($AJ478=Constants!$B$7,IF(ISNUMBER(AU478),RANK(AU478,$AU$8:$AU$507),Constants!$B$14),$AJ478))</f>
        <v/>
      </c>
      <c r="AW478" s="59" t="str">
        <f aca="false">IF(ISBLANK($C478),"",IF($AJ478=Constants!$B$7,IF(ISNUMBER(AV478),COUNTIFS($AK$8:$AK$507,"&lt;"&amp;$AK478)+COUNTIFS($AK$8:$AK$507,$AK478,$AV$8:$AV$507,"&lt;"&amp;$AV478)+1,Constants!$B$14),$AJ478))</f>
        <v/>
      </c>
      <c r="AX478" s="59" t="str">
        <f aca="false">IF(ISBLANK($C478),"",IF($AJ478=Constants!$B$7,LARGE(AL478:AP478,4)*W478,""))</f>
        <v/>
      </c>
      <c r="AY478" s="59" t="str">
        <f aca="false">IF(ISBLANK($C478),"",IF($AJ478=Constants!$B$7,RANK(AX478,$AX$8:$AX$507),$AJ478))</f>
        <v/>
      </c>
      <c r="AZ478" s="59" t="str">
        <f aca="false">IF(ISBLANK($C478),"",IF($AJ478=Constants!$B$7,IF(ISNUMBER(AV478),COUNTIFS($AK$8:$AK$507,"&lt;"&amp;$AK478)+COUNTIFS($AK$8:$AK$507,$AK478,$AV$8:$AV$507,"&lt;"&amp;$AV478)+COUNTIFS($AK$8:$AK$507,$AK478,$AV$8:$AV$507,$AV478,$AY$8:$AY$507,"&lt;"&amp;$AY478)+1,Constants!$B$14),$AJ478))</f>
        <v/>
      </c>
      <c r="BA478" s="59" t="str">
        <f aca="false">IF(ISBLANK($C478),"",IF($AJ478=Constants!$B$7,IF(ISNUMBER(AW478),AW478-AZ478,Constants!$B$14),$AJ478))</f>
        <v/>
      </c>
      <c r="BB478" s="61"/>
      <c r="BC478" s="62" t="str">
        <f aca="false">IF(ISBLANK($C478),"",IF($AJ478&lt;&gt;Constants!$B$7,$AJ478,SMALL(AQ478:AS478,1)&amp;", "&amp;SMALL(AQ478:AS478,2)&amp;", "&amp;SMALL(AQ478:AS478,3)))</f>
        <v/>
      </c>
      <c r="BD478" s="63" t="str">
        <f aca="false">IF(ISBLANK($C478),"",IF($AJ478&lt;&gt;Constants!$B$7,$AJ478,W478))</f>
        <v/>
      </c>
      <c r="BE478" s="64" t="str">
        <f aca="false">IF(ISBLANK($C478),"",IF($AJ478&lt;&gt;Constants!$B$7,$AJ478,AU478))</f>
        <v/>
      </c>
      <c r="BF478" s="65" t="str">
        <f aca="false">IF(ISBLANK($C478),"",IF($AJ478&lt;&gt;Constants!$B$7,$AJ478,AK478))</f>
        <v/>
      </c>
      <c r="BG478" s="63" t="str">
        <f aca="false">IF(ISBLANK($C478),"",BA478)</f>
        <v/>
      </c>
      <c r="BH478" s="63" t="str">
        <f aca="false">IF(ISBLANK($C478),"",AZ478)</f>
        <v/>
      </c>
      <c r="BI478" s="66" t="str">
        <f aca="false">IF(ISBLANK($C478),"",IF(BH478=Constants!$B$4,COUNTA($C$8:$C$507)+2,IF(BH478=Constants!$B$5,COUNTA($C$8:$C$507)+1,IF(BH478=Constants!$B$6,COUNTA($C$8:$C$507),BH478))))</f>
        <v/>
      </c>
      <c r="BJ478" s="5"/>
      <c r="BK478" s="67" t="n">
        <f aca="false">IF(OR(ISNUMBER(BH478),BH478=Constants!$B$4,BH478=Constants!$B$6,BH478=Constants!$B$5),1,0)</f>
        <v>0</v>
      </c>
      <c r="BL478" s="67" t="n">
        <v>471</v>
      </c>
      <c r="BM478" s="67" t="str">
        <f aca="false">IF(ISBLANK($C478),"",IF(ISNUMBER(BI478),BI478+ROW($B478)/1000,""))</f>
        <v/>
      </c>
      <c r="BN478" s="67" t="str">
        <f aca="false">IF(ISNUMBER(BM478),RANK(BM478,$BM$8:$BM$507,1),"")</f>
        <v/>
      </c>
      <c r="BO478" s="67" t="str">
        <f aca="false">IF(ISBLANK($C478),"",$B478)</f>
        <v/>
      </c>
      <c r="BP478" s="67" t="str">
        <f aca="false">IF(ISBLANK($C478),"",$C478)</f>
        <v/>
      </c>
      <c r="BQ478" s="67" t="str">
        <f aca="false">IF(ISBLANK($C478),"",$D478)</f>
        <v/>
      </c>
      <c r="BR478" s="68" t="str">
        <f aca="false">BF478</f>
        <v/>
      </c>
      <c r="BS478" s="69" t="str">
        <f aca="false">BE478</f>
        <v/>
      </c>
      <c r="BT478" s="67" t="str">
        <f aca="false">IF(ISBLANK($C478),"",BH478)</f>
        <v/>
      </c>
      <c r="BU478" s="70" t="str">
        <f aca="false">IF($BL478&gt;$BK$7,"",VLOOKUP($BL478,$BN$8:$BT$507,7,FALSE()))</f>
        <v/>
      </c>
      <c r="BV478" s="71" t="str">
        <f aca="false">IF($BL478&gt;$BK$7,"",VLOOKUP($BL478,$BN$8:$BT$507,2,FALSE()))</f>
        <v/>
      </c>
      <c r="BW478" s="71" t="str">
        <f aca="false">IF($BL478&gt;$BK$7,"",VLOOKUP($BL478,$BN$8:$BT$507,3,FALSE()))</f>
        <v/>
      </c>
      <c r="BX478" s="71" t="str">
        <f aca="false">IF($BL478&gt;$BK$7,"",VLOOKUP($BL478,$BN$8:$BT$507,4,FALSE()))</f>
        <v/>
      </c>
      <c r="BY478" s="71" t="str">
        <f aca="false">IF($BL478&gt;$BK$7,"",VLOOKUP($BL478,$BN$8:$BT$507,5,FALSE()))</f>
        <v/>
      </c>
      <c r="BZ478" s="72" t="str">
        <f aca="false">IF($BL478&gt;$BK$7,"",VLOOKUP($BL478,$BN$8:$BT$507,6,FALSE()))</f>
        <v/>
      </c>
      <c r="CA478" s="48"/>
    </row>
    <row r="479" customFormat="false" ht="15.75" hidden="false" customHeight="false" outlineLevel="0" collapsed="false">
      <c r="A479" s="5"/>
      <c r="B479" s="114"/>
      <c r="C479" s="115"/>
      <c r="D479" s="100"/>
      <c r="E479" s="120"/>
      <c r="F479" s="125"/>
      <c r="G479" s="82"/>
      <c r="H479" s="126"/>
      <c r="I479" s="127"/>
      <c r="J479" s="82"/>
      <c r="K479" s="126"/>
      <c r="L479" s="82"/>
      <c r="M479" s="126"/>
      <c r="N479" s="82"/>
      <c r="O479" s="126"/>
      <c r="P479" s="82"/>
      <c r="Q479" s="126"/>
      <c r="R479" s="82"/>
      <c r="S479" s="120"/>
      <c r="T479" s="86"/>
      <c r="U479" s="87" t="str">
        <f aca="false">IF(ISBLANK($C479),"",IF(E479=Constants!$B$2, TRUE(), IF(E479=Constants!$B$3, FALSE(), TRUE())))</f>
        <v/>
      </c>
      <c r="V479" s="87" t="str">
        <f aca="false">IF(ISBLANK($C479),"",IF(F479=Constants!$B$2, TRUE(), IF(F479=Constants!$B$3, FALSE(), TRUE())))</f>
        <v/>
      </c>
      <c r="W479" s="87" t="str">
        <f aca="false">IF(ISBLANK($C479),"",IF(G479=Constants!$B$15,Constants!$B$8,IF(G479=Constants!$B$16,Constants!$B$9,Constants!$B$10)))</f>
        <v/>
      </c>
      <c r="X479" s="87" t="str">
        <f aca="false">IF(ISBLANK($C479),"",IF(H479=Constants!$B$2, TRUE(), IF(H479=Constants!$B$3, FALSE(), TRUE())))</f>
        <v/>
      </c>
      <c r="Y479" s="87" t="str">
        <f aca="false">IF(ISBLANK($C479),"",IF(I479=Constants!$B$19,Constants!$B$19,Constants!$B$18))</f>
        <v/>
      </c>
      <c r="Z479" s="87" t="str">
        <f aca="false">IF(ISBLANK($C479),"",IF(ISNUMBER(J479),IF(J479&gt;=0,J479,""),""))</f>
        <v/>
      </c>
      <c r="AA479" s="87" t="str">
        <f aca="false">IF(ISBLANK($C479),"",IF(K479=Constants!$B$19,Constants!$B$19,Constants!$B$18))</f>
        <v/>
      </c>
      <c r="AB479" s="87" t="str">
        <f aca="false">IF(ISBLANK($C479),"",IF(ISNUMBER(L479),IF(L479&gt;=0,L479,""),""))</f>
        <v/>
      </c>
      <c r="AC479" s="87" t="str">
        <f aca="false">IF(ISBLANK($C479),"",IF(M479=Constants!$B$19,Constants!$B$19,Constants!$B$18))</f>
        <v/>
      </c>
      <c r="AD479" s="87" t="str">
        <f aca="false">IF(ISBLANK($C479),"",IF(ISNUMBER(N479),IF(N479&gt;=0,N479,""),""))</f>
        <v/>
      </c>
      <c r="AE479" s="87" t="str">
        <f aca="false">IF(ISBLANK($C479),"",IF(O479=Constants!$B$19,Constants!$B$19,Constants!$B$18))</f>
        <v/>
      </c>
      <c r="AF479" s="87" t="str">
        <f aca="false">IF(ISBLANK($C479),"",IF(ISNUMBER(P479),IF(P479&gt;=0,P479,""),""))</f>
        <v/>
      </c>
      <c r="AG479" s="87" t="str">
        <f aca="false">IF(ISBLANK($C479),"",IF(Q479=Constants!$B$19,Constants!$B$19,Constants!$B$18))</f>
        <v/>
      </c>
      <c r="AH479" s="87" t="str">
        <f aca="false">IF(ISBLANK($C479),"",IF(ISNUMBER(R479),IF(R479&gt;=0,R479,""),""))</f>
        <v/>
      </c>
      <c r="AI479" s="87" t="str">
        <f aca="false">IF(ISBLANK($C479),"",IF(S479=Constants!$B$2, TRUE(), IF(S479=Constants!$B$3, FALSE(), FALSE())))</f>
        <v/>
      </c>
      <c r="AJ479" s="87" t="str">
        <f aca="false">IF(ISBLANK($C479),"",IF(AI479,Constants!$B$4,IF(COUNTA(E479:R479)=0,Constants!$B$5,IF(COUNTA(J479,L479,N479,P479,R479)=0,Constants!$B$6,Constants!$B$7))))</f>
        <v/>
      </c>
      <c r="AK479" s="87" t="str">
        <f aca="false">IF(ISBLANK($C479),"",IF($AJ479&lt;&gt;Constants!$B$7,$AJ479,IF(OR(NOT(X479),AND(NOT(U479),COUNTIFS(Y479:AG479,Constants!$B$18,Z479:AH479,"&gt;=0")&gt;0),AND(NOT(V479),COUNTIFS(Y479:AG479,Constants!$B$19,Z479:AH479,"&gt;=0")&gt;0)),Constants!$B$12,Constants!$B$11)))</f>
        <v/>
      </c>
      <c r="AL479" s="87" t="str">
        <f aca="false">IF($AJ479=Constants!$B$7,IF(Z479="",Constants!$B$13,Z479),"")</f>
        <v/>
      </c>
      <c r="AM479" s="87" t="str">
        <f aca="false">IF($AJ479=Constants!$B$7,IF(AB479="",Constants!$B$13,AB479),"")</f>
        <v/>
      </c>
      <c r="AN479" s="87" t="str">
        <f aca="false">IF($AJ479=Constants!$B$7,IF(AD479="",Constants!$B$13,AD479),"")</f>
        <v/>
      </c>
      <c r="AO479" s="87" t="str">
        <f aca="false">IF($AJ479=Constants!$B$7,IF(AF479="",Constants!$B$13,AF479),"")</f>
        <v/>
      </c>
      <c r="AP479" s="87" t="str">
        <f aca="false">IF($AJ479=Constants!$B$7,IF(AH479="",Constants!$B$13,AH479),"")</f>
        <v/>
      </c>
      <c r="AQ479" s="87" t="str">
        <f aca="false">IF($AJ479=Constants!$B$7,IF(SUMPRODUCT(--($AL479:$AP479&gt;AL479))+SUMPRODUCT(--($AL479:AL479=AL479))=1,1,IF(SUMPRODUCT(--($AL479:$AP479&gt;AM479))+SUMPRODUCT(--($AL479:AM479=AM479))=1,2,IF(SUMPRODUCT(--($AL479:$AP479&gt;AN479))+SUMPRODUCT(--($AL479:AN479=AN479))=1,3,IF(SUMPRODUCT(--($AL479:$AP479&gt;AO479))+SUMPRODUCT(--($AL479:AO479=AO479))=1,4,5)))),"")</f>
        <v/>
      </c>
      <c r="AR479" s="87" t="str">
        <f aca="false">IF($AJ479=Constants!$B$7,IF(SUMPRODUCT(--($AL479:$AP479&gt;AL479))+SUMPRODUCT(--($AL479:AL479=AL479))=2,1,IF(SUMPRODUCT(--($AL479:$AP479&gt;AM479))+SUMPRODUCT(--($AL479:AM479=AM479))=2,2,IF(SUMPRODUCT(--($AL479:$AP479&gt;AN479))+SUMPRODUCT(--($AL479:AN479=AN479))=2,3,IF(SUMPRODUCT(--($AL479:$AP479&gt;AO479))+SUMPRODUCT(--($AL479:AO479=AO479))=2,4,5)))),"")</f>
        <v/>
      </c>
      <c r="AS479" s="87" t="str">
        <f aca="false">IF($AJ479=Constants!$B$7,IF(SUMPRODUCT(--($AL479:$AP479&gt;AL479))+SUMPRODUCT(--($AL479:AL479=AL479))=3,1,IF(SUMPRODUCT(--($AL479:$AP479&gt;AM479))+SUMPRODUCT(--($AL479:AM479=AM479))=3,2,IF(SUMPRODUCT(--($AL479:$AP479&gt;AN479))+SUMPRODUCT(--($AL479:AN479=AN479))=3,3,IF(SUMPRODUCT(--($AL479:$AP479&gt;AO479))+SUMPRODUCT(--($AL479:AO479=AO479))=3,4,5)))),"")</f>
        <v/>
      </c>
      <c r="AT479" s="87" t="str">
        <f aca="false">IF($AJ479=Constants!$B$7,LARGE(AL479:AP479,1)+LARGE(AL479:AP479,2)+LARGE(AL479:AP479,3),"")</f>
        <v/>
      </c>
      <c r="AU479" s="87" t="str">
        <f aca="false">IF(ISBLANK($C479),"",IF($AJ479&lt;&gt;Constants!$B$7,$AJ479,AT479*W479))</f>
        <v/>
      </c>
      <c r="AV479" s="87" t="str">
        <f aca="false">IF(ISBLANK($C479),"",IF($AJ479=Constants!$B$7,IF(ISNUMBER(AU479),RANK(AU479,$AU$8:$AU$507),Constants!$B$14),$AJ479))</f>
        <v/>
      </c>
      <c r="AW479" s="87" t="str">
        <f aca="false">IF(ISBLANK($C479),"",IF($AJ479=Constants!$B$7,IF(ISNUMBER(AV479),COUNTIFS($AK$8:$AK$507,"&lt;"&amp;$AK479)+COUNTIFS($AK$8:$AK$507,$AK479,$AV$8:$AV$507,"&lt;"&amp;$AV479)+1,Constants!$B$14),$AJ479))</f>
        <v/>
      </c>
      <c r="AX479" s="87" t="str">
        <f aca="false">IF(ISBLANK($C479),"",IF($AJ479=Constants!$B$7,LARGE(AL479:AP479,4)*W479,""))</f>
        <v/>
      </c>
      <c r="AY479" s="87" t="str">
        <f aca="false">IF(ISBLANK($C479),"",IF($AJ479=Constants!$B$7,RANK(AX479,$AX$8:$AX$507),$AJ479))</f>
        <v/>
      </c>
      <c r="AZ479" s="87" t="str">
        <f aca="false">IF(ISBLANK($C479),"",IF($AJ479=Constants!$B$7,IF(ISNUMBER(AV479),COUNTIFS($AK$8:$AK$507,"&lt;"&amp;$AK479)+COUNTIFS($AK$8:$AK$507,$AK479,$AV$8:$AV$507,"&lt;"&amp;$AV479)+COUNTIFS($AK$8:$AK$507,$AK479,$AV$8:$AV$507,$AV479,$AY$8:$AY$507,"&lt;"&amp;$AY479)+1,Constants!$B$14),$AJ479))</f>
        <v/>
      </c>
      <c r="BA479" s="87" t="str">
        <f aca="false">IF(ISBLANK($C479),"",IF($AJ479=Constants!$B$7,IF(ISNUMBER(AW479),AW479-AZ479,Constants!$B$14),$AJ479))</f>
        <v/>
      </c>
      <c r="BB479" s="88"/>
      <c r="BC479" s="89" t="str">
        <f aca="false">IF(ISBLANK($C479),"",IF($AJ479&lt;&gt;Constants!$B$7,$AJ479,SMALL(AQ479:AS479,1)&amp;", "&amp;SMALL(AQ479:AS479,2)&amp;", "&amp;SMALL(AQ479:AS479,3)))</f>
        <v/>
      </c>
      <c r="BD479" s="90" t="str">
        <f aca="false">IF(ISBLANK($C479),"",IF($AJ479&lt;&gt;Constants!$B$7,$AJ479,W479))</f>
        <v/>
      </c>
      <c r="BE479" s="91" t="str">
        <f aca="false">IF(ISBLANK($C479),"",IF($AJ479&lt;&gt;Constants!$B$7,$AJ479,AU479))</f>
        <v/>
      </c>
      <c r="BF479" s="92" t="str">
        <f aca="false">IF(ISBLANK($C479),"",IF($AJ479&lt;&gt;Constants!$B$7,$AJ479,AK479))</f>
        <v/>
      </c>
      <c r="BG479" s="90" t="str">
        <f aca="false">IF(ISBLANK($C479),"",BA479)</f>
        <v/>
      </c>
      <c r="BH479" s="90" t="str">
        <f aca="false">IF(ISBLANK($C479),"",AZ479)</f>
        <v/>
      </c>
      <c r="BI479" s="93" t="str">
        <f aca="false">IF(ISBLANK($C479),"",IF(BH479=Constants!$B$4,COUNTA($C$8:$C$507)+2,IF(BH479=Constants!$B$5,COUNTA($C$8:$C$507)+1,IF(BH479=Constants!$B$6,COUNTA($C$8:$C$507),BH479))))</f>
        <v/>
      </c>
      <c r="BJ479" s="5"/>
      <c r="BK479" s="94" t="n">
        <f aca="false">IF(OR(ISNUMBER(BH479),BH479=Constants!$B$4,BH479=Constants!$B$6,BH479=Constants!$B$5),1,0)</f>
        <v>0</v>
      </c>
      <c r="BL479" s="94" t="n">
        <v>472</v>
      </c>
      <c r="BM479" s="94" t="str">
        <f aca="false">IF(ISBLANK($C479),"",IF(ISNUMBER(BI479),BI479+ROW($B479)/1000,""))</f>
        <v/>
      </c>
      <c r="BN479" s="94" t="str">
        <f aca="false">IF(ISNUMBER(BM479),RANK(BM479,$BM$8:$BM$507,1),"")</f>
        <v/>
      </c>
      <c r="BO479" s="94" t="str">
        <f aca="false">IF(ISBLANK($C479),"",$B479)</f>
        <v/>
      </c>
      <c r="BP479" s="94" t="str">
        <f aca="false">IF(ISBLANK($C479),"",$C479)</f>
        <v/>
      </c>
      <c r="BQ479" s="94" t="str">
        <f aca="false">IF(ISBLANK($C479),"",$D479)</f>
        <v/>
      </c>
      <c r="BR479" s="95" t="str">
        <f aca="false">BF479</f>
        <v/>
      </c>
      <c r="BS479" s="96" t="str">
        <f aca="false">BE479</f>
        <v/>
      </c>
      <c r="BT479" s="94" t="str">
        <f aca="false">IF(ISBLANK($C479),"",BH479)</f>
        <v/>
      </c>
      <c r="BU479" s="97" t="str">
        <f aca="false">IF($BL479&gt;$BK$7,"",VLOOKUP($BL479,$BN$8:$BT$507,7,FALSE()))</f>
        <v/>
      </c>
      <c r="BV479" s="98" t="str">
        <f aca="false">IF($BL479&gt;$BK$7,"",VLOOKUP($BL479,$BN$8:$BT$507,2,FALSE()))</f>
        <v/>
      </c>
      <c r="BW479" s="98" t="str">
        <f aca="false">IF($BL479&gt;$BK$7,"",VLOOKUP($BL479,$BN$8:$BT$507,3,FALSE()))</f>
        <v/>
      </c>
      <c r="BX479" s="98" t="str">
        <f aca="false">IF($BL479&gt;$BK$7,"",VLOOKUP($BL479,$BN$8:$BT$507,4,FALSE()))</f>
        <v/>
      </c>
      <c r="BY479" s="98" t="str">
        <f aca="false">IF($BL479&gt;$BK$7,"",VLOOKUP($BL479,$BN$8:$BT$507,5,FALSE()))</f>
        <v/>
      </c>
      <c r="BZ479" s="99" t="str">
        <f aca="false">IF($BL479&gt;$BK$7,"",VLOOKUP($BL479,$BN$8:$BT$507,6,FALSE()))</f>
        <v/>
      </c>
      <c r="CA479" s="48"/>
    </row>
    <row r="480" customFormat="false" ht="15.75" hidden="false" customHeight="false" outlineLevel="0" collapsed="false">
      <c r="A480" s="5"/>
      <c r="B480" s="114"/>
      <c r="C480" s="115"/>
      <c r="D480" s="100"/>
      <c r="E480" s="120"/>
      <c r="F480" s="125"/>
      <c r="G480" s="82"/>
      <c r="H480" s="126"/>
      <c r="I480" s="127"/>
      <c r="J480" s="82"/>
      <c r="K480" s="126"/>
      <c r="L480" s="82"/>
      <c r="M480" s="126"/>
      <c r="N480" s="82"/>
      <c r="O480" s="126"/>
      <c r="P480" s="82"/>
      <c r="Q480" s="126"/>
      <c r="R480" s="82"/>
      <c r="S480" s="120"/>
      <c r="T480" s="86"/>
      <c r="U480" s="87" t="str">
        <f aca="false">IF(ISBLANK($C480),"",IF(E480=Constants!$B$2, TRUE(), IF(E480=Constants!$B$3, FALSE(), TRUE())))</f>
        <v/>
      </c>
      <c r="V480" s="87" t="str">
        <f aca="false">IF(ISBLANK($C480),"",IF(F480=Constants!$B$2, TRUE(), IF(F480=Constants!$B$3, FALSE(), TRUE())))</f>
        <v/>
      </c>
      <c r="W480" s="87" t="str">
        <f aca="false">IF(ISBLANK($C480),"",IF(G480=Constants!$B$15,Constants!$B$8,IF(G480=Constants!$B$16,Constants!$B$9,Constants!$B$10)))</f>
        <v/>
      </c>
      <c r="X480" s="87" t="str">
        <f aca="false">IF(ISBLANK($C480),"",IF(H480=Constants!$B$2, TRUE(), IF(H480=Constants!$B$3, FALSE(), TRUE())))</f>
        <v/>
      </c>
      <c r="Y480" s="87" t="str">
        <f aca="false">IF(ISBLANK($C480),"",IF(I480=Constants!$B$19,Constants!$B$19,Constants!$B$18))</f>
        <v/>
      </c>
      <c r="Z480" s="87" t="str">
        <f aca="false">IF(ISBLANK($C480),"",IF(ISNUMBER(J480),IF(J480&gt;=0,J480,""),""))</f>
        <v/>
      </c>
      <c r="AA480" s="87" t="str">
        <f aca="false">IF(ISBLANK($C480),"",IF(K480=Constants!$B$19,Constants!$B$19,Constants!$B$18))</f>
        <v/>
      </c>
      <c r="AB480" s="87" t="str">
        <f aca="false">IF(ISBLANK($C480),"",IF(ISNUMBER(L480),IF(L480&gt;=0,L480,""),""))</f>
        <v/>
      </c>
      <c r="AC480" s="87" t="str">
        <f aca="false">IF(ISBLANK($C480),"",IF(M480=Constants!$B$19,Constants!$B$19,Constants!$B$18))</f>
        <v/>
      </c>
      <c r="AD480" s="87" t="str">
        <f aca="false">IF(ISBLANK($C480),"",IF(ISNUMBER(N480),IF(N480&gt;=0,N480,""),""))</f>
        <v/>
      </c>
      <c r="AE480" s="87" t="str">
        <f aca="false">IF(ISBLANK($C480),"",IF(O480=Constants!$B$19,Constants!$B$19,Constants!$B$18))</f>
        <v/>
      </c>
      <c r="AF480" s="87" t="str">
        <f aca="false">IF(ISBLANK($C480),"",IF(ISNUMBER(P480),IF(P480&gt;=0,P480,""),""))</f>
        <v/>
      </c>
      <c r="AG480" s="87" t="str">
        <f aca="false">IF(ISBLANK($C480),"",IF(Q480=Constants!$B$19,Constants!$B$19,Constants!$B$18))</f>
        <v/>
      </c>
      <c r="AH480" s="87" t="str">
        <f aca="false">IF(ISBLANK($C480),"",IF(ISNUMBER(R480),IF(R480&gt;=0,R480,""),""))</f>
        <v/>
      </c>
      <c r="AI480" s="87" t="str">
        <f aca="false">IF(ISBLANK($C480),"",IF(S480=Constants!$B$2, TRUE(), IF(S480=Constants!$B$3, FALSE(), FALSE())))</f>
        <v/>
      </c>
      <c r="AJ480" s="87" t="str">
        <f aca="false">IF(ISBLANK($C480),"",IF(AI480,Constants!$B$4,IF(COUNTA(E480:R480)=0,Constants!$B$5,IF(COUNTA(J480,L480,N480,P480,R480)=0,Constants!$B$6,Constants!$B$7))))</f>
        <v/>
      </c>
      <c r="AK480" s="87" t="str">
        <f aca="false">IF(ISBLANK($C480),"",IF($AJ480&lt;&gt;Constants!$B$7,$AJ480,IF(OR(NOT(X480),AND(NOT(U480),COUNTIFS(Y480:AG480,Constants!$B$18,Z480:AH480,"&gt;=0")&gt;0),AND(NOT(V480),COUNTIFS(Y480:AG480,Constants!$B$19,Z480:AH480,"&gt;=0")&gt;0)),Constants!$B$12,Constants!$B$11)))</f>
        <v/>
      </c>
      <c r="AL480" s="87" t="str">
        <f aca="false">IF($AJ480=Constants!$B$7,IF(Z480="",Constants!$B$13,Z480),"")</f>
        <v/>
      </c>
      <c r="AM480" s="87" t="str">
        <f aca="false">IF($AJ480=Constants!$B$7,IF(AB480="",Constants!$B$13,AB480),"")</f>
        <v/>
      </c>
      <c r="AN480" s="87" t="str">
        <f aca="false">IF($AJ480=Constants!$B$7,IF(AD480="",Constants!$B$13,AD480),"")</f>
        <v/>
      </c>
      <c r="AO480" s="87" t="str">
        <f aca="false">IF($AJ480=Constants!$B$7,IF(AF480="",Constants!$B$13,AF480),"")</f>
        <v/>
      </c>
      <c r="AP480" s="87" t="str">
        <f aca="false">IF($AJ480=Constants!$B$7,IF(AH480="",Constants!$B$13,AH480),"")</f>
        <v/>
      </c>
      <c r="AQ480" s="87" t="str">
        <f aca="false">IF($AJ480=Constants!$B$7,IF(SUMPRODUCT(--($AL480:$AP480&gt;AL480))+SUMPRODUCT(--($AL480:AL480=AL480))=1,1,IF(SUMPRODUCT(--($AL480:$AP480&gt;AM480))+SUMPRODUCT(--($AL480:AM480=AM480))=1,2,IF(SUMPRODUCT(--($AL480:$AP480&gt;AN480))+SUMPRODUCT(--($AL480:AN480=AN480))=1,3,IF(SUMPRODUCT(--($AL480:$AP480&gt;AO480))+SUMPRODUCT(--($AL480:AO480=AO480))=1,4,5)))),"")</f>
        <v/>
      </c>
      <c r="AR480" s="87" t="str">
        <f aca="false">IF($AJ480=Constants!$B$7,IF(SUMPRODUCT(--($AL480:$AP480&gt;AL480))+SUMPRODUCT(--($AL480:AL480=AL480))=2,1,IF(SUMPRODUCT(--($AL480:$AP480&gt;AM480))+SUMPRODUCT(--($AL480:AM480=AM480))=2,2,IF(SUMPRODUCT(--($AL480:$AP480&gt;AN480))+SUMPRODUCT(--($AL480:AN480=AN480))=2,3,IF(SUMPRODUCT(--($AL480:$AP480&gt;AO480))+SUMPRODUCT(--($AL480:AO480=AO480))=2,4,5)))),"")</f>
        <v/>
      </c>
      <c r="AS480" s="87" t="str">
        <f aca="false">IF($AJ480=Constants!$B$7,IF(SUMPRODUCT(--($AL480:$AP480&gt;AL480))+SUMPRODUCT(--($AL480:AL480=AL480))=3,1,IF(SUMPRODUCT(--($AL480:$AP480&gt;AM480))+SUMPRODUCT(--($AL480:AM480=AM480))=3,2,IF(SUMPRODUCT(--($AL480:$AP480&gt;AN480))+SUMPRODUCT(--($AL480:AN480=AN480))=3,3,IF(SUMPRODUCT(--($AL480:$AP480&gt;AO480))+SUMPRODUCT(--($AL480:AO480=AO480))=3,4,5)))),"")</f>
        <v/>
      </c>
      <c r="AT480" s="87" t="str">
        <f aca="false">IF($AJ480=Constants!$B$7,LARGE(AL480:AP480,1)+LARGE(AL480:AP480,2)+LARGE(AL480:AP480,3),"")</f>
        <v/>
      </c>
      <c r="AU480" s="87" t="str">
        <f aca="false">IF(ISBLANK($C480),"",IF($AJ480&lt;&gt;Constants!$B$7,$AJ480,AT480*W480))</f>
        <v/>
      </c>
      <c r="AV480" s="87" t="str">
        <f aca="false">IF(ISBLANK($C480),"",IF($AJ480=Constants!$B$7,IF(ISNUMBER(AU480),RANK(AU480,$AU$8:$AU$507),Constants!$B$14),$AJ480))</f>
        <v/>
      </c>
      <c r="AW480" s="87" t="str">
        <f aca="false">IF(ISBLANK($C480),"",IF($AJ480=Constants!$B$7,IF(ISNUMBER(AV480),COUNTIFS($AK$8:$AK$507,"&lt;"&amp;$AK480)+COUNTIFS($AK$8:$AK$507,$AK480,$AV$8:$AV$507,"&lt;"&amp;$AV480)+1,Constants!$B$14),$AJ480))</f>
        <v/>
      </c>
      <c r="AX480" s="87" t="str">
        <f aca="false">IF(ISBLANK($C480),"",IF($AJ480=Constants!$B$7,LARGE(AL480:AP480,4)*W480,""))</f>
        <v/>
      </c>
      <c r="AY480" s="87" t="str">
        <f aca="false">IF(ISBLANK($C480),"",IF($AJ480=Constants!$B$7,RANK(AX480,$AX$8:$AX$507),$AJ480))</f>
        <v/>
      </c>
      <c r="AZ480" s="87" t="str">
        <f aca="false">IF(ISBLANK($C480),"",IF($AJ480=Constants!$B$7,IF(ISNUMBER(AV480),COUNTIFS($AK$8:$AK$507,"&lt;"&amp;$AK480)+COUNTIFS($AK$8:$AK$507,$AK480,$AV$8:$AV$507,"&lt;"&amp;$AV480)+COUNTIFS($AK$8:$AK$507,$AK480,$AV$8:$AV$507,$AV480,$AY$8:$AY$507,"&lt;"&amp;$AY480)+1,Constants!$B$14),$AJ480))</f>
        <v/>
      </c>
      <c r="BA480" s="87" t="str">
        <f aca="false">IF(ISBLANK($C480),"",IF($AJ480=Constants!$B$7,IF(ISNUMBER(AW480),AW480-AZ480,Constants!$B$14),$AJ480))</f>
        <v/>
      </c>
      <c r="BB480" s="88"/>
      <c r="BC480" s="89" t="str">
        <f aca="false">IF(ISBLANK($C480),"",IF($AJ480&lt;&gt;Constants!$B$7,$AJ480,SMALL(AQ480:AS480,1)&amp;", "&amp;SMALL(AQ480:AS480,2)&amp;", "&amp;SMALL(AQ480:AS480,3)))</f>
        <v/>
      </c>
      <c r="BD480" s="90" t="str">
        <f aca="false">IF(ISBLANK($C480),"",IF($AJ480&lt;&gt;Constants!$B$7,$AJ480,W480))</f>
        <v/>
      </c>
      <c r="BE480" s="91" t="str">
        <f aca="false">IF(ISBLANK($C480),"",IF($AJ480&lt;&gt;Constants!$B$7,$AJ480,AU480))</f>
        <v/>
      </c>
      <c r="BF480" s="92" t="str">
        <f aca="false">IF(ISBLANK($C480),"",IF($AJ480&lt;&gt;Constants!$B$7,$AJ480,AK480))</f>
        <v/>
      </c>
      <c r="BG480" s="90" t="str">
        <f aca="false">IF(ISBLANK($C480),"",BA480)</f>
        <v/>
      </c>
      <c r="BH480" s="90" t="str">
        <f aca="false">IF(ISBLANK($C480),"",AZ480)</f>
        <v/>
      </c>
      <c r="BI480" s="93" t="str">
        <f aca="false">IF(ISBLANK($C480),"",IF(BH480=Constants!$B$4,COUNTA($C$8:$C$507)+2,IF(BH480=Constants!$B$5,COUNTA($C$8:$C$507)+1,IF(BH480=Constants!$B$6,COUNTA($C$8:$C$507),BH480))))</f>
        <v/>
      </c>
      <c r="BJ480" s="5"/>
      <c r="BK480" s="94" t="n">
        <f aca="false">IF(OR(ISNUMBER(BH480),BH480=Constants!$B$4,BH480=Constants!$B$6,BH480=Constants!$B$5),1,0)</f>
        <v>0</v>
      </c>
      <c r="BL480" s="94" t="n">
        <v>473</v>
      </c>
      <c r="BM480" s="94" t="str">
        <f aca="false">IF(ISBLANK($C480),"",IF(ISNUMBER(BI480),BI480+ROW($B480)/1000,""))</f>
        <v/>
      </c>
      <c r="BN480" s="94" t="str">
        <f aca="false">IF(ISNUMBER(BM480),RANK(BM480,$BM$8:$BM$507,1),"")</f>
        <v/>
      </c>
      <c r="BO480" s="94" t="str">
        <f aca="false">IF(ISBLANK($C480),"",$B480)</f>
        <v/>
      </c>
      <c r="BP480" s="94" t="str">
        <f aca="false">IF(ISBLANK($C480),"",$C480)</f>
        <v/>
      </c>
      <c r="BQ480" s="94" t="str">
        <f aca="false">IF(ISBLANK($C480),"",$D480)</f>
        <v/>
      </c>
      <c r="BR480" s="95" t="str">
        <f aca="false">BF480</f>
        <v/>
      </c>
      <c r="BS480" s="96" t="str">
        <f aca="false">BE480</f>
        <v/>
      </c>
      <c r="BT480" s="94" t="str">
        <f aca="false">IF(ISBLANK($C480),"",BH480)</f>
        <v/>
      </c>
      <c r="BU480" s="97" t="str">
        <f aca="false">IF($BL480&gt;$BK$7,"",VLOOKUP($BL480,$BN$8:$BT$507,7,FALSE()))</f>
        <v/>
      </c>
      <c r="BV480" s="98" t="str">
        <f aca="false">IF($BL480&gt;$BK$7,"",VLOOKUP($BL480,$BN$8:$BT$507,2,FALSE()))</f>
        <v/>
      </c>
      <c r="BW480" s="98" t="str">
        <f aca="false">IF($BL480&gt;$BK$7,"",VLOOKUP($BL480,$BN$8:$BT$507,3,FALSE()))</f>
        <v/>
      </c>
      <c r="BX480" s="98" t="str">
        <f aca="false">IF($BL480&gt;$BK$7,"",VLOOKUP($BL480,$BN$8:$BT$507,4,FALSE()))</f>
        <v/>
      </c>
      <c r="BY480" s="98" t="str">
        <f aca="false">IF($BL480&gt;$BK$7,"",VLOOKUP($BL480,$BN$8:$BT$507,5,FALSE()))</f>
        <v/>
      </c>
      <c r="BZ480" s="99" t="str">
        <f aca="false">IF($BL480&gt;$BK$7,"",VLOOKUP($BL480,$BN$8:$BT$507,6,FALSE()))</f>
        <v/>
      </c>
      <c r="CA480" s="48"/>
    </row>
    <row r="481" customFormat="false" ht="15.75" hidden="false" customHeight="false" outlineLevel="0" collapsed="false">
      <c r="A481" s="5"/>
      <c r="B481" s="114"/>
      <c r="C481" s="115"/>
      <c r="D481" s="100"/>
      <c r="E481" s="120"/>
      <c r="F481" s="125"/>
      <c r="G481" s="82"/>
      <c r="H481" s="126"/>
      <c r="I481" s="127"/>
      <c r="J481" s="82"/>
      <c r="K481" s="126"/>
      <c r="L481" s="82"/>
      <c r="M481" s="126"/>
      <c r="N481" s="82"/>
      <c r="O481" s="126"/>
      <c r="P481" s="82"/>
      <c r="Q481" s="126"/>
      <c r="R481" s="82"/>
      <c r="S481" s="120"/>
      <c r="T481" s="86"/>
      <c r="U481" s="87" t="str">
        <f aca="false">IF(ISBLANK($C481),"",IF(E481=Constants!$B$2, TRUE(), IF(E481=Constants!$B$3, FALSE(), TRUE())))</f>
        <v/>
      </c>
      <c r="V481" s="87" t="str">
        <f aca="false">IF(ISBLANK($C481),"",IF(F481=Constants!$B$2, TRUE(), IF(F481=Constants!$B$3, FALSE(), TRUE())))</f>
        <v/>
      </c>
      <c r="W481" s="87" t="str">
        <f aca="false">IF(ISBLANK($C481),"",IF(G481=Constants!$B$15,Constants!$B$8,IF(G481=Constants!$B$16,Constants!$B$9,Constants!$B$10)))</f>
        <v/>
      </c>
      <c r="X481" s="87" t="str">
        <f aca="false">IF(ISBLANK($C481),"",IF(H481=Constants!$B$2, TRUE(), IF(H481=Constants!$B$3, FALSE(), TRUE())))</f>
        <v/>
      </c>
      <c r="Y481" s="87" t="str">
        <f aca="false">IF(ISBLANK($C481),"",IF(I481=Constants!$B$19,Constants!$B$19,Constants!$B$18))</f>
        <v/>
      </c>
      <c r="Z481" s="87" t="str">
        <f aca="false">IF(ISBLANK($C481),"",IF(ISNUMBER(J481),IF(J481&gt;=0,J481,""),""))</f>
        <v/>
      </c>
      <c r="AA481" s="87" t="str">
        <f aca="false">IF(ISBLANK($C481),"",IF(K481=Constants!$B$19,Constants!$B$19,Constants!$B$18))</f>
        <v/>
      </c>
      <c r="AB481" s="87" t="str">
        <f aca="false">IF(ISBLANK($C481),"",IF(ISNUMBER(L481),IF(L481&gt;=0,L481,""),""))</f>
        <v/>
      </c>
      <c r="AC481" s="87" t="str">
        <f aca="false">IF(ISBLANK($C481),"",IF(M481=Constants!$B$19,Constants!$B$19,Constants!$B$18))</f>
        <v/>
      </c>
      <c r="AD481" s="87" t="str">
        <f aca="false">IF(ISBLANK($C481),"",IF(ISNUMBER(N481),IF(N481&gt;=0,N481,""),""))</f>
        <v/>
      </c>
      <c r="AE481" s="87" t="str">
        <f aca="false">IF(ISBLANK($C481),"",IF(O481=Constants!$B$19,Constants!$B$19,Constants!$B$18))</f>
        <v/>
      </c>
      <c r="AF481" s="87" t="str">
        <f aca="false">IF(ISBLANK($C481),"",IF(ISNUMBER(P481),IF(P481&gt;=0,P481,""),""))</f>
        <v/>
      </c>
      <c r="AG481" s="87" t="str">
        <f aca="false">IF(ISBLANK($C481),"",IF(Q481=Constants!$B$19,Constants!$B$19,Constants!$B$18))</f>
        <v/>
      </c>
      <c r="AH481" s="87" t="str">
        <f aca="false">IF(ISBLANK($C481),"",IF(ISNUMBER(R481),IF(R481&gt;=0,R481,""),""))</f>
        <v/>
      </c>
      <c r="AI481" s="87" t="str">
        <f aca="false">IF(ISBLANK($C481),"",IF(S481=Constants!$B$2, TRUE(), IF(S481=Constants!$B$3, FALSE(), FALSE())))</f>
        <v/>
      </c>
      <c r="AJ481" s="87" t="str">
        <f aca="false">IF(ISBLANK($C481),"",IF(AI481,Constants!$B$4,IF(COUNTA(E481:R481)=0,Constants!$B$5,IF(COUNTA(J481,L481,N481,P481,R481)=0,Constants!$B$6,Constants!$B$7))))</f>
        <v/>
      </c>
      <c r="AK481" s="87" t="str">
        <f aca="false">IF(ISBLANK($C481),"",IF($AJ481&lt;&gt;Constants!$B$7,$AJ481,IF(OR(NOT(X481),AND(NOT(U481),COUNTIFS(Y481:AG481,Constants!$B$18,Z481:AH481,"&gt;=0")&gt;0),AND(NOT(V481),COUNTIFS(Y481:AG481,Constants!$B$19,Z481:AH481,"&gt;=0")&gt;0)),Constants!$B$12,Constants!$B$11)))</f>
        <v/>
      </c>
      <c r="AL481" s="87" t="str">
        <f aca="false">IF($AJ481=Constants!$B$7,IF(Z481="",Constants!$B$13,Z481),"")</f>
        <v/>
      </c>
      <c r="AM481" s="87" t="str">
        <f aca="false">IF($AJ481=Constants!$B$7,IF(AB481="",Constants!$B$13,AB481),"")</f>
        <v/>
      </c>
      <c r="AN481" s="87" t="str">
        <f aca="false">IF($AJ481=Constants!$B$7,IF(AD481="",Constants!$B$13,AD481),"")</f>
        <v/>
      </c>
      <c r="AO481" s="87" t="str">
        <f aca="false">IF($AJ481=Constants!$B$7,IF(AF481="",Constants!$B$13,AF481),"")</f>
        <v/>
      </c>
      <c r="AP481" s="87" t="str">
        <f aca="false">IF($AJ481=Constants!$B$7,IF(AH481="",Constants!$B$13,AH481),"")</f>
        <v/>
      </c>
      <c r="AQ481" s="87" t="str">
        <f aca="false">IF($AJ481=Constants!$B$7,IF(SUMPRODUCT(--($AL481:$AP481&gt;AL481))+SUMPRODUCT(--($AL481:AL481=AL481))=1,1,IF(SUMPRODUCT(--($AL481:$AP481&gt;AM481))+SUMPRODUCT(--($AL481:AM481=AM481))=1,2,IF(SUMPRODUCT(--($AL481:$AP481&gt;AN481))+SUMPRODUCT(--($AL481:AN481=AN481))=1,3,IF(SUMPRODUCT(--($AL481:$AP481&gt;AO481))+SUMPRODUCT(--($AL481:AO481=AO481))=1,4,5)))),"")</f>
        <v/>
      </c>
      <c r="AR481" s="87" t="str">
        <f aca="false">IF($AJ481=Constants!$B$7,IF(SUMPRODUCT(--($AL481:$AP481&gt;AL481))+SUMPRODUCT(--($AL481:AL481=AL481))=2,1,IF(SUMPRODUCT(--($AL481:$AP481&gt;AM481))+SUMPRODUCT(--($AL481:AM481=AM481))=2,2,IF(SUMPRODUCT(--($AL481:$AP481&gt;AN481))+SUMPRODUCT(--($AL481:AN481=AN481))=2,3,IF(SUMPRODUCT(--($AL481:$AP481&gt;AO481))+SUMPRODUCT(--($AL481:AO481=AO481))=2,4,5)))),"")</f>
        <v/>
      </c>
      <c r="AS481" s="87" t="str">
        <f aca="false">IF($AJ481=Constants!$B$7,IF(SUMPRODUCT(--($AL481:$AP481&gt;AL481))+SUMPRODUCT(--($AL481:AL481=AL481))=3,1,IF(SUMPRODUCT(--($AL481:$AP481&gt;AM481))+SUMPRODUCT(--($AL481:AM481=AM481))=3,2,IF(SUMPRODUCT(--($AL481:$AP481&gt;AN481))+SUMPRODUCT(--($AL481:AN481=AN481))=3,3,IF(SUMPRODUCT(--($AL481:$AP481&gt;AO481))+SUMPRODUCT(--($AL481:AO481=AO481))=3,4,5)))),"")</f>
        <v/>
      </c>
      <c r="AT481" s="87" t="str">
        <f aca="false">IF($AJ481=Constants!$B$7,LARGE(AL481:AP481,1)+LARGE(AL481:AP481,2)+LARGE(AL481:AP481,3),"")</f>
        <v/>
      </c>
      <c r="AU481" s="87" t="str">
        <f aca="false">IF(ISBLANK($C481),"",IF($AJ481&lt;&gt;Constants!$B$7,$AJ481,AT481*W481))</f>
        <v/>
      </c>
      <c r="AV481" s="87" t="str">
        <f aca="false">IF(ISBLANK($C481),"",IF($AJ481=Constants!$B$7,IF(ISNUMBER(AU481),RANK(AU481,$AU$8:$AU$507),Constants!$B$14),$AJ481))</f>
        <v/>
      </c>
      <c r="AW481" s="87" t="str">
        <f aca="false">IF(ISBLANK($C481),"",IF($AJ481=Constants!$B$7,IF(ISNUMBER(AV481),COUNTIFS($AK$8:$AK$507,"&lt;"&amp;$AK481)+COUNTIFS($AK$8:$AK$507,$AK481,$AV$8:$AV$507,"&lt;"&amp;$AV481)+1,Constants!$B$14),$AJ481))</f>
        <v/>
      </c>
      <c r="AX481" s="87" t="str">
        <f aca="false">IF(ISBLANK($C481),"",IF($AJ481=Constants!$B$7,LARGE(AL481:AP481,4)*W481,""))</f>
        <v/>
      </c>
      <c r="AY481" s="87" t="str">
        <f aca="false">IF(ISBLANK($C481),"",IF($AJ481=Constants!$B$7,RANK(AX481,$AX$8:$AX$507),$AJ481))</f>
        <v/>
      </c>
      <c r="AZ481" s="87" t="str">
        <f aca="false">IF(ISBLANK($C481),"",IF($AJ481=Constants!$B$7,IF(ISNUMBER(AV481),COUNTIFS($AK$8:$AK$507,"&lt;"&amp;$AK481)+COUNTIFS($AK$8:$AK$507,$AK481,$AV$8:$AV$507,"&lt;"&amp;$AV481)+COUNTIFS($AK$8:$AK$507,$AK481,$AV$8:$AV$507,$AV481,$AY$8:$AY$507,"&lt;"&amp;$AY481)+1,Constants!$B$14),$AJ481))</f>
        <v/>
      </c>
      <c r="BA481" s="87" t="str">
        <f aca="false">IF(ISBLANK($C481),"",IF($AJ481=Constants!$B$7,IF(ISNUMBER(AW481),AW481-AZ481,Constants!$B$14),$AJ481))</f>
        <v/>
      </c>
      <c r="BB481" s="88"/>
      <c r="BC481" s="89" t="str">
        <f aca="false">IF(ISBLANK($C481),"",IF($AJ481&lt;&gt;Constants!$B$7,$AJ481,SMALL(AQ481:AS481,1)&amp;", "&amp;SMALL(AQ481:AS481,2)&amp;", "&amp;SMALL(AQ481:AS481,3)))</f>
        <v/>
      </c>
      <c r="BD481" s="90" t="str">
        <f aca="false">IF(ISBLANK($C481),"",IF($AJ481&lt;&gt;Constants!$B$7,$AJ481,W481))</f>
        <v/>
      </c>
      <c r="BE481" s="91" t="str">
        <f aca="false">IF(ISBLANK($C481),"",IF($AJ481&lt;&gt;Constants!$B$7,$AJ481,AU481))</f>
        <v/>
      </c>
      <c r="BF481" s="92" t="str">
        <f aca="false">IF(ISBLANK($C481),"",IF($AJ481&lt;&gt;Constants!$B$7,$AJ481,AK481))</f>
        <v/>
      </c>
      <c r="BG481" s="90" t="str">
        <f aca="false">IF(ISBLANK($C481),"",BA481)</f>
        <v/>
      </c>
      <c r="BH481" s="90" t="str">
        <f aca="false">IF(ISBLANK($C481),"",AZ481)</f>
        <v/>
      </c>
      <c r="BI481" s="93" t="str">
        <f aca="false">IF(ISBLANK($C481),"",IF(BH481=Constants!$B$4,COUNTA($C$8:$C$507)+2,IF(BH481=Constants!$B$5,COUNTA($C$8:$C$507)+1,IF(BH481=Constants!$B$6,COUNTA($C$8:$C$507),BH481))))</f>
        <v/>
      </c>
      <c r="BJ481" s="5"/>
      <c r="BK481" s="94" t="n">
        <f aca="false">IF(OR(ISNUMBER(BH481),BH481=Constants!$B$4,BH481=Constants!$B$6,BH481=Constants!$B$5),1,0)</f>
        <v>0</v>
      </c>
      <c r="BL481" s="94" t="n">
        <v>474</v>
      </c>
      <c r="BM481" s="94" t="str">
        <f aca="false">IF(ISBLANK($C481),"",IF(ISNUMBER(BI481),BI481+ROW($B481)/1000,""))</f>
        <v/>
      </c>
      <c r="BN481" s="94" t="str">
        <f aca="false">IF(ISNUMBER(BM481),RANK(BM481,$BM$8:$BM$507,1),"")</f>
        <v/>
      </c>
      <c r="BO481" s="94" t="str">
        <f aca="false">IF(ISBLANK($C481),"",$B481)</f>
        <v/>
      </c>
      <c r="BP481" s="94" t="str">
        <f aca="false">IF(ISBLANK($C481),"",$C481)</f>
        <v/>
      </c>
      <c r="BQ481" s="94" t="str">
        <f aca="false">IF(ISBLANK($C481),"",$D481)</f>
        <v/>
      </c>
      <c r="BR481" s="95" t="str">
        <f aca="false">BF481</f>
        <v/>
      </c>
      <c r="BS481" s="96" t="str">
        <f aca="false">BE481</f>
        <v/>
      </c>
      <c r="BT481" s="94" t="str">
        <f aca="false">IF(ISBLANK($C481),"",BH481)</f>
        <v/>
      </c>
      <c r="BU481" s="97" t="str">
        <f aca="false">IF($BL481&gt;$BK$7,"",VLOOKUP($BL481,$BN$8:$BT$507,7,FALSE()))</f>
        <v/>
      </c>
      <c r="BV481" s="98" t="str">
        <f aca="false">IF($BL481&gt;$BK$7,"",VLOOKUP($BL481,$BN$8:$BT$507,2,FALSE()))</f>
        <v/>
      </c>
      <c r="BW481" s="98" t="str">
        <f aca="false">IF($BL481&gt;$BK$7,"",VLOOKUP($BL481,$BN$8:$BT$507,3,FALSE()))</f>
        <v/>
      </c>
      <c r="BX481" s="98" t="str">
        <f aca="false">IF($BL481&gt;$BK$7,"",VLOOKUP($BL481,$BN$8:$BT$507,4,FALSE()))</f>
        <v/>
      </c>
      <c r="BY481" s="98" t="str">
        <f aca="false">IF($BL481&gt;$BK$7,"",VLOOKUP($BL481,$BN$8:$BT$507,5,FALSE()))</f>
        <v/>
      </c>
      <c r="BZ481" s="99" t="str">
        <f aca="false">IF($BL481&gt;$BK$7,"",VLOOKUP($BL481,$BN$8:$BT$507,6,FALSE()))</f>
        <v/>
      </c>
      <c r="CA481" s="48"/>
    </row>
    <row r="482" customFormat="false" ht="15.75" hidden="false" customHeight="false" outlineLevel="0" collapsed="false">
      <c r="A482" s="5"/>
      <c r="B482" s="121"/>
      <c r="C482" s="50"/>
      <c r="D482" s="51"/>
      <c r="E482" s="74"/>
      <c r="F482" s="122"/>
      <c r="G482" s="54"/>
      <c r="H482" s="123"/>
      <c r="I482" s="124"/>
      <c r="J482" s="54"/>
      <c r="K482" s="123"/>
      <c r="L482" s="54"/>
      <c r="M482" s="123"/>
      <c r="N482" s="54"/>
      <c r="O482" s="123"/>
      <c r="P482" s="54"/>
      <c r="Q482" s="123"/>
      <c r="R482" s="54"/>
      <c r="S482" s="74"/>
      <c r="T482" s="58"/>
      <c r="U482" s="59" t="str">
        <f aca="false">IF(ISBLANK($C482),"",IF(E482=Constants!$B$2, TRUE(), IF(E482=Constants!$B$3, FALSE(), TRUE())))</f>
        <v/>
      </c>
      <c r="V482" s="59" t="str">
        <f aca="false">IF(ISBLANK($C482),"",IF(F482=Constants!$B$2, TRUE(), IF(F482=Constants!$B$3, FALSE(), TRUE())))</f>
        <v/>
      </c>
      <c r="W482" s="59" t="str">
        <f aca="false">IF(ISBLANK($C482),"",IF(G482=Constants!$B$15,Constants!$B$8,IF(G482=Constants!$B$16,Constants!$B$9,Constants!$B$10)))</f>
        <v/>
      </c>
      <c r="X482" s="59" t="str">
        <f aca="false">IF(ISBLANK($C482),"",IF(H482=Constants!$B$2, TRUE(), IF(H482=Constants!$B$3, FALSE(), TRUE())))</f>
        <v/>
      </c>
      <c r="Y482" s="59" t="str">
        <f aca="false">IF(ISBLANK($C482),"",IF(I482=Constants!$B$19,Constants!$B$19,Constants!$B$18))</f>
        <v/>
      </c>
      <c r="Z482" s="59" t="str">
        <f aca="false">IF(ISBLANK($C482),"",IF(ISNUMBER(J482),IF(J482&gt;=0,J482,""),""))</f>
        <v/>
      </c>
      <c r="AA482" s="59" t="str">
        <f aca="false">IF(ISBLANK($C482),"",IF(K482=Constants!$B$19,Constants!$B$19,Constants!$B$18))</f>
        <v/>
      </c>
      <c r="AB482" s="59" t="str">
        <f aca="false">IF(ISBLANK($C482),"",IF(ISNUMBER(L482),IF(L482&gt;=0,L482,""),""))</f>
        <v/>
      </c>
      <c r="AC482" s="59" t="str">
        <f aca="false">IF(ISBLANK($C482),"",IF(M482=Constants!$B$19,Constants!$B$19,Constants!$B$18))</f>
        <v/>
      </c>
      <c r="AD482" s="59" t="str">
        <f aca="false">IF(ISBLANK($C482),"",IF(ISNUMBER(N482),IF(N482&gt;=0,N482,""),""))</f>
        <v/>
      </c>
      <c r="AE482" s="59" t="str">
        <f aca="false">IF(ISBLANK($C482),"",IF(O482=Constants!$B$19,Constants!$B$19,Constants!$B$18))</f>
        <v/>
      </c>
      <c r="AF482" s="59" t="str">
        <f aca="false">IF(ISBLANK($C482),"",IF(ISNUMBER(P482),IF(P482&gt;=0,P482,""),""))</f>
        <v/>
      </c>
      <c r="AG482" s="59" t="str">
        <f aca="false">IF(ISBLANK($C482),"",IF(Q482=Constants!$B$19,Constants!$B$19,Constants!$B$18))</f>
        <v/>
      </c>
      <c r="AH482" s="59" t="str">
        <f aca="false">IF(ISBLANK($C482),"",IF(ISNUMBER(R482),IF(R482&gt;=0,R482,""),""))</f>
        <v/>
      </c>
      <c r="AI482" s="59" t="str">
        <f aca="false">IF(ISBLANK($C482),"",IF(S482=Constants!$B$2, TRUE(), IF(S482=Constants!$B$3, FALSE(), FALSE())))</f>
        <v/>
      </c>
      <c r="AJ482" s="59" t="str">
        <f aca="false">IF(ISBLANK($C482),"",IF(AI482,Constants!$B$4,IF(COUNTA(E482:R482)=0,Constants!$B$5,IF(COUNTA(J482,L482,N482,P482,R482)=0,Constants!$B$6,Constants!$B$7))))</f>
        <v/>
      </c>
      <c r="AK482" s="59" t="str">
        <f aca="false">IF(ISBLANK($C482),"",IF($AJ482&lt;&gt;Constants!$B$7,$AJ482,IF(OR(NOT(X482),AND(NOT(U482),COUNTIFS(Y482:AG482,Constants!$B$18,Z482:AH482,"&gt;=0")&gt;0),AND(NOT(V482),COUNTIFS(Y482:AG482,Constants!$B$19,Z482:AH482,"&gt;=0")&gt;0)),Constants!$B$12,Constants!$B$11)))</f>
        <v/>
      </c>
      <c r="AL482" s="59" t="str">
        <f aca="false">IF($AJ482=Constants!$B$7,IF(Z482="",Constants!$B$13,Z482),"")</f>
        <v/>
      </c>
      <c r="AM482" s="59" t="str">
        <f aca="false">IF($AJ482=Constants!$B$7,IF(AB482="",Constants!$B$13,AB482),"")</f>
        <v/>
      </c>
      <c r="AN482" s="59" t="str">
        <f aca="false">IF($AJ482=Constants!$B$7,IF(AD482="",Constants!$B$13,AD482),"")</f>
        <v/>
      </c>
      <c r="AO482" s="59" t="str">
        <f aca="false">IF($AJ482=Constants!$B$7,IF(AF482="",Constants!$B$13,AF482),"")</f>
        <v/>
      </c>
      <c r="AP482" s="59" t="str">
        <f aca="false">IF($AJ482=Constants!$B$7,IF(AH482="",Constants!$B$13,AH482),"")</f>
        <v/>
      </c>
      <c r="AQ482" s="59" t="str">
        <f aca="false">IF($AJ482=Constants!$B$7,IF(SUMPRODUCT(--($AL482:$AP482&gt;AL482))+SUMPRODUCT(--($AL482:AL482=AL482))=1,1,IF(SUMPRODUCT(--($AL482:$AP482&gt;AM482))+SUMPRODUCT(--($AL482:AM482=AM482))=1,2,IF(SUMPRODUCT(--($AL482:$AP482&gt;AN482))+SUMPRODUCT(--($AL482:AN482=AN482))=1,3,IF(SUMPRODUCT(--($AL482:$AP482&gt;AO482))+SUMPRODUCT(--($AL482:AO482=AO482))=1,4,5)))),"")</f>
        <v/>
      </c>
      <c r="AR482" s="59" t="str">
        <f aca="false">IF($AJ482=Constants!$B$7,IF(SUMPRODUCT(--($AL482:$AP482&gt;AL482))+SUMPRODUCT(--($AL482:AL482=AL482))=2,1,IF(SUMPRODUCT(--($AL482:$AP482&gt;AM482))+SUMPRODUCT(--($AL482:AM482=AM482))=2,2,IF(SUMPRODUCT(--($AL482:$AP482&gt;AN482))+SUMPRODUCT(--($AL482:AN482=AN482))=2,3,IF(SUMPRODUCT(--($AL482:$AP482&gt;AO482))+SUMPRODUCT(--($AL482:AO482=AO482))=2,4,5)))),"")</f>
        <v/>
      </c>
      <c r="AS482" s="59" t="str">
        <f aca="false">IF($AJ482=Constants!$B$7,IF(SUMPRODUCT(--($AL482:$AP482&gt;AL482))+SUMPRODUCT(--($AL482:AL482=AL482))=3,1,IF(SUMPRODUCT(--($AL482:$AP482&gt;AM482))+SUMPRODUCT(--($AL482:AM482=AM482))=3,2,IF(SUMPRODUCT(--($AL482:$AP482&gt;AN482))+SUMPRODUCT(--($AL482:AN482=AN482))=3,3,IF(SUMPRODUCT(--($AL482:$AP482&gt;AO482))+SUMPRODUCT(--($AL482:AO482=AO482))=3,4,5)))),"")</f>
        <v/>
      </c>
      <c r="AT482" s="59" t="str">
        <f aca="false">IF($AJ482=Constants!$B$7,LARGE(AL482:AP482,1)+LARGE(AL482:AP482,2)+LARGE(AL482:AP482,3),"")</f>
        <v/>
      </c>
      <c r="AU482" s="59" t="str">
        <f aca="false">IF(ISBLANK($C482),"",IF($AJ482&lt;&gt;Constants!$B$7,$AJ482,AT482*W482))</f>
        <v/>
      </c>
      <c r="AV482" s="59" t="str">
        <f aca="false">IF(ISBLANK($C482),"",IF($AJ482=Constants!$B$7,IF(ISNUMBER(AU482),RANK(AU482,$AU$8:$AU$507),Constants!$B$14),$AJ482))</f>
        <v/>
      </c>
      <c r="AW482" s="59" t="str">
        <f aca="false">IF(ISBLANK($C482),"",IF($AJ482=Constants!$B$7,IF(ISNUMBER(AV482),COUNTIFS($AK$8:$AK$507,"&lt;"&amp;$AK482)+COUNTIFS($AK$8:$AK$507,$AK482,$AV$8:$AV$507,"&lt;"&amp;$AV482)+1,Constants!$B$14),$AJ482))</f>
        <v/>
      </c>
      <c r="AX482" s="59" t="str">
        <f aca="false">IF(ISBLANK($C482),"",IF($AJ482=Constants!$B$7,LARGE(AL482:AP482,4)*W482,""))</f>
        <v/>
      </c>
      <c r="AY482" s="59" t="str">
        <f aca="false">IF(ISBLANK($C482),"",IF($AJ482=Constants!$B$7,RANK(AX482,$AX$8:$AX$507),$AJ482))</f>
        <v/>
      </c>
      <c r="AZ482" s="59" t="str">
        <f aca="false">IF(ISBLANK($C482),"",IF($AJ482=Constants!$B$7,IF(ISNUMBER(AV482),COUNTIFS($AK$8:$AK$507,"&lt;"&amp;$AK482)+COUNTIFS($AK$8:$AK$507,$AK482,$AV$8:$AV$507,"&lt;"&amp;$AV482)+COUNTIFS($AK$8:$AK$507,$AK482,$AV$8:$AV$507,$AV482,$AY$8:$AY$507,"&lt;"&amp;$AY482)+1,Constants!$B$14),$AJ482))</f>
        <v/>
      </c>
      <c r="BA482" s="59" t="str">
        <f aca="false">IF(ISBLANK($C482),"",IF($AJ482=Constants!$B$7,IF(ISNUMBER(AW482),AW482-AZ482,Constants!$B$14),$AJ482))</f>
        <v/>
      </c>
      <c r="BB482" s="61"/>
      <c r="BC482" s="62" t="str">
        <f aca="false">IF(ISBLANK($C482),"",IF($AJ482&lt;&gt;Constants!$B$7,$AJ482,SMALL(AQ482:AS482,1)&amp;", "&amp;SMALL(AQ482:AS482,2)&amp;", "&amp;SMALL(AQ482:AS482,3)))</f>
        <v/>
      </c>
      <c r="BD482" s="63" t="str">
        <f aca="false">IF(ISBLANK($C482),"",IF($AJ482&lt;&gt;Constants!$B$7,$AJ482,W482))</f>
        <v/>
      </c>
      <c r="BE482" s="64" t="str">
        <f aca="false">IF(ISBLANK($C482),"",IF($AJ482&lt;&gt;Constants!$B$7,$AJ482,AU482))</f>
        <v/>
      </c>
      <c r="BF482" s="65" t="str">
        <f aca="false">IF(ISBLANK($C482),"",IF($AJ482&lt;&gt;Constants!$B$7,$AJ482,AK482))</f>
        <v/>
      </c>
      <c r="BG482" s="63" t="str">
        <f aca="false">IF(ISBLANK($C482),"",BA482)</f>
        <v/>
      </c>
      <c r="BH482" s="63" t="str">
        <f aca="false">IF(ISBLANK($C482),"",AZ482)</f>
        <v/>
      </c>
      <c r="BI482" s="66" t="str">
        <f aca="false">IF(ISBLANK($C482),"",IF(BH482=Constants!$B$4,COUNTA($C$8:$C$507)+2,IF(BH482=Constants!$B$5,COUNTA($C$8:$C$507)+1,IF(BH482=Constants!$B$6,COUNTA($C$8:$C$507),BH482))))</f>
        <v/>
      </c>
      <c r="BJ482" s="5"/>
      <c r="BK482" s="67" t="n">
        <f aca="false">IF(OR(ISNUMBER(BH482),BH482=Constants!$B$4,BH482=Constants!$B$6,BH482=Constants!$B$5),1,0)</f>
        <v>0</v>
      </c>
      <c r="BL482" s="67" t="n">
        <v>475</v>
      </c>
      <c r="BM482" s="67" t="str">
        <f aca="false">IF(ISBLANK($C482),"",IF(ISNUMBER(BI482),BI482+ROW($B482)/1000,""))</f>
        <v/>
      </c>
      <c r="BN482" s="67" t="str">
        <f aca="false">IF(ISNUMBER(BM482),RANK(BM482,$BM$8:$BM$507,1),"")</f>
        <v/>
      </c>
      <c r="BO482" s="67" t="str">
        <f aca="false">IF(ISBLANK($C482),"",$B482)</f>
        <v/>
      </c>
      <c r="BP482" s="67" t="str">
        <f aca="false">IF(ISBLANK($C482),"",$C482)</f>
        <v/>
      </c>
      <c r="BQ482" s="67" t="str">
        <f aca="false">IF(ISBLANK($C482),"",$D482)</f>
        <v/>
      </c>
      <c r="BR482" s="68" t="str">
        <f aca="false">BF482</f>
        <v/>
      </c>
      <c r="BS482" s="69" t="str">
        <f aca="false">BE482</f>
        <v/>
      </c>
      <c r="BT482" s="67" t="str">
        <f aca="false">IF(ISBLANK($C482),"",BH482)</f>
        <v/>
      </c>
      <c r="BU482" s="70" t="str">
        <f aca="false">IF($BL482&gt;$BK$7,"",VLOOKUP($BL482,$BN$8:$BT$507,7,FALSE()))</f>
        <v/>
      </c>
      <c r="BV482" s="71" t="str">
        <f aca="false">IF($BL482&gt;$BK$7,"",VLOOKUP($BL482,$BN$8:$BT$507,2,FALSE()))</f>
        <v/>
      </c>
      <c r="BW482" s="71" t="str">
        <f aca="false">IF($BL482&gt;$BK$7,"",VLOOKUP($BL482,$BN$8:$BT$507,3,FALSE()))</f>
        <v/>
      </c>
      <c r="BX482" s="71" t="str">
        <f aca="false">IF($BL482&gt;$BK$7,"",VLOOKUP($BL482,$BN$8:$BT$507,4,FALSE()))</f>
        <v/>
      </c>
      <c r="BY482" s="71" t="str">
        <f aca="false">IF($BL482&gt;$BK$7,"",VLOOKUP($BL482,$BN$8:$BT$507,5,FALSE()))</f>
        <v/>
      </c>
      <c r="BZ482" s="72" t="str">
        <f aca="false">IF($BL482&gt;$BK$7,"",VLOOKUP($BL482,$BN$8:$BT$507,6,FALSE()))</f>
        <v/>
      </c>
      <c r="CA482" s="48"/>
    </row>
    <row r="483" customFormat="false" ht="15.75" hidden="false" customHeight="false" outlineLevel="0" collapsed="false">
      <c r="A483" s="5"/>
      <c r="B483" s="121"/>
      <c r="C483" s="50"/>
      <c r="D483" s="51"/>
      <c r="E483" s="74"/>
      <c r="F483" s="122"/>
      <c r="G483" s="54"/>
      <c r="H483" s="123"/>
      <c r="I483" s="124"/>
      <c r="J483" s="54"/>
      <c r="K483" s="123"/>
      <c r="L483" s="54"/>
      <c r="M483" s="123"/>
      <c r="N483" s="54"/>
      <c r="O483" s="123"/>
      <c r="P483" s="54"/>
      <c r="Q483" s="123"/>
      <c r="R483" s="54"/>
      <c r="S483" s="74"/>
      <c r="T483" s="58"/>
      <c r="U483" s="59" t="str">
        <f aca="false">IF(ISBLANK($C483),"",IF(E483=Constants!$B$2, TRUE(), IF(E483=Constants!$B$3, FALSE(), TRUE())))</f>
        <v/>
      </c>
      <c r="V483" s="59" t="str">
        <f aca="false">IF(ISBLANK($C483),"",IF(F483=Constants!$B$2, TRUE(), IF(F483=Constants!$B$3, FALSE(), TRUE())))</f>
        <v/>
      </c>
      <c r="W483" s="59" t="str">
        <f aca="false">IF(ISBLANK($C483),"",IF(G483=Constants!$B$15,Constants!$B$8,IF(G483=Constants!$B$16,Constants!$B$9,Constants!$B$10)))</f>
        <v/>
      </c>
      <c r="X483" s="59" t="str">
        <f aca="false">IF(ISBLANK($C483),"",IF(H483=Constants!$B$2, TRUE(), IF(H483=Constants!$B$3, FALSE(), TRUE())))</f>
        <v/>
      </c>
      <c r="Y483" s="59" t="str">
        <f aca="false">IF(ISBLANK($C483),"",IF(I483=Constants!$B$19,Constants!$B$19,Constants!$B$18))</f>
        <v/>
      </c>
      <c r="Z483" s="59" t="str">
        <f aca="false">IF(ISBLANK($C483),"",IF(ISNUMBER(J483),IF(J483&gt;=0,J483,""),""))</f>
        <v/>
      </c>
      <c r="AA483" s="59" t="str">
        <f aca="false">IF(ISBLANK($C483),"",IF(K483=Constants!$B$19,Constants!$B$19,Constants!$B$18))</f>
        <v/>
      </c>
      <c r="AB483" s="59" t="str">
        <f aca="false">IF(ISBLANK($C483),"",IF(ISNUMBER(L483),IF(L483&gt;=0,L483,""),""))</f>
        <v/>
      </c>
      <c r="AC483" s="59" t="str">
        <f aca="false">IF(ISBLANK($C483),"",IF(M483=Constants!$B$19,Constants!$B$19,Constants!$B$18))</f>
        <v/>
      </c>
      <c r="AD483" s="59" t="str">
        <f aca="false">IF(ISBLANK($C483),"",IF(ISNUMBER(N483),IF(N483&gt;=0,N483,""),""))</f>
        <v/>
      </c>
      <c r="AE483" s="59" t="str">
        <f aca="false">IF(ISBLANK($C483),"",IF(O483=Constants!$B$19,Constants!$B$19,Constants!$B$18))</f>
        <v/>
      </c>
      <c r="AF483" s="59" t="str">
        <f aca="false">IF(ISBLANK($C483),"",IF(ISNUMBER(P483),IF(P483&gt;=0,P483,""),""))</f>
        <v/>
      </c>
      <c r="AG483" s="59" t="str">
        <f aca="false">IF(ISBLANK($C483),"",IF(Q483=Constants!$B$19,Constants!$B$19,Constants!$B$18))</f>
        <v/>
      </c>
      <c r="AH483" s="59" t="str">
        <f aca="false">IF(ISBLANK($C483),"",IF(ISNUMBER(R483),IF(R483&gt;=0,R483,""),""))</f>
        <v/>
      </c>
      <c r="AI483" s="59" t="str">
        <f aca="false">IF(ISBLANK($C483),"",IF(S483=Constants!$B$2, TRUE(), IF(S483=Constants!$B$3, FALSE(), FALSE())))</f>
        <v/>
      </c>
      <c r="AJ483" s="59" t="str">
        <f aca="false">IF(ISBLANK($C483),"",IF(AI483,Constants!$B$4,IF(COUNTA(E483:R483)=0,Constants!$B$5,IF(COUNTA(J483,L483,N483,P483,R483)=0,Constants!$B$6,Constants!$B$7))))</f>
        <v/>
      </c>
      <c r="AK483" s="59" t="str">
        <f aca="false">IF(ISBLANK($C483),"",IF($AJ483&lt;&gt;Constants!$B$7,$AJ483,IF(OR(NOT(X483),AND(NOT(U483),COUNTIFS(Y483:AG483,Constants!$B$18,Z483:AH483,"&gt;=0")&gt;0),AND(NOT(V483),COUNTIFS(Y483:AG483,Constants!$B$19,Z483:AH483,"&gt;=0")&gt;0)),Constants!$B$12,Constants!$B$11)))</f>
        <v/>
      </c>
      <c r="AL483" s="59" t="str">
        <f aca="false">IF($AJ483=Constants!$B$7,IF(Z483="",Constants!$B$13,Z483),"")</f>
        <v/>
      </c>
      <c r="AM483" s="59" t="str">
        <f aca="false">IF($AJ483=Constants!$B$7,IF(AB483="",Constants!$B$13,AB483),"")</f>
        <v/>
      </c>
      <c r="AN483" s="59" t="str">
        <f aca="false">IF($AJ483=Constants!$B$7,IF(AD483="",Constants!$B$13,AD483),"")</f>
        <v/>
      </c>
      <c r="AO483" s="59" t="str">
        <f aca="false">IF($AJ483=Constants!$B$7,IF(AF483="",Constants!$B$13,AF483),"")</f>
        <v/>
      </c>
      <c r="AP483" s="59" t="str">
        <f aca="false">IF($AJ483=Constants!$B$7,IF(AH483="",Constants!$B$13,AH483),"")</f>
        <v/>
      </c>
      <c r="AQ483" s="59" t="str">
        <f aca="false">IF($AJ483=Constants!$B$7,IF(SUMPRODUCT(--($AL483:$AP483&gt;AL483))+SUMPRODUCT(--($AL483:AL483=AL483))=1,1,IF(SUMPRODUCT(--($AL483:$AP483&gt;AM483))+SUMPRODUCT(--($AL483:AM483=AM483))=1,2,IF(SUMPRODUCT(--($AL483:$AP483&gt;AN483))+SUMPRODUCT(--($AL483:AN483=AN483))=1,3,IF(SUMPRODUCT(--($AL483:$AP483&gt;AO483))+SUMPRODUCT(--($AL483:AO483=AO483))=1,4,5)))),"")</f>
        <v/>
      </c>
      <c r="AR483" s="59" t="str">
        <f aca="false">IF($AJ483=Constants!$B$7,IF(SUMPRODUCT(--($AL483:$AP483&gt;AL483))+SUMPRODUCT(--($AL483:AL483=AL483))=2,1,IF(SUMPRODUCT(--($AL483:$AP483&gt;AM483))+SUMPRODUCT(--($AL483:AM483=AM483))=2,2,IF(SUMPRODUCT(--($AL483:$AP483&gt;AN483))+SUMPRODUCT(--($AL483:AN483=AN483))=2,3,IF(SUMPRODUCT(--($AL483:$AP483&gt;AO483))+SUMPRODUCT(--($AL483:AO483=AO483))=2,4,5)))),"")</f>
        <v/>
      </c>
      <c r="AS483" s="59" t="str">
        <f aca="false">IF($AJ483=Constants!$B$7,IF(SUMPRODUCT(--($AL483:$AP483&gt;AL483))+SUMPRODUCT(--($AL483:AL483=AL483))=3,1,IF(SUMPRODUCT(--($AL483:$AP483&gt;AM483))+SUMPRODUCT(--($AL483:AM483=AM483))=3,2,IF(SUMPRODUCT(--($AL483:$AP483&gt;AN483))+SUMPRODUCT(--($AL483:AN483=AN483))=3,3,IF(SUMPRODUCT(--($AL483:$AP483&gt;AO483))+SUMPRODUCT(--($AL483:AO483=AO483))=3,4,5)))),"")</f>
        <v/>
      </c>
      <c r="AT483" s="59" t="str">
        <f aca="false">IF($AJ483=Constants!$B$7,LARGE(AL483:AP483,1)+LARGE(AL483:AP483,2)+LARGE(AL483:AP483,3),"")</f>
        <v/>
      </c>
      <c r="AU483" s="59" t="str">
        <f aca="false">IF(ISBLANK($C483),"",IF($AJ483&lt;&gt;Constants!$B$7,$AJ483,AT483*W483))</f>
        <v/>
      </c>
      <c r="AV483" s="59" t="str">
        <f aca="false">IF(ISBLANK($C483),"",IF($AJ483=Constants!$B$7,IF(ISNUMBER(AU483),RANK(AU483,$AU$8:$AU$507),Constants!$B$14),$AJ483))</f>
        <v/>
      </c>
      <c r="AW483" s="59" t="str">
        <f aca="false">IF(ISBLANK($C483),"",IF($AJ483=Constants!$B$7,IF(ISNUMBER(AV483),COUNTIFS($AK$8:$AK$507,"&lt;"&amp;$AK483)+COUNTIFS($AK$8:$AK$507,$AK483,$AV$8:$AV$507,"&lt;"&amp;$AV483)+1,Constants!$B$14),$AJ483))</f>
        <v/>
      </c>
      <c r="AX483" s="59" t="str">
        <f aca="false">IF(ISBLANK($C483),"",IF($AJ483=Constants!$B$7,LARGE(AL483:AP483,4)*W483,""))</f>
        <v/>
      </c>
      <c r="AY483" s="59" t="str">
        <f aca="false">IF(ISBLANK($C483),"",IF($AJ483=Constants!$B$7,RANK(AX483,$AX$8:$AX$507),$AJ483))</f>
        <v/>
      </c>
      <c r="AZ483" s="59" t="str">
        <f aca="false">IF(ISBLANK($C483),"",IF($AJ483=Constants!$B$7,IF(ISNUMBER(AV483),COUNTIFS($AK$8:$AK$507,"&lt;"&amp;$AK483)+COUNTIFS($AK$8:$AK$507,$AK483,$AV$8:$AV$507,"&lt;"&amp;$AV483)+COUNTIFS($AK$8:$AK$507,$AK483,$AV$8:$AV$507,$AV483,$AY$8:$AY$507,"&lt;"&amp;$AY483)+1,Constants!$B$14),$AJ483))</f>
        <v/>
      </c>
      <c r="BA483" s="59" t="str">
        <f aca="false">IF(ISBLANK($C483),"",IF($AJ483=Constants!$B$7,IF(ISNUMBER(AW483),AW483-AZ483,Constants!$B$14),$AJ483))</f>
        <v/>
      </c>
      <c r="BB483" s="61"/>
      <c r="BC483" s="62" t="str">
        <f aca="false">IF(ISBLANK($C483),"",IF($AJ483&lt;&gt;Constants!$B$7,$AJ483,SMALL(AQ483:AS483,1)&amp;", "&amp;SMALL(AQ483:AS483,2)&amp;", "&amp;SMALL(AQ483:AS483,3)))</f>
        <v/>
      </c>
      <c r="BD483" s="63" t="str">
        <f aca="false">IF(ISBLANK($C483),"",IF($AJ483&lt;&gt;Constants!$B$7,$AJ483,W483))</f>
        <v/>
      </c>
      <c r="BE483" s="64" t="str">
        <f aca="false">IF(ISBLANK($C483),"",IF($AJ483&lt;&gt;Constants!$B$7,$AJ483,AU483))</f>
        <v/>
      </c>
      <c r="BF483" s="65" t="str">
        <f aca="false">IF(ISBLANK($C483),"",IF($AJ483&lt;&gt;Constants!$B$7,$AJ483,AK483))</f>
        <v/>
      </c>
      <c r="BG483" s="63" t="str">
        <f aca="false">IF(ISBLANK($C483),"",BA483)</f>
        <v/>
      </c>
      <c r="BH483" s="63" t="str">
        <f aca="false">IF(ISBLANK($C483),"",AZ483)</f>
        <v/>
      </c>
      <c r="BI483" s="66" t="str">
        <f aca="false">IF(ISBLANK($C483),"",IF(BH483=Constants!$B$4,COUNTA($C$8:$C$507)+2,IF(BH483=Constants!$B$5,COUNTA($C$8:$C$507)+1,IF(BH483=Constants!$B$6,COUNTA($C$8:$C$507),BH483))))</f>
        <v/>
      </c>
      <c r="BJ483" s="5"/>
      <c r="BK483" s="67" t="n">
        <f aca="false">IF(OR(ISNUMBER(BH483),BH483=Constants!$B$4,BH483=Constants!$B$6,BH483=Constants!$B$5),1,0)</f>
        <v>0</v>
      </c>
      <c r="BL483" s="67" t="n">
        <v>476</v>
      </c>
      <c r="BM483" s="67" t="str">
        <f aca="false">IF(ISBLANK($C483),"",IF(ISNUMBER(BI483),BI483+ROW($B483)/1000,""))</f>
        <v/>
      </c>
      <c r="BN483" s="67" t="str">
        <f aca="false">IF(ISNUMBER(BM483),RANK(BM483,$BM$8:$BM$507,1),"")</f>
        <v/>
      </c>
      <c r="BO483" s="67" t="str">
        <f aca="false">IF(ISBLANK($C483),"",$B483)</f>
        <v/>
      </c>
      <c r="BP483" s="67" t="str">
        <f aca="false">IF(ISBLANK($C483),"",$C483)</f>
        <v/>
      </c>
      <c r="BQ483" s="67" t="str">
        <f aca="false">IF(ISBLANK($C483),"",$D483)</f>
        <v/>
      </c>
      <c r="BR483" s="68" t="str">
        <f aca="false">BF483</f>
        <v/>
      </c>
      <c r="BS483" s="69" t="str">
        <f aca="false">BE483</f>
        <v/>
      </c>
      <c r="BT483" s="67" t="str">
        <f aca="false">IF(ISBLANK($C483),"",BH483)</f>
        <v/>
      </c>
      <c r="BU483" s="70" t="str">
        <f aca="false">IF($BL483&gt;$BK$7,"",VLOOKUP($BL483,$BN$8:$BT$507,7,FALSE()))</f>
        <v/>
      </c>
      <c r="BV483" s="71" t="str">
        <f aca="false">IF($BL483&gt;$BK$7,"",VLOOKUP($BL483,$BN$8:$BT$507,2,FALSE()))</f>
        <v/>
      </c>
      <c r="BW483" s="71" t="str">
        <f aca="false">IF($BL483&gt;$BK$7,"",VLOOKUP($BL483,$BN$8:$BT$507,3,FALSE()))</f>
        <v/>
      </c>
      <c r="BX483" s="71" t="str">
        <f aca="false">IF($BL483&gt;$BK$7,"",VLOOKUP($BL483,$BN$8:$BT$507,4,FALSE()))</f>
        <v/>
      </c>
      <c r="BY483" s="71" t="str">
        <f aca="false">IF($BL483&gt;$BK$7,"",VLOOKUP($BL483,$BN$8:$BT$507,5,FALSE()))</f>
        <v/>
      </c>
      <c r="BZ483" s="72" t="str">
        <f aca="false">IF($BL483&gt;$BK$7,"",VLOOKUP($BL483,$BN$8:$BT$507,6,FALSE()))</f>
        <v/>
      </c>
      <c r="CA483" s="48"/>
    </row>
    <row r="484" customFormat="false" ht="15.75" hidden="false" customHeight="false" outlineLevel="0" collapsed="false">
      <c r="A484" s="5"/>
      <c r="B484" s="121"/>
      <c r="C484" s="50"/>
      <c r="D484" s="51"/>
      <c r="E484" s="74"/>
      <c r="F484" s="122"/>
      <c r="G484" s="54"/>
      <c r="H484" s="123"/>
      <c r="I484" s="124"/>
      <c r="J484" s="54"/>
      <c r="K484" s="123"/>
      <c r="L484" s="54"/>
      <c r="M484" s="123"/>
      <c r="N484" s="54"/>
      <c r="O484" s="123"/>
      <c r="P484" s="54"/>
      <c r="Q484" s="123"/>
      <c r="R484" s="54"/>
      <c r="S484" s="74"/>
      <c r="T484" s="58"/>
      <c r="U484" s="59" t="str">
        <f aca="false">IF(ISBLANK($C484),"",IF(E484=Constants!$B$2, TRUE(), IF(E484=Constants!$B$3, FALSE(), TRUE())))</f>
        <v/>
      </c>
      <c r="V484" s="59" t="str">
        <f aca="false">IF(ISBLANK($C484),"",IF(F484=Constants!$B$2, TRUE(), IF(F484=Constants!$B$3, FALSE(), TRUE())))</f>
        <v/>
      </c>
      <c r="W484" s="59" t="str">
        <f aca="false">IF(ISBLANK($C484),"",IF(G484=Constants!$B$15,Constants!$B$8,IF(G484=Constants!$B$16,Constants!$B$9,Constants!$B$10)))</f>
        <v/>
      </c>
      <c r="X484" s="59" t="str">
        <f aca="false">IF(ISBLANK($C484),"",IF(H484=Constants!$B$2, TRUE(), IF(H484=Constants!$B$3, FALSE(), TRUE())))</f>
        <v/>
      </c>
      <c r="Y484" s="59" t="str">
        <f aca="false">IF(ISBLANK($C484),"",IF(I484=Constants!$B$19,Constants!$B$19,Constants!$B$18))</f>
        <v/>
      </c>
      <c r="Z484" s="59" t="str">
        <f aca="false">IF(ISBLANK($C484),"",IF(ISNUMBER(J484),IF(J484&gt;=0,J484,""),""))</f>
        <v/>
      </c>
      <c r="AA484" s="59" t="str">
        <f aca="false">IF(ISBLANK($C484),"",IF(K484=Constants!$B$19,Constants!$B$19,Constants!$B$18))</f>
        <v/>
      </c>
      <c r="AB484" s="59" t="str">
        <f aca="false">IF(ISBLANK($C484),"",IF(ISNUMBER(L484),IF(L484&gt;=0,L484,""),""))</f>
        <v/>
      </c>
      <c r="AC484" s="59" t="str">
        <f aca="false">IF(ISBLANK($C484),"",IF(M484=Constants!$B$19,Constants!$B$19,Constants!$B$18))</f>
        <v/>
      </c>
      <c r="AD484" s="59" t="str">
        <f aca="false">IF(ISBLANK($C484),"",IF(ISNUMBER(N484),IF(N484&gt;=0,N484,""),""))</f>
        <v/>
      </c>
      <c r="AE484" s="59" t="str">
        <f aca="false">IF(ISBLANK($C484),"",IF(O484=Constants!$B$19,Constants!$B$19,Constants!$B$18))</f>
        <v/>
      </c>
      <c r="AF484" s="59" t="str">
        <f aca="false">IF(ISBLANK($C484),"",IF(ISNUMBER(P484),IF(P484&gt;=0,P484,""),""))</f>
        <v/>
      </c>
      <c r="AG484" s="59" t="str">
        <f aca="false">IF(ISBLANK($C484),"",IF(Q484=Constants!$B$19,Constants!$B$19,Constants!$B$18))</f>
        <v/>
      </c>
      <c r="AH484" s="59" t="str">
        <f aca="false">IF(ISBLANK($C484),"",IF(ISNUMBER(R484),IF(R484&gt;=0,R484,""),""))</f>
        <v/>
      </c>
      <c r="AI484" s="59" t="str">
        <f aca="false">IF(ISBLANK($C484),"",IF(S484=Constants!$B$2, TRUE(), IF(S484=Constants!$B$3, FALSE(), FALSE())))</f>
        <v/>
      </c>
      <c r="AJ484" s="59" t="str">
        <f aca="false">IF(ISBLANK($C484),"",IF(AI484,Constants!$B$4,IF(COUNTA(E484:R484)=0,Constants!$B$5,IF(COUNTA(J484,L484,N484,P484,R484)=0,Constants!$B$6,Constants!$B$7))))</f>
        <v/>
      </c>
      <c r="AK484" s="59" t="str">
        <f aca="false">IF(ISBLANK($C484),"",IF($AJ484&lt;&gt;Constants!$B$7,$AJ484,IF(OR(NOT(X484),AND(NOT(U484),COUNTIFS(Y484:AG484,Constants!$B$18,Z484:AH484,"&gt;=0")&gt;0),AND(NOT(V484),COUNTIFS(Y484:AG484,Constants!$B$19,Z484:AH484,"&gt;=0")&gt;0)),Constants!$B$12,Constants!$B$11)))</f>
        <v/>
      </c>
      <c r="AL484" s="59" t="str">
        <f aca="false">IF($AJ484=Constants!$B$7,IF(Z484="",Constants!$B$13,Z484),"")</f>
        <v/>
      </c>
      <c r="AM484" s="59" t="str">
        <f aca="false">IF($AJ484=Constants!$B$7,IF(AB484="",Constants!$B$13,AB484),"")</f>
        <v/>
      </c>
      <c r="AN484" s="59" t="str">
        <f aca="false">IF($AJ484=Constants!$B$7,IF(AD484="",Constants!$B$13,AD484),"")</f>
        <v/>
      </c>
      <c r="AO484" s="59" t="str">
        <f aca="false">IF($AJ484=Constants!$B$7,IF(AF484="",Constants!$B$13,AF484),"")</f>
        <v/>
      </c>
      <c r="AP484" s="59" t="str">
        <f aca="false">IF($AJ484=Constants!$B$7,IF(AH484="",Constants!$B$13,AH484),"")</f>
        <v/>
      </c>
      <c r="AQ484" s="59" t="str">
        <f aca="false">IF($AJ484=Constants!$B$7,IF(SUMPRODUCT(--($AL484:$AP484&gt;AL484))+SUMPRODUCT(--($AL484:AL484=AL484))=1,1,IF(SUMPRODUCT(--($AL484:$AP484&gt;AM484))+SUMPRODUCT(--($AL484:AM484=AM484))=1,2,IF(SUMPRODUCT(--($AL484:$AP484&gt;AN484))+SUMPRODUCT(--($AL484:AN484=AN484))=1,3,IF(SUMPRODUCT(--($AL484:$AP484&gt;AO484))+SUMPRODUCT(--($AL484:AO484=AO484))=1,4,5)))),"")</f>
        <v/>
      </c>
      <c r="AR484" s="59" t="str">
        <f aca="false">IF($AJ484=Constants!$B$7,IF(SUMPRODUCT(--($AL484:$AP484&gt;AL484))+SUMPRODUCT(--($AL484:AL484=AL484))=2,1,IF(SUMPRODUCT(--($AL484:$AP484&gt;AM484))+SUMPRODUCT(--($AL484:AM484=AM484))=2,2,IF(SUMPRODUCT(--($AL484:$AP484&gt;AN484))+SUMPRODUCT(--($AL484:AN484=AN484))=2,3,IF(SUMPRODUCT(--($AL484:$AP484&gt;AO484))+SUMPRODUCT(--($AL484:AO484=AO484))=2,4,5)))),"")</f>
        <v/>
      </c>
      <c r="AS484" s="59" t="str">
        <f aca="false">IF($AJ484=Constants!$B$7,IF(SUMPRODUCT(--($AL484:$AP484&gt;AL484))+SUMPRODUCT(--($AL484:AL484=AL484))=3,1,IF(SUMPRODUCT(--($AL484:$AP484&gt;AM484))+SUMPRODUCT(--($AL484:AM484=AM484))=3,2,IF(SUMPRODUCT(--($AL484:$AP484&gt;AN484))+SUMPRODUCT(--($AL484:AN484=AN484))=3,3,IF(SUMPRODUCT(--($AL484:$AP484&gt;AO484))+SUMPRODUCT(--($AL484:AO484=AO484))=3,4,5)))),"")</f>
        <v/>
      </c>
      <c r="AT484" s="59" t="str">
        <f aca="false">IF($AJ484=Constants!$B$7,LARGE(AL484:AP484,1)+LARGE(AL484:AP484,2)+LARGE(AL484:AP484,3),"")</f>
        <v/>
      </c>
      <c r="AU484" s="59" t="str">
        <f aca="false">IF(ISBLANK($C484),"",IF($AJ484&lt;&gt;Constants!$B$7,$AJ484,AT484*W484))</f>
        <v/>
      </c>
      <c r="AV484" s="59" t="str">
        <f aca="false">IF(ISBLANK($C484),"",IF($AJ484=Constants!$B$7,IF(ISNUMBER(AU484),RANK(AU484,$AU$8:$AU$507),Constants!$B$14),$AJ484))</f>
        <v/>
      </c>
      <c r="AW484" s="59" t="str">
        <f aca="false">IF(ISBLANK($C484),"",IF($AJ484=Constants!$B$7,IF(ISNUMBER(AV484),COUNTIFS($AK$8:$AK$507,"&lt;"&amp;$AK484)+COUNTIFS($AK$8:$AK$507,$AK484,$AV$8:$AV$507,"&lt;"&amp;$AV484)+1,Constants!$B$14),$AJ484))</f>
        <v/>
      </c>
      <c r="AX484" s="59" t="str">
        <f aca="false">IF(ISBLANK($C484),"",IF($AJ484=Constants!$B$7,LARGE(AL484:AP484,4)*W484,""))</f>
        <v/>
      </c>
      <c r="AY484" s="59" t="str">
        <f aca="false">IF(ISBLANK($C484),"",IF($AJ484=Constants!$B$7,RANK(AX484,$AX$8:$AX$507),$AJ484))</f>
        <v/>
      </c>
      <c r="AZ484" s="59" t="str">
        <f aca="false">IF(ISBLANK($C484),"",IF($AJ484=Constants!$B$7,IF(ISNUMBER(AV484),COUNTIFS($AK$8:$AK$507,"&lt;"&amp;$AK484)+COUNTIFS($AK$8:$AK$507,$AK484,$AV$8:$AV$507,"&lt;"&amp;$AV484)+COUNTIFS($AK$8:$AK$507,$AK484,$AV$8:$AV$507,$AV484,$AY$8:$AY$507,"&lt;"&amp;$AY484)+1,Constants!$B$14),$AJ484))</f>
        <v/>
      </c>
      <c r="BA484" s="59" t="str">
        <f aca="false">IF(ISBLANK($C484),"",IF($AJ484=Constants!$B$7,IF(ISNUMBER(AW484),AW484-AZ484,Constants!$B$14),$AJ484))</f>
        <v/>
      </c>
      <c r="BB484" s="61"/>
      <c r="BC484" s="62" t="str">
        <f aca="false">IF(ISBLANK($C484),"",IF($AJ484&lt;&gt;Constants!$B$7,$AJ484,SMALL(AQ484:AS484,1)&amp;", "&amp;SMALL(AQ484:AS484,2)&amp;", "&amp;SMALL(AQ484:AS484,3)))</f>
        <v/>
      </c>
      <c r="BD484" s="63" t="str">
        <f aca="false">IF(ISBLANK($C484),"",IF($AJ484&lt;&gt;Constants!$B$7,$AJ484,W484))</f>
        <v/>
      </c>
      <c r="BE484" s="64" t="str">
        <f aca="false">IF(ISBLANK($C484),"",IF($AJ484&lt;&gt;Constants!$B$7,$AJ484,AU484))</f>
        <v/>
      </c>
      <c r="BF484" s="65" t="str">
        <f aca="false">IF(ISBLANK($C484),"",IF($AJ484&lt;&gt;Constants!$B$7,$AJ484,AK484))</f>
        <v/>
      </c>
      <c r="BG484" s="63" t="str">
        <f aca="false">IF(ISBLANK($C484),"",BA484)</f>
        <v/>
      </c>
      <c r="BH484" s="63" t="str">
        <f aca="false">IF(ISBLANK($C484),"",AZ484)</f>
        <v/>
      </c>
      <c r="BI484" s="66" t="str">
        <f aca="false">IF(ISBLANK($C484),"",IF(BH484=Constants!$B$4,COUNTA($C$8:$C$507)+2,IF(BH484=Constants!$B$5,COUNTA($C$8:$C$507)+1,IF(BH484=Constants!$B$6,COUNTA($C$8:$C$507),BH484))))</f>
        <v/>
      </c>
      <c r="BJ484" s="5"/>
      <c r="BK484" s="67" t="n">
        <f aca="false">IF(OR(ISNUMBER(BH484),BH484=Constants!$B$4,BH484=Constants!$B$6,BH484=Constants!$B$5),1,0)</f>
        <v>0</v>
      </c>
      <c r="BL484" s="67" t="n">
        <v>477</v>
      </c>
      <c r="BM484" s="67" t="str">
        <f aca="false">IF(ISBLANK($C484),"",IF(ISNUMBER(BI484),BI484+ROW($B484)/1000,""))</f>
        <v/>
      </c>
      <c r="BN484" s="67" t="str">
        <f aca="false">IF(ISNUMBER(BM484),RANK(BM484,$BM$8:$BM$507,1),"")</f>
        <v/>
      </c>
      <c r="BO484" s="67" t="str">
        <f aca="false">IF(ISBLANK($C484),"",$B484)</f>
        <v/>
      </c>
      <c r="BP484" s="67" t="str">
        <f aca="false">IF(ISBLANK($C484),"",$C484)</f>
        <v/>
      </c>
      <c r="BQ484" s="67" t="str">
        <f aca="false">IF(ISBLANK($C484),"",$D484)</f>
        <v/>
      </c>
      <c r="BR484" s="68" t="str">
        <f aca="false">BF484</f>
        <v/>
      </c>
      <c r="BS484" s="69" t="str">
        <f aca="false">BE484</f>
        <v/>
      </c>
      <c r="BT484" s="67" t="str">
        <f aca="false">IF(ISBLANK($C484),"",BH484)</f>
        <v/>
      </c>
      <c r="BU484" s="70" t="str">
        <f aca="false">IF($BL484&gt;$BK$7,"",VLOOKUP($BL484,$BN$8:$BT$507,7,FALSE()))</f>
        <v/>
      </c>
      <c r="BV484" s="71" t="str">
        <f aca="false">IF($BL484&gt;$BK$7,"",VLOOKUP($BL484,$BN$8:$BT$507,2,FALSE()))</f>
        <v/>
      </c>
      <c r="BW484" s="71" t="str">
        <f aca="false">IF($BL484&gt;$BK$7,"",VLOOKUP($BL484,$BN$8:$BT$507,3,FALSE()))</f>
        <v/>
      </c>
      <c r="BX484" s="71" t="str">
        <f aca="false">IF($BL484&gt;$BK$7,"",VLOOKUP($BL484,$BN$8:$BT$507,4,FALSE()))</f>
        <v/>
      </c>
      <c r="BY484" s="71" t="str">
        <f aca="false">IF($BL484&gt;$BK$7,"",VLOOKUP($BL484,$BN$8:$BT$507,5,FALSE()))</f>
        <v/>
      </c>
      <c r="BZ484" s="72" t="str">
        <f aca="false">IF($BL484&gt;$BK$7,"",VLOOKUP($BL484,$BN$8:$BT$507,6,FALSE()))</f>
        <v/>
      </c>
      <c r="CA484" s="48"/>
    </row>
    <row r="485" customFormat="false" ht="15.75" hidden="false" customHeight="false" outlineLevel="0" collapsed="false">
      <c r="A485" s="5"/>
      <c r="B485" s="114"/>
      <c r="C485" s="115"/>
      <c r="D485" s="100"/>
      <c r="E485" s="120"/>
      <c r="F485" s="125"/>
      <c r="G485" s="82"/>
      <c r="H485" s="126"/>
      <c r="I485" s="127"/>
      <c r="J485" s="82"/>
      <c r="K485" s="126"/>
      <c r="L485" s="82"/>
      <c r="M485" s="126"/>
      <c r="N485" s="82"/>
      <c r="O485" s="126"/>
      <c r="P485" s="82"/>
      <c r="Q485" s="126"/>
      <c r="R485" s="82"/>
      <c r="S485" s="120"/>
      <c r="T485" s="86"/>
      <c r="U485" s="87" t="str">
        <f aca="false">IF(ISBLANK($C485),"",IF(E485=Constants!$B$2, TRUE(), IF(E485=Constants!$B$3, FALSE(), TRUE())))</f>
        <v/>
      </c>
      <c r="V485" s="87" t="str">
        <f aca="false">IF(ISBLANK($C485),"",IF(F485=Constants!$B$2, TRUE(), IF(F485=Constants!$B$3, FALSE(), TRUE())))</f>
        <v/>
      </c>
      <c r="W485" s="87" t="str">
        <f aca="false">IF(ISBLANK($C485),"",IF(G485=Constants!$B$15,Constants!$B$8,IF(G485=Constants!$B$16,Constants!$B$9,Constants!$B$10)))</f>
        <v/>
      </c>
      <c r="X485" s="87" t="str">
        <f aca="false">IF(ISBLANK($C485),"",IF(H485=Constants!$B$2, TRUE(), IF(H485=Constants!$B$3, FALSE(), TRUE())))</f>
        <v/>
      </c>
      <c r="Y485" s="87" t="str">
        <f aca="false">IF(ISBLANK($C485),"",IF(I485=Constants!$B$19,Constants!$B$19,Constants!$B$18))</f>
        <v/>
      </c>
      <c r="Z485" s="87" t="str">
        <f aca="false">IF(ISBLANK($C485),"",IF(ISNUMBER(J485),IF(J485&gt;=0,J485,""),""))</f>
        <v/>
      </c>
      <c r="AA485" s="87" t="str">
        <f aca="false">IF(ISBLANK($C485),"",IF(K485=Constants!$B$19,Constants!$B$19,Constants!$B$18))</f>
        <v/>
      </c>
      <c r="AB485" s="87" t="str">
        <f aca="false">IF(ISBLANK($C485),"",IF(ISNUMBER(L485),IF(L485&gt;=0,L485,""),""))</f>
        <v/>
      </c>
      <c r="AC485" s="87" t="str">
        <f aca="false">IF(ISBLANK($C485),"",IF(M485=Constants!$B$19,Constants!$B$19,Constants!$B$18))</f>
        <v/>
      </c>
      <c r="AD485" s="87" t="str">
        <f aca="false">IF(ISBLANK($C485),"",IF(ISNUMBER(N485),IF(N485&gt;=0,N485,""),""))</f>
        <v/>
      </c>
      <c r="AE485" s="87" t="str">
        <f aca="false">IF(ISBLANK($C485),"",IF(O485=Constants!$B$19,Constants!$B$19,Constants!$B$18))</f>
        <v/>
      </c>
      <c r="AF485" s="87" t="str">
        <f aca="false">IF(ISBLANK($C485),"",IF(ISNUMBER(P485),IF(P485&gt;=0,P485,""),""))</f>
        <v/>
      </c>
      <c r="AG485" s="87" t="str">
        <f aca="false">IF(ISBLANK($C485),"",IF(Q485=Constants!$B$19,Constants!$B$19,Constants!$B$18))</f>
        <v/>
      </c>
      <c r="AH485" s="87" t="str">
        <f aca="false">IF(ISBLANK($C485),"",IF(ISNUMBER(R485),IF(R485&gt;=0,R485,""),""))</f>
        <v/>
      </c>
      <c r="AI485" s="87" t="str">
        <f aca="false">IF(ISBLANK($C485),"",IF(S485=Constants!$B$2, TRUE(), IF(S485=Constants!$B$3, FALSE(), FALSE())))</f>
        <v/>
      </c>
      <c r="AJ485" s="87" t="str">
        <f aca="false">IF(ISBLANK($C485),"",IF(AI485,Constants!$B$4,IF(COUNTA(E485:R485)=0,Constants!$B$5,IF(COUNTA(J485,L485,N485,P485,R485)=0,Constants!$B$6,Constants!$B$7))))</f>
        <v/>
      </c>
      <c r="AK485" s="87" t="str">
        <f aca="false">IF(ISBLANK($C485),"",IF($AJ485&lt;&gt;Constants!$B$7,$AJ485,IF(OR(NOT(X485),AND(NOT(U485),COUNTIFS(Y485:AG485,Constants!$B$18,Z485:AH485,"&gt;=0")&gt;0),AND(NOT(V485),COUNTIFS(Y485:AG485,Constants!$B$19,Z485:AH485,"&gt;=0")&gt;0)),Constants!$B$12,Constants!$B$11)))</f>
        <v/>
      </c>
      <c r="AL485" s="87" t="str">
        <f aca="false">IF($AJ485=Constants!$B$7,IF(Z485="",Constants!$B$13,Z485),"")</f>
        <v/>
      </c>
      <c r="AM485" s="87" t="str">
        <f aca="false">IF($AJ485=Constants!$B$7,IF(AB485="",Constants!$B$13,AB485),"")</f>
        <v/>
      </c>
      <c r="AN485" s="87" t="str">
        <f aca="false">IF($AJ485=Constants!$B$7,IF(AD485="",Constants!$B$13,AD485),"")</f>
        <v/>
      </c>
      <c r="AO485" s="87" t="str">
        <f aca="false">IF($AJ485=Constants!$B$7,IF(AF485="",Constants!$B$13,AF485),"")</f>
        <v/>
      </c>
      <c r="AP485" s="87" t="str">
        <f aca="false">IF($AJ485=Constants!$B$7,IF(AH485="",Constants!$B$13,AH485),"")</f>
        <v/>
      </c>
      <c r="AQ485" s="87" t="str">
        <f aca="false">IF($AJ485=Constants!$B$7,IF(SUMPRODUCT(--($AL485:$AP485&gt;AL485))+SUMPRODUCT(--($AL485:AL485=AL485))=1,1,IF(SUMPRODUCT(--($AL485:$AP485&gt;AM485))+SUMPRODUCT(--($AL485:AM485=AM485))=1,2,IF(SUMPRODUCT(--($AL485:$AP485&gt;AN485))+SUMPRODUCT(--($AL485:AN485=AN485))=1,3,IF(SUMPRODUCT(--($AL485:$AP485&gt;AO485))+SUMPRODUCT(--($AL485:AO485=AO485))=1,4,5)))),"")</f>
        <v/>
      </c>
      <c r="AR485" s="87" t="str">
        <f aca="false">IF($AJ485=Constants!$B$7,IF(SUMPRODUCT(--($AL485:$AP485&gt;AL485))+SUMPRODUCT(--($AL485:AL485=AL485))=2,1,IF(SUMPRODUCT(--($AL485:$AP485&gt;AM485))+SUMPRODUCT(--($AL485:AM485=AM485))=2,2,IF(SUMPRODUCT(--($AL485:$AP485&gt;AN485))+SUMPRODUCT(--($AL485:AN485=AN485))=2,3,IF(SUMPRODUCT(--($AL485:$AP485&gt;AO485))+SUMPRODUCT(--($AL485:AO485=AO485))=2,4,5)))),"")</f>
        <v/>
      </c>
      <c r="AS485" s="87" t="str">
        <f aca="false">IF($AJ485=Constants!$B$7,IF(SUMPRODUCT(--($AL485:$AP485&gt;AL485))+SUMPRODUCT(--($AL485:AL485=AL485))=3,1,IF(SUMPRODUCT(--($AL485:$AP485&gt;AM485))+SUMPRODUCT(--($AL485:AM485=AM485))=3,2,IF(SUMPRODUCT(--($AL485:$AP485&gt;AN485))+SUMPRODUCT(--($AL485:AN485=AN485))=3,3,IF(SUMPRODUCT(--($AL485:$AP485&gt;AO485))+SUMPRODUCT(--($AL485:AO485=AO485))=3,4,5)))),"")</f>
        <v/>
      </c>
      <c r="AT485" s="87" t="str">
        <f aca="false">IF($AJ485=Constants!$B$7,LARGE(AL485:AP485,1)+LARGE(AL485:AP485,2)+LARGE(AL485:AP485,3),"")</f>
        <v/>
      </c>
      <c r="AU485" s="87" t="str">
        <f aca="false">IF(ISBLANK($C485),"",IF($AJ485&lt;&gt;Constants!$B$7,$AJ485,AT485*W485))</f>
        <v/>
      </c>
      <c r="AV485" s="87" t="str">
        <f aca="false">IF(ISBLANK($C485),"",IF($AJ485=Constants!$B$7,IF(ISNUMBER(AU485),RANK(AU485,$AU$8:$AU$507),Constants!$B$14),$AJ485))</f>
        <v/>
      </c>
      <c r="AW485" s="87" t="str">
        <f aca="false">IF(ISBLANK($C485),"",IF($AJ485=Constants!$B$7,IF(ISNUMBER(AV485),COUNTIFS($AK$8:$AK$507,"&lt;"&amp;$AK485)+COUNTIFS($AK$8:$AK$507,$AK485,$AV$8:$AV$507,"&lt;"&amp;$AV485)+1,Constants!$B$14),$AJ485))</f>
        <v/>
      </c>
      <c r="AX485" s="87" t="str">
        <f aca="false">IF(ISBLANK($C485),"",IF($AJ485=Constants!$B$7,LARGE(AL485:AP485,4)*W485,""))</f>
        <v/>
      </c>
      <c r="AY485" s="87" t="str">
        <f aca="false">IF(ISBLANK($C485),"",IF($AJ485=Constants!$B$7,RANK(AX485,$AX$8:$AX$507),$AJ485))</f>
        <v/>
      </c>
      <c r="AZ485" s="87" t="str">
        <f aca="false">IF(ISBLANK($C485),"",IF($AJ485=Constants!$B$7,IF(ISNUMBER(AV485),COUNTIFS($AK$8:$AK$507,"&lt;"&amp;$AK485)+COUNTIFS($AK$8:$AK$507,$AK485,$AV$8:$AV$507,"&lt;"&amp;$AV485)+COUNTIFS($AK$8:$AK$507,$AK485,$AV$8:$AV$507,$AV485,$AY$8:$AY$507,"&lt;"&amp;$AY485)+1,Constants!$B$14),$AJ485))</f>
        <v/>
      </c>
      <c r="BA485" s="87" t="str">
        <f aca="false">IF(ISBLANK($C485),"",IF($AJ485=Constants!$B$7,IF(ISNUMBER(AW485),AW485-AZ485,Constants!$B$14),$AJ485))</f>
        <v/>
      </c>
      <c r="BB485" s="88"/>
      <c r="BC485" s="89" t="str">
        <f aca="false">IF(ISBLANK($C485),"",IF($AJ485&lt;&gt;Constants!$B$7,$AJ485,SMALL(AQ485:AS485,1)&amp;", "&amp;SMALL(AQ485:AS485,2)&amp;", "&amp;SMALL(AQ485:AS485,3)))</f>
        <v/>
      </c>
      <c r="BD485" s="90" t="str">
        <f aca="false">IF(ISBLANK($C485),"",IF($AJ485&lt;&gt;Constants!$B$7,$AJ485,W485))</f>
        <v/>
      </c>
      <c r="BE485" s="91" t="str">
        <f aca="false">IF(ISBLANK($C485),"",IF($AJ485&lt;&gt;Constants!$B$7,$AJ485,AU485))</f>
        <v/>
      </c>
      <c r="BF485" s="92" t="str">
        <f aca="false">IF(ISBLANK($C485),"",IF($AJ485&lt;&gt;Constants!$B$7,$AJ485,AK485))</f>
        <v/>
      </c>
      <c r="BG485" s="90" t="str">
        <f aca="false">IF(ISBLANK($C485),"",BA485)</f>
        <v/>
      </c>
      <c r="BH485" s="90" t="str">
        <f aca="false">IF(ISBLANK($C485),"",AZ485)</f>
        <v/>
      </c>
      <c r="BI485" s="93" t="str">
        <f aca="false">IF(ISBLANK($C485),"",IF(BH485=Constants!$B$4,COUNTA($C$8:$C$507)+2,IF(BH485=Constants!$B$5,COUNTA($C$8:$C$507)+1,IF(BH485=Constants!$B$6,COUNTA($C$8:$C$507),BH485))))</f>
        <v/>
      </c>
      <c r="BJ485" s="5"/>
      <c r="BK485" s="94" t="n">
        <f aca="false">IF(OR(ISNUMBER(BH485),BH485=Constants!$B$4,BH485=Constants!$B$6,BH485=Constants!$B$5),1,0)</f>
        <v>0</v>
      </c>
      <c r="BL485" s="94" t="n">
        <v>478</v>
      </c>
      <c r="BM485" s="94" t="str">
        <f aca="false">IF(ISBLANK($C485),"",IF(ISNUMBER(BI485),BI485+ROW($B485)/1000,""))</f>
        <v/>
      </c>
      <c r="BN485" s="94" t="str">
        <f aca="false">IF(ISNUMBER(BM485),RANK(BM485,$BM$8:$BM$507,1),"")</f>
        <v/>
      </c>
      <c r="BO485" s="94" t="str">
        <f aca="false">IF(ISBLANK($C485),"",$B485)</f>
        <v/>
      </c>
      <c r="BP485" s="94" t="str">
        <f aca="false">IF(ISBLANK($C485),"",$C485)</f>
        <v/>
      </c>
      <c r="BQ485" s="94" t="str">
        <f aca="false">IF(ISBLANK($C485),"",$D485)</f>
        <v/>
      </c>
      <c r="BR485" s="95" t="str">
        <f aca="false">BF485</f>
        <v/>
      </c>
      <c r="BS485" s="96" t="str">
        <f aca="false">BE485</f>
        <v/>
      </c>
      <c r="BT485" s="94" t="str">
        <f aca="false">IF(ISBLANK($C485),"",BH485)</f>
        <v/>
      </c>
      <c r="BU485" s="97" t="str">
        <f aca="false">IF($BL485&gt;$BK$7,"",VLOOKUP($BL485,$BN$8:$BT$507,7,FALSE()))</f>
        <v/>
      </c>
      <c r="BV485" s="98" t="str">
        <f aca="false">IF($BL485&gt;$BK$7,"",VLOOKUP($BL485,$BN$8:$BT$507,2,FALSE()))</f>
        <v/>
      </c>
      <c r="BW485" s="98" t="str">
        <f aca="false">IF($BL485&gt;$BK$7,"",VLOOKUP($BL485,$BN$8:$BT$507,3,FALSE()))</f>
        <v/>
      </c>
      <c r="BX485" s="98" t="str">
        <f aca="false">IF($BL485&gt;$BK$7,"",VLOOKUP($BL485,$BN$8:$BT$507,4,FALSE()))</f>
        <v/>
      </c>
      <c r="BY485" s="98" t="str">
        <f aca="false">IF($BL485&gt;$BK$7,"",VLOOKUP($BL485,$BN$8:$BT$507,5,FALSE()))</f>
        <v/>
      </c>
      <c r="BZ485" s="99" t="str">
        <f aca="false">IF($BL485&gt;$BK$7,"",VLOOKUP($BL485,$BN$8:$BT$507,6,FALSE()))</f>
        <v/>
      </c>
      <c r="CA485" s="48"/>
    </row>
    <row r="486" customFormat="false" ht="15.75" hidden="false" customHeight="false" outlineLevel="0" collapsed="false">
      <c r="A486" s="5"/>
      <c r="B486" s="114"/>
      <c r="C486" s="115"/>
      <c r="D486" s="100"/>
      <c r="E486" s="120"/>
      <c r="F486" s="125"/>
      <c r="G486" s="82"/>
      <c r="H486" s="126"/>
      <c r="I486" s="127"/>
      <c r="J486" s="82"/>
      <c r="K486" s="126"/>
      <c r="L486" s="82"/>
      <c r="M486" s="126"/>
      <c r="N486" s="82"/>
      <c r="O486" s="126"/>
      <c r="P486" s="82"/>
      <c r="Q486" s="126"/>
      <c r="R486" s="82"/>
      <c r="S486" s="120"/>
      <c r="T486" s="86"/>
      <c r="U486" s="87" t="str">
        <f aca="false">IF(ISBLANK($C486),"",IF(E486=Constants!$B$2, TRUE(), IF(E486=Constants!$B$3, FALSE(), TRUE())))</f>
        <v/>
      </c>
      <c r="V486" s="87" t="str">
        <f aca="false">IF(ISBLANK($C486),"",IF(F486=Constants!$B$2, TRUE(), IF(F486=Constants!$B$3, FALSE(), TRUE())))</f>
        <v/>
      </c>
      <c r="W486" s="87" t="str">
        <f aca="false">IF(ISBLANK($C486),"",IF(G486=Constants!$B$15,Constants!$B$8,IF(G486=Constants!$B$16,Constants!$B$9,Constants!$B$10)))</f>
        <v/>
      </c>
      <c r="X486" s="87" t="str">
        <f aca="false">IF(ISBLANK($C486),"",IF(H486=Constants!$B$2, TRUE(), IF(H486=Constants!$B$3, FALSE(), TRUE())))</f>
        <v/>
      </c>
      <c r="Y486" s="87" t="str">
        <f aca="false">IF(ISBLANK($C486),"",IF(I486=Constants!$B$19,Constants!$B$19,Constants!$B$18))</f>
        <v/>
      </c>
      <c r="Z486" s="87" t="str">
        <f aca="false">IF(ISBLANK($C486),"",IF(ISNUMBER(J486),IF(J486&gt;=0,J486,""),""))</f>
        <v/>
      </c>
      <c r="AA486" s="87" t="str">
        <f aca="false">IF(ISBLANK($C486),"",IF(K486=Constants!$B$19,Constants!$B$19,Constants!$B$18))</f>
        <v/>
      </c>
      <c r="AB486" s="87" t="str">
        <f aca="false">IF(ISBLANK($C486),"",IF(ISNUMBER(L486),IF(L486&gt;=0,L486,""),""))</f>
        <v/>
      </c>
      <c r="AC486" s="87" t="str">
        <f aca="false">IF(ISBLANK($C486),"",IF(M486=Constants!$B$19,Constants!$B$19,Constants!$B$18))</f>
        <v/>
      </c>
      <c r="AD486" s="87" t="str">
        <f aca="false">IF(ISBLANK($C486),"",IF(ISNUMBER(N486),IF(N486&gt;=0,N486,""),""))</f>
        <v/>
      </c>
      <c r="AE486" s="87" t="str">
        <f aca="false">IF(ISBLANK($C486),"",IF(O486=Constants!$B$19,Constants!$B$19,Constants!$B$18))</f>
        <v/>
      </c>
      <c r="AF486" s="87" t="str">
        <f aca="false">IF(ISBLANK($C486),"",IF(ISNUMBER(P486),IF(P486&gt;=0,P486,""),""))</f>
        <v/>
      </c>
      <c r="AG486" s="87" t="str">
        <f aca="false">IF(ISBLANK($C486),"",IF(Q486=Constants!$B$19,Constants!$B$19,Constants!$B$18))</f>
        <v/>
      </c>
      <c r="AH486" s="87" t="str">
        <f aca="false">IF(ISBLANK($C486),"",IF(ISNUMBER(R486),IF(R486&gt;=0,R486,""),""))</f>
        <v/>
      </c>
      <c r="AI486" s="87" t="str">
        <f aca="false">IF(ISBLANK($C486),"",IF(S486=Constants!$B$2, TRUE(), IF(S486=Constants!$B$3, FALSE(), FALSE())))</f>
        <v/>
      </c>
      <c r="AJ486" s="87" t="str">
        <f aca="false">IF(ISBLANK($C486),"",IF(AI486,Constants!$B$4,IF(COUNTA(E486:R486)=0,Constants!$B$5,IF(COUNTA(J486,L486,N486,P486,R486)=0,Constants!$B$6,Constants!$B$7))))</f>
        <v/>
      </c>
      <c r="AK486" s="87" t="str">
        <f aca="false">IF(ISBLANK($C486),"",IF($AJ486&lt;&gt;Constants!$B$7,$AJ486,IF(OR(NOT(X486),AND(NOT(U486),COUNTIFS(Y486:AG486,Constants!$B$18,Z486:AH486,"&gt;=0")&gt;0),AND(NOT(V486),COUNTIFS(Y486:AG486,Constants!$B$19,Z486:AH486,"&gt;=0")&gt;0)),Constants!$B$12,Constants!$B$11)))</f>
        <v/>
      </c>
      <c r="AL486" s="87" t="str">
        <f aca="false">IF($AJ486=Constants!$B$7,IF(Z486="",Constants!$B$13,Z486),"")</f>
        <v/>
      </c>
      <c r="AM486" s="87" t="str">
        <f aca="false">IF($AJ486=Constants!$B$7,IF(AB486="",Constants!$B$13,AB486),"")</f>
        <v/>
      </c>
      <c r="AN486" s="87" t="str">
        <f aca="false">IF($AJ486=Constants!$B$7,IF(AD486="",Constants!$B$13,AD486),"")</f>
        <v/>
      </c>
      <c r="AO486" s="87" t="str">
        <f aca="false">IF($AJ486=Constants!$B$7,IF(AF486="",Constants!$B$13,AF486),"")</f>
        <v/>
      </c>
      <c r="AP486" s="87" t="str">
        <f aca="false">IF($AJ486=Constants!$B$7,IF(AH486="",Constants!$B$13,AH486),"")</f>
        <v/>
      </c>
      <c r="AQ486" s="87" t="str">
        <f aca="false">IF($AJ486=Constants!$B$7,IF(SUMPRODUCT(--($AL486:$AP486&gt;AL486))+SUMPRODUCT(--($AL486:AL486=AL486))=1,1,IF(SUMPRODUCT(--($AL486:$AP486&gt;AM486))+SUMPRODUCT(--($AL486:AM486=AM486))=1,2,IF(SUMPRODUCT(--($AL486:$AP486&gt;AN486))+SUMPRODUCT(--($AL486:AN486=AN486))=1,3,IF(SUMPRODUCT(--($AL486:$AP486&gt;AO486))+SUMPRODUCT(--($AL486:AO486=AO486))=1,4,5)))),"")</f>
        <v/>
      </c>
      <c r="AR486" s="87" t="str">
        <f aca="false">IF($AJ486=Constants!$B$7,IF(SUMPRODUCT(--($AL486:$AP486&gt;AL486))+SUMPRODUCT(--($AL486:AL486=AL486))=2,1,IF(SUMPRODUCT(--($AL486:$AP486&gt;AM486))+SUMPRODUCT(--($AL486:AM486=AM486))=2,2,IF(SUMPRODUCT(--($AL486:$AP486&gt;AN486))+SUMPRODUCT(--($AL486:AN486=AN486))=2,3,IF(SUMPRODUCT(--($AL486:$AP486&gt;AO486))+SUMPRODUCT(--($AL486:AO486=AO486))=2,4,5)))),"")</f>
        <v/>
      </c>
      <c r="AS486" s="87" t="str">
        <f aca="false">IF($AJ486=Constants!$B$7,IF(SUMPRODUCT(--($AL486:$AP486&gt;AL486))+SUMPRODUCT(--($AL486:AL486=AL486))=3,1,IF(SUMPRODUCT(--($AL486:$AP486&gt;AM486))+SUMPRODUCT(--($AL486:AM486=AM486))=3,2,IF(SUMPRODUCT(--($AL486:$AP486&gt;AN486))+SUMPRODUCT(--($AL486:AN486=AN486))=3,3,IF(SUMPRODUCT(--($AL486:$AP486&gt;AO486))+SUMPRODUCT(--($AL486:AO486=AO486))=3,4,5)))),"")</f>
        <v/>
      </c>
      <c r="AT486" s="87" t="str">
        <f aca="false">IF($AJ486=Constants!$B$7,LARGE(AL486:AP486,1)+LARGE(AL486:AP486,2)+LARGE(AL486:AP486,3),"")</f>
        <v/>
      </c>
      <c r="AU486" s="87" t="str">
        <f aca="false">IF(ISBLANK($C486),"",IF($AJ486&lt;&gt;Constants!$B$7,$AJ486,AT486*W486))</f>
        <v/>
      </c>
      <c r="AV486" s="87" t="str">
        <f aca="false">IF(ISBLANK($C486),"",IF($AJ486=Constants!$B$7,IF(ISNUMBER(AU486),RANK(AU486,$AU$8:$AU$507),Constants!$B$14),$AJ486))</f>
        <v/>
      </c>
      <c r="AW486" s="87" t="str">
        <f aca="false">IF(ISBLANK($C486),"",IF($AJ486=Constants!$B$7,IF(ISNUMBER(AV486),COUNTIFS($AK$8:$AK$507,"&lt;"&amp;$AK486)+COUNTIFS($AK$8:$AK$507,$AK486,$AV$8:$AV$507,"&lt;"&amp;$AV486)+1,Constants!$B$14),$AJ486))</f>
        <v/>
      </c>
      <c r="AX486" s="87" t="str">
        <f aca="false">IF(ISBLANK($C486),"",IF($AJ486=Constants!$B$7,LARGE(AL486:AP486,4)*W486,""))</f>
        <v/>
      </c>
      <c r="AY486" s="87" t="str">
        <f aca="false">IF(ISBLANK($C486),"",IF($AJ486=Constants!$B$7,RANK(AX486,$AX$8:$AX$507),$AJ486))</f>
        <v/>
      </c>
      <c r="AZ486" s="87" t="str">
        <f aca="false">IF(ISBLANK($C486),"",IF($AJ486=Constants!$B$7,IF(ISNUMBER(AV486),COUNTIFS($AK$8:$AK$507,"&lt;"&amp;$AK486)+COUNTIFS($AK$8:$AK$507,$AK486,$AV$8:$AV$507,"&lt;"&amp;$AV486)+COUNTIFS($AK$8:$AK$507,$AK486,$AV$8:$AV$507,$AV486,$AY$8:$AY$507,"&lt;"&amp;$AY486)+1,Constants!$B$14),$AJ486))</f>
        <v/>
      </c>
      <c r="BA486" s="87" t="str">
        <f aca="false">IF(ISBLANK($C486),"",IF($AJ486=Constants!$B$7,IF(ISNUMBER(AW486),AW486-AZ486,Constants!$B$14),$AJ486))</f>
        <v/>
      </c>
      <c r="BB486" s="88"/>
      <c r="BC486" s="89" t="str">
        <f aca="false">IF(ISBLANK($C486),"",IF($AJ486&lt;&gt;Constants!$B$7,$AJ486,SMALL(AQ486:AS486,1)&amp;", "&amp;SMALL(AQ486:AS486,2)&amp;", "&amp;SMALL(AQ486:AS486,3)))</f>
        <v/>
      </c>
      <c r="BD486" s="90" t="str">
        <f aca="false">IF(ISBLANK($C486),"",IF($AJ486&lt;&gt;Constants!$B$7,$AJ486,W486))</f>
        <v/>
      </c>
      <c r="BE486" s="91" t="str">
        <f aca="false">IF(ISBLANK($C486),"",IF($AJ486&lt;&gt;Constants!$B$7,$AJ486,AU486))</f>
        <v/>
      </c>
      <c r="BF486" s="92" t="str">
        <f aca="false">IF(ISBLANK($C486),"",IF($AJ486&lt;&gt;Constants!$B$7,$AJ486,AK486))</f>
        <v/>
      </c>
      <c r="BG486" s="90" t="str">
        <f aca="false">IF(ISBLANK($C486),"",BA486)</f>
        <v/>
      </c>
      <c r="BH486" s="90" t="str">
        <f aca="false">IF(ISBLANK($C486),"",AZ486)</f>
        <v/>
      </c>
      <c r="BI486" s="93" t="str">
        <f aca="false">IF(ISBLANK($C486),"",IF(BH486=Constants!$B$4,COUNTA($C$8:$C$507)+2,IF(BH486=Constants!$B$5,COUNTA($C$8:$C$507)+1,IF(BH486=Constants!$B$6,COUNTA($C$8:$C$507),BH486))))</f>
        <v/>
      </c>
      <c r="BJ486" s="5"/>
      <c r="BK486" s="94" t="n">
        <f aca="false">IF(OR(ISNUMBER(BH486),BH486=Constants!$B$4,BH486=Constants!$B$6,BH486=Constants!$B$5),1,0)</f>
        <v>0</v>
      </c>
      <c r="BL486" s="94" t="n">
        <v>479</v>
      </c>
      <c r="BM486" s="94" t="str">
        <f aca="false">IF(ISBLANK($C486),"",IF(ISNUMBER(BI486),BI486+ROW($B486)/1000,""))</f>
        <v/>
      </c>
      <c r="BN486" s="94" t="str">
        <f aca="false">IF(ISNUMBER(BM486),RANK(BM486,$BM$8:$BM$507,1),"")</f>
        <v/>
      </c>
      <c r="BO486" s="94" t="str">
        <f aca="false">IF(ISBLANK($C486),"",$B486)</f>
        <v/>
      </c>
      <c r="BP486" s="94" t="str">
        <f aca="false">IF(ISBLANK($C486),"",$C486)</f>
        <v/>
      </c>
      <c r="BQ486" s="94" t="str">
        <f aca="false">IF(ISBLANK($C486),"",$D486)</f>
        <v/>
      </c>
      <c r="BR486" s="95" t="str">
        <f aca="false">BF486</f>
        <v/>
      </c>
      <c r="BS486" s="96" t="str">
        <f aca="false">BE486</f>
        <v/>
      </c>
      <c r="BT486" s="94" t="str">
        <f aca="false">IF(ISBLANK($C486),"",BH486)</f>
        <v/>
      </c>
      <c r="BU486" s="97" t="str">
        <f aca="false">IF($BL486&gt;$BK$7,"",VLOOKUP($BL486,$BN$8:$BT$507,7,FALSE()))</f>
        <v/>
      </c>
      <c r="BV486" s="98" t="str">
        <f aca="false">IF($BL486&gt;$BK$7,"",VLOOKUP($BL486,$BN$8:$BT$507,2,FALSE()))</f>
        <v/>
      </c>
      <c r="BW486" s="98" t="str">
        <f aca="false">IF($BL486&gt;$BK$7,"",VLOOKUP($BL486,$BN$8:$BT$507,3,FALSE()))</f>
        <v/>
      </c>
      <c r="BX486" s="98" t="str">
        <f aca="false">IF($BL486&gt;$BK$7,"",VLOOKUP($BL486,$BN$8:$BT$507,4,FALSE()))</f>
        <v/>
      </c>
      <c r="BY486" s="98" t="str">
        <f aca="false">IF($BL486&gt;$BK$7,"",VLOOKUP($BL486,$BN$8:$BT$507,5,FALSE()))</f>
        <v/>
      </c>
      <c r="BZ486" s="99" t="str">
        <f aca="false">IF($BL486&gt;$BK$7,"",VLOOKUP($BL486,$BN$8:$BT$507,6,FALSE()))</f>
        <v/>
      </c>
      <c r="CA486" s="48"/>
    </row>
    <row r="487" customFormat="false" ht="15.75" hidden="false" customHeight="false" outlineLevel="0" collapsed="false">
      <c r="A487" s="5"/>
      <c r="B487" s="114"/>
      <c r="C487" s="115"/>
      <c r="D487" s="100"/>
      <c r="E487" s="120"/>
      <c r="F487" s="125"/>
      <c r="G487" s="82"/>
      <c r="H487" s="126"/>
      <c r="I487" s="127"/>
      <c r="J487" s="82"/>
      <c r="K487" s="126"/>
      <c r="L487" s="82"/>
      <c r="M487" s="126"/>
      <c r="N487" s="82"/>
      <c r="O487" s="126"/>
      <c r="P487" s="82"/>
      <c r="Q487" s="126"/>
      <c r="R487" s="82"/>
      <c r="S487" s="120"/>
      <c r="T487" s="86"/>
      <c r="U487" s="87" t="str">
        <f aca="false">IF(ISBLANK($C487),"",IF(E487=Constants!$B$2, TRUE(), IF(E487=Constants!$B$3, FALSE(), TRUE())))</f>
        <v/>
      </c>
      <c r="V487" s="87" t="str">
        <f aca="false">IF(ISBLANK($C487),"",IF(F487=Constants!$B$2, TRUE(), IF(F487=Constants!$B$3, FALSE(), TRUE())))</f>
        <v/>
      </c>
      <c r="W487" s="87" t="str">
        <f aca="false">IF(ISBLANK($C487),"",IF(G487=Constants!$B$15,Constants!$B$8,IF(G487=Constants!$B$16,Constants!$B$9,Constants!$B$10)))</f>
        <v/>
      </c>
      <c r="X487" s="87" t="str">
        <f aca="false">IF(ISBLANK($C487),"",IF(H487=Constants!$B$2, TRUE(), IF(H487=Constants!$B$3, FALSE(), TRUE())))</f>
        <v/>
      </c>
      <c r="Y487" s="87" t="str">
        <f aca="false">IF(ISBLANK($C487),"",IF(I487=Constants!$B$19,Constants!$B$19,Constants!$B$18))</f>
        <v/>
      </c>
      <c r="Z487" s="87" t="str">
        <f aca="false">IF(ISBLANK($C487),"",IF(ISNUMBER(J487),IF(J487&gt;=0,J487,""),""))</f>
        <v/>
      </c>
      <c r="AA487" s="87" t="str">
        <f aca="false">IF(ISBLANK($C487),"",IF(K487=Constants!$B$19,Constants!$B$19,Constants!$B$18))</f>
        <v/>
      </c>
      <c r="AB487" s="87" t="str">
        <f aca="false">IF(ISBLANK($C487),"",IF(ISNUMBER(L487),IF(L487&gt;=0,L487,""),""))</f>
        <v/>
      </c>
      <c r="AC487" s="87" t="str">
        <f aca="false">IF(ISBLANK($C487),"",IF(M487=Constants!$B$19,Constants!$B$19,Constants!$B$18))</f>
        <v/>
      </c>
      <c r="AD487" s="87" t="str">
        <f aca="false">IF(ISBLANK($C487),"",IF(ISNUMBER(N487),IF(N487&gt;=0,N487,""),""))</f>
        <v/>
      </c>
      <c r="AE487" s="87" t="str">
        <f aca="false">IF(ISBLANK($C487),"",IF(O487=Constants!$B$19,Constants!$B$19,Constants!$B$18))</f>
        <v/>
      </c>
      <c r="AF487" s="87" t="str">
        <f aca="false">IF(ISBLANK($C487),"",IF(ISNUMBER(P487),IF(P487&gt;=0,P487,""),""))</f>
        <v/>
      </c>
      <c r="AG487" s="87" t="str">
        <f aca="false">IF(ISBLANK($C487),"",IF(Q487=Constants!$B$19,Constants!$B$19,Constants!$B$18))</f>
        <v/>
      </c>
      <c r="AH487" s="87" t="str">
        <f aca="false">IF(ISBLANK($C487),"",IF(ISNUMBER(R487),IF(R487&gt;=0,R487,""),""))</f>
        <v/>
      </c>
      <c r="AI487" s="87" t="str">
        <f aca="false">IF(ISBLANK($C487),"",IF(S487=Constants!$B$2, TRUE(), IF(S487=Constants!$B$3, FALSE(), FALSE())))</f>
        <v/>
      </c>
      <c r="AJ487" s="87" t="str">
        <f aca="false">IF(ISBLANK($C487),"",IF(AI487,Constants!$B$4,IF(COUNTA(E487:R487)=0,Constants!$B$5,IF(COUNTA(J487,L487,N487,P487,R487)=0,Constants!$B$6,Constants!$B$7))))</f>
        <v/>
      </c>
      <c r="AK487" s="87" t="str">
        <f aca="false">IF(ISBLANK($C487),"",IF($AJ487&lt;&gt;Constants!$B$7,$AJ487,IF(OR(NOT(X487),AND(NOT(U487),COUNTIFS(Y487:AG487,Constants!$B$18,Z487:AH487,"&gt;=0")&gt;0),AND(NOT(V487),COUNTIFS(Y487:AG487,Constants!$B$19,Z487:AH487,"&gt;=0")&gt;0)),Constants!$B$12,Constants!$B$11)))</f>
        <v/>
      </c>
      <c r="AL487" s="87" t="str">
        <f aca="false">IF($AJ487=Constants!$B$7,IF(Z487="",Constants!$B$13,Z487),"")</f>
        <v/>
      </c>
      <c r="AM487" s="87" t="str">
        <f aca="false">IF($AJ487=Constants!$B$7,IF(AB487="",Constants!$B$13,AB487),"")</f>
        <v/>
      </c>
      <c r="AN487" s="87" t="str">
        <f aca="false">IF($AJ487=Constants!$B$7,IF(AD487="",Constants!$B$13,AD487),"")</f>
        <v/>
      </c>
      <c r="AO487" s="87" t="str">
        <f aca="false">IF($AJ487=Constants!$B$7,IF(AF487="",Constants!$B$13,AF487),"")</f>
        <v/>
      </c>
      <c r="AP487" s="87" t="str">
        <f aca="false">IF($AJ487=Constants!$B$7,IF(AH487="",Constants!$B$13,AH487),"")</f>
        <v/>
      </c>
      <c r="AQ487" s="87" t="str">
        <f aca="false">IF($AJ487=Constants!$B$7,IF(SUMPRODUCT(--($AL487:$AP487&gt;AL487))+SUMPRODUCT(--($AL487:AL487=AL487))=1,1,IF(SUMPRODUCT(--($AL487:$AP487&gt;AM487))+SUMPRODUCT(--($AL487:AM487=AM487))=1,2,IF(SUMPRODUCT(--($AL487:$AP487&gt;AN487))+SUMPRODUCT(--($AL487:AN487=AN487))=1,3,IF(SUMPRODUCT(--($AL487:$AP487&gt;AO487))+SUMPRODUCT(--($AL487:AO487=AO487))=1,4,5)))),"")</f>
        <v/>
      </c>
      <c r="AR487" s="87" t="str">
        <f aca="false">IF($AJ487=Constants!$B$7,IF(SUMPRODUCT(--($AL487:$AP487&gt;AL487))+SUMPRODUCT(--($AL487:AL487=AL487))=2,1,IF(SUMPRODUCT(--($AL487:$AP487&gt;AM487))+SUMPRODUCT(--($AL487:AM487=AM487))=2,2,IF(SUMPRODUCT(--($AL487:$AP487&gt;AN487))+SUMPRODUCT(--($AL487:AN487=AN487))=2,3,IF(SUMPRODUCT(--($AL487:$AP487&gt;AO487))+SUMPRODUCT(--($AL487:AO487=AO487))=2,4,5)))),"")</f>
        <v/>
      </c>
      <c r="AS487" s="87" t="str">
        <f aca="false">IF($AJ487=Constants!$B$7,IF(SUMPRODUCT(--($AL487:$AP487&gt;AL487))+SUMPRODUCT(--($AL487:AL487=AL487))=3,1,IF(SUMPRODUCT(--($AL487:$AP487&gt;AM487))+SUMPRODUCT(--($AL487:AM487=AM487))=3,2,IF(SUMPRODUCT(--($AL487:$AP487&gt;AN487))+SUMPRODUCT(--($AL487:AN487=AN487))=3,3,IF(SUMPRODUCT(--($AL487:$AP487&gt;AO487))+SUMPRODUCT(--($AL487:AO487=AO487))=3,4,5)))),"")</f>
        <v/>
      </c>
      <c r="AT487" s="87" t="str">
        <f aca="false">IF($AJ487=Constants!$B$7,LARGE(AL487:AP487,1)+LARGE(AL487:AP487,2)+LARGE(AL487:AP487,3),"")</f>
        <v/>
      </c>
      <c r="AU487" s="87" t="str">
        <f aca="false">IF(ISBLANK($C487),"",IF($AJ487&lt;&gt;Constants!$B$7,$AJ487,AT487*W487))</f>
        <v/>
      </c>
      <c r="AV487" s="87" t="str">
        <f aca="false">IF(ISBLANK($C487),"",IF($AJ487=Constants!$B$7,IF(ISNUMBER(AU487),RANK(AU487,$AU$8:$AU$507),Constants!$B$14),$AJ487))</f>
        <v/>
      </c>
      <c r="AW487" s="87" t="str">
        <f aca="false">IF(ISBLANK($C487),"",IF($AJ487=Constants!$B$7,IF(ISNUMBER(AV487),COUNTIFS($AK$8:$AK$507,"&lt;"&amp;$AK487)+COUNTIFS($AK$8:$AK$507,$AK487,$AV$8:$AV$507,"&lt;"&amp;$AV487)+1,Constants!$B$14),$AJ487))</f>
        <v/>
      </c>
      <c r="AX487" s="87" t="str">
        <f aca="false">IF(ISBLANK($C487),"",IF($AJ487=Constants!$B$7,LARGE(AL487:AP487,4)*W487,""))</f>
        <v/>
      </c>
      <c r="AY487" s="87" t="str">
        <f aca="false">IF(ISBLANK($C487),"",IF($AJ487=Constants!$B$7,RANK(AX487,$AX$8:$AX$507),$AJ487))</f>
        <v/>
      </c>
      <c r="AZ487" s="87" t="str">
        <f aca="false">IF(ISBLANK($C487),"",IF($AJ487=Constants!$B$7,IF(ISNUMBER(AV487),COUNTIFS($AK$8:$AK$507,"&lt;"&amp;$AK487)+COUNTIFS($AK$8:$AK$507,$AK487,$AV$8:$AV$507,"&lt;"&amp;$AV487)+COUNTIFS($AK$8:$AK$507,$AK487,$AV$8:$AV$507,$AV487,$AY$8:$AY$507,"&lt;"&amp;$AY487)+1,Constants!$B$14),$AJ487))</f>
        <v/>
      </c>
      <c r="BA487" s="87" t="str">
        <f aca="false">IF(ISBLANK($C487),"",IF($AJ487=Constants!$B$7,IF(ISNUMBER(AW487),AW487-AZ487,Constants!$B$14),$AJ487))</f>
        <v/>
      </c>
      <c r="BB487" s="88"/>
      <c r="BC487" s="89" t="str">
        <f aca="false">IF(ISBLANK($C487),"",IF($AJ487&lt;&gt;Constants!$B$7,$AJ487,SMALL(AQ487:AS487,1)&amp;", "&amp;SMALL(AQ487:AS487,2)&amp;", "&amp;SMALL(AQ487:AS487,3)))</f>
        <v/>
      </c>
      <c r="BD487" s="90" t="str">
        <f aca="false">IF(ISBLANK($C487),"",IF($AJ487&lt;&gt;Constants!$B$7,$AJ487,W487))</f>
        <v/>
      </c>
      <c r="BE487" s="91" t="str">
        <f aca="false">IF(ISBLANK($C487),"",IF($AJ487&lt;&gt;Constants!$B$7,$AJ487,AU487))</f>
        <v/>
      </c>
      <c r="BF487" s="92" t="str">
        <f aca="false">IF(ISBLANK($C487),"",IF($AJ487&lt;&gt;Constants!$B$7,$AJ487,AK487))</f>
        <v/>
      </c>
      <c r="BG487" s="90" t="str">
        <f aca="false">IF(ISBLANK($C487),"",BA487)</f>
        <v/>
      </c>
      <c r="BH487" s="90" t="str">
        <f aca="false">IF(ISBLANK($C487),"",AZ487)</f>
        <v/>
      </c>
      <c r="BI487" s="93" t="str">
        <f aca="false">IF(ISBLANK($C487),"",IF(BH487=Constants!$B$4,COUNTA($C$8:$C$507)+2,IF(BH487=Constants!$B$5,COUNTA($C$8:$C$507)+1,IF(BH487=Constants!$B$6,COUNTA($C$8:$C$507),BH487))))</f>
        <v/>
      </c>
      <c r="BJ487" s="5"/>
      <c r="BK487" s="94" t="n">
        <f aca="false">IF(OR(ISNUMBER(BH487),BH487=Constants!$B$4,BH487=Constants!$B$6,BH487=Constants!$B$5),1,0)</f>
        <v>0</v>
      </c>
      <c r="BL487" s="94" t="n">
        <v>480</v>
      </c>
      <c r="BM487" s="94" t="str">
        <f aca="false">IF(ISBLANK($C487),"",IF(ISNUMBER(BI487),BI487+ROW($B487)/1000,""))</f>
        <v/>
      </c>
      <c r="BN487" s="94" t="str">
        <f aca="false">IF(ISNUMBER(BM487),RANK(BM487,$BM$8:$BM$507,1),"")</f>
        <v/>
      </c>
      <c r="BO487" s="94" t="str">
        <f aca="false">IF(ISBLANK($C487),"",$B487)</f>
        <v/>
      </c>
      <c r="BP487" s="94" t="str">
        <f aca="false">IF(ISBLANK($C487),"",$C487)</f>
        <v/>
      </c>
      <c r="BQ487" s="94" t="str">
        <f aca="false">IF(ISBLANK($C487),"",$D487)</f>
        <v/>
      </c>
      <c r="BR487" s="95" t="str">
        <f aca="false">BF487</f>
        <v/>
      </c>
      <c r="BS487" s="96" t="str">
        <f aca="false">BE487</f>
        <v/>
      </c>
      <c r="BT487" s="94" t="str">
        <f aca="false">IF(ISBLANK($C487),"",BH487)</f>
        <v/>
      </c>
      <c r="BU487" s="97" t="str">
        <f aca="false">IF($BL487&gt;$BK$7,"",VLOOKUP($BL487,$BN$8:$BT$507,7,FALSE()))</f>
        <v/>
      </c>
      <c r="BV487" s="98" t="str">
        <f aca="false">IF($BL487&gt;$BK$7,"",VLOOKUP($BL487,$BN$8:$BT$507,2,FALSE()))</f>
        <v/>
      </c>
      <c r="BW487" s="98" t="str">
        <f aca="false">IF($BL487&gt;$BK$7,"",VLOOKUP($BL487,$BN$8:$BT$507,3,FALSE()))</f>
        <v/>
      </c>
      <c r="BX487" s="98" t="str">
        <f aca="false">IF($BL487&gt;$BK$7,"",VLOOKUP($BL487,$BN$8:$BT$507,4,FALSE()))</f>
        <v/>
      </c>
      <c r="BY487" s="98" t="str">
        <f aca="false">IF($BL487&gt;$BK$7,"",VLOOKUP($BL487,$BN$8:$BT$507,5,FALSE()))</f>
        <v/>
      </c>
      <c r="BZ487" s="99" t="str">
        <f aca="false">IF($BL487&gt;$BK$7,"",VLOOKUP($BL487,$BN$8:$BT$507,6,FALSE()))</f>
        <v/>
      </c>
      <c r="CA487" s="48"/>
    </row>
    <row r="488" customFormat="false" ht="15.75" hidden="false" customHeight="false" outlineLevel="0" collapsed="false">
      <c r="A488" s="5"/>
      <c r="B488" s="121"/>
      <c r="C488" s="50"/>
      <c r="D488" s="51"/>
      <c r="E488" s="74"/>
      <c r="F488" s="122"/>
      <c r="G488" s="54"/>
      <c r="H488" s="123"/>
      <c r="I488" s="124"/>
      <c r="J488" s="54"/>
      <c r="K488" s="123"/>
      <c r="L488" s="54"/>
      <c r="M488" s="123"/>
      <c r="N488" s="54"/>
      <c r="O488" s="123"/>
      <c r="P488" s="54"/>
      <c r="Q488" s="123"/>
      <c r="R488" s="54"/>
      <c r="S488" s="74"/>
      <c r="T488" s="58"/>
      <c r="U488" s="59" t="str">
        <f aca="false">IF(ISBLANK($C488),"",IF(E488=Constants!$B$2, TRUE(), IF(E488=Constants!$B$3, FALSE(), TRUE())))</f>
        <v/>
      </c>
      <c r="V488" s="59" t="str">
        <f aca="false">IF(ISBLANK($C488),"",IF(F488=Constants!$B$2, TRUE(), IF(F488=Constants!$B$3, FALSE(), TRUE())))</f>
        <v/>
      </c>
      <c r="W488" s="59" t="str">
        <f aca="false">IF(ISBLANK($C488),"",IF(G488=Constants!$B$15,Constants!$B$8,IF(G488=Constants!$B$16,Constants!$B$9,Constants!$B$10)))</f>
        <v/>
      </c>
      <c r="X488" s="59" t="str">
        <f aca="false">IF(ISBLANK($C488),"",IF(H488=Constants!$B$2, TRUE(), IF(H488=Constants!$B$3, FALSE(), TRUE())))</f>
        <v/>
      </c>
      <c r="Y488" s="59" t="str">
        <f aca="false">IF(ISBLANK($C488),"",IF(I488=Constants!$B$19,Constants!$B$19,Constants!$B$18))</f>
        <v/>
      </c>
      <c r="Z488" s="59" t="str">
        <f aca="false">IF(ISBLANK($C488),"",IF(ISNUMBER(J488),IF(J488&gt;=0,J488,""),""))</f>
        <v/>
      </c>
      <c r="AA488" s="59" t="str">
        <f aca="false">IF(ISBLANK($C488),"",IF(K488=Constants!$B$19,Constants!$B$19,Constants!$B$18))</f>
        <v/>
      </c>
      <c r="AB488" s="59" t="str">
        <f aca="false">IF(ISBLANK($C488),"",IF(ISNUMBER(L488),IF(L488&gt;=0,L488,""),""))</f>
        <v/>
      </c>
      <c r="AC488" s="59" t="str">
        <f aca="false">IF(ISBLANK($C488),"",IF(M488=Constants!$B$19,Constants!$B$19,Constants!$B$18))</f>
        <v/>
      </c>
      <c r="AD488" s="59" t="str">
        <f aca="false">IF(ISBLANK($C488),"",IF(ISNUMBER(N488),IF(N488&gt;=0,N488,""),""))</f>
        <v/>
      </c>
      <c r="AE488" s="59" t="str">
        <f aca="false">IF(ISBLANK($C488),"",IF(O488=Constants!$B$19,Constants!$B$19,Constants!$B$18))</f>
        <v/>
      </c>
      <c r="AF488" s="59" t="str">
        <f aca="false">IF(ISBLANK($C488),"",IF(ISNUMBER(P488),IF(P488&gt;=0,P488,""),""))</f>
        <v/>
      </c>
      <c r="AG488" s="59" t="str">
        <f aca="false">IF(ISBLANK($C488),"",IF(Q488=Constants!$B$19,Constants!$B$19,Constants!$B$18))</f>
        <v/>
      </c>
      <c r="AH488" s="59" t="str">
        <f aca="false">IF(ISBLANK($C488),"",IF(ISNUMBER(R488),IF(R488&gt;=0,R488,""),""))</f>
        <v/>
      </c>
      <c r="AI488" s="59" t="str">
        <f aca="false">IF(ISBLANK($C488),"",IF(S488=Constants!$B$2, TRUE(), IF(S488=Constants!$B$3, FALSE(), FALSE())))</f>
        <v/>
      </c>
      <c r="AJ488" s="59" t="str">
        <f aca="false">IF(ISBLANK($C488),"",IF(AI488,Constants!$B$4,IF(COUNTA(E488:R488)=0,Constants!$B$5,IF(COUNTA(J488,L488,N488,P488,R488)=0,Constants!$B$6,Constants!$B$7))))</f>
        <v/>
      </c>
      <c r="AK488" s="59" t="str">
        <f aca="false">IF(ISBLANK($C488),"",IF($AJ488&lt;&gt;Constants!$B$7,$AJ488,IF(OR(NOT(X488),AND(NOT(U488),COUNTIFS(Y488:AG488,Constants!$B$18,Z488:AH488,"&gt;=0")&gt;0),AND(NOT(V488),COUNTIFS(Y488:AG488,Constants!$B$19,Z488:AH488,"&gt;=0")&gt;0)),Constants!$B$12,Constants!$B$11)))</f>
        <v/>
      </c>
      <c r="AL488" s="59" t="str">
        <f aca="false">IF($AJ488=Constants!$B$7,IF(Z488="",Constants!$B$13,Z488),"")</f>
        <v/>
      </c>
      <c r="AM488" s="59" t="str">
        <f aca="false">IF($AJ488=Constants!$B$7,IF(AB488="",Constants!$B$13,AB488),"")</f>
        <v/>
      </c>
      <c r="AN488" s="59" t="str">
        <f aca="false">IF($AJ488=Constants!$B$7,IF(AD488="",Constants!$B$13,AD488),"")</f>
        <v/>
      </c>
      <c r="AO488" s="59" t="str">
        <f aca="false">IF($AJ488=Constants!$B$7,IF(AF488="",Constants!$B$13,AF488),"")</f>
        <v/>
      </c>
      <c r="AP488" s="59" t="str">
        <f aca="false">IF($AJ488=Constants!$B$7,IF(AH488="",Constants!$B$13,AH488),"")</f>
        <v/>
      </c>
      <c r="AQ488" s="59" t="str">
        <f aca="false">IF($AJ488=Constants!$B$7,IF(SUMPRODUCT(--($AL488:$AP488&gt;AL488))+SUMPRODUCT(--($AL488:AL488=AL488))=1,1,IF(SUMPRODUCT(--($AL488:$AP488&gt;AM488))+SUMPRODUCT(--($AL488:AM488=AM488))=1,2,IF(SUMPRODUCT(--($AL488:$AP488&gt;AN488))+SUMPRODUCT(--($AL488:AN488=AN488))=1,3,IF(SUMPRODUCT(--($AL488:$AP488&gt;AO488))+SUMPRODUCT(--($AL488:AO488=AO488))=1,4,5)))),"")</f>
        <v/>
      </c>
      <c r="AR488" s="59" t="str">
        <f aca="false">IF($AJ488=Constants!$B$7,IF(SUMPRODUCT(--($AL488:$AP488&gt;AL488))+SUMPRODUCT(--($AL488:AL488=AL488))=2,1,IF(SUMPRODUCT(--($AL488:$AP488&gt;AM488))+SUMPRODUCT(--($AL488:AM488=AM488))=2,2,IF(SUMPRODUCT(--($AL488:$AP488&gt;AN488))+SUMPRODUCT(--($AL488:AN488=AN488))=2,3,IF(SUMPRODUCT(--($AL488:$AP488&gt;AO488))+SUMPRODUCT(--($AL488:AO488=AO488))=2,4,5)))),"")</f>
        <v/>
      </c>
      <c r="AS488" s="59" t="str">
        <f aca="false">IF($AJ488=Constants!$B$7,IF(SUMPRODUCT(--($AL488:$AP488&gt;AL488))+SUMPRODUCT(--($AL488:AL488=AL488))=3,1,IF(SUMPRODUCT(--($AL488:$AP488&gt;AM488))+SUMPRODUCT(--($AL488:AM488=AM488))=3,2,IF(SUMPRODUCT(--($AL488:$AP488&gt;AN488))+SUMPRODUCT(--($AL488:AN488=AN488))=3,3,IF(SUMPRODUCT(--($AL488:$AP488&gt;AO488))+SUMPRODUCT(--($AL488:AO488=AO488))=3,4,5)))),"")</f>
        <v/>
      </c>
      <c r="AT488" s="59" t="str">
        <f aca="false">IF($AJ488=Constants!$B$7,LARGE(AL488:AP488,1)+LARGE(AL488:AP488,2)+LARGE(AL488:AP488,3),"")</f>
        <v/>
      </c>
      <c r="AU488" s="59" t="str">
        <f aca="false">IF(ISBLANK($C488),"",IF($AJ488&lt;&gt;Constants!$B$7,$AJ488,AT488*W488))</f>
        <v/>
      </c>
      <c r="AV488" s="59" t="str">
        <f aca="false">IF(ISBLANK($C488),"",IF($AJ488=Constants!$B$7,IF(ISNUMBER(AU488),RANK(AU488,$AU$8:$AU$507),Constants!$B$14),$AJ488))</f>
        <v/>
      </c>
      <c r="AW488" s="59" t="str">
        <f aca="false">IF(ISBLANK($C488),"",IF($AJ488=Constants!$B$7,IF(ISNUMBER(AV488),COUNTIFS($AK$8:$AK$507,"&lt;"&amp;$AK488)+COUNTIFS($AK$8:$AK$507,$AK488,$AV$8:$AV$507,"&lt;"&amp;$AV488)+1,Constants!$B$14),$AJ488))</f>
        <v/>
      </c>
      <c r="AX488" s="59" t="str">
        <f aca="false">IF(ISBLANK($C488),"",IF($AJ488=Constants!$B$7,LARGE(AL488:AP488,4)*W488,""))</f>
        <v/>
      </c>
      <c r="AY488" s="59" t="str">
        <f aca="false">IF(ISBLANK($C488),"",IF($AJ488=Constants!$B$7,RANK(AX488,$AX$8:$AX$507),$AJ488))</f>
        <v/>
      </c>
      <c r="AZ488" s="59" t="str">
        <f aca="false">IF(ISBLANK($C488),"",IF($AJ488=Constants!$B$7,IF(ISNUMBER(AV488),COUNTIFS($AK$8:$AK$507,"&lt;"&amp;$AK488)+COUNTIFS($AK$8:$AK$507,$AK488,$AV$8:$AV$507,"&lt;"&amp;$AV488)+COUNTIFS($AK$8:$AK$507,$AK488,$AV$8:$AV$507,$AV488,$AY$8:$AY$507,"&lt;"&amp;$AY488)+1,Constants!$B$14),$AJ488))</f>
        <v/>
      </c>
      <c r="BA488" s="59" t="str">
        <f aca="false">IF(ISBLANK($C488),"",IF($AJ488=Constants!$B$7,IF(ISNUMBER(AW488),AW488-AZ488,Constants!$B$14),$AJ488))</f>
        <v/>
      </c>
      <c r="BB488" s="61"/>
      <c r="BC488" s="62" t="str">
        <f aca="false">IF(ISBLANK($C488),"",IF($AJ488&lt;&gt;Constants!$B$7,$AJ488,SMALL(AQ488:AS488,1)&amp;", "&amp;SMALL(AQ488:AS488,2)&amp;", "&amp;SMALL(AQ488:AS488,3)))</f>
        <v/>
      </c>
      <c r="BD488" s="63" t="str">
        <f aca="false">IF(ISBLANK($C488),"",IF($AJ488&lt;&gt;Constants!$B$7,$AJ488,W488))</f>
        <v/>
      </c>
      <c r="BE488" s="64" t="str">
        <f aca="false">IF(ISBLANK($C488),"",IF($AJ488&lt;&gt;Constants!$B$7,$AJ488,AU488))</f>
        <v/>
      </c>
      <c r="BF488" s="65" t="str">
        <f aca="false">IF(ISBLANK($C488),"",IF($AJ488&lt;&gt;Constants!$B$7,$AJ488,AK488))</f>
        <v/>
      </c>
      <c r="BG488" s="63" t="str">
        <f aca="false">IF(ISBLANK($C488),"",BA488)</f>
        <v/>
      </c>
      <c r="BH488" s="63" t="str">
        <f aca="false">IF(ISBLANK($C488),"",AZ488)</f>
        <v/>
      </c>
      <c r="BI488" s="66" t="str">
        <f aca="false">IF(ISBLANK($C488),"",IF(BH488=Constants!$B$4,COUNTA($C$8:$C$507)+2,IF(BH488=Constants!$B$5,COUNTA($C$8:$C$507)+1,IF(BH488=Constants!$B$6,COUNTA($C$8:$C$507),BH488))))</f>
        <v/>
      </c>
      <c r="BJ488" s="5"/>
      <c r="BK488" s="67" t="n">
        <f aca="false">IF(OR(ISNUMBER(BH488),BH488=Constants!$B$4,BH488=Constants!$B$6,BH488=Constants!$B$5),1,0)</f>
        <v>0</v>
      </c>
      <c r="BL488" s="67" t="n">
        <v>481</v>
      </c>
      <c r="BM488" s="67" t="str">
        <f aca="false">IF(ISBLANK($C488),"",IF(ISNUMBER(BI488),BI488+ROW($B488)/1000,""))</f>
        <v/>
      </c>
      <c r="BN488" s="67" t="str">
        <f aca="false">IF(ISNUMBER(BM488),RANK(BM488,$BM$8:$BM$507,1),"")</f>
        <v/>
      </c>
      <c r="BO488" s="67" t="str">
        <f aca="false">IF(ISBLANK($C488),"",$B488)</f>
        <v/>
      </c>
      <c r="BP488" s="67" t="str">
        <f aca="false">IF(ISBLANK($C488),"",$C488)</f>
        <v/>
      </c>
      <c r="BQ488" s="67" t="str">
        <f aca="false">IF(ISBLANK($C488),"",$D488)</f>
        <v/>
      </c>
      <c r="BR488" s="68" t="str">
        <f aca="false">BF488</f>
        <v/>
      </c>
      <c r="BS488" s="69" t="str">
        <f aca="false">BE488</f>
        <v/>
      </c>
      <c r="BT488" s="67" t="str">
        <f aca="false">IF(ISBLANK($C488),"",BH488)</f>
        <v/>
      </c>
      <c r="BU488" s="70" t="str">
        <f aca="false">IF($BL488&gt;$BK$7,"",VLOOKUP($BL488,$BN$8:$BT$507,7,FALSE()))</f>
        <v/>
      </c>
      <c r="BV488" s="71" t="str">
        <f aca="false">IF($BL488&gt;$BK$7,"",VLOOKUP($BL488,$BN$8:$BT$507,2,FALSE()))</f>
        <v/>
      </c>
      <c r="BW488" s="71" t="str">
        <f aca="false">IF($BL488&gt;$BK$7,"",VLOOKUP($BL488,$BN$8:$BT$507,3,FALSE()))</f>
        <v/>
      </c>
      <c r="BX488" s="71" t="str">
        <f aca="false">IF($BL488&gt;$BK$7,"",VLOOKUP($BL488,$BN$8:$BT$507,4,FALSE()))</f>
        <v/>
      </c>
      <c r="BY488" s="71" t="str">
        <f aca="false">IF($BL488&gt;$BK$7,"",VLOOKUP($BL488,$BN$8:$BT$507,5,FALSE()))</f>
        <v/>
      </c>
      <c r="BZ488" s="72" t="str">
        <f aca="false">IF($BL488&gt;$BK$7,"",VLOOKUP($BL488,$BN$8:$BT$507,6,FALSE()))</f>
        <v/>
      </c>
      <c r="CA488" s="48"/>
    </row>
    <row r="489" customFormat="false" ht="15.75" hidden="false" customHeight="false" outlineLevel="0" collapsed="false">
      <c r="A489" s="5"/>
      <c r="B489" s="121"/>
      <c r="C489" s="50"/>
      <c r="D489" s="51"/>
      <c r="E489" s="74"/>
      <c r="F489" s="122"/>
      <c r="G489" s="54"/>
      <c r="H489" s="123"/>
      <c r="I489" s="124"/>
      <c r="J489" s="54"/>
      <c r="K489" s="123"/>
      <c r="L489" s="54"/>
      <c r="M489" s="123"/>
      <c r="N489" s="54"/>
      <c r="O489" s="123"/>
      <c r="P489" s="54"/>
      <c r="Q489" s="123"/>
      <c r="R489" s="54"/>
      <c r="S489" s="74"/>
      <c r="T489" s="58"/>
      <c r="U489" s="59" t="str">
        <f aca="false">IF(ISBLANK($C489),"",IF(E489=Constants!$B$2, TRUE(), IF(E489=Constants!$B$3, FALSE(), TRUE())))</f>
        <v/>
      </c>
      <c r="V489" s="59" t="str">
        <f aca="false">IF(ISBLANK($C489),"",IF(F489=Constants!$B$2, TRUE(), IF(F489=Constants!$B$3, FALSE(), TRUE())))</f>
        <v/>
      </c>
      <c r="W489" s="59" t="str">
        <f aca="false">IF(ISBLANK($C489),"",IF(G489=Constants!$B$15,Constants!$B$8,IF(G489=Constants!$B$16,Constants!$B$9,Constants!$B$10)))</f>
        <v/>
      </c>
      <c r="X489" s="59" t="str">
        <f aca="false">IF(ISBLANK($C489),"",IF(H489=Constants!$B$2, TRUE(), IF(H489=Constants!$B$3, FALSE(), TRUE())))</f>
        <v/>
      </c>
      <c r="Y489" s="59" t="str">
        <f aca="false">IF(ISBLANK($C489),"",IF(I489=Constants!$B$19,Constants!$B$19,Constants!$B$18))</f>
        <v/>
      </c>
      <c r="Z489" s="59" t="str">
        <f aca="false">IF(ISBLANK($C489),"",IF(ISNUMBER(J489),IF(J489&gt;=0,J489,""),""))</f>
        <v/>
      </c>
      <c r="AA489" s="59" t="str">
        <f aca="false">IF(ISBLANK($C489),"",IF(K489=Constants!$B$19,Constants!$B$19,Constants!$B$18))</f>
        <v/>
      </c>
      <c r="AB489" s="59" t="str">
        <f aca="false">IF(ISBLANK($C489),"",IF(ISNUMBER(L489),IF(L489&gt;=0,L489,""),""))</f>
        <v/>
      </c>
      <c r="AC489" s="59" t="str">
        <f aca="false">IF(ISBLANK($C489),"",IF(M489=Constants!$B$19,Constants!$B$19,Constants!$B$18))</f>
        <v/>
      </c>
      <c r="AD489" s="59" t="str">
        <f aca="false">IF(ISBLANK($C489),"",IF(ISNUMBER(N489),IF(N489&gt;=0,N489,""),""))</f>
        <v/>
      </c>
      <c r="AE489" s="59" t="str">
        <f aca="false">IF(ISBLANK($C489),"",IF(O489=Constants!$B$19,Constants!$B$19,Constants!$B$18))</f>
        <v/>
      </c>
      <c r="AF489" s="59" t="str">
        <f aca="false">IF(ISBLANK($C489),"",IF(ISNUMBER(P489),IF(P489&gt;=0,P489,""),""))</f>
        <v/>
      </c>
      <c r="AG489" s="59" t="str">
        <f aca="false">IF(ISBLANK($C489),"",IF(Q489=Constants!$B$19,Constants!$B$19,Constants!$B$18))</f>
        <v/>
      </c>
      <c r="AH489" s="59" t="str">
        <f aca="false">IF(ISBLANK($C489),"",IF(ISNUMBER(R489),IF(R489&gt;=0,R489,""),""))</f>
        <v/>
      </c>
      <c r="AI489" s="59" t="str">
        <f aca="false">IF(ISBLANK($C489),"",IF(S489=Constants!$B$2, TRUE(), IF(S489=Constants!$B$3, FALSE(), FALSE())))</f>
        <v/>
      </c>
      <c r="AJ489" s="59" t="str">
        <f aca="false">IF(ISBLANK($C489),"",IF(AI489,Constants!$B$4,IF(COUNTA(E489:R489)=0,Constants!$B$5,IF(COUNTA(J489,L489,N489,P489,R489)=0,Constants!$B$6,Constants!$B$7))))</f>
        <v/>
      </c>
      <c r="AK489" s="59" t="str">
        <f aca="false">IF(ISBLANK($C489),"",IF($AJ489&lt;&gt;Constants!$B$7,$AJ489,IF(OR(NOT(X489),AND(NOT(U489),COUNTIFS(Y489:AG489,Constants!$B$18,Z489:AH489,"&gt;=0")&gt;0),AND(NOT(V489),COUNTIFS(Y489:AG489,Constants!$B$19,Z489:AH489,"&gt;=0")&gt;0)),Constants!$B$12,Constants!$B$11)))</f>
        <v/>
      </c>
      <c r="AL489" s="59" t="str">
        <f aca="false">IF($AJ489=Constants!$B$7,IF(Z489="",Constants!$B$13,Z489),"")</f>
        <v/>
      </c>
      <c r="AM489" s="59" t="str">
        <f aca="false">IF($AJ489=Constants!$B$7,IF(AB489="",Constants!$B$13,AB489),"")</f>
        <v/>
      </c>
      <c r="AN489" s="59" t="str">
        <f aca="false">IF($AJ489=Constants!$B$7,IF(AD489="",Constants!$B$13,AD489),"")</f>
        <v/>
      </c>
      <c r="AO489" s="59" t="str">
        <f aca="false">IF($AJ489=Constants!$B$7,IF(AF489="",Constants!$B$13,AF489),"")</f>
        <v/>
      </c>
      <c r="AP489" s="59" t="str">
        <f aca="false">IF($AJ489=Constants!$B$7,IF(AH489="",Constants!$B$13,AH489),"")</f>
        <v/>
      </c>
      <c r="AQ489" s="59" t="str">
        <f aca="false">IF($AJ489=Constants!$B$7,IF(SUMPRODUCT(--($AL489:$AP489&gt;AL489))+SUMPRODUCT(--($AL489:AL489=AL489))=1,1,IF(SUMPRODUCT(--($AL489:$AP489&gt;AM489))+SUMPRODUCT(--($AL489:AM489=AM489))=1,2,IF(SUMPRODUCT(--($AL489:$AP489&gt;AN489))+SUMPRODUCT(--($AL489:AN489=AN489))=1,3,IF(SUMPRODUCT(--($AL489:$AP489&gt;AO489))+SUMPRODUCT(--($AL489:AO489=AO489))=1,4,5)))),"")</f>
        <v/>
      </c>
      <c r="AR489" s="59" t="str">
        <f aca="false">IF($AJ489=Constants!$B$7,IF(SUMPRODUCT(--($AL489:$AP489&gt;AL489))+SUMPRODUCT(--($AL489:AL489=AL489))=2,1,IF(SUMPRODUCT(--($AL489:$AP489&gt;AM489))+SUMPRODUCT(--($AL489:AM489=AM489))=2,2,IF(SUMPRODUCT(--($AL489:$AP489&gt;AN489))+SUMPRODUCT(--($AL489:AN489=AN489))=2,3,IF(SUMPRODUCT(--($AL489:$AP489&gt;AO489))+SUMPRODUCT(--($AL489:AO489=AO489))=2,4,5)))),"")</f>
        <v/>
      </c>
      <c r="AS489" s="59" t="str">
        <f aca="false">IF($AJ489=Constants!$B$7,IF(SUMPRODUCT(--($AL489:$AP489&gt;AL489))+SUMPRODUCT(--($AL489:AL489=AL489))=3,1,IF(SUMPRODUCT(--($AL489:$AP489&gt;AM489))+SUMPRODUCT(--($AL489:AM489=AM489))=3,2,IF(SUMPRODUCT(--($AL489:$AP489&gt;AN489))+SUMPRODUCT(--($AL489:AN489=AN489))=3,3,IF(SUMPRODUCT(--($AL489:$AP489&gt;AO489))+SUMPRODUCT(--($AL489:AO489=AO489))=3,4,5)))),"")</f>
        <v/>
      </c>
      <c r="AT489" s="59" t="str">
        <f aca="false">IF($AJ489=Constants!$B$7,LARGE(AL489:AP489,1)+LARGE(AL489:AP489,2)+LARGE(AL489:AP489,3),"")</f>
        <v/>
      </c>
      <c r="AU489" s="59" t="str">
        <f aca="false">IF(ISBLANK($C489),"",IF($AJ489&lt;&gt;Constants!$B$7,$AJ489,AT489*W489))</f>
        <v/>
      </c>
      <c r="AV489" s="59" t="str">
        <f aca="false">IF(ISBLANK($C489),"",IF($AJ489=Constants!$B$7,IF(ISNUMBER(AU489),RANK(AU489,$AU$8:$AU$507),Constants!$B$14),$AJ489))</f>
        <v/>
      </c>
      <c r="AW489" s="59" t="str">
        <f aca="false">IF(ISBLANK($C489),"",IF($AJ489=Constants!$B$7,IF(ISNUMBER(AV489),COUNTIFS($AK$8:$AK$507,"&lt;"&amp;$AK489)+COUNTIFS($AK$8:$AK$507,$AK489,$AV$8:$AV$507,"&lt;"&amp;$AV489)+1,Constants!$B$14),$AJ489))</f>
        <v/>
      </c>
      <c r="AX489" s="59" t="str">
        <f aca="false">IF(ISBLANK($C489),"",IF($AJ489=Constants!$B$7,LARGE(AL489:AP489,4)*W489,""))</f>
        <v/>
      </c>
      <c r="AY489" s="59" t="str">
        <f aca="false">IF(ISBLANK($C489),"",IF($AJ489=Constants!$B$7,RANK(AX489,$AX$8:$AX$507),$AJ489))</f>
        <v/>
      </c>
      <c r="AZ489" s="59" t="str">
        <f aca="false">IF(ISBLANK($C489),"",IF($AJ489=Constants!$B$7,IF(ISNUMBER(AV489),COUNTIFS($AK$8:$AK$507,"&lt;"&amp;$AK489)+COUNTIFS($AK$8:$AK$507,$AK489,$AV$8:$AV$507,"&lt;"&amp;$AV489)+COUNTIFS($AK$8:$AK$507,$AK489,$AV$8:$AV$507,$AV489,$AY$8:$AY$507,"&lt;"&amp;$AY489)+1,Constants!$B$14),$AJ489))</f>
        <v/>
      </c>
      <c r="BA489" s="59" t="str">
        <f aca="false">IF(ISBLANK($C489),"",IF($AJ489=Constants!$B$7,IF(ISNUMBER(AW489),AW489-AZ489,Constants!$B$14),$AJ489))</f>
        <v/>
      </c>
      <c r="BB489" s="61"/>
      <c r="BC489" s="62" t="str">
        <f aca="false">IF(ISBLANK($C489),"",IF($AJ489&lt;&gt;Constants!$B$7,$AJ489,SMALL(AQ489:AS489,1)&amp;", "&amp;SMALL(AQ489:AS489,2)&amp;", "&amp;SMALL(AQ489:AS489,3)))</f>
        <v/>
      </c>
      <c r="BD489" s="63" t="str">
        <f aca="false">IF(ISBLANK($C489),"",IF($AJ489&lt;&gt;Constants!$B$7,$AJ489,W489))</f>
        <v/>
      </c>
      <c r="BE489" s="64" t="str">
        <f aca="false">IF(ISBLANK($C489),"",IF($AJ489&lt;&gt;Constants!$B$7,$AJ489,AU489))</f>
        <v/>
      </c>
      <c r="BF489" s="65" t="str">
        <f aca="false">IF(ISBLANK($C489),"",IF($AJ489&lt;&gt;Constants!$B$7,$AJ489,AK489))</f>
        <v/>
      </c>
      <c r="BG489" s="63" t="str">
        <f aca="false">IF(ISBLANK($C489),"",BA489)</f>
        <v/>
      </c>
      <c r="BH489" s="63" t="str">
        <f aca="false">IF(ISBLANK($C489),"",AZ489)</f>
        <v/>
      </c>
      <c r="BI489" s="66" t="str">
        <f aca="false">IF(ISBLANK($C489),"",IF(BH489=Constants!$B$4,COUNTA($C$8:$C$507)+2,IF(BH489=Constants!$B$5,COUNTA($C$8:$C$507)+1,IF(BH489=Constants!$B$6,COUNTA($C$8:$C$507),BH489))))</f>
        <v/>
      </c>
      <c r="BJ489" s="5"/>
      <c r="BK489" s="67" t="n">
        <f aca="false">IF(OR(ISNUMBER(BH489),BH489=Constants!$B$4,BH489=Constants!$B$6,BH489=Constants!$B$5),1,0)</f>
        <v>0</v>
      </c>
      <c r="BL489" s="67" t="n">
        <v>482</v>
      </c>
      <c r="BM489" s="67" t="str">
        <f aca="false">IF(ISBLANK($C489),"",IF(ISNUMBER(BI489),BI489+ROW($B489)/1000,""))</f>
        <v/>
      </c>
      <c r="BN489" s="67" t="str">
        <f aca="false">IF(ISNUMBER(BM489),RANK(BM489,$BM$8:$BM$507,1),"")</f>
        <v/>
      </c>
      <c r="BO489" s="67" t="str">
        <f aca="false">IF(ISBLANK($C489),"",$B489)</f>
        <v/>
      </c>
      <c r="BP489" s="67" t="str">
        <f aca="false">IF(ISBLANK($C489),"",$C489)</f>
        <v/>
      </c>
      <c r="BQ489" s="67" t="str">
        <f aca="false">IF(ISBLANK($C489),"",$D489)</f>
        <v/>
      </c>
      <c r="BR489" s="68" t="str">
        <f aca="false">BF489</f>
        <v/>
      </c>
      <c r="BS489" s="69" t="str">
        <f aca="false">BE489</f>
        <v/>
      </c>
      <c r="BT489" s="67" t="str">
        <f aca="false">IF(ISBLANK($C489),"",BH489)</f>
        <v/>
      </c>
      <c r="BU489" s="70" t="str">
        <f aca="false">IF($BL489&gt;$BK$7,"",VLOOKUP($BL489,$BN$8:$BT$507,7,FALSE()))</f>
        <v/>
      </c>
      <c r="BV489" s="71" t="str">
        <f aca="false">IF($BL489&gt;$BK$7,"",VLOOKUP($BL489,$BN$8:$BT$507,2,FALSE()))</f>
        <v/>
      </c>
      <c r="BW489" s="71" t="str">
        <f aca="false">IF($BL489&gt;$BK$7,"",VLOOKUP($BL489,$BN$8:$BT$507,3,FALSE()))</f>
        <v/>
      </c>
      <c r="BX489" s="71" t="str">
        <f aca="false">IF($BL489&gt;$BK$7,"",VLOOKUP($BL489,$BN$8:$BT$507,4,FALSE()))</f>
        <v/>
      </c>
      <c r="BY489" s="71" t="str">
        <f aca="false">IF($BL489&gt;$BK$7,"",VLOOKUP($BL489,$BN$8:$BT$507,5,FALSE()))</f>
        <v/>
      </c>
      <c r="BZ489" s="72" t="str">
        <f aca="false">IF($BL489&gt;$BK$7,"",VLOOKUP($BL489,$BN$8:$BT$507,6,FALSE()))</f>
        <v/>
      </c>
      <c r="CA489" s="48"/>
    </row>
    <row r="490" customFormat="false" ht="15.75" hidden="false" customHeight="false" outlineLevel="0" collapsed="false">
      <c r="A490" s="5"/>
      <c r="B490" s="121"/>
      <c r="C490" s="50"/>
      <c r="D490" s="51"/>
      <c r="E490" s="74"/>
      <c r="F490" s="122"/>
      <c r="G490" s="54"/>
      <c r="H490" s="123"/>
      <c r="I490" s="124"/>
      <c r="J490" s="54"/>
      <c r="K490" s="123"/>
      <c r="L490" s="54"/>
      <c r="M490" s="123"/>
      <c r="N490" s="54"/>
      <c r="O490" s="123"/>
      <c r="P490" s="54"/>
      <c r="Q490" s="123"/>
      <c r="R490" s="54"/>
      <c r="S490" s="74"/>
      <c r="T490" s="58"/>
      <c r="U490" s="59" t="str">
        <f aca="false">IF(ISBLANK($C490),"",IF(E490=Constants!$B$2, TRUE(), IF(E490=Constants!$B$3, FALSE(), TRUE())))</f>
        <v/>
      </c>
      <c r="V490" s="59" t="str">
        <f aca="false">IF(ISBLANK($C490),"",IF(F490=Constants!$B$2, TRUE(), IF(F490=Constants!$B$3, FALSE(), TRUE())))</f>
        <v/>
      </c>
      <c r="W490" s="59" t="str">
        <f aca="false">IF(ISBLANK($C490),"",IF(G490=Constants!$B$15,Constants!$B$8,IF(G490=Constants!$B$16,Constants!$B$9,Constants!$B$10)))</f>
        <v/>
      </c>
      <c r="X490" s="59" t="str">
        <f aca="false">IF(ISBLANK($C490),"",IF(H490=Constants!$B$2, TRUE(), IF(H490=Constants!$B$3, FALSE(), TRUE())))</f>
        <v/>
      </c>
      <c r="Y490" s="59" t="str">
        <f aca="false">IF(ISBLANK($C490),"",IF(I490=Constants!$B$19,Constants!$B$19,Constants!$B$18))</f>
        <v/>
      </c>
      <c r="Z490" s="59" t="str">
        <f aca="false">IF(ISBLANK($C490),"",IF(ISNUMBER(J490),IF(J490&gt;=0,J490,""),""))</f>
        <v/>
      </c>
      <c r="AA490" s="59" t="str">
        <f aca="false">IF(ISBLANK($C490),"",IF(K490=Constants!$B$19,Constants!$B$19,Constants!$B$18))</f>
        <v/>
      </c>
      <c r="AB490" s="59" t="str">
        <f aca="false">IF(ISBLANK($C490),"",IF(ISNUMBER(L490),IF(L490&gt;=0,L490,""),""))</f>
        <v/>
      </c>
      <c r="AC490" s="59" t="str">
        <f aca="false">IF(ISBLANK($C490),"",IF(M490=Constants!$B$19,Constants!$B$19,Constants!$B$18))</f>
        <v/>
      </c>
      <c r="AD490" s="59" t="str">
        <f aca="false">IF(ISBLANK($C490),"",IF(ISNUMBER(N490),IF(N490&gt;=0,N490,""),""))</f>
        <v/>
      </c>
      <c r="AE490" s="59" t="str">
        <f aca="false">IF(ISBLANK($C490),"",IF(O490=Constants!$B$19,Constants!$B$19,Constants!$B$18))</f>
        <v/>
      </c>
      <c r="AF490" s="59" t="str">
        <f aca="false">IF(ISBLANK($C490),"",IF(ISNUMBER(P490),IF(P490&gt;=0,P490,""),""))</f>
        <v/>
      </c>
      <c r="AG490" s="59" t="str">
        <f aca="false">IF(ISBLANK($C490),"",IF(Q490=Constants!$B$19,Constants!$B$19,Constants!$B$18))</f>
        <v/>
      </c>
      <c r="AH490" s="59" t="str">
        <f aca="false">IF(ISBLANK($C490),"",IF(ISNUMBER(R490),IF(R490&gt;=0,R490,""),""))</f>
        <v/>
      </c>
      <c r="AI490" s="59" t="str">
        <f aca="false">IF(ISBLANK($C490),"",IF(S490=Constants!$B$2, TRUE(), IF(S490=Constants!$B$3, FALSE(), FALSE())))</f>
        <v/>
      </c>
      <c r="AJ490" s="59" t="str">
        <f aca="false">IF(ISBLANK($C490),"",IF(AI490,Constants!$B$4,IF(COUNTA(E490:R490)=0,Constants!$B$5,IF(COUNTA(J490,L490,N490,P490,R490)=0,Constants!$B$6,Constants!$B$7))))</f>
        <v/>
      </c>
      <c r="AK490" s="59" t="str">
        <f aca="false">IF(ISBLANK($C490),"",IF($AJ490&lt;&gt;Constants!$B$7,$AJ490,IF(OR(NOT(X490),AND(NOT(U490),COUNTIFS(Y490:AG490,Constants!$B$18,Z490:AH490,"&gt;=0")&gt;0),AND(NOT(V490),COUNTIFS(Y490:AG490,Constants!$B$19,Z490:AH490,"&gt;=0")&gt;0)),Constants!$B$12,Constants!$B$11)))</f>
        <v/>
      </c>
      <c r="AL490" s="59" t="str">
        <f aca="false">IF($AJ490=Constants!$B$7,IF(Z490="",Constants!$B$13,Z490),"")</f>
        <v/>
      </c>
      <c r="AM490" s="59" t="str">
        <f aca="false">IF($AJ490=Constants!$B$7,IF(AB490="",Constants!$B$13,AB490),"")</f>
        <v/>
      </c>
      <c r="AN490" s="59" t="str">
        <f aca="false">IF($AJ490=Constants!$B$7,IF(AD490="",Constants!$B$13,AD490),"")</f>
        <v/>
      </c>
      <c r="AO490" s="59" t="str">
        <f aca="false">IF($AJ490=Constants!$B$7,IF(AF490="",Constants!$B$13,AF490),"")</f>
        <v/>
      </c>
      <c r="AP490" s="59" t="str">
        <f aca="false">IF($AJ490=Constants!$B$7,IF(AH490="",Constants!$B$13,AH490),"")</f>
        <v/>
      </c>
      <c r="AQ490" s="59" t="str">
        <f aca="false">IF($AJ490=Constants!$B$7,IF(SUMPRODUCT(--($AL490:$AP490&gt;AL490))+SUMPRODUCT(--($AL490:AL490=AL490))=1,1,IF(SUMPRODUCT(--($AL490:$AP490&gt;AM490))+SUMPRODUCT(--($AL490:AM490=AM490))=1,2,IF(SUMPRODUCT(--($AL490:$AP490&gt;AN490))+SUMPRODUCT(--($AL490:AN490=AN490))=1,3,IF(SUMPRODUCT(--($AL490:$AP490&gt;AO490))+SUMPRODUCT(--($AL490:AO490=AO490))=1,4,5)))),"")</f>
        <v/>
      </c>
      <c r="AR490" s="59" t="str">
        <f aca="false">IF($AJ490=Constants!$B$7,IF(SUMPRODUCT(--($AL490:$AP490&gt;AL490))+SUMPRODUCT(--($AL490:AL490=AL490))=2,1,IF(SUMPRODUCT(--($AL490:$AP490&gt;AM490))+SUMPRODUCT(--($AL490:AM490=AM490))=2,2,IF(SUMPRODUCT(--($AL490:$AP490&gt;AN490))+SUMPRODUCT(--($AL490:AN490=AN490))=2,3,IF(SUMPRODUCT(--($AL490:$AP490&gt;AO490))+SUMPRODUCT(--($AL490:AO490=AO490))=2,4,5)))),"")</f>
        <v/>
      </c>
      <c r="AS490" s="59" t="str">
        <f aca="false">IF($AJ490=Constants!$B$7,IF(SUMPRODUCT(--($AL490:$AP490&gt;AL490))+SUMPRODUCT(--($AL490:AL490=AL490))=3,1,IF(SUMPRODUCT(--($AL490:$AP490&gt;AM490))+SUMPRODUCT(--($AL490:AM490=AM490))=3,2,IF(SUMPRODUCT(--($AL490:$AP490&gt;AN490))+SUMPRODUCT(--($AL490:AN490=AN490))=3,3,IF(SUMPRODUCT(--($AL490:$AP490&gt;AO490))+SUMPRODUCT(--($AL490:AO490=AO490))=3,4,5)))),"")</f>
        <v/>
      </c>
      <c r="AT490" s="59" t="str">
        <f aca="false">IF($AJ490=Constants!$B$7,LARGE(AL490:AP490,1)+LARGE(AL490:AP490,2)+LARGE(AL490:AP490,3),"")</f>
        <v/>
      </c>
      <c r="AU490" s="59" t="str">
        <f aca="false">IF(ISBLANK($C490),"",IF($AJ490&lt;&gt;Constants!$B$7,$AJ490,AT490*W490))</f>
        <v/>
      </c>
      <c r="AV490" s="59" t="str">
        <f aca="false">IF(ISBLANK($C490),"",IF($AJ490=Constants!$B$7,IF(ISNUMBER(AU490),RANK(AU490,$AU$8:$AU$507),Constants!$B$14),$AJ490))</f>
        <v/>
      </c>
      <c r="AW490" s="59" t="str">
        <f aca="false">IF(ISBLANK($C490),"",IF($AJ490=Constants!$B$7,IF(ISNUMBER(AV490),COUNTIFS($AK$8:$AK$507,"&lt;"&amp;$AK490)+COUNTIFS($AK$8:$AK$507,$AK490,$AV$8:$AV$507,"&lt;"&amp;$AV490)+1,Constants!$B$14),$AJ490))</f>
        <v/>
      </c>
      <c r="AX490" s="59" t="str">
        <f aca="false">IF(ISBLANK($C490),"",IF($AJ490=Constants!$B$7,LARGE(AL490:AP490,4)*W490,""))</f>
        <v/>
      </c>
      <c r="AY490" s="59" t="str">
        <f aca="false">IF(ISBLANK($C490),"",IF($AJ490=Constants!$B$7,RANK(AX490,$AX$8:$AX$507),$AJ490))</f>
        <v/>
      </c>
      <c r="AZ490" s="59" t="str">
        <f aca="false">IF(ISBLANK($C490),"",IF($AJ490=Constants!$B$7,IF(ISNUMBER(AV490),COUNTIFS($AK$8:$AK$507,"&lt;"&amp;$AK490)+COUNTIFS($AK$8:$AK$507,$AK490,$AV$8:$AV$507,"&lt;"&amp;$AV490)+COUNTIFS($AK$8:$AK$507,$AK490,$AV$8:$AV$507,$AV490,$AY$8:$AY$507,"&lt;"&amp;$AY490)+1,Constants!$B$14),$AJ490))</f>
        <v/>
      </c>
      <c r="BA490" s="59" t="str">
        <f aca="false">IF(ISBLANK($C490),"",IF($AJ490=Constants!$B$7,IF(ISNUMBER(AW490),AW490-AZ490,Constants!$B$14),$AJ490))</f>
        <v/>
      </c>
      <c r="BB490" s="61"/>
      <c r="BC490" s="62" t="str">
        <f aca="false">IF(ISBLANK($C490),"",IF($AJ490&lt;&gt;Constants!$B$7,$AJ490,SMALL(AQ490:AS490,1)&amp;", "&amp;SMALL(AQ490:AS490,2)&amp;", "&amp;SMALL(AQ490:AS490,3)))</f>
        <v/>
      </c>
      <c r="BD490" s="63" t="str">
        <f aca="false">IF(ISBLANK($C490),"",IF($AJ490&lt;&gt;Constants!$B$7,$AJ490,W490))</f>
        <v/>
      </c>
      <c r="BE490" s="64" t="str">
        <f aca="false">IF(ISBLANK($C490),"",IF($AJ490&lt;&gt;Constants!$B$7,$AJ490,AU490))</f>
        <v/>
      </c>
      <c r="BF490" s="65" t="str">
        <f aca="false">IF(ISBLANK($C490),"",IF($AJ490&lt;&gt;Constants!$B$7,$AJ490,AK490))</f>
        <v/>
      </c>
      <c r="BG490" s="63" t="str">
        <f aca="false">IF(ISBLANK($C490),"",BA490)</f>
        <v/>
      </c>
      <c r="BH490" s="63" t="str">
        <f aca="false">IF(ISBLANK($C490),"",AZ490)</f>
        <v/>
      </c>
      <c r="BI490" s="66" t="str">
        <f aca="false">IF(ISBLANK($C490),"",IF(BH490=Constants!$B$4,COUNTA($C$8:$C$507)+2,IF(BH490=Constants!$B$5,COUNTA($C$8:$C$507)+1,IF(BH490=Constants!$B$6,COUNTA($C$8:$C$507),BH490))))</f>
        <v/>
      </c>
      <c r="BJ490" s="5"/>
      <c r="BK490" s="67" t="n">
        <f aca="false">IF(OR(ISNUMBER(BH490),BH490=Constants!$B$4,BH490=Constants!$B$6,BH490=Constants!$B$5),1,0)</f>
        <v>0</v>
      </c>
      <c r="BL490" s="67" t="n">
        <v>483</v>
      </c>
      <c r="BM490" s="67" t="str">
        <f aca="false">IF(ISBLANK($C490),"",IF(ISNUMBER(BI490),BI490+ROW($B490)/1000,""))</f>
        <v/>
      </c>
      <c r="BN490" s="67" t="str">
        <f aca="false">IF(ISNUMBER(BM490),RANK(BM490,$BM$8:$BM$507,1),"")</f>
        <v/>
      </c>
      <c r="BO490" s="67" t="str">
        <f aca="false">IF(ISBLANK($C490),"",$B490)</f>
        <v/>
      </c>
      <c r="BP490" s="67" t="str">
        <f aca="false">IF(ISBLANK($C490),"",$C490)</f>
        <v/>
      </c>
      <c r="BQ490" s="67" t="str">
        <f aca="false">IF(ISBLANK($C490),"",$D490)</f>
        <v/>
      </c>
      <c r="BR490" s="68" t="str">
        <f aca="false">BF490</f>
        <v/>
      </c>
      <c r="BS490" s="69" t="str">
        <f aca="false">BE490</f>
        <v/>
      </c>
      <c r="BT490" s="67" t="str">
        <f aca="false">IF(ISBLANK($C490),"",BH490)</f>
        <v/>
      </c>
      <c r="BU490" s="70" t="str">
        <f aca="false">IF($BL490&gt;$BK$7,"",VLOOKUP($BL490,$BN$8:$BT$507,7,FALSE()))</f>
        <v/>
      </c>
      <c r="BV490" s="71" t="str">
        <f aca="false">IF($BL490&gt;$BK$7,"",VLOOKUP($BL490,$BN$8:$BT$507,2,FALSE()))</f>
        <v/>
      </c>
      <c r="BW490" s="71" t="str">
        <f aca="false">IF($BL490&gt;$BK$7,"",VLOOKUP($BL490,$BN$8:$BT$507,3,FALSE()))</f>
        <v/>
      </c>
      <c r="BX490" s="71" t="str">
        <f aca="false">IF($BL490&gt;$BK$7,"",VLOOKUP($BL490,$BN$8:$BT$507,4,FALSE()))</f>
        <v/>
      </c>
      <c r="BY490" s="71" t="str">
        <f aca="false">IF($BL490&gt;$BK$7,"",VLOOKUP($BL490,$BN$8:$BT$507,5,FALSE()))</f>
        <v/>
      </c>
      <c r="BZ490" s="72" t="str">
        <f aca="false">IF($BL490&gt;$BK$7,"",VLOOKUP($BL490,$BN$8:$BT$507,6,FALSE()))</f>
        <v/>
      </c>
      <c r="CA490" s="48"/>
    </row>
    <row r="491" customFormat="false" ht="15.75" hidden="false" customHeight="false" outlineLevel="0" collapsed="false">
      <c r="A491" s="5"/>
      <c r="B491" s="114"/>
      <c r="C491" s="115"/>
      <c r="D491" s="100"/>
      <c r="E491" s="120"/>
      <c r="F491" s="125"/>
      <c r="G491" s="82"/>
      <c r="H491" s="126"/>
      <c r="I491" s="127"/>
      <c r="J491" s="82"/>
      <c r="K491" s="126"/>
      <c r="L491" s="82"/>
      <c r="M491" s="126"/>
      <c r="N491" s="82"/>
      <c r="O491" s="126"/>
      <c r="P491" s="82"/>
      <c r="Q491" s="126"/>
      <c r="R491" s="82"/>
      <c r="S491" s="120"/>
      <c r="T491" s="86"/>
      <c r="U491" s="87" t="str">
        <f aca="false">IF(ISBLANK($C491),"",IF(E491=Constants!$B$2, TRUE(), IF(E491=Constants!$B$3, FALSE(), TRUE())))</f>
        <v/>
      </c>
      <c r="V491" s="87" t="str">
        <f aca="false">IF(ISBLANK($C491),"",IF(F491=Constants!$B$2, TRUE(), IF(F491=Constants!$B$3, FALSE(), TRUE())))</f>
        <v/>
      </c>
      <c r="W491" s="87" t="str">
        <f aca="false">IF(ISBLANK($C491),"",IF(G491=Constants!$B$15,Constants!$B$8,IF(G491=Constants!$B$16,Constants!$B$9,Constants!$B$10)))</f>
        <v/>
      </c>
      <c r="X491" s="87" t="str">
        <f aca="false">IF(ISBLANK($C491),"",IF(H491=Constants!$B$2, TRUE(), IF(H491=Constants!$B$3, FALSE(), TRUE())))</f>
        <v/>
      </c>
      <c r="Y491" s="87" t="str">
        <f aca="false">IF(ISBLANK($C491),"",IF(I491=Constants!$B$19,Constants!$B$19,Constants!$B$18))</f>
        <v/>
      </c>
      <c r="Z491" s="87" t="str">
        <f aca="false">IF(ISBLANK($C491),"",IF(ISNUMBER(J491),IF(J491&gt;=0,J491,""),""))</f>
        <v/>
      </c>
      <c r="AA491" s="87" t="str">
        <f aca="false">IF(ISBLANK($C491),"",IF(K491=Constants!$B$19,Constants!$B$19,Constants!$B$18))</f>
        <v/>
      </c>
      <c r="AB491" s="87" t="str">
        <f aca="false">IF(ISBLANK($C491),"",IF(ISNUMBER(L491),IF(L491&gt;=0,L491,""),""))</f>
        <v/>
      </c>
      <c r="AC491" s="87" t="str">
        <f aca="false">IF(ISBLANK($C491),"",IF(M491=Constants!$B$19,Constants!$B$19,Constants!$B$18))</f>
        <v/>
      </c>
      <c r="AD491" s="87" t="str">
        <f aca="false">IF(ISBLANK($C491),"",IF(ISNUMBER(N491),IF(N491&gt;=0,N491,""),""))</f>
        <v/>
      </c>
      <c r="AE491" s="87" t="str">
        <f aca="false">IF(ISBLANK($C491),"",IF(O491=Constants!$B$19,Constants!$B$19,Constants!$B$18))</f>
        <v/>
      </c>
      <c r="AF491" s="87" t="str">
        <f aca="false">IF(ISBLANK($C491),"",IF(ISNUMBER(P491),IF(P491&gt;=0,P491,""),""))</f>
        <v/>
      </c>
      <c r="AG491" s="87" t="str">
        <f aca="false">IF(ISBLANK($C491),"",IF(Q491=Constants!$B$19,Constants!$B$19,Constants!$B$18))</f>
        <v/>
      </c>
      <c r="AH491" s="87" t="str">
        <f aca="false">IF(ISBLANK($C491),"",IF(ISNUMBER(R491),IF(R491&gt;=0,R491,""),""))</f>
        <v/>
      </c>
      <c r="AI491" s="87" t="str">
        <f aca="false">IF(ISBLANK($C491),"",IF(S491=Constants!$B$2, TRUE(), IF(S491=Constants!$B$3, FALSE(), FALSE())))</f>
        <v/>
      </c>
      <c r="AJ491" s="87" t="str">
        <f aca="false">IF(ISBLANK($C491),"",IF(AI491,Constants!$B$4,IF(COUNTA(E491:R491)=0,Constants!$B$5,IF(COUNTA(J491,L491,N491,P491,R491)=0,Constants!$B$6,Constants!$B$7))))</f>
        <v/>
      </c>
      <c r="AK491" s="87" t="str">
        <f aca="false">IF(ISBLANK($C491),"",IF($AJ491&lt;&gt;Constants!$B$7,$AJ491,IF(OR(NOT(X491),AND(NOT(U491),COUNTIFS(Y491:AG491,Constants!$B$18,Z491:AH491,"&gt;=0")&gt;0),AND(NOT(V491),COUNTIFS(Y491:AG491,Constants!$B$19,Z491:AH491,"&gt;=0")&gt;0)),Constants!$B$12,Constants!$B$11)))</f>
        <v/>
      </c>
      <c r="AL491" s="87" t="str">
        <f aca="false">IF($AJ491=Constants!$B$7,IF(Z491="",Constants!$B$13,Z491),"")</f>
        <v/>
      </c>
      <c r="AM491" s="87" t="str">
        <f aca="false">IF($AJ491=Constants!$B$7,IF(AB491="",Constants!$B$13,AB491),"")</f>
        <v/>
      </c>
      <c r="AN491" s="87" t="str">
        <f aca="false">IF($AJ491=Constants!$B$7,IF(AD491="",Constants!$B$13,AD491),"")</f>
        <v/>
      </c>
      <c r="AO491" s="87" t="str">
        <f aca="false">IF($AJ491=Constants!$B$7,IF(AF491="",Constants!$B$13,AF491),"")</f>
        <v/>
      </c>
      <c r="AP491" s="87" t="str">
        <f aca="false">IF($AJ491=Constants!$B$7,IF(AH491="",Constants!$B$13,AH491),"")</f>
        <v/>
      </c>
      <c r="AQ491" s="87" t="str">
        <f aca="false">IF($AJ491=Constants!$B$7,IF(SUMPRODUCT(--($AL491:$AP491&gt;AL491))+SUMPRODUCT(--($AL491:AL491=AL491))=1,1,IF(SUMPRODUCT(--($AL491:$AP491&gt;AM491))+SUMPRODUCT(--($AL491:AM491=AM491))=1,2,IF(SUMPRODUCT(--($AL491:$AP491&gt;AN491))+SUMPRODUCT(--($AL491:AN491=AN491))=1,3,IF(SUMPRODUCT(--($AL491:$AP491&gt;AO491))+SUMPRODUCT(--($AL491:AO491=AO491))=1,4,5)))),"")</f>
        <v/>
      </c>
      <c r="AR491" s="87" t="str">
        <f aca="false">IF($AJ491=Constants!$B$7,IF(SUMPRODUCT(--($AL491:$AP491&gt;AL491))+SUMPRODUCT(--($AL491:AL491=AL491))=2,1,IF(SUMPRODUCT(--($AL491:$AP491&gt;AM491))+SUMPRODUCT(--($AL491:AM491=AM491))=2,2,IF(SUMPRODUCT(--($AL491:$AP491&gt;AN491))+SUMPRODUCT(--($AL491:AN491=AN491))=2,3,IF(SUMPRODUCT(--($AL491:$AP491&gt;AO491))+SUMPRODUCT(--($AL491:AO491=AO491))=2,4,5)))),"")</f>
        <v/>
      </c>
      <c r="AS491" s="87" t="str">
        <f aca="false">IF($AJ491=Constants!$B$7,IF(SUMPRODUCT(--($AL491:$AP491&gt;AL491))+SUMPRODUCT(--($AL491:AL491=AL491))=3,1,IF(SUMPRODUCT(--($AL491:$AP491&gt;AM491))+SUMPRODUCT(--($AL491:AM491=AM491))=3,2,IF(SUMPRODUCT(--($AL491:$AP491&gt;AN491))+SUMPRODUCT(--($AL491:AN491=AN491))=3,3,IF(SUMPRODUCT(--($AL491:$AP491&gt;AO491))+SUMPRODUCT(--($AL491:AO491=AO491))=3,4,5)))),"")</f>
        <v/>
      </c>
      <c r="AT491" s="87" t="str">
        <f aca="false">IF($AJ491=Constants!$B$7,LARGE(AL491:AP491,1)+LARGE(AL491:AP491,2)+LARGE(AL491:AP491,3),"")</f>
        <v/>
      </c>
      <c r="AU491" s="87" t="str">
        <f aca="false">IF(ISBLANK($C491),"",IF($AJ491&lt;&gt;Constants!$B$7,$AJ491,AT491*W491))</f>
        <v/>
      </c>
      <c r="AV491" s="87" t="str">
        <f aca="false">IF(ISBLANK($C491),"",IF($AJ491=Constants!$B$7,IF(ISNUMBER(AU491),RANK(AU491,$AU$8:$AU$507),Constants!$B$14),$AJ491))</f>
        <v/>
      </c>
      <c r="AW491" s="87" t="str">
        <f aca="false">IF(ISBLANK($C491),"",IF($AJ491=Constants!$B$7,IF(ISNUMBER(AV491),COUNTIFS($AK$8:$AK$507,"&lt;"&amp;$AK491)+COUNTIFS($AK$8:$AK$507,$AK491,$AV$8:$AV$507,"&lt;"&amp;$AV491)+1,Constants!$B$14),$AJ491))</f>
        <v/>
      </c>
      <c r="AX491" s="87" t="str">
        <f aca="false">IF(ISBLANK($C491),"",IF($AJ491=Constants!$B$7,LARGE(AL491:AP491,4)*W491,""))</f>
        <v/>
      </c>
      <c r="AY491" s="87" t="str">
        <f aca="false">IF(ISBLANK($C491),"",IF($AJ491=Constants!$B$7,RANK(AX491,$AX$8:$AX$507),$AJ491))</f>
        <v/>
      </c>
      <c r="AZ491" s="87" t="str">
        <f aca="false">IF(ISBLANK($C491),"",IF($AJ491=Constants!$B$7,IF(ISNUMBER(AV491),COUNTIFS($AK$8:$AK$507,"&lt;"&amp;$AK491)+COUNTIFS($AK$8:$AK$507,$AK491,$AV$8:$AV$507,"&lt;"&amp;$AV491)+COUNTIFS($AK$8:$AK$507,$AK491,$AV$8:$AV$507,$AV491,$AY$8:$AY$507,"&lt;"&amp;$AY491)+1,Constants!$B$14),$AJ491))</f>
        <v/>
      </c>
      <c r="BA491" s="87" t="str">
        <f aca="false">IF(ISBLANK($C491),"",IF($AJ491=Constants!$B$7,IF(ISNUMBER(AW491),AW491-AZ491,Constants!$B$14),$AJ491))</f>
        <v/>
      </c>
      <c r="BB491" s="88"/>
      <c r="BC491" s="89" t="str">
        <f aca="false">IF(ISBLANK($C491),"",IF($AJ491&lt;&gt;Constants!$B$7,$AJ491,SMALL(AQ491:AS491,1)&amp;", "&amp;SMALL(AQ491:AS491,2)&amp;", "&amp;SMALL(AQ491:AS491,3)))</f>
        <v/>
      </c>
      <c r="BD491" s="90" t="str">
        <f aca="false">IF(ISBLANK($C491),"",IF($AJ491&lt;&gt;Constants!$B$7,$AJ491,W491))</f>
        <v/>
      </c>
      <c r="BE491" s="91" t="str">
        <f aca="false">IF(ISBLANK($C491),"",IF($AJ491&lt;&gt;Constants!$B$7,$AJ491,AU491))</f>
        <v/>
      </c>
      <c r="BF491" s="92" t="str">
        <f aca="false">IF(ISBLANK($C491),"",IF($AJ491&lt;&gt;Constants!$B$7,$AJ491,AK491))</f>
        <v/>
      </c>
      <c r="BG491" s="90" t="str">
        <f aca="false">IF(ISBLANK($C491),"",BA491)</f>
        <v/>
      </c>
      <c r="BH491" s="90" t="str">
        <f aca="false">IF(ISBLANK($C491),"",AZ491)</f>
        <v/>
      </c>
      <c r="BI491" s="93" t="str">
        <f aca="false">IF(ISBLANK($C491),"",IF(BH491=Constants!$B$4,COUNTA($C$8:$C$507)+2,IF(BH491=Constants!$B$5,COUNTA($C$8:$C$507)+1,IF(BH491=Constants!$B$6,COUNTA($C$8:$C$507),BH491))))</f>
        <v/>
      </c>
      <c r="BJ491" s="5"/>
      <c r="BK491" s="94" t="n">
        <f aca="false">IF(OR(ISNUMBER(BH491),BH491=Constants!$B$4,BH491=Constants!$B$6,BH491=Constants!$B$5),1,0)</f>
        <v>0</v>
      </c>
      <c r="BL491" s="94" t="n">
        <v>484</v>
      </c>
      <c r="BM491" s="94" t="str">
        <f aca="false">IF(ISBLANK($C491),"",IF(ISNUMBER(BI491),BI491+ROW($B491)/1000,""))</f>
        <v/>
      </c>
      <c r="BN491" s="94" t="str">
        <f aca="false">IF(ISNUMBER(BM491),RANK(BM491,$BM$8:$BM$507,1),"")</f>
        <v/>
      </c>
      <c r="BO491" s="94" t="str">
        <f aca="false">IF(ISBLANK($C491),"",$B491)</f>
        <v/>
      </c>
      <c r="BP491" s="94" t="str">
        <f aca="false">IF(ISBLANK($C491),"",$C491)</f>
        <v/>
      </c>
      <c r="BQ491" s="94" t="str">
        <f aca="false">IF(ISBLANK($C491),"",$D491)</f>
        <v/>
      </c>
      <c r="BR491" s="95" t="str">
        <f aca="false">BF491</f>
        <v/>
      </c>
      <c r="BS491" s="96" t="str">
        <f aca="false">BE491</f>
        <v/>
      </c>
      <c r="BT491" s="94" t="str">
        <f aca="false">IF(ISBLANK($C491),"",BH491)</f>
        <v/>
      </c>
      <c r="BU491" s="97" t="str">
        <f aca="false">IF($BL491&gt;$BK$7,"",VLOOKUP($BL491,$BN$8:$BT$507,7,FALSE()))</f>
        <v/>
      </c>
      <c r="BV491" s="98" t="str">
        <f aca="false">IF($BL491&gt;$BK$7,"",VLOOKUP($BL491,$BN$8:$BT$507,2,FALSE()))</f>
        <v/>
      </c>
      <c r="BW491" s="98" t="str">
        <f aca="false">IF($BL491&gt;$BK$7,"",VLOOKUP($BL491,$BN$8:$BT$507,3,FALSE()))</f>
        <v/>
      </c>
      <c r="BX491" s="98" t="str">
        <f aca="false">IF($BL491&gt;$BK$7,"",VLOOKUP($BL491,$BN$8:$BT$507,4,FALSE()))</f>
        <v/>
      </c>
      <c r="BY491" s="98" t="str">
        <f aca="false">IF($BL491&gt;$BK$7,"",VLOOKUP($BL491,$BN$8:$BT$507,5,FALSE()))</f>
        <v/>
      </c>
      <c r="BZ491" s="99" t="str">
        <f aca="false">IF($BL491&gt;$BK$7,"",VLOOKUP($BL491,$BN$8:$BT$507,6,FALSE()))</f>
        <v/>
      </c>
      <c r="CA491" s="48"/>
    </row>
    <row r="492" customFormat="false" ht="15.75" hidden="false" customHeight="false" outlineLevel="0" collapsed="false">
      <c r="A492" s="5"/>
      <c r="B492" s="114"/>
      <c r="C492" s="115"/>
      <c r="D492" s="100"/>
      <c r="E492" s="120"/>
      <c r="F492" s="125"/>
      <c r="G492" s="82"/>
      <c r="H492" s="126"/>
      <c r="I492" s="127"/>
      <c r="J492" s="82"/>
      <c r="K492" s="126"/>
      <c r="L492" s="82"/>
      <c r="M492" s="126"/>
      <c r="N492" s="82"/>
      <c r="O492" s="126"/>
      <c r="P492" s="82"/>
      <c r="Q492" s="126"/>
      <c r="R492" s="82"/>
      <c r="S492" s="120"/>
      <c r="T492" s="86"/>
      <c r="U492" s="87" t="str">
        <f aca="false">IF(ISBLANK($C492),"",IF(E492=Constants!$B$2, TRUE(), IF(E492=Constants!$B$3, FALSE(), TRUE())))</f>
        <v/>
      </c>
      <c r="V492" s="87" t="str">
        <f aca="false">IF(ISBLANK($C492),"",IF(F492=Constants!$B$2, TRUE(), IF(F492=Constants!$B$3, FALSE(), TRUE())))</f>
        <v/>
      </c>
      <c r="W492" s="87" t="str">
        <f aca="false">IF(ISBLANK($C492),"",IF(G492=Constants!$B$15,Constants!$B$8,IF(G492=Constants!$B$16,Constants!$B$9,Constants!$B$10)))</f>
        <v/>
      </c>
      <c r="X492" s="87" t="str">
        <f aca="false">IF(ISBLANK($C492),"",IF(H492=Constants!$B$2, TRUE(), IF(H492=Constants!$B$3, FALSE(), TRUE())))</f>
        <v/>
      </c>
      <c r="Y492" s="87" t="str">
        <f aca="false">IF(ISBLANK($C492),"",IF(I492=Constants!$B$19,Constants!$B$19,Constants!$B$18))</f>
        <v/>
      </c>
      <c r="Z492" s="87" t="str">
        <f aca="false">IF(ISBLANK($C492),"",IF(ISNUMBER(J492),IF(J492&gt;=0,J492,""),""))</f>
        <v/>
      </c>
      <c r="AA492" s="87" t="str">
        <f aca="false">IF(ISBLANK($C492),"",IF(K492=Constants!$B$19,Constants!$B$19,Constants!$B$18))</f>
        <v/>
      </c>
      <c r="AB492" s="87" t="str">
        <f aca="false">IF(ISBLANK($C492),"",IF(ISNUMBER(L492),IF(L492&gt;=0,L492,""),""))</f>
        <v/>
      </c>
      <c r="AC492" s="87" t="str">
        <f aca="false">IF(ISBLANK($C492),"",IF(M492=Constants!$B$19,Constants!$B$19,Constants!$B$18))</f>
        <v/>
      </c>
      <c r="AD492" s="87" t="str">
        <f aca="false">IF(ISBLANK($C492),"",IF(ISNUMBER(N492),IF(N492&gt;=0,N492,""),""))</f>
        <v/>
      </c>
      <c r="AE492" s="87" t="str">
        <f aca="false">IF(ISBLANK($C492),"",IF(O492=Constants!$B$19,Constants!$B$19,Constants!$B$18))</f>
        <v/>
      </c>
      <c r="AF492" s="87" t="str">
        <f aca="false">IF(ISBLANK($C492),"",IF(ISNUMBER(P492),IF(P492&gt;=0,P492,""),""))</f>
        <v/>
      </c>
      <c r="AG492" s="87" t="str">
        <f aca="false">IF(ISBLANK($C492),"",IF(Q492=Constants!$B$19,Constants!$B$19,Constants!$B$18))</f>
        <v/>
      </c>
      <c r="AH492" s="87" t="str">
        <f aca="false">IF(ISBLANK($C492),"",IF(ISNUMBER(R492),IF(R492&gt;=0,R492,""),""))</f>
        <v/>
      </c>
      <c r="AI492" s="87" t="str">
        <f aca="false">IF(ISBLANK($C492),"",IF(S492=Constants!$B$2, TRUE(), IF(S492=Constants!$B$3, FALSE(), FALSE())))</f>
        <v/>
      </c>
      <c r="AJ492" s="87" t="str">
        <f aca="false">IF(ISBLANK($C492),"",IF(AI492,Constants!$B$4,IF(COUNTA(E492:R492)=0,Constants!$B$5,IF(COUNTA(J492,L492,N492,P492,R492)=0,Constants!$B$6,Constants!$B$7))))</f>
        <v/>
      </c>
      <c r="AK492" s="87" t="str">
        <f aca="false">IF(ISBLANK($C492),"",IF($AJ492&lt;&gt;Constants!$B$7,$AJ492,IF(OR(NOT(X492),AND(NOT(U492),COUNTIFS(Y492:AG492,Constants!$B$18,Z492:AH492,"&gt;=0")&gt;0),AND(NOT(V492),COUNTIFS(Y492:AG492,Constants!$B$19,Z492:AH492,"&gt;=0")&gt;0)),Constants!$B$12,Constants!$B$11)))</f>
        <v/>
      </c>
      <c r="AL492" s="87" t="str">
        <f aca="false">IF($AJ492=Constants!$B$7,IF(Z492="",Constants!$B$13,Z492),"")</f>
        <v/>
      </c>
      <c r="AM492" s="87" t="str">
        <f aca="false">IF($AJ492=Constants!$B$7,IF(AB492="",Constants!$B$13,AB492),"")</f>
        <v/>
      </c>
      <c r="AN492" s="87" t="str">
        <f aca="false">IF($AJ492=Constants!$B$7,IF(AD492="",Constants!$B$13,AD492),"")</f>
        <v/>
      </c>
      <c r="AO492" s="87" t="str">
        <f aca="false">IF($AJ492=Constants!$B$7,IF(AF492="",Constants!$B$13,AF492),"")</f>
        <v/>
      </c>
      <c r="AP492" s="87" t="str">
        <f aca="false">IF($AJ492=Constants!$B$7,IF(AH492="",Constants!$B$13,AH492),"")</f>
        <v/>
      </c>
      <c r="AQ492" s="87" t="str">
        <f aca="false">IF($AJ492=Constants!$B$7,IF(SUMPRODUCT(--($AL492:$AP492&gt;AL492))+SUMPRODUCT(--($AL492:AL492=AL492))=1,1,IF(SUMPRODUCT(--($AL492:$AP492&gt;AM492))+SUMPRODUCT(--($AL492:AM492=AM492))=1,2,IF(SUMPRODUCT(--($AL492:$AP492&gt;AN492))+SUMPRODUCT(--($AL492:AN492=AN492))=1,3,IF(SUMPRODUCT(--($AL492:$AP492&gt;AO492))+SUMPRODUCT(--($AL492:AO492=AO492))=1,4,5)))),"")</f>
        <v/>
      </c>
      <c r="AR492" s="87" t="str">
        <f aca="false">IF($AJ492=Constants!$B$7,IF(SUMPRODUCT(--($AL492:$AP492&gt;AL492))+SUMPRODUCT(--($AL492:AL492=AL492))=2,1,IF(SUMPRODUCT(--($AL492:$AP492&gt;AM492))+SUMPRODUCT(--($AL492:AM492=AM492))=2,2,IF(SUMPRODUCT(--($AL492:$AP492&gt;AN492))+SUMPRODUCT(--($AL492:AN492=AN492))=2,3,IF(SUMPRODUCT(--($AL492:$AP492&gt;AO492))+SUMPRODUCT(--($AL492:AO492=AO492))=2,4,5)))),"")</f>
        <v/>
      </c>
      <c r="AS492" s="87" t="str">
        <f aca="false">IF($AJ492=Constants!$B$7,IF(SUMPRODUCT(--($AL492:$AP492&gt;AL492))+SUMPRODUCT(--($AL492:AL492=AL492))=3,1,IF(SUMPRODUCT(--($AL492:$AP492&gt;AM492))+SUMPRODUCT(--($AL492:AM492=AM492))=3,2,IF(SUMPRODUCT(--($AL492:$AP492&gt;AN492))+SUMPRODUCT(--($AL492:AN492=AN492))=3,3,IF(SUMPRODUCT(--($AL492:$AP492&gt;AO492))+SUMPRODUCT(--($AL492:AO492=AO492))=3,4,5)))),"")</f>
        <v/>
      </c>
      <c r="AT492" s="87" t="str">
        <f aca="false">IF($AJ492=Constants!$B$7,LARGE(AL492:AP492,1)+LARGE(AL492:AP492,2)+LARGE(AL492:AP492,3),"")</f>
        <v/>
      </c>
      <c r="AU492" s="87" t="str">
        <f aca="false">IF(ISBLANK($C492),"",IF($AJ492&lt;&gt;Constants!$B$7,$AJ492,AT492*W492))</f>
        <v/>
      </c>
      <c r="AV492" s="87" t="str">
        <f aca="false">IF(ISBLANK($C492),"",IF($AJ492=Constants!$B$7,IF(ISNUMBER(AU492),RANK(AU492,$AU$8:$AU$507),Constants!$B$14),$AJ492))</f>
        <v/>
      </c>
      <c r="AW492" s="87" t="str">
        <f aca="false">IF(ISBLANK($C492),"",IF($AJ492=Constants!$B$7,IF(ISNUMBER(AV492),COUNTIFS($AK$8:$AK$507,"&lt;"&amp;$AK492)+COUNTIFS($AK$8:$AK$507,$AK492,$AV$8:$AV$507,"&lt;"&amp;$AV492)+1,Constants!$B$14),$AJ492))</f>
        <v/>
      </c>
      <c r="AX492" s="87" t="str">
        <f aca="false">IF(ISBLANK($C492),"",IF($AJ492=Constants!$B$7,LARGE(AL492:AP492,4)*W492,""))</f>
        <v/>
      </c>
      <c r="AY492" s="87" t="str">
        <f aca="false">IF(ISBLANK($C492),"",IF($AJ492=Constants!$B$7,RANK(AX492,$AX$8:$AX$507),$AJ492))</f>
        <v/>
      </c>
      <c r="AZ492" s="87" t="str">
        <f aca="false">IF(ISBLANK($C492),"",IF($AJ492=Constants!$B$7,IF(ISNUMBER(AV492),COUNTIFS($AK$8:$AK$507,"&lt;"&amp;$AK492)+COUNTIFS($AK$8:$AK$507,$AK492,$AV$8:$AV$507,"&lt;"&amp;$AV492)+COUNTIFS($AK$8:$AK$507,$AK492,$AV$8:$AV$507,$AV492,$AY$8:$AY$507,"&lt;"&amp;$AY492)+1,Constants!$B$14),$AJ492))</f>
        <v/>
      </c>
      <c r="BA492" s="87" t="str">
        <f aca="false">IF(ISBLANK($C492),"",IF($AJ492=Constants!$B$7,IF(ISNUMBER(AW492),AW492-AZ492,Constants!$B$14),$AJ492))</f>
        <v/>
      </c>
      <c r="BB492" s="88"/>
      <c r="BC492" s="89" t="str">
        <f aca="false">IF(ISBLANK($C492),"",IF($AJ492&lt;&gt;Constants!$B$7,$AJ492,SMALL(AQ492:AS492,1)&amp;", "&amp;SMALL(AQ492:AS492,2)&amp;", "&amp;SMALL(AQ492:AS492,3)))</f>
        <v/>
      </c>
      <c r="BD492" s="90" t="str">
        <f aca="false">IF(ISBLANK($C492),"",IF($AJ492&lt;&gt;Constants!$B$7,$AJ492,W492))</f>
        <v/>
      </c>
      <c r="BE492" s="91" t="str">
        <f aca="false">IF(ISBLANK($C492),"",IF($AJ492&lt;&gt;Constants!$B$7,$AJ492,AU492))</f>
        <v/>
      </c>
      <c r="BF492" s="92" t="str">
        <f aca="false">IF(ISBLANK($C492),"",IF($AJ492&lt;&gt;Constants!$B$7,$AJ492,AK492))</f>
        <v/>
      </c>
      <c r="BG492" s="90" t="str">
        <f aca="false">IF(ISBLANK($C492),"",BA492)</f>
        <v/>
      </c>
      <c r="BH492" s="90" t="str">
        <f aca="false">IF(ISBLANK($C492),"",AZ492)</f>
        <v/>
      </c>
      <c r="BI492" s="93" t="str">
        <f aca="false">IF(ISBLANK($C492),"",IF(BH492=Constants!$B$4,COUNTA($C$8:$C$507)+2,IF(BH492=Constants!$B$5,COUNTA($C$8:$C$507)+1,IF(BH492=Constants!$B$6,COUNTA($C$8:$C$507),BH492))))</f>
        <v/>
      </c>
      <c r="BJ492" s="5"/>
      <c r="BK492" s="94" t="n">
        <f aca="false">IF(OR(ISNUMBER(BH492),BH492=Constants!$B$4,BH492=Constants!$B$6,BH492=Constants!$B$5),1,0)</f>
        <v>0</v>
      </c>
      <c r="BL492" s="94" t="n">
        <v>485</v>
      </c>
      <c r="BM492" s="94" t="str">
        <f aca="false">IF(ISBLANK($C492),"",IF(ISNUMBER(BI492),BI492+ROW($B492)/1000,""))</f>
        <v/>
      </c>
      <c r="BN492" s="94" t="str">
        <f aca="false">IF(ISNUMBER(BM492),RANK(BM492,$BM$8:$BM$507,1),"")</f>
        <v/>
      </c>
      <c r="BO492" s="94" t="str">
        <f aca="false">IF(ISBLANK($C492),"",$B492)</f>
        <v/>
      </c>
      <c r="BP492" s="94" t="str">
        <f aca="false">IF(ISBLANK($C492),"",$C492)</f>
        <v/>
      </c>
      <c r="BQ492" s="94" t="str">
        <f aca="false">IF(ISBLANK($C492),"",$D492)</f>
        <v/>
      </c>
      <c r="BR492" s="95" t="str">
        <f aca="false">BF492</f>
        <v/>
      </c>
      <c r="BS492" s="96" t="str">
        <f aca="false">BE492</f>
        <v/>
      </c>
      <c r="BT492" s="94" t="str">
        <f aca="false">IF(ISBLANK($C492),"",BH492)</f>
        <v/>
      </c>
      <c r="BU492" s="97" t="str">
        <f aca="false">IF($BL492&gt;$BK$7,"",VLOOKUP($BL492,$BN$8:$BT$507,7,FALSE()))</f>
        <v/>
      </c>
      <c r="BV492" s="98" t="str">
        <f aca="false">IF($BL492&gt;$BK$7,"",VLOOKUP($BL492,$BN$8:$BT$507,2,FALSE()))</f>
        <v/>
      </c>
      <c r="BW492" s="98" t="str">
        <f aca="false">IF($BL492&gt;$BK$7,"",VLOOKUP($BL492,$BN$8:$BT$507,3,FALSE()))</f>
        <v/>
      </c>
      <c r="BX492" s="98" t="str">
        <f aca="false">IF($BL492&gt;$BK$7,"",VLOOKUP($BL492,$BN$8:$BT$507,4,FALSE()))</f>
        <v/>
      </c>
      <c r="BY492" s="98" t="str">
        <f aca="false">IF($BL492&gt;$BK$7,"",VLOOKUP($BL492,$BN$8:$BT$507,5,FALSE()))</f>
        <v/>
      </c>
      <c r="BZ492" s="99" t="str">
        <f aca="false">IF($BL492&gt;$BK$7,"",VLOOKUP($BL492,$BN$8:$BT$507,6,FALSE()))</f>
        <v/>
      </c>
      <c r="CA492" s="48"/>
    </row>
    <row r="493" customFormat="false" ht="15.75" hidden="false" customHeight="false" outlineLevel="0" collapsed="false">
      <c r="A493" s="5"/>
      <c r="B493" s="114"/>
      <c r="C493" s="115"/>
      <c r="D493" s="100"/>
      <c r="E493" s="120"/>
      <c r="F493" s="125"/>
      <c r="G493" s="82"/>
      <c r="H493" s="126"/>
      <c r="I493" s="127"/>
      <c r="J493" s="82"/>
      <c r="K493" s="126"/>
      <c r="L493" s="82"/>
      <c r="M493" s="126"/>
      <c r="N493" s="82"/>
      <c r="O493" s="126"/>
      <c r="P493" s="82"/>
      <c r="Q493" s="126"/>
      <c r="R493" s="82"/>
      <c r="S493" s="120"/>
      <c r="T493" s="86"/>
      <c r="U493" s="87" t="str">
        <f aca="false">IF(ISBLANK($C493),"",IF(E493=Constants!$B$2, TRUE(), IF(E493=Constants!$B$3, FALSE(), TRUE())))</f>
        <v/>
      </c>
      <c r="V493" s="87" t="str">
        <f aca="false">IF(ISBLANK($C493),"",IF(F493=Constants!$B$2, TRUE(), IF(F493=Constants!$B$3, FALSE(), TRUE())))</f>
        <v/>
      </c>
      <c r="W493" s="87" t="str">
        <f aca="false">IF(ISBLANK($C493),"",IF(G493=Constants!$B$15,Constants!$B$8,IF(G493=Constants!$B$16,Constants!$B$9,Constants!$B$10)))</f>
        <v/>
      </c>
      <c r="X493" s="87" t="str">
        <f aca="false">IF(ISBLANK($C493),"",IF(H493=Constants!$B$2, TRUE(), IF(H493=Constants!$B$3, FALSE(), TRUE())))</f>
        <v/>
      </c>
      <c r="Y493" s="87" t="str">
        <f aca="false">IF(ISBLANK($C493),"",IF(I493=Constants!$B$19,Constants!$B$19,Constants!$B$18))</f>
        <v/>
      </c>
      <c r="Z493" s="87" t="str">
        <f aca="false">IF(ISBLANK($C493),"",IF(ISNUMBER(J493),IF(J493&gt;=0,J493,""),""))</f>
        <v/>
      </c>
      <c r="AA493" s="87" t="str">
        <f aca="false">IF(ISBLANK($C493),"",IF(K493=Constants!$B$19,Constants!$B$19,Constants!$B$18))</f>
        <v/>
      </c>
      <c r="AB493" s="87" t="str">
        <f aca="false">IF(ISBLANK($C493),"",IF(ISNUMBER(L493),IF(L493&gt;=0,L493,""),""))</f>
        <v/>
      </c>
      <c r="AC493" s="87" t="str">
        <f aca="false">IF(ISBLANK($C493),"",IF(M493=Constants!$B$19,Constants!$B$19,Constants!$B$18))</f>
        <v/>
      </c>
      <c r="AD493" s="87" t="str">
        <f aca="false">IF(ISBLANK($C493),"",IF(ISNUMBER(N493),IF(N493&gt;=0,N493,""),""))</f>
        <v/>
      </c>
      <c r="AE493" s="87" t="str">
        <f aca="false">IF(ISBLANK($C493),"",IF(O493=Constants!$B$19,Constants!$B$19,Constants!$B$18))</f>
        <v/>
      </c>
      <c r="AF493" s="87" t="str">
        <f aca="false">IF(ISBLANK($C493),"",IF(ISNUMBER(P493),IF(P493&gt;=0,P493,""),""))</f>
        <v/>
      </c>
      <c r="AG493" s="87" t="str">
        <f aca="false">IF(ISBLANK($C493),"",IF(Q493=Constants!$B$19,Constants!$B$19,Constants!$B$18))</f>
        <v/>
      </c>
      <c r="AH493" s="87" t="str">
        <f aca="false">IF(ISBLANK($C493),"",IF(ISNUMBER(R493),IF(R493&gt;=0,R493,""),""))</f>
        <v/>
      </c>
      <c r="AI493" s="87" t="str">
        <f aca="false">IF(ISBLANK($C493),"",IF(S493=Constants!$B$2, TRUE(), IF(S493=Constants!$B$3, FALSE(), FALSE())))</f>
        <v/>
      </c>
      <c r="AJ493" s="87" t="str">
        <f aca="false">IF(ISBLANK($C493),"",IF(AI493,Constants!$B$4,IF(COUNTA(E493:R493)=0,Constants!$B$5,IF(COUNTA(J493,L493,N493,P493,R493)=0,Constants!$B$6,Constants!$B$7))))</f>
        <v/>
      </c>
      <c r="AK493" s="87" t="str">
        <f aca="false">IF(ISBLANK($C493),"",IF($AJ493&lt;&gt;Constants!$B$7,$AJ493,IF(OR(NOT(X493),AND(NOT(U493),COUNTIFS(Y493:AG493,Constants!$B$18,Z493:AH493,"&gt;=0")&gt;0),AND(NOT(V493),COUNTIFS(Y493:AG493,Constants!$B$19,Z493:AH493,"&gt;=0")&gt;0)),Constants!$B$12,Constants!$B$11)))</f>
        <v/>
      </c>
      <c r="AL493" s="87" t="str">
        <f aca="false">IF($AJ493=Constants!$B$7,IF(Z493="",Constants!$B$13,Z493),"")</f>
        <v/>
      </c>
      <c r="AM493" s="87" t="str">
        <f aca="false">IF($AJ493=Constants!$B$7,IF(AB493="",Constants!$B$13,AB493),"")</f>
        <v/>
      </c>
      <c r="AN493" s="87" t="str">
        <f aca="false">IF($AJ493=Constants!$B$7,IF(AD493="",Constants!$B$13,AD493),"")</f>
        <v/>
      </c>
      <c r="AO493" s="87" t="str">
        <f aca="false">IF($AJ493=Constants!$B$7,IF(AF493="",Constants!$B$13,AF493),"")</f>
        <v/>
      </c>
      <c r="AP493" s="87" t="str">
        <f aca="false">IF($AJ493=Constants!$B$7,IF(AH493="",Constants!$B$13,AH493),"")</f>
        <v/>
      </c>
      <c r="AQ493" s="87" t="str">
        <f aca="false">IF($AJ493=Constants!$B$7,IF(SUMPRODUCT(--($AL493:$AP493&gt;AL493))+SUMPRODUCT(--($AL493:AL493=AL493))=1,1,IF(SUMPRODUCT(--($AL493:$AP493&gt;AM493))+SUMPRODUCT(--($AL493:AM493=AM493))=1,2,IF(SUMPRODUCT(--($AL493:$AP493&gt;AN493))+SUMPRODUCT(--($AL493:AN493=AN493))=1,3,IF(SUMPRODUCT(--($AL493:$AP493&gt;AO493))+SUMPRODUCT(--($AL493:AO493=AO493))=1,4,5)))),"")</f>
        <v/>
      </c>
      <c r="AR493" s="87" t="str">
        <f aca="false">IF($AJ493=Constants!$B$7,IF(SUMPRODUCT(--($AL493:$AP493&gt;AL493))+SUMPRODUCT(--($AL493:AL493=AL493))=2,1,IF(SUMPRODUCT(--($AL493:$AP493&gt;AM493))+SUMPRODUCT(--($AL493:AM493=AM493))=2,2,IF(SUMPRODUCT(--($AL493:$AP493&gt;AN493))+SUMPRODUCT(--($AL493:AN493=AN493))=2,3,IF(SUMPRODUCT(--($AL493:$AP493&gt;AO493))+SUMPRODUCT(--($AL493:AO493=AO493))=2,4,5)))),"")</f>
        <v/>
      </c>
      <c r="AS493" s="87" t="str">
        <f aca="false">IF($AJ493=Constants!$B$7,IF(SUMPRODUCT(--($AL493:$AP493&gt;AL493))+SUMPRODUCT(--($AL493:AL493=AL493))=3,1,IF(SUMPRODUCT(--($AL493:$AP493&gt;AM493))+SUMPRODUCT(--($AL493:AM493=AM493))=3,2,IF(SUMPRODUCT(--($AL493:$AP493&gt;AN493))+SUMPRODUCT(--($AL493:AN493=AN493))=3,3,IF(SUMPRODUCT(--($AL493:$AP493&gt;AO493))+SUMPRODUCT(--($AL493:AO493=AO493))=3,4,5)))),"")</f>
        <v/>
      </c>
      <c r="AT493" s="87" t="str">
        <f aca="false">IF($AJ493=Constants!$B$7,LARGE(AL493:AP493,1)+LARGE(AL493:AP493,2)+LARGE(AL493:AP493,3),"")</f>
        <v/>
      </c>
      <c r="AU493" s="87" t="str">
        <f aca="false">IF(ISBLANK($C493),"",IF($AJ493&lt;&gt;Constants!$B$7,$AJ493,AT493*W493))</f>
        <v/>
      </c>
      <c r="AV493" s="87" t="str">
        <f aca="false">IF(ISBLANK($C493),"",IF($AJ493=Constants!$B$7,IF(ISNUMBER(AU493),RANK(AU493,$AU$8:$AU$507),Constants!$B$14),$AJ493))</f>
        <v/>
      </c>
      <c r="AW493" s="87" t="str">
        <f aca="false">IF(ISBLANK($C493),"",IF($AJ493=Constants!$B$7,IF(ISNUMBER(AV493),COUNTIFS($AK$8:$AK$507,"&lt;"&amp;$AK493)+COUNTIFS($AK$8:$AK$507,$AK493,$AV$8:$AV$507,"&lt;"&amp;$AV493)+1,Constants!$B$14),$AJ493))</f>
        <v/>
      </c>
      <c r="AX493" s="87" t="str">
        <f aca="false">IF(ISBLANK($C493),"",IF($AJ493=Constants!$B$7,LARGE(AL493:AP493,4)*W493,""))</f>
        <v/>
      </c>
      <c r="AY493" s="87" t="str">
        <f aca="false">IF(ISBLANK($C493),"",IF($AJ493=Constants!$B$7,RANK(AX493,$AX$8:$AX$507),$AJ493))</f>
        <v/>
      </c>
      <c r="AZ493" s="87" t="str">
        <f aca="false">IF(ISBLANK($C493),"",IF($AJ493=Constants!$B$7,IF(ISNUMBER(AV493),COUNTIFS($AK$8:$AK$507,"&lt;"&amp;$AK493)+COUNTIFS($AK$8:$AK$507,$AK493,$AV$8:$AV$507,"&lt;"&amp;$AV493)+COUNTIFS($AK$8:$AK$507,$AK493,$AV$8:$AV$507,$AV493,$AY$8:$AY$507,"&lt;"&amp;$AY493)+1,Constants!$B$14),$AJ493))</f>
        <v/>
      </c>
      <c r="BA493" s="87" t="str">
        <f aca="false">IF(ISBLANK($C493),"",IF($AJ493=Constants!$B$7,IF(ISNUMBER(AW493),AW493-AZ493,Constants!$B$14),$AJ493))</f>
        <v/>
      </c>
      <c r="BB493" s="88"/>
      <c r="BC493" s="89" t="str">
        <f aca="false">IF(ISBLANK($C493),"",IF($AJ493&lt;&gt;Constants!$B$7,$AJ493,SMALL(AQ493:AS493,1)&amp;", "&amp;SMALL(AQ493:AS493,2)&amp;", "&amp;SMALL(AQ493:AS493,3)))</f>
        <v/>
      </c>
      <c r="BD493" s="90" t="str">
        <f aca="false">IF(ISBLANK($C493),"",IF($AJ493&lt;&gt;Constants!$B$7,$AJ493,W493))</f>
        <v/>
      </c>
      <c r="BE493" s="91" t="str">
        <f aca="false">IF(ISBLANK($C493),"",IF($AJ493&lt;&gt;Constants!$B$7,$AJ493,AU493))</f>
        <v/>
      </c>
      <c r="BF493" s="92" t="str">
        <f aca="false">IF(ISBLANK($C493),"",IF($AJ493&lt;&gt;Constants!$B$7,$AJ493,AK493))</f>
        <v/>
      </c>
      <c r="BG493" s="90" t="str">
        <f aca="false">IF(ISBLANK($C493),"",BA493)</f>
        <v/>
      </c>
      <c r="BH493" s="90" t="str">
        <f aca="false">IF(ISBLANK($C493),"",AZ493)</f>
        <v/>
      </c>
      <c r="BI493" s="93" t="str">
        <f aca="false">IF(ISBLANK($C493),"",IF(BH493=Constants!$B$4,COUNTA($C$8:$C$507)+2,IF(BH493=Constants!$B$5,COUNTA($C$8:$C$507)+1,IF(BH493=Constants!$B$6,COUNTA($C$8:$C$507),BH493))))</f>
        <v/>
      </c>
      <c r="BJ493" s="5"/>
      <c r="BK493" s="94" t="n">
        <f aca="false">IF(OR(ISNUMBER(BH493),BH493=Constants!$B$4,BH493=Constants!$B$6,BH493=Constants!$B$5),1,0)</f>
        <v>0</v>
      </c>
      <c r="BL493" s="94" t="n">
        <v>486</v>
      </c>
      <c r="BM493" s="94" t="str">
        <f aca="false">IF(ISBLANK($C493),"",IF(ISNUMBER(BI493),BI493+ROW($B493)/1000,""))</f>
        <v/>
      </c>
      <c r="BN493" s="94" t="str">
        <f aca="false">IF(ISNUMBER(BM493),RANK(BM493,$BM$8:$BM$507,1),"")</f>
        <v/>
      </c>
      <c r="BO493" s="94" t="str">
        <f aca="false">IF(ISBLANK($C493),"",$B493)</f>
        <v/>
      </c>
      <c r="BP493" s="94" t="str">
        <f aca="false">IF(ISBLANK($C493),"",$C493)</f>
        <v/>
      </c>
      <c r="BQ493" s="94" t="str">
        <f aca="false">IF(ISBLANK($C493),"",$D493)</f>
        <v/>
      </c>
      <c r="BR493" s="95" t="str">
        <f aca="false">BF493</f>
        <v/>
      </c>
      <c r="BS493" s="96" t="str">
        <f aca="false">BE493</f>
        <v/>
      </c>
      <c r="BT493" s="94" t="str">
        <f aca="false">IF(ISBLANK($C493),"",BH493)</f>
        <v/>
      </c>
      <c r="BU493" s="97" t="str">
        <f aca="false">IF($BL493&gt;$BK$7,"",VLOOKUP($BL493,$BN$8:$BT$507,7,FALSE()))</f>
        <v/>
      </c>
      <c r="BV493" s="98" t="str">
        <f aca="false">IF($BL493&gt;$BK$7,"",VLOOKUP($BL493,$BN$8:$BT$507,2,FALSE()))</f>
        <v/>
      </c>
      <c r="BW493" s="98" t="str">
        <f aca="false">IF($BL493&gt;$BK$7,"",VLOOKUP($BL493,$BN$8:$BT$507,3,FALSE()))</f>
        <v/>
      </c>
      <c r="BX493" s="98" t="str">
        <f aca="false">IF($BL493&gt;$BK$7,"",VLOOKUP($BL493,$BN$8:$BT$507,4,FALSE()))</f>
        <v/>
      </c>
      <c r="BY493" s="98" t="str">
        <f aca="false">IF($BL493&gt;$BK$7,"",VLOOKUP($BL493,$BN$8:$BT$507,5,FALSE()))</f>
        <v/>
      </c>
      <c r="BZ493" s="99" t="str">
        <f aca="false">IF($BL493&gt;$BK$7,"",VLOOKUP($BL493,$BN$8:$BT$507,6,FALSE()))</f>
        <v/>
      </c>
      <c r="CA493" s="48"/>
    </row>
    <row r="494" customFormat="false" ht="15.75" hidden="false" customHeight="false" outlineLevel="0" collapsed="false">
      <c r="A494" s="5"/>
      <c r="B494" s="121"/>
      <c r="C494" s="50"/>
      <c r="D494" s="51"/>
      <c r="E494" s="74"/>
      <c r="F494" s="122"/>
      <c r="G494" s="54"/>
      <c r="H494" s="123"/>
      <c r="I494" s="124"/>
      <c r="J494" s="54"/>
      <c r="K494" s="123"/>
      <c r="L494" s="54"/>
      <c r="M494" s="123"/>
      <c r="N494" s="54"/>
      <c r="O494" s="123"/>
      <c r="P494" s="54"/>
      <c r="Q494" s="123"/>
      <c r="R494" s="54"/>
      <c r="S494" s="74"/>
      <c r="T494" s="58"/>
      <c r="U494" s="59" t="str">
        <f aca="false">IF(ISBLANK($C494),"",IF(E494=Constants!$B$2, TRUE(), IF(E494=Constants!$B$3, FALSE(), TRUE())))</f>
        <v/>
      </c>
      <c r="V494" s="59" t="str">
        <f aca="false">IF(ISBLANK($C494),"",IF(F494=Constants!$B$2, TRUE(), IF(F494=Constants!$B$3, FALSE(), TRUE())))</f>
        <v/>
      </c>
      <c r="W494" s="59" t="str">
        <f aca="false">IF(ISBLANK($C494),"",IF(G494=Constants!$B$15,Constants!$B$8,IF(G494=Constants!$B$16,Constants!$B$9,Constants!$B$10)))</f>
        <v/>
      </c>
      <c r="X494" s="59" t="str">
        <f aca="false">IF(ISBLANK($C494),"",IF(H494=Constants!$B$2, TRUE(), IF(H494=Constants!$B$3, FALSE(), TRUE())))</f>
        <v/>
      </c>
      <c r="Y494" s="59" t="str">
        <f aca="false">IF(ISBLANK($C494),"",IF(I494=Constants!$B$19,Constants!$B$19,Constants!$B$18))</f>
        <v/>
      </c>
      <c r="Z494" s="59" t="str">
        <f aca="false">IF(ISBLANK($C494),"",IF(ISNUMBER(J494),IF(J494&gt;=0,J494,""),""))</f>
        <v/>
      </c>
      <c r="AA494" s="59" t="str">
        <f aca="false">IF(ISBLANK($C494),"",IF(K494=Constants!$B$19,Constants!$B$19,Constants!$B$18))</f>
        <v/>
      </c>
      <c r="AB494" s="59" t="str">
        <f aca="false">IF(ISBLANK($C494),"",IF(ISNUMBER(L494),IF(L494&gt;=0,L494,""),""))</f>
        <v/>
      </c>
      <c r="AC494" s="59" t="str">
        <f aca="false">IF(ISBLANK($C494),"",IF(M494=Constants!$B$19,Constants!$B$19,Constants!$B$18))</f>
        <v/>
      </c>
      <c r="AD494" s="59" t="str">
        <f aca="false">IF(ISBLANK($C494),"",IF(ISNUMBER(N494),IF(N494&gt;=0,N494,""),""))</f>
        <v/>
      </c>
      <c r="AE494" s="59" t="str">
        <f aca="false">IF(ISBLANK($C494),"",IF(O494=Constants!$B$19,Constants!$B$19,Constants!$B$18))</f>
        <v/>
      </c>
      <c r="AF494" s="59" t="str">
        <f aca="false">IF(ISBLANK($C494),"",IF(ISNUMBER(P494),IF(P494&gt;=0,P494,""),""))</f>
        <v/>
      </c>
      <c r="AG494" s="59" t="str">
        <f aca="false">IF(ISBLANK($C494),"",IF(Q494=Constants!$B$19,Constants!$B$19,Constants!$B$18))</f>
        <v/>
      </c>
      <c r="AH494" s="59" t="str">
        <f aca="false">IF(ISBLANK($C494),"",IF(ISNUMBER(R494),IF(R494&gt;=0,R494,""),""))</f>
        <v/>
      </c>
      <c r="AI494" s="59" t="str">
        <f aca="false">IF(ISBLANK($C494),"",IF(S494=Constants!$B$2, TRUE(), IF(S494=Constants!$B$3, FALSE(), FALSE())))</f>
        <v/>
      </c>
      <c r="AJ494" s="59" t="str">
        <f aca="false">IF(ISBLANK($C494),"",IF(AI494,Constants!$B$4,IF(COUNTA(E494:R494)=0,Constants!$B$5,IF(COUNTA(J494,L494,N494,P494,R494)=0,Constants!$B$6,Constants!$B$7))))</f>
        <v/>
      </c>
      <c r="AK494" s="59" t="str">
        <f aca="false">IF(ISBLANK($C494),"",IF($AJ494&lt;&gt;Constants!$B$7,$AJ494,IF(OR(NOT(X494),AND(NOT(U494),COUNTIFS(Y494:AG494,Constants!$B$18,Z494:AH494,"&gt;=0")&gt;0),AND(NOT(V494),COUNTIFS(Y494:AG494,Constants!$B$19,Z494:AH494,"&gt;=0")&gt;0)),Constants!$B$12,Constants!$B$11)))</f>
        <v/>
      </c>
      <c r="AL494" s="59" t="str">
        <f aca="false">IF($AJ494=Constants!$B$7,IF(Z494="",Constants!$B$13,Z494),"")</f>
        <v/>
      </c>
      <c r="AM494" s="59" t="str">
        <f aca="false">IF($AJ494=Constants!$B$7,IF(AB494="",Constants!$B$13,AB494),"")</f>
        <v/>
      </c>
      <c r="AN494" s="59" t="str">
        <f aca="false">IF($AJ494=Constants!$B$7,IF(AD494="",Constants!$B$13,AD494),"")</f>
        <v/>
      </c>
      <c r="AO494" s="59" t="str">
        <f aca="false">IF($AJ494=Constants!$B$7,IF(AF494="",Constants!$B$13,AF494),"")</f>
        <v/>
      </c>
      <c r="AP494" s="59" t="str">
        <f aca="false">IF($AJ494=Constants!$B$7,IF(AH494="",Constants!$B$13,AH494),"")</f>
        <v/>
      </c>
      <c r="AQ494" s="59" t="str">
        <f aca="false">IF($AJ494=Constants!$B$7,IF(SUMPRODUCT(--($AL494:$AP494&gt;AL494))+SUMPRODUCT(--($AL494:AL494=AL494))=1,1,IF(SUMPRODUCT(--($AL494:$AP494&gt;AM494))+SUMPRODUCT(--($AL494:AM494=AM494))=1,2,IF(SUMPRODUCT(--($AL494:$AP494&gt;AN494))+SUMPRODUCT(--($AL494:AN494=AN494))=1,3,IF(SUMPRODUCT(--($AL494:$AP494&gt;AO494))+SUMPRODUCT(--($AL494:AO494=AO494))=1,4,5)))),"")</f>
        <v/>
      </c>
      <c r="AR494" s="59" t="str">
        <f aca="false">IF($AJ494=Constants!$B$7,IF(SUMPRODUCT(--($AL494:$AP494&gt;AL494))+SUMPRODUCT(--($AL494:AL494=AL494))=2,1,IF(SUMPRODUCT(--($AL494:$AP494&gt;AM494))+SUMPRODUCT(--($AL494:AM494=AM494))=2,2,IF(SUMPRODUCT(--($AL494:$AP494&gt;AN494))+SUMPRODUCT(--($AL494:AN494=AN494))=2,3,IF(SUMPRODUCT(--($AL494:$AP494&gt;AO494))+SUMPRODUCT(--($AL494:AO494=AO494))=2,4,5)))),"")</f>
        <v/>
      </c>
      <c r="AS494" s="59" t="str">
        <f aca="false">IF($AJ494=Constants!$B$7,IF(SUMPRODUCT(--($AL494:$AP494&gt;AL494))+SUMPRODUCT(--($AL494:AL494=AL494))=3,1,IF(SUMPRODUCT(--($AL494:$AP494&gt;AM494))+SUMPRODUCT(--($AL494:AM494=AM494))=3,2,IF(SUMPRODUCT(--($AL494:$AP494&gt;AN494))+SUMPRODUCT(--($AL494:AN494=AN494))=3,3,IF(SUMPRODUCT(--($AL494:$AP494&gt;AO494))+SUMPRODUCT(--($AL494:AO494=AO494))=3,4,5)))),"")</f>
        <v/>
      </c>
      <c r="AT494" s="59" t="str">
        <f aca="false">IF($AJ494=Constants!$B$7,LARGE(AL494:AP494,1)+LARGE(AL494:AP494,2)+LARGE(AL494:AP494,3),"")</f>
        <v/>
      </c>
      <c r="AU494" s="59" t="str">
        <f aca="false">IF(ISBLANK($C494),"",IF($AJ494&lt;&gt;Constants!$B$7,$AJ494,AT494*W494))</f>
        <v/>
      </c>
      <c r="AV494" s="59" t="str">
        <f aca="false">IF(ISBLANK($C494),"",IF($AJ494=Constants!$B$7,IF(ISNUMBER(AU494),RANK(AU494,$AU$8:$AU$507),Constants!$B$14),$AJ494))</f>
        <v/>
      </c>
      <c r="AW494" s="59" t="str">
        <f aca="false">IF(ISBLANK($C494),"",IF($AJ494=Constants!$B$7,IF(ISNUMBER(AV494),COUNTIFS($AK$8:$AK$507,"&lt;"&amp;$AK494)+COUNTIFS($AK$8:$AK$507,$AK494,$AV$8:$AV$507,"&lt;"&amp;$AV494)+1,Constants!$B$14),$AJ494))</f>
        <v/>
      </c>
      <c r="AX494" s="59" t="str">
        <f aca="false">IF(ISBLANK($C494),"",IF($AJ494=Constants!$B$7,LARGE(AL494:AP494,4)*W494,""))</f>
        <v/>
      </c>
      <c r="AY494" s="59" t="str">
        <f aca="false">IF(ISBLANK($C494),"",IF($AJ494=Constants!$B$7,RANK(AX494,$AX$8:$AX$507),$AJ494))</f>
        <v/>
      </c>
      <c r="AZ494" s="59" t="str">
        <f aca="false">IF(ISBLANK($C494),"",IF($AJ494=Constants!$B$7,IF(ISNUMBER(AV494),COUNTIFS($AK$8:$AK$507,"&lt;"&amp;$AK494)+COUNTIFS($AK$8:$AK$507,$AK494,$AV$8:$AV$507,"&lt;"&amp;$AV494)+COUNTIFS($AK$8:$AK$507,$AK494,$AV$8:$AV$507,$AV494,$AY$8:$AY$507,"&lt;"&amp;$AY494)+1,Constants!$B$14),$AJ494))</f>
        <v/>
      </c>
      <c r="BA494" s="59" t="str">
        <f aca="false">IF(ISBLANK($C494),"",IF($AJ494=Constants!$B$7,IF(ISNUMBER(AW494),AW494-AZ494,Constants!$B$14),$AJ494))</f>
        <v/>
      </c>
      <c r="BB494" s="61"/>
      <c r="BC494" s="62" t="str">
        <f aca="false">IF(ISBLANK($C494),"",IF($AJ494&lt;&gt;Constants!$B$7,$AJ494,SMALL(AQ494:AS494,1)&amp;", "&amp;SMALL(AQ494:AS494,2)&amp;", "&amp;SMALL(AQ494:AS494,3)))</f>
        <v/>
      </c>
      <c r="BD494" s="63" t="str">
        <f aca="false">IF(ISBLANK($C494),"",IF($AJ494&lt;&gt;Constants!$B$7,$AJ494,W494))</f>
        <v/>
      </c>
      <c r="BE494" s="64" t="str">
        <f aca="false">IF(ISBLANK($C494),"",IF($AJ494&lt;&gt;Constants!$B$7,$AJ494,AU494))</f>
        <v/>
      </c>
      <c r="BF494" s="65" t="str">
        <f aca="false">IF(ISBLANK($C494),"",IF($AJ494&lt;&gt;Constants!$B$7,$AJ494,AK494))</f>
        <v/>
      </c>
      <c r="BG494" s="63" t="str">
        <f aca="false">IF(ISBLANK($C494),"",BA494)</f>
        <v/>
      </c>
      <c r="BH494" s="63" t="str">
        <f aca="false">IF(ISBLANK($C494),"",AZ494)</f>
        <v/>
      </c>
      <c r="BI494" s="66" t="str">
        <f aca="false">IF(ISBLANK($C494),"",IF(BH494=Constants!$B$4,COUNTA($C$8:$C$507)+2,IF(BH494=Constants!$B$5,COUNTA($C$8:$C$507)+1,IF(BH494=Constants!$B$6,COUNTA($C$8:$C$507),BH494))))</f>
        <v/>
      </c>
      <c r="BJ494" s="5"/>
      <c r="BK494" s="67" t="n">
        <f aca="false">IF(OR(ISNUMBER(BH494),BH494=Constants!$B$4,BH494=Constants!$B$6,BH494=Constants!$B$5),1,0)</f>
        <v>0</v>
      </c>
      <c r="BL494" s="67" t="n">
        <v>487</v>
      </c>
      <c r="BM494" s="67" t="str">
        <f aca="false">IF(ISBLANK($C494),"",IF(ISNUMBER(BI494),BI494+ROW($B494)/1000,""))</f>
        <v/>
      </c>
      <c r="BN494" s="67" t="str">
        <f aca="false">IF(ISNUMBER(BM494),RANK(BM494,$BM$8:$BM$507,1),"")</f>
        <v/>
      </c>
      <c r="BO494" s="67" t="str">
        <f aca="false">IF(ISBLANK($C494),"",$B494)</f>
        <v/>
      </c>
      <c r="BP494" s="67" t="str">
        <f aca="false">IF(ISBLANK($C494),"",$C494)</f>
        <v/>
      </c>
      <c r="BQ494" s="67" t="str">
        <f aca="false">IF(ISBLANK($C494),"",$D494)</f>
        <v/>
      </c>
      <c r="BR494" s="68" t="str">
        <f aca="false">BF494</f>
        <v/>
      </c>
      <c r="BS494" s="69" t="str">
        <f aca="false">BE494</f>
        <v/>
      </c>
      <c r="BT494" s="67" t="str">
        <f aca="false">IF(ISBLANK($C494),"",BH494)</f>
        <v/>
      </c>
      <c r="BU494" s="70" t="str">
        <f aca="false">IF($BL494&gt;$BK$7,"",VLOOKUP($BL494,$BN$8:$BT$507,7,FALSE()))</f>
        <v/>
      </c>
      <c r="BV494" s="71" t="str">
        <f aca="false">IF($BL494&gt;$BK$7,"",VLOOKUP($BL494,$BN$8:$BT$507,2,FALSE()))</f>
        <v/>
      </c>
      <c r="BW494" s="71" t="str">
        <f aca="false">IF($BL494&gt;$BK$7,"",VLOOKUP($BL494,$BN$8:$BT$507,3,FALSE()))</f>
        <v/>
      </c>
      <c r="BX494" s="71" t="str">
        <f aca="false">IF($BL494&gt;$BK$7,"",VLOOKUP($BL494,$BN$8:$BT$507,4,FALSE()))</f>
        <v/>
      </c>
      <c r="BY494" s="71" t="str">
        <f aca="false">IF($BL494&gt;$BK$7,"",VLOOKUP($BL494,$BN$8:$BT$507,5,FALSE()))</f>
        <v/>
      </c>
      <c r="BZ494" s="72" t="str">
        <f aca="false">IF($BL494&gt;$BK$7,"",VLOOKUP($BL494,$BN$8:$BT$507,6,FALSE()))</f>
        <v/>
      </c>
      <c r="CA494" s="48"/>
    </row>
    <row r="495" customFormat="false" ht="15.75" hidden="false" customHeight="false" outlineLevel="0" collapsed="false">
      <c r="A495" s="5"/>
      <c r="B495" s="121"/>
      <c r="C495" s="50"/>
      <c r="D495" s="51"/>
      <c r="E495" s="74"/>
      <c r="F495" s="122"/>
      <c r="G495" s="54"/>
      <c r="H495" s="123"/>
      <c r="I495" s="124"/>
      <c r="J495" s="54"/>
      <c r="K495" s="123"/>
      <c r="L495" s="54"/>
      <c r="M495" s="123"/>
      <c r="N495" s="54"/>
      <c r="O495" s="123"/>
      <c r="P495" s="54"/>
      <c r="Q495" s="123"/>
      <c r="R495" s="54"/>
      <c r="S495" s="74"/>
      <c r="T495" s="58"/>
      <c r="U495" s="59" t="str">
        <f aca="false">IF(ISBLANK($C495),"",IF(E495=Constants!$B$2, TRUE(), IF(E495=Constants!$B$3, FALSE(), TRUE())))</f>
        <v/>
      </c>
      <c r="V495" s="59" t="str">
        <f aca="false">IF(ISBLANK($C495),"",IF(F495=Constants!$B$2, TRUE(), IF(F495=Constants!$B$3, FALSE(), TRUE())))</f>
        <v/>
      </c>
      <c r="W495" s="59" t="str">
        <f aca="false">IF(ISBLANK($C495),"",IF(G495=Constants!$B$15,Constants!$B$8,IF(G495=Constants!$B$16,Constants!$B$9,Constants!$B$10)))</f>
        <v/>
      </c>
      <c r="X495" s="59" t="str">
        <f aca="false">IF(ISBLANK($C495),"",IF(H495=Constants!$B$2, TRUE(), IF(H495=Constants!$B$3, FALSE(), TRUE())))</f>
        <v/>
      </c>
      <c r="Y495" s="59" t="str">
        <f aca="false">IF(ISBLANK($C495),"",IF(I495=Constants!$B$19,Constants!$B$19,Constants!$B$18))</f>
        <v/>
      </c>
      <c r="Z495" s="59" t="str">
        <f aca="false">IF(ISBLANK($C495),"",IF(ISNUMBER(J495),IF(J495&gt;=0,J495,""),""))</f>
        <v/>
      </c>
      <c r="AA495" s="59" t="str">
        <f aca="false">IF(ISBLANK($C495),"",IF(K495=Constants!$B$19,Constants!$B$19,Constants!$B$18))</f>
        <v/>
      </c>
      <c r="AB495" s="59" t="str">
        <f aca="false">IF(ISBLANK($C495),"",IF(ISNUMBER(L495),IF(L495&gt;=0,L495,""),""))</f>
        <v/>
      </c>
      <c r="AC495" s="59" t="str">
        <f aca="false">IF(ISBLANK($C495),"",IF(M495=Constants!$B$19,Constants!$B$19,Constants!$B$18))</f>
        <v/>
      </c>
      <c r="AD495" s="59" t="str">
        <f aca="false">IF(ISBLANK($C495),"",IF(ISNUMBER(N495),IF(N495&gt;=0,N495,""),""))</f>
        <v/>
      </c>
      <c r="AE495" s="59" t="str">
        <f aca="false">IF(ISBLANK($C495),"",IF(O495=Constants!$B$19,Constants!$B$19,Constants!$B$18))</f>
        <v/>
      </c>
      <c r="AF495" s="59" t="str">
        <f aca="false">IF(ISBLANK($C495),"",IF(ISNUMBER(P495),IF(P495&gt;=0,P495,""),""))</f>
        <v/>
      </c>
      <c r="AG495" s="59" t="str">
        <f aca="false">IF(ISBLANK($C495),"",IF(Q495=Constants!$B$19,Constants!$B$19,Constants!$B$18))</f>
        <v/>
      </c>
      <c r="AH495" s="59" t="str">
        <f aca="false">IF(ISBLANK($C495),"",IF(ISNUMBER(R495),IF(R495&gt;=0,R495,""),""))</f>
        <v/>
      </c>
      <c r="AI495" s="59" t="str">
        <f aca="false">IF(ISBLANK($C495),"",IF(S495=Constants!$B$2, TRUE(), IF(S495=Constants!$B$3, FALSE(), FALSE())))</f>
        <v/>
      </c>
      <c r="AJ495" s="59" t="str">
        <f aca="false">IF(ISBLANK($C495),"",IF(AI495,Constants!$B$4,IF(COUNTA(E495:R495)=0,Constants!$B$5,IF(COUNTA(J495,L495,N495,P495,R495)=0,Constants!$B$6,Constants!$B$7))))</f>
        <v/>
      </c>
      <c r="AK495" s="59" t="str">
        <f aca="false">IF(ISBLANK($C495),"",IF($AJ495&lt;&gt;Constants!$B$7,$AJ495,IF(OR(NOT(X495),AND(NOT(U495),COUNTIFS(Y495:AG495,Constants!$B$18,Z495:AH495,"&gt;=0")&gt;0),AND(NOT(V495),COUNTIFS(Y495:AG495,Constants!$B$19,Z495:AH495,"&gt;=0")&gt;0)),Constants!$B$12,Constants!$B$11)))</f>
        <v/>
      </c>
      <c r="AL495" s="59" t="str">
        <f aca="false">IF($AJ495=Constants!$B$7,IF(Z495="",Constants!$B$13,Z495),"")</f>
        <v/>
      </c>
      <c r="AM495" s="59" t="str">
        <f aca="false">IF($AJ495=Constants!$B$7,IF(AB495="",Constants!$B$13,AB495),"")</f>
        <v/>
      </c>
      <c r="AN495" s="59" t="str">
        <f aca="false">IF($AJ495=Constants!$B$7,IF(AD495="",Constants!$B$13,AD495),"")</f>
        <v/>
      </c>
      <c r="AO495" s="59" t="str">
        <f aca="false">IF($AJ495=Constants!$B$7,IF(AF495="",Constants!$B$13,AF495),"")</f>
        <v/>
      </c>
      <c r="AP495" s="59" t="str">
        <f aca="false">IF($AJ495=Constants!$B$7,IF(AH495="",Constants!$B$13,AH495),"")</f>
        <v/>
      </c>
      <c r="AQ495" s="59" t="str">
        <f aca="false">IF($AJ495=Constants!$B$7,IF(SUMPRODUCT(--($AL495:$AP495&gt;AL495))+SUMPRODUCT(--($AL495:AL495=AL495))=1,1,IF(SUMPRODUCT(--($AL495:$AP495&gt;AM495))+SUMPRODUCT(--($AL495:AM495=AM495))=1,2,IF(SUMPRODUCT(--($AL495:$AP495&gt;AN495))+SUMPRODUCT(--($AL495:AN495=AN495))=1,3,IF(SUMPRODUCT(--($AL495:$AP495&gt;AO495))+SUMPRODUCT(--($AL495:AO495=AO495))=1,4,5)))),"")</f>
        <v/>
      </c>
      <c r="AR495" s="59" t="str">
        <f aca="false">IF($AJ495=Constants!$B$7,IF(SUMPRODUCT(--($AL495:$AP495&gt;AL495))+SUMPRODUCT(--($AL495:AL495=AL495))=2,1,IF(SUMPRODUCT(--($AL495:$AP495&gt;AM495))+SUMPRODUCT(--($AL495:AM495=AM495))=2,2,IF(SUMPRODUCT(--($AL495:$AP495&gt;AN495))+SUMPRODUCT(--($AL495:AN495=AN495))=2,3,IF(SUMPRODUCT(--($AL495:$AP495&gt;AO495))+SUMPRODUCT(--($AL495:AO495=AO495))=2,4,5)))),"")</f>
        <v/>
      </c>
      <c r="AS495" s="59" t="str">
        <f aca="false">IF($AJ495=Constants!$B$7,IF(SUMPRODUCT(--($AL495:$AP495&gt;AL495))+SUMPRODUCT(--($AL495:AL495=AL495))=3,1,IF(SUMPRODUCT(--($AL495:$AP495&gt;AM495))+SUMPRODUCT(--($AL495:AM495=AM495))=3,2,IF(SUMPRODUCT(--($AL495:$AP495&gt;AN495))+SUMPRODUCT(--($AL495:AN495=AN495))=3,3,IF(SUMPRODUCT(--($AL495:$AP495&gt;AO495))+SUMPRODUCT(--($AL495:AO495=AO495))=3,4,5)))),"")</f>
        <v/>
      </c>
      <c r="AT495" s="59" t="str">
        <f aca="false">IF($AJ495=Constants!$B$7,LARGE(AL495:AP495,1)+LARGE(AL495:AP495,2)+LARGE(AL495:AP495,3),"")</f>
        <v/>
      </c>
      <c r="AU495" s="59" t="str">
        <f aca="false">IF(ISBLANK($C495),"",IF($AJ495&lt;&gt;Constants!$B$7,$AJ495,AT495*W495))</f>
        <v/>
      </c>
      <c r="AV495" s="59" t="str">
        <f aca="false">IF(ISBLANK($C495),"",IF($AJ495=Constants!$B$7,IF(ISNUMBER(AU495),RANK(AU495,$AU$8:$AU$507),Constants!$B$14),$AJ495))</f>
        <v/>
      </c>
      <c r="AW495" s="59" t="str">
        <f aca="false">IF(ISBLANK($C495),"",IF($AJ495=Constants!$B$7,IF(ISNUMBER(AV495),COUNTIFS($AK$8:$AK$507,"&lt;"&amp;$AK495)+COUNTIFS($AK$8:$AK$507,$AK495,$AV$8:$AV$507,"&lt;"&amp;$AV495)+1,Constants!$B$14),$AJ495))</f>
        <v/>
      </c>
      <c r="AX495" s="59" t="str">
        <f aca="false">IF(ISBLANK($C495),"",IF($AJ495=Constants!$B$7,LARGE(AL495:AP495,4)*W495,""))</f>
        <v/>
      </c>
      <c r="AY495" s="59" t="str">
        <f aca="false">IF(ISBLANK($C495),"",IF($AJ495=Constants!$B$7,RANK(AX495,$AX$8:$AX$507),$AJ495))</f>
        <v/>
      </c>
      <c r="AZ495" s="59" t="str">
        <f aca="false">IF(ISBLANK($C495),"",IF($AJ495=Constants!$B$7,IF(ISNUMBER(AV495),COUNTIFS($AK$8:$AK$507,"&lt;"&amp;$AK495)+COUNTIFS($AK$8:$AK$507,$AK495,$AV$8:$AV$507,"&lt;"&amp;$AV495)+COUNTIFS($AK$8:$AK$507,$AK495,$AV$8:$AV$507,$AV495,$AY$8:$AY$507,"&lt;"&amp;$AY495)+1,Constants!$B$14),$AJ495))</f>
        <v/>
      </c>
      <c r="BA495" s="59" t="str">
        <f aca="false">IF(ISBLANK($C495),"",IF($AJ495=Constants!$B$7,IF(ISNUMBER(AW495),AW495-AZ495,Constants!$B$14),$AJ495))</f>
        <v/>
      </c>
      <c r="BB495" s="61"/>
      <c r="BC495" s="62" t="str">
        <f aca="false">IF(ISBLANK($C495),"",IF($AJ495&lt;&gt;Constants!$B$7,$AJ495,SMALL(AQ495:AS495,1)&amp;", "&amp;SMALL(AQ495:AS495,2)&amp;", "&amp;SMALL(AQ495:AS495,3)))</f>
        <v/>
      </c>
      <c r="BD495" s="63" t="str">
        <f aca="false">IF(ISBLANK($C495),"",IF($AJ495&lt;&gt;Constants!$B$7,$AJ495,W495))</f>
        <v/>
      </c>
      <c r="BE495" s="64" t="str">
        <f aca="false">IF(ISBLANK($C495),"",IF($AJ495&lt;&gt;Constants!$B$7,$AJ495,AU495))</f>
        <v/>
      </c>
      <c r="BF495" s="65" t="str">
        <f aca="false">IF(ISBLANK($C495),"",IF($AJ495&lt;&gt;Constants!$B$7,$AJ495,AK495))</f>
        <v/>
      </c>
      <c r="BG495" s="63" t="str">
        <f aca="false">IF(ISBLANK($C495),"",BA495)</f>
        <v/>
      </c>
      <c r="BH495" s="63" t="str">
        <f aca="false">IF(ISBLANK($C495),"",AZ495)</f>
        <v/>
      </c>
      <c r="BI495" s="66" t="str">
        <f aca="false">IF(ISBLANK($C495),"",IF(BH495=Constants!$B$4,COUNTA($C$8:$C$507)+2,IF(BH495=Constants!$B$5,COUNTA($C$8:$C$507)+1,IF(BH495=Constants!$B$6,COUNTA($C$8:$C$507),BH495))))</f>
        <v/>
      </c>
      <c r="BJ495" s="5"/>
      <c r="BK495" s="67" t="n">
        <f aca="false">IF(OR(ISNUMBER(BH495),BH495=Constants!$B$4,BH495=Constants!$B$6,BH495=Constants!$B$5),1,0)</f>
        <v>0</v>
      </c>
      <c r="BL495" s="67" t="n">
        <v>488</v>
      </c>
      <c r="BM495" s="67" t="str">
        <f aca="false">IF(ISBLANK($C495),"",IF(ISNUMBER(BI495),BI495+ROW($B495)/1000,""))</f>
        <v/>
      </c>
      <c r="BN495" s="67" t="str">
        <f aca="false">IF(ISNUMBER(BM495),RANK(BM495,$BM$8:$BM$507,1),"")</f>
        <v/>
      </c>
      <c r="BO495" s="67" t="str">
        <f aca="false">IF(ISBLANK($C495),"",$B495)</f>
        <v/>
      </c>
      <c r="BP495" s="67" t="str">
        <f aca="false">IF(ISBLANK($C495),"",$C495)</f>
        <v/>
      </c>
      <c r="BQ495" s="67" t="str">
        <f aca="false">IF(ISBLANK($C495),"",$D495)</f>
        <v/>
      </c>
      <c r="BR495" s="68" t="str">
        <f aca="false">BF495</f>
        <v/>
      </c>
      <c r="BS495" s="69" t="str">
        <f aca="false">BE495</f>
        <v/>
      </c>
      <c r="BT495" s="67" t="str">
        <f aca="false">IF(ISBLANK($C495),"",BH495)</f>
        <v/>
      </c>
      <c r="BU495" s="70" t="str">
        <f aca="false">IF($BL495&gt;$BK$7,"",VLOOKUP($BL495,$BN$8:$BT$507,7,FALSE()))</f>
        <v/>
      </c>
      <c r="BV495" s="71" t="str">
        <f aca="false">IF($BL495&gt;$BK$7,"",VLOOKUP($BL495,$BN$8:$BT$507,2,FALSE()))</f>
        <v/>
      </c>
      <c r="BW495" s="71" t="str">
        <f aca="false">IF($BL495&gt;$BK$7,"",VLOOKUP($BL495,$BN$8:$BT$507,3,FALSE()))</f>
        <v/>
      </c>
      <c r="BX495" s="71" t="str">
        <f aca="false">IF($BL495&gt;$BK$7,"",VLOOKUP($BL495,$BN$8:$BT$507,4,FALSE()))</f>
        <v/>
      </c>
      <c r="BY495" s="71" t="str">
        <f aca="false">IF($BL495&gt;$BK$7,"",VLOOKUP($BL495,$BN$8:$BT$507,5,FALSE()))</f>
        <v/>
      </c>
      <c r="BZ495" s="72" t="str">
        <f aca="false">IF($BL495&gt;$BK$7,"",VLOOKUP($BL495,$BN$8:$BT$507,6,FALSE()))</f>
        <v/>
      </c>
      <c r="CA495" s="48"/>
    </row>
    <row r="496" customFormat="false" ht="15.75" hidden="false" customHeight="false" outlineLevel="0" collapsed="false">
      <c r="A496" s="5"/>
      <c r="B496" s="121"/>
      <c r="C496" s="50"/>
      <c r="D496" s="51"/>
      <c r="E496" s="74"/>
      <c r="F496" s="122"/>
      <c r="G496" s="54"/>
      <c r="H496" s="123"/>
      <c r="I496" s="124"/>
      <c r="J496" s="54"/>
      <c r="K496" s="123"/>
      <c r="L496" s="54"/>
      <c r="M496" s="123"/>
      <c r="N496" s="54"/>
      <c r="O496" s="123"/>
      <c r="P496" s="54"/>
      <c r="Q496" s="123"/>
      <c r="R496" s="54"/>
      <c r="S496" s="74"/>
      <c r="T496" s="58"/>
      <c r="U496" s="59" t="str">
        <f aca="false">IF(ISBLANK($C496),"",IF(E496=Constants!$B$2, TRUE(), IF(E496=Constants!$B$3, FALSE(), TRUE())))</f>
        <v/>
      </c>
      <c r="V496" s="59" t="str">
        <f aca="false">IF(ISBLANK($C496),"",IF(F496=Constants!$B$2, TRUE(), IF(F496=Constants!$B$3, FALSE(), TRUE())))</f>
        <v/>
      </c>
      <c r="W496" s="59" t="str">
        <f aca="false">IF(ISBLANK($C496),"",IF(G496=Constants!$B$15,Constants!$B$8,IF(G496=Constants!$B$16,Constants!$B$9,Constants!$B$10)))</f>
        <v/>
      </c>
      <c r="X496" s="59" t="str">
        <f aca="false">IF(ISBLANK($C496),"",IF(H496=Constants!$B$2, TRUE(), IF(H496=Constants!$B$3, FALSE(), TRUE())))</f>
        <v/>
      </c>
      <c r="Y496" s="59" t="str">
        <f aca="false">IF(ISBLANK($C496),"",IF(I496=Constants!$B$19,Constants!$B$19,Constants!$B$18))</f>
        <v/>
      </c>
      <c r="Z496" s="59" t="str">
        <f aca="false">IF(ISBLANK($C496),"",IF(ISNUMBER(J496),IF(J496&gt;=0,J496,""),""))</f>
        <v/>
      </c>
      <c r="AA496" s="59" t="str">
        <f aca="false">IF(ISBLANK($C496),"",IF(K496=Constants!$B$19,Constants!$B$19,Constants!$B$18))</f>
        <v/>
      </c>
      <c r="AB496" s="59" t="str">
        <f aca="false">IF(ISBLANK($C496),"",IF(ISNUMBER(L496),IF(L496&gt;=0,L496,""),""))</f>
        <v/>
      </c>
      <c r="AC496" s="59" t="str">
        <f aca="false">IF(ISBLANK($C496),"",IF(M496=Constants!$B$19,Constants!$B$19,Constants!$B$18))</f>
        <v/>
      </c>
      <c r="AD496" s="59" t="str">
        <f aca="false">IF(ISBLANK($C496),"",IF(ISNUMBER(N496),IF(N496&gt;=0,N496,""),""))</f>
        <v/>
      </c>
      <c r="AE496" s="59" t="str">
        <f aca="false">IF(ISBLANK($C496),"",IF(O496=Constants!$B$19,Constants!$B$19,Constants!$B$18))</f>
        <v/>
      </c>
      <c r="AF496" s="59" t="str">
        <f aca="false">IF(ISBLANK($C496),"",IF(ISNUMBER(P496),IF(P496&gt;=0,P496,""),""))</f>
        <v/>
      </c>
      <c r="AG496" s="59" t="str">
        <f aca="false">IF(ISBLANK($C496),"",IF(Q496=Constants!$B$19,Constants!$B$19,Constants!$B$18))</f>
        <v/>
      </c>
      <c r="AH496" s="59" t="str">
        <f aca="false">IF(ISBLANK($C496),"",IF(ISNUMBER(R496),IF(R496&gt;=0,R496,""),""))</f>
        <v/>
      </c>
      <c r="AI496" s="59" t="str">
        <f aca="false">IF(ISBLANK($C496),"",IF(S496=Constants!$B$2, TRUE(), IF(S496=Constants!$B$3, FALSE(), FALSE())))</f>
        <v/>
      </c>
      <c r="AJ496" s="59" t="str">
        <f aca="false">IF(ISBLANK($C496),"",IF(AI496,Constants!$B$4,IF(COUNTA(E496:R496)=0,Constants!$B$5,IF(COUNTA(J496,L496,N496,P496,R496)=0,Constants!$B$6,Constants!$B$7))))</f>
        <v/>
      </c>
      <c r="AK496" s="59" t="str">
        <f aca="false">IF(ISBLANK($C496),"",IF($AJ496&lt;&gt;Constants!$B$7,$AJ496,IF(OR(NOT(X496),AND(NOT(U496),COUNTIFS(Y496:AG496,Constants!$B$18,Z496:AH496,"&gt;=0")&gt;0),AND(NOT(V496),COUNTIFS(Y496:AG496,Constants!$B$19,Z496:AH496,"&gt;=0")&gt;0)),Constants!$B$12,Constants!$B$11)))</f>
        <v/>
      </c>
      <c r="AL496" s="59" t="str">
        <f aca="false">IF($AJ496=Constants!$B$7,IF(Z496="",Constants!$B$13,Z496),"")</f>
        <v/>
      </c>
      <c r="AM496" s="59" t="str">
        <f aca="false">IF($AJ496=Constants!$B$7,IF(AB496="",Constants!$B$13,AB496),"")</f>
        <v/>
      </c>
      <c r="AN496" s="59" t="str">
        <f aca="false">IF($AJ496=Constants!$B$7,IF(AD496="",Constants!$B$13,AD496),"")</f>
        <v/>
      </c>
      <c r="AO496" s="59" t="str">
        <f aca="false">IF($AJ496=Constants!$B$7,IF(AF496="",Constants!$B$13,AF496),"")</f>
        <v/>
      </c>
      <c r="AP496" s="59" t="str">
        <f aca="false">IF($AJ496=Constants!$B$7,IF(AH496="",Constants!$B$13,AH496),"")</f>
        <v/>
      </c>
      <c r="AQ496" s="59" t="str">
        <f aca="false">IF($AJ496=Constants!$B$7,IF(SUMPRODUCT(--($AL496:$AP496&gt;AL496))+SUMPRODUCT(--($AL496:AL496=AL496))=1,1,IF(SUMPRODUCT(--($AL496:$AP496&gt;AM496))+SUMPRODUCT(--($AL496:AM496=AM496))=1,2,IF(SUMPRODUCT(--($AL496:$AP496&gt;AN496))+SUMPRODUCT(--($AL496:AN496=AN496))=1,3,IF(SUMPRODUCT(--($AL496:$AP496&gt;AO496))+SUMPRODUCT(--($AL496:AO496=AO496))=1,4,5)))),"")</f>
        <v/>
      </c>
      <c r="AR496" s="59" t="str">
        <f aca="false">IF($AJ496=Constants!$B$7,IF(SUMPRODUCT(--($AL496:$AP496&gt;AL496))+SUMPRODUCT(--($AL496:AL496=AL496))=2,1,IF(SUMPRODUCT(--($AL496:$AP496&gt;AM496))+SUMPRODUCT(--($AL496:AM496=AM496))=2,2,IF(SUMPRODUCT(--($AL496:$AP496&gt;AN496))+SUMPRODUCT(--($AL496:AN496=AN496))=2,3,IF(SUMPRODUCT(--($AL496:$AP496&gt;AO496))+SUMPRODUCT(--($AL496:AO496=AO496))=2,4,5)))),"")</f>
        <v/>
      </c>
      <c r="AS496" s="59" t="str">
        <f aca="false">IF($AJ496=Constants!$B$7,IF(SUMPRODUCT(--($AL496:$AP496&gt;AL496))+SUMPRODUCT(--($AL496:AL496=AL496))=3,1,IF(SUMPRODUCT(--($AL496:$AP496&gt;AM496))+SUMPRODUCT(--($AL496:AM496=AM496))=3,2,IF(SUMPRODUCT(--($AL496:$AP496&gt;AN496))+SUMPRODUCT(--($AL496:AN496=AN496))=3,3,IF(SUMPRODUCT(--($AL496:$AP496&gt;AO496))+SUMPRODUCT(--($AL496:AO496=AO496))=3,4,5)))),"")</f>
        <v/>
      </c>
      <c r="AT496" s="59" t="str">
        <f aca="false">IF($AJ496=Constants!$B$7,LARGE(AL496:AP496,1)+LARGE(AL496:AP496,2)+LARGE(AL496:AP496,3),"")</f>
        <v/>
      </c>
      <c r="AU496" s="59" t="str">
        <f aca="false">IF(ISBLANK($C496),"",IF($AJ496&lt;&gt;Constants!$B$7,$AJ496,AT496*W496))</f>
        <v/>
      </c>
      <c r="AV496" s="59" t="str">
        <f aca="false">IF(ISBLANK($C496),"",IF($AJ496=Constants!$B$7,IF(ISNUMBER(AU496),RANK(AU496,$AU$8:$AU$507),Constants!$B$14),$AJ496))</f>
        <v/>
      </c>
      <c r="AW496" s="59" t="str">
        <f aca="false">IF(ISBLANK($C496),"",IF($AJ496=Constants!$B$7,IF(ISNUMBER(AV496),COUNTIFS($AK$8:$AK$507,"&lt;"&amp;$AK496)+COUNTIFS($AK$8:$AK$507,$AK496,$AV$8:$AV$507,"&lt;"&amp;$AV496)+1,Constants!$B$14),$AJ496))</f>
        <v/>
      </c>
      <c r="AX496" s="59" t="str">
        <f aca="false">IF(ISBLANK($C496),"",IF($AJ496=Constants!$B$7,LARGE(AL496:AP496,4)*W496,""))</f>
        <v/>
      </c>
      <c r="AY496" s="59" t="str">
        <f aca="false">IF(ISBLANK($C496),"",IF($AJ496=Constants!$B$7,RANK(AX496,$AX$8:$AX$507),$AJ496))</f>
        <v/>
      </c>
      <c r="AZ496" s="59" t="str">
        <f aca="false">IF(ISBLANK($C496),"",IF($AJ496=Constants!$B$7,IF(ISNUMBER(AV496),COUNTIFS($AK$8:$AK$507,"&lt;"&amp;$AK496)+COUNTIFS($AK$8:$AK$507,$AK496,$AV$8:$AV$507,"&lt;"&amp;$AV496)+COUNTIFS($AK$8:$AK$507,$AK496,$AV$8:$AV$507,$AV496,$AY$8:$AY$507,"&lt;"&amp;$AY496)+1,Constants!$B$14),$AJ496))</f>
        <v/>
      </c>
      <c r="BA496" s="59" t="str">
        <f aca="false">IF(ISBLANK($C496),"",IF($AJ496=Constants!$B$7,IF(ISNUMBER(AW496),AW496-AZ496,Constants!$B$14),$AJ496))</f>
        <v/>
      </c>
      <c r="BB496" s="61"/>
      <c r="BC496" s="62" t="str">
        <f aca="false">IF(ISBLANK($C496),"",IF($AJ496&lt;&gt;Constants!$B$7,$AJ496,SMALL(AQ496:AS496,1)&amp;", "&amp;SMALL(AQ496:AS496,2)&amp;", "&amp;SMALL(AQ496:AS496,3)))</f>
        <v/>
      </c>
      <c r="BD496" s="63" t="str">
        <f aca="false">IF(ISBLANK($C496),"",IF($AJ496&lt;&gt;Constants!$B$7,$AJ496,W496))</f>
        <v/>
      </c>
      <c r="BE496" s="64" t="str">
        <f aca="false">IF(ISBLANK($C496),"",IF($AJ496&lt;&gt;Constants!$B$7,$AJ496,AU496))</f>
        <v/>
      </c>
      <c r="BF496" s="65" t="str">
        <f aca="false">IF(ISBLANK($C496),"",IF($AJ496&lt;&gt;Constants!$B$7,$AJ496,AK496))</f>
        <v/>
      </c>
      <c r="BG496" s="63" t="str">
        <f aca="false">IF(ISBLANK($C496),"",BA496)</f>
        <v/>
      </c>
      <c r="BH496" s="63" t="str">
        <f aca="false">IF(ISBLANK($C496),"",AZ496)</f>
        <v/>
      </c>
      <c r="BI496" s="66" t="str">
        <f aca="false">IF(ISBLANK($C496),"",IF(BH496=Constants!$B$4,COUNTA($C$8:$C$507)+2,IF(BH496=Constants!$B$5,COUNTA($C$8:$C$507)+1,IF(BH496=Constants!$B$6,COUNTA($C$8:$C$507),BH496))))</f>
        <v/>
      </c>
      <c r="BJ496" s="5"/>
      <c r="BK496" s="67" t="n">
        <f aca="false">IF(OR(ISNUMBER(BH496),BH496=Constants!$B$4,BH496=Constants!$B$6,BH496=Constants!$B$5),1,0)</f>
        <v>0</v>
      </c>
      <c r="BL496" s="67" t="n">
        <v>489</v>
      </c>
      <c r="BM496" s="67" t="str">
        <f aca="false">IF(ISBLANK($C496),"",IF(ISNUMBER(BI496),BI496+ROW($B496)/1000,""))</f>
        <v/>
      </c>
      <c r="BN496" s="67" t="str">
        <f aca="false">IF(ISNUMBER(BM496),RANK(BM496,$BM$8:$BM$507,1),"")</f>
        <v/>
      </c>
      <c r="BO496" s="67" t="str">
        <f aca="false">IF(ISBLANK($C496),"",$B496)</f>
        <v/>
      </c>
      <c r="BP496" s="67" t="str">
        <f aca="false">IF(ISBLANK($C496),"",$C496)</f>
        <v/>
      </c>
      <c r="BQ496" s="67" t="str">
        <f aca="false">IF(ISBLANK($C496),"",$D496)</f>
        <v/>
      </c>
      <c r="BR496" s="68" t="str">
        <f aca="false">BF496</f>
        <v/>
      </c>
      <c r="BS496" s="69" t="str">
        <f aca="false">BE496</f>
        <v/>
      </c>
      <c r="BT496" s="67" t="str">
        <f aca="false">IF(ISBLANK($C496),"",BH496)</f>
        <v/>
      </c>
      <c r="BU496" s="70" t="str">
        <f aca="false">IF($BL496&gt;$BK$7,"",VLOOKUP($BL496,$BN$8:$BT$507,7,FALSE()))</f>
        <v/>
      </c>
      <c r="BV496" s="71" t="str">
        <f aca="false">IF($BL496&gt;$BK$7,"",VLOOKUP($BL496,$BN$8:$BT$507,2,FALSE()))</f>
        <v/>
      </c>
      <c r="BW496" s="71" t="str">
        <f aca="false">IF($BL496&gt;$BK$7,"",VLOOKUP($BL496,$BN$8:$BT$507,3,FALSE()))</f>
        <v/>
      </c>
      <c r="BX496" s="71" t="str">
        <f aca="false">IF($BL496&gt;$BK$7,"",VLOOKUP($BL496,$BN$8:$BT$507,4,FALSE()))</f>
        <v/>
      </c>
      <c r="BY496" s="71" t="str">
        <f aca="false">IF($BL496&gt;$BK$7,"",VLOOKUP($BL496,$BN$8:$BT$507,5,FALSE()))</f>
        <v/>
      </c>
      <c r="BZ496" s="72" t="str">
        <f aca="false">IF($BL496&gt;$BK$7,"",VLOOKUP($BL496,$BN$8:$BT$507,6,FALSE()))</f>
        <v/>
      </c>
      <c r="CA496" s="48"/>
    </row>
    <row r="497" customFormat="false" ht="15.75" hidden="false" customHeight="false" outlineLevel="0" collapsed="false">
      <c r="A497" s="5"/>
      <c r="B497" s="114"/>
      <c r="C497" s="115"/>
      <c r="D497" s="100"/>
      <c r="E497" s="120"/>
      <c r="F497" s="125"/>
      <c r="G497" s="82"/>
      <c r="H497" s="126"/>
      <c r="I497" s="127"/>
      <c r="J497" s="82"/>
      <c r="K497" s="126"/>
      <c r="L497" s="82"/>
      <c r="M497" s="126"/>
      <c r="N497" s="82"/>
      <c r="O497" s="126"/>
      <c r="P497" s="82"/>
      <c r="Q497" s="126"/>
      <c r="R497" s="82"/>
      <c r="S497" s="120"/>
      <c r="T497" s="86"/>
      <c r="U497" s="87" t="str">
        <f aca="false">IF(ISBLANK($C497),"",IF(E497=Constants!$B$2, TRUE(), IF(E497=Constants!$B$3, FALSE(), TRUE())))</f>
        <v/>
      </c>
      <c r="V497" s="87" t="str">
        <f aca="false">IF(ISBLANK($C497),"",IF(F497=Constants!$B$2, TRUE(), IF(F497=Constants!$B$3, FALSE(), TRUE())))</f>
        <v/>
      </c>
      <c r="W497" s="87" t="str">
        <f aca="false">IF(ISBLANK($C497),"",IF(G497=Constants!$B$15,Constants!$B$8,IF(G497=Constants!$B$16,Constants!$B$9,Constants!$B$10)))</f>
        <v/>
      </c>
      <c r="X497" s="87" t="str">
        <f aca="false">IF(ISBLANK($C497),"",IF(H497=Constants!$B$2, TRUE(), IF(H497=Constants!$B$3, FALSE(), TRUE())))</f>
        <v/>
      </c>
      <c r="Y497" s="87" t="str">
        <f aca="false">IF(ISBLANK($C497),"",IF(I497=Constants!$B$19,Constants!$B$19,Constants!$B$18))</f>
        <v/>
      </c>
      <c r="Z497" s="87" t="str">
        <f aca="false">IF(ISBLANK($C497),"",IF(ISNUMBER(J497),IF(J497&gt;=0,J497,""),""))</f>
        <v/>
      </c>
      <c r="AA497" s="87" t="str">
        <f aca="false">IF(ISBLANK($C497),"",IF(K497=Constants!$B$19,Constants!$B$19,Constants!$B$18))</f>
        <v/>
      </c>
      <c r="AB497" s="87" t="str">
        <f aca="false">IF(ISBLANK($C497),"",IF(ISNUMBER(L497),IF(L497&gt;=0,L497,""),""))</f>
        <v/>
      </c>
      <c r="AC497" s="87" t="str">
        <f aca="false">IF(ISBLANK($C497),"",IF(M497=Constants!$B$19,Constants!$B$19,Constants!$B$18))</f>
        <v/>
      </c>
      <c r="AD497" s="87" t="str">
        <f aca="false">IF(ISBLANK($C497),"",IF(ISNUMBER(N497),IF(N497&gt;=0,N497,""),""))</f>
        <v/>
      </c>
      <c r="AE497" s="87" t="str">
        <f aca="false">IF(ISBLANK($C497),"",IF(O497=Constants!$B$19,Constants!$B$19,Constants!$B$18))</f>
        <v/>
      </c>
      <c r="AF497" s="87" t="str">
        <f aca="false">IF(ISBLANK($C497),"",IF(ISNUMBER(P497),IF(P497&gt;=0,P497,""),""))</f>
        <v/>
      </c>
      <c r="AG497" s="87" t="str">
        <f aca="false">IF(ISBLANK($C497),"",IF(Q497=Constants!$B$19,Constants!$B$19,Constants!$B$18))</f>
        <v/>
      </c>
      <c r="AH497" s="87" t="str">
        <f aca="false">IF(ISBLANK($C497),"",IF(ISNUMBER(R497),IF(R497&gt;=0,R497,""),""))</f>
        <v/>
      </c>
      <c r="AI497" s="87" t="str">
        <f aca="false">IF(ISBLANK($C497),"",IF(S497=Constants!$B$2, TRUE(), IF(S497=Constants!$B$3, FALSE(), FALSE())))</f>
        <v/>
      </c>
      <c r="AJ497" s="87" t="str">
        <f aca="false">IF(ISBLANK($C497),"",IF(AI497,Constants!$B$4,IF(COUNTA(E497:R497)=0,Constants!$B$5,IF(COUNTA(J497,L497,N497,P497,R497)=0,Constants!$B$6,Constants!$B$7))))</f>
        <v/>
      </c>
      <c r="AK497" s="87" t="str">
        <f aca="false">IF(ISBLANK($C497),"",IF($AJ497&lt;&gt;Constants!$B$7,$AJ497,IF(OR(NOT(X497),AND(NOT(U497),COUNTIFS(Y497:AG497,Constants!$B$18,Z497:AH497,"&gt;=0")&gt;0),AND(NOT(V497),COUNTIFS(Y497:AG497,Constants!$B$19,Z497:AH497,"&gt;=0")&gt;0)),Constants!$B$12,Constants!$B$11)))</f>
        <v/>
      </c>
      <c r="AL497" s="87" t="str">
        <f aca="false">IF($AJ497=Constants!$B$7,IF(Z497="",Constants!$B$13,Z497),"")</f>
        <v/>
      </c>
      <c r="AM497" s="87" t="str">
        <f aca="false">IF($AJ497=Constants!$B$7,IF(AB497="",Constants!$B$13,AB497),"")</f>
        <v/>
      </c>
      <c r="AN497" s="87" t="str">
        <f aca="false">IF($AJ497=Constants!$B$7,IF(AD497="",Constants!$B$13,AD497),"")</f>
        <v/>
      </c>
      <c r="AO497" s="87" t="str">
        <f aca="false">IF($AJ497=Constants!$B$7,IF(AF497="",Constants!$B$13,AF497),"")</f>
        <v/>
      </c>
      <c r="AP497" s="87" t="str">
        <f aca="false">IF($AJ497=Constants!$B$7,IF(AH497="",Constants!$B$13,AH497),"")</f>
        <v/>
      </c>
      <c r="AQ497" s="87" t="str">
        <f aca="false">IF($AJ497=Constants!$B$7,IF(SUMPRODUCT(--($AL497:$AP497&gt;AL497))+SUMPRODUCT(--($AL497:AL497=AL497))=1,1,IF(SUMPRODUCT(--($AL497:$AP497&gt;AM497))+SUMPRODUCT(--($AL497:AM497=AM497))=1,2,IF(SUMPRODUCT(--($AL497:$AP497&gt;AN497))+SUMPRODUCT(--($AL497:AN497=AN497))=1,3,IF(SUMPRODUCT(--($AL497:$AP497&gt;AO497))+SUMPRODUCT(--($AL497:AO497=AO497))=1,4,5)))),"")</f>
        <v/>
      </c>
      <c r="AR497" s="87" t="str">
        <f aca="false">IF($AJ497=Constants!$B$7,IF(SUMPRODUCT(--($AL497:$AP497&gt;AL497))+SUMPRODUCT(--($AL497:AL497=AL497))=2,1,IF(SUMPRODUCT(--($AL497:$AP497&gt;AM497))+SUMPRODUCT(--($AL497:AM497=AM497))=2,2,IF(SUMPRODUCT(--($AL497:$AP497&gt;AN497))+SUMPRODUCT(--($AL497:AN497=AN497))=2,3,IF(SUMPRODUCT(--($AL497:$AP497&gt;AO497))+SUMPRODUCT(--($AL497:AO497=AO497))=2,4,5)))),"")</f>
        <v/>
      </c>
      <c r="AS497" s="87" t="str">
        <f aca="false">IF($AJ497=Constants!$B$7,IF(SUMPRODUCT(--($AL497:$AP497&gt;AL497))+SUMPRODUCT(--($AL497:AL497=AL497))=3,1,IF(SUMPRODUCT(--($AL497:$AP497&gt;AM497))+SUMPRODUCT(--($AL497:AM497=AM497))=3,2,IF(SUMPRODUCT(--($AL497:$AP497&gt;AN497))+SUMPRODUCT(--($AL497:AN497=AN497))=3,3,IF(SUMPRODUCT(--($AL497:$AP497&gt;AO497))+SUMPRODUCT(--($AL497:AO497=AO497))=3,4,5)))),"")</f>
        <v/>
      </c>
      <c r="AT497" s="87" t="str">
        <f aca="false">IF($AJ497=Constants!$B$7,LARGE(AL497:AP497,1)+LARGE(AL497:AP497,2)+LARGE(AL497:AP497,3),"")</f>
        <v/>
      </c>
      <c r="AU497" s="87" t="str">
        <f aca="false">IF(ISBLANK($C497),"",IF($AJ497&lt;&gt;Constants!$B$7,$AJ497,AT497*W497))</f>
        <v/>
      </c>
      <c r="AV497" s="87" t="str">
        <f aca="false">IF(ISBLANK($C497),"",IF($AJ497=Constants!$B$7,IF(ISNUMBER(AU497),RANK(AU497,$AU$8:$AU$507),Constants!$B$14),$AJ497))</f>
        <v/>
      </c>
      <c r="AW497" s="87" t="str">
        <f aca="false">IF(ISBLANK($C497),"",IF($AJ497=Constants!$B$7,IF(ISNUMBER(AV497),COUNTIFS($AK$8:$AK$507,"&lt;"&amp;$AK497)+COUNTIFS($AK$8:$AK$507,$AK497,$AV$8:$AV$507,"&lt;"&amp;$AV497)+1,Constants!$B$14),$AJ497))</f>
        <v/>
      </c>
      <c r="AX497" s="87" t="str">
        <f aca="false">IF(ISBLANK($C497),"",IF($AJ497=Constants!$B$7,LARGE(AL497:AP497,4)*W497,""))</f>
        <v/>
      </c>
      <c r="AY497" s="87" t="str">
        <f aca="false">IF(ISBLANK($C497),"",IF($AJ497=Constants!$B$7,RANK(AX497,$AX$8:$AX$507),$AJ497))</f>
        <v/>
      </c>
      <c r="AZ497" s="87" t="str">
        <f aca="false">IF(ISBLANK($C497),"",IF($AJ497=Constants!$B$7,IF(ISNUMBER(AV497),COUNTIFS($AK$8:$AK$507,"&lt;"&amp;$AK497)+COUNTIFS($AK$8:$AK$507,$AK497,$AV$8:$AV$507,"&lt;"&amp;$AV497)+COUNTIFS($AK$8:$AK$507,$AK497,$AV$8:$AV$507,$AV497,$AY$8:$AY$507,"&lt;"&amp;$AY497)+1,Constants!$B$14),$AJ497))</f>
        <v/>
      </c>
      <c r="BA497" s="87" t="str">
        <f aca="false">IF(ISBLANK($C497),"",IF($AJ497=Constants!$B$7,IF(ISNUMBER(AW497),AW497-AZ497,Constants!$B$14),$AJ497))</f>
        <v/>
      </c>
      <c r="BB497" s="88"/>
      <c r="BC497" s="89" t="str">
        <f aca="false">IF(ISBLANK($C497),"",IF($AJ497&lt;&gt;Constants!$B$7,$AJ497,SMALL(AQ497:AS497,1)&amp;", "&amp;SMALL(AQ497:AS497,2)&amp;", "&amp;SMALL(AQ497:AS497,3)))</f>
        <v/>
      </c>
      <c r="BD497" s="90" t="str">
        <f aca="false">IF(ISBLANK($C497),"",IF($AJ497&lt;&gt;Constants!$B$7,$AJ497,W497))</f>
        <v/>
      </c>
      <c r="BE497" s="91" t="str">
        <f aca="false">IF(ISBLANK($C497),"",IF($AJ497&lt;&gt;Constants!$B$7,$AJ497,AU497))</f>
        <v/>
      </c>
      <c r="BF497" s="92" t="str">
        <f aca="false">IF(ISBLANK($C497),"",IF($AJ497&lt;&gt;Constants!$B$7,$AJ497,AK497))</f>
        <v/>
      </c>
      <c r="BG497" s="90" t="str">
        <f aca="false">IF(ISBLANK($C497),"",BA497)</f>
        <v/>
      </c>
      <c r="BH497" s="90" t="str">
        <f aca="false">IF(ISBLANK($C497),"",AZ497)</f>
        <v/>
      </c>
      <c r="BI497" s="93" t="str">
        <f aca="false">IF(ISBLANK($C497),"",IF(BH497=Constants!$B$4,COUNTA($C$8:$C$507)+2,IF(BH497=Constants!$B$5,COUNTA($C$8:$C$507)+1,IF(BH497=Constants!$B$6,COUNTA($C$8:$C$507),BH497))))</f>
        <v/>
      </c>
      <c r="BJ497" s="5"/>
      <c r="BK497" s="94" t="n">
        <f aca="false">IF(OR(ISNUMBER(BH497),BH497=Constants!$B$4,BH497=Constants!$B$6,BH497=Constants!$B$5),1,0)</f>
        <v>0</v>
      </c>
      <c r="BL497" s="94" t="n">
        <v>490</v>
      </c>
      <c r="BM497" s="94" t="str">
        <f aca="false">IF(ISBLANK($C497),"",IF(ISNUMBER(BI497),BI497+ROW($B497)/1000,""))</f>
        <v/>
      </c>
      <c r="BN497" s="94" t="str">
        <f aca="false">IF(ISNUMBER(BM497),RANK(BM497,$BM$8:$BM$507,1),"")</f>
        <v/>
      </c>
      <c r="BO497" s="94" t="str">
        <f aca="false">IF(ISBLANK($C497),"",$B497)</f>
        <v/>
      </c>
      <c r="BP497" s="94" t="str">
        <f aca="false">IF(ISBLANK($C497),"",$C497)</f>
        <v/>
      </c>
      <c r="BQ497" s="94" t="str">
        <f aca="false">IF(ISBLANK($C497),"",$D497)</f>
        <v/>
      </c>
      <c r="BR497" s="95" t="str">
        <f aca="false">BF497</f>
        <v/>
      </c>
      <c r="BS497" s="96" t="str">
        <f aca="false">BE497</f>
        <v/>
      </c>
      <c r="BT497" s="94" t="str">
        <f aca="false">IF(ISBLANK($C497),"",BH497)</f>
        <v/>
      </c>
      <c r="BU497" s="97" t="str">
        <f aca="false">IF($BL497&gt;$BK$7,"",VLOOKUP($BL497,$BN$8:$BT$507,7,FALSE()))</f>
        <v/>
      </c>
      <c r="BV497" s="98" t="str">
        <f aca="false">IF($BL497&gt;$BK$7,"",VLOOKUP($BL497,$BN$8:$BT$507,2,FALSE()))</f>
        <v/>
      </c>
      <c r="BW497" s="98" t="str">
        <f aca="false">IF($BL497&gt;$BK$7,"",VLOOKUP($BL497,$BN$8:$BT$507,3,FALSE()))</f>
        <v/>
      </c>
      <c r="BX497" s="98" t="str">
        <f aca="false">IF($BL497&gt;$BK$7,"",VLOOKUP($BL497,$BN$8:$BT$507,4,FALSE()))</f>
        <v/>
      </c>
      <c r="BY497" s="98" t="str">
        <f aca="false">IF($BL497&gt;$BK$7,"",VLOOKUP($BL497,$BN$8:$BT$507,5,FALSE()))</f>
        <v/>
      </c>
      <c r="BZ497" s="99" t="str">
        <f aca="false">IF($BL497&gt;$BK$7,"",VLOOKUP($BL497,$BN$8:$BT$507,6,FALSE()))</f>
        <v/>
      </c>
      <c r="CA497" s="48"/>
    </row>
    <row r="498" customFormat="false" ht="15.75" hidden="false" customHeight="false" outlineLevel="0" collapsed="false">
      <c r="A498" s="5"/>
      <c r="B498" s="114"/>
      <c r="C498" s="115"/>
      <c r="D498" s="100"/>
      <c r="E498" s="120"/>
      <c r="F498" s="125"/>
      <c r="G498" s="82"/>
      <c r="H498" s="126"/>
      <c r="I498" s="127"/>
      <c r="J498" s="82"/>
      <c r="K498" s="126"/>
      <c r="L498" s="82"/>
      <c r="M498" s="126"/>
      <c r="N498" s="82"/>
      <c r="O498" s="126"/>
      <c r="P498" s="82"/>
      <c r="Q498" s="126"/>
      <c r="R498" s="82"/>
      <c r="S498" s="120"/>
      <c r="T498" s="86"/>
      <c r="U498" s="87" t="str">
        <f aca="false">IF(ISBLANK($C498),"",IF(E498=Constants!$B$2, TRUE(), IF(E498=Constants!$B$3, FALSE(), TRUE())))</f>
        <v/>
      </c>
      <c r="V498" s="87" t="str">
        <f aca="false">IF(ISBLANK($C498),"",IF(F498=Constants!$B$2, TRUE(), IF(F498=Constants!$B$3, FALSE(), TRUE())))</f>
        <v/>
      </c>
      <c r="W498" s="87" t="str">
        <f aca="false">IF(ISBLANK($C498),"",IF(G498=Constants!$B$15,Constants!$B$8,IF(G498=Constants!$B$16,Constants!$B$9,Constants!$B$10)))</f>
        <v/>
      </c>
      <c r="X498" s="87" t="str">
        <f aca="false">IF(ISBLANK($C498),"",IF(H498=Constants!$B$2, TRUE(), IF(H498=Constants!$B$3, FALSE(), TRUE())))</f>
        <v/>
      </c>
      <c r="Y498" s="87" t="str">
        <f aca="false">IF(ISBLANK($C498),"",IF(I498=Constants!$B$19,Constants!$B$19,Constants!$B$18))</f>
        <v/>
      </c>
      <c r="Z498" s="87" t="str">
        <f aca="false">IF(ISBLANK($C498),"",IF(ISNUMBER(J498),IF(J498&gt;=0,J498,""),""))</f>
        <v/>
      </c>
      <c r="AA498" s="87" t="str">
        <f aca="false">IF(ISBLANK($C498),"",IF(K498=Constants!$B$19,Constants!$B$19,Constants!$B$18))</f>
        <v/>
      </c>
      <c r="AB498" s="87" t="str">
        <f aca="false">IF(ISBLANK($C498),"",IF(ISNUMBER(L498),IF(L498&gt;=0,L498,""),""))</f>
        <v/>
      </c>
      <c r="AC498" s="87" t="str">
        <f aca="false">IF(ISBLANK($C498),"",IF(M498=Constants!$B$19,Constants!$B$19,Constants!$B$18))</f>
        <v/>
      </c>
      <c r="AD498" s="87" t="str">
        <f aca="false">IF(ISBLANK($C498),"",IF(ISNUMBER(N498),IF(N498&gt;=0,N498,""),""))</f>
        <v/>
      </c>
      <c r="AE498" s="87" t="str">
        <f aca="false">IF(ISBLANK($C498),"",IF(O498=Constants!$B$19,Constants!$B$19,Constants!$B$18))</f>
        <v/>
      </c>
      <c r="AF498" s="87" t="str">
        <f aca="false">IF(ISBLANK($C498),"",IF(ISNUMBER(P498),IF(P498&gt;=0,P498,""),""))</f>
        <v/>
      </c>
      <c r="AG498" s="87" t="str">
        <f aca="false">IF(ISBLANK($C498),"",IF(Q498=Constants!$B$19,Constants!$B$19,Constants!$B$18))</f>
        <v/>
      </c>
      <c r="AH498" s="87" t="str">
        <f aca="false">IF(ISBLANK($C498),"",IF(ISNUMBER(R498),IF(R498&gt;=0,R498,""),""))</f>
        <v/>
      </c>
      <c r="AI498" s="87" t="str">
        <f aca="false">IF(ISBLANK($C498),"",IF(S498=Constants!$B$2, TRUE(), IF(S498=Constants!$B$3, FALSE(), FALSE())))</f>
        <v/>
      </c>
      <c r="AJ498" s="87" t="str">
        <f aca="false">IF(ISBLANK($C498),"",IF(AI498,Constants!$B$4,IF(COUNTA(E498:R498)=0,Constants!$B$5,IF(COUNTA(J498,L498,N498,P498,R498)=0,Constants!$B$6,Constants!$B$7))))</f>
        <v/>
      </c>
      <c r="AK498" s="87" t="str">
        <f aca="false">IF(ISBLANK($C498),"",IF($AJ498&lt;&gt;Constants!$B$7,$AJ498,IF(OR(NOT(X498),AND(NOT(U498),COUNTIFS(Y498:AG498,Constants!$B$18,Z498:AH498,"&gt;=0")&gt;0),AND(NOT(V498),COUNTIFS(Y498:AG498,Constants!$B$19,Z498:AH498,"&gt;=0")&gt;0)),Constants!$B$12,Constants!$B$11)))</f>
        <v/>
      </c>
      <c r="AL498" s="87" t="str">
        <f aca="false">IF($AJ498=Constants!$B$7,IF(Z498="",Constants!$B$13,Z498),"")</f>
        <v/>
      </c>
      <c r="AM498" s="87" t="str">
        <f aca="false">IF($AJ498=Constants!$B$7,IF(AB498="",Constants!$B$13,AB498),"")</f>
        <v/>
      </c>
      <c r="AN498" s="87" t="str">
        <f aca="false">IF($AJ498=Constants!$B$7,IF(AD498="",Constants!$B$13,AD498),"")</f>
        <v/>
      </c>
      <c r="AO498" s="87" t="str">
        <f aca="false">IF($AJ498=Constants!$B$7,IF(AF498="",Constants!$B$13,AF498),"")</f>
        <v/>
      </c>
      <c r="AP498" s="87" t="str">
        <f aca="false">IF($AJ498=Constants!$B$7,IF(AH498="",Constants!$B$13,AH498),"")</f>
        <v/>
      </c>
      <c r="AQ498" s="87" t="str">
        <f aca="false">IF($AJ498=Constants!$B$7,IF(SUMPRODUCT(--($AL498:$AP498&gt;AL498))+SUMPRODUCT(--($AL498:AL498=AL498))=1,1,IF(SUMPRODUCT(--($AL498:$AP498&gt;AM498))+SUMPRODUCT(--($AL498:AM498=AM498))=1,2,IF(SUMPRODUCT(--($AL498:$AP498&gt;AN498))+SUMPRODUCT(--($AL498:AN498=AN498))=1,3,IF(SUMPRODUCT(--($AL498:$AP498&gt;AO498))+SUMPRODUCT(--($AL498:AO498=AO498))=1,4,5)))),"")</f>
        <v/>
      </c>
      <c r="AR498" s="87" t="str">
        <f aca="false">IF($AJ498=Constants!$B$7,IF(SUMPRODUCT(--($AL498:$AP498&gt;AL498))+SUMPRODUCT(--($AL498:AL498=AL498))=2,1,IF(SUMPRODUCT(--($AL498:$AP498&gt;AM498))+SUMPRODUCT(--($AL498:AM498=AM498))=2,2,IF(SUMPRODUCT(--($AL498:$AP498&gt;AN498))+SUMPRODUCT(--($AL498:AN498=AN498))=2,3,IF(SUMPRODUCT(--($AL498:$AP498&gt;AO498))+SUMPRODUCT(--($AL498:AO498=AO498))=2,4,5)))),"")</f>
        <v/>
      </c>
      <c r="AS498" s="87" t="str">
        <f aca="false">IF($AJ498=Constants!$B$7,IF(SUMPRODUCT(--($AL498:$AP498&gt;AL498))+SUMPRODUCT(--($AL498:AL498=AL498))=3,1,IF(SUMPRODUCT(--($AL498:$AP498&gt;AM498))+SUMPRODUCT(--($AL498:AM498=AM498))=3,2,IF(SUMPRODUCT(--($AL498:$AP498&gt;AN498))+SUMPRODUCT(--($AL498:AN498=AN498))=3,3,IF(SUMPRODUCT(--($AL498:$AP498&gt;AO498))+SUMPRODUCT(--($AL498:AO498=AO498))=3,4,5)))),"")</f>
        <v/>
      </c>
      <c r="AT498" s="87" t="str">
        <f aca="false">IF($AJ498=Constants!$B$7,LARGE(AL498:AP498,1)+LARGE(AL498:AP498,2)+LARGE(AL498:AP498,3),"")</f>
        <v/>
      </c>
      <c r="AU498" s="87" t="str">
        <f aca="false">IF(ISBLANK($C498),"",IF($AJ498&lt;&gt;Constants!$B$7,$AJ498,AT498*W498))</f>
        <v/>
      </c>
      <c r="AV498" s="87" t="str">
        <f aca="false">IF(ISBLANK($C498),"",IF($AJ498=Constants!$B$7,IF(ISNUMBER(AU498),RANK(AU498,$AU$8:$AU$507),Constants!$B$14),$AJ498))</f>
        <v/>
      </c>
      <c r="AW498" s="87" t="str">
        <f aca="false">IF(ISBLANK($C498),"",IF($AJ498=Constants!$B$7,IF(ISNUMBER(AV498),COUNTIFS($AK$8:$AK$507,"&lt;"&amp;$AK498)+COUNTIFS($AK$8:$AK$507,$AK498,$AV$8:$AV$507,"&lt;"&amp;$AV498)+1,Constants!$B$14),$AJ498))</f>
        <v/>
      </c>
      <c r="AX498" s="87" t="str">
        <f aca="false">IF(ISBLANK($C498),"",IF($AJ498=Constants!$B$7,LARGE(AL498:AP498,4)*W498,""))</f>
        <v/>
      </c>
      <c r="AY498" s="87" t="str">
        <f aca="false">IF(ISBLANK($C498),"",IF($AJ498=Constants!$B$7,RANK(AX498,$AX$8:$AX$507),$AJ498))</f>
        <v/>
      </c>
      <c r="AZ498" s="87" t="str">
        <f aca="false">IF(ISBLANK($C498),"",IF($AJ498=Constants!$B$7,IF(ISNUMBER(AV498),COUNTIFS($AK$8:$AK$507,"&lt;"&amp;$AK498)+COUNTIFS($AK$8:$AK$507,$AK498,$AV$8:$AV$507,"&lt;"&amp;$AV498)+COUNTIFS($AK$8:$AK$507,$AK498,$AV$8:$AV$507,$AV498,$AY$8:$AY$507,"&lt;"&amp;$AY498)+1,Constants!$B$14),$AJ498))</f>
        <v/>
      </c>
      <c r="BA498" s="87" t="str">
        <f aca="false">IF(ISBLANK($C498),"",IF($AJ498=Constants!$B$7,IF(ISNUMBER(AW498),AW498-AZ498,Constants!$B$14),$AJ498))</f>
        <v/>
      </c>
      <c r="BB498" s="88"/>
      <c r="BC498" s="89" t="str">
        <f aca="false">IF(ISBLANK($C498),"",IF($AJ498&lt;&gt;Constants!$B$7,$AJ498,SMALL(AQ498:AS498,1)&amp;", "&amp;SMALL(AQ498:AS498,2)&amp;", "&amp;SMALL(AQ498:AS498,3)))</f>
        <v/>
      </c>
      <c r="BD498" s="90" t="str">
        <f aca="false">IF(ISBLANK($C498),"",IF($AJ498&lt;&gt;Constants!$B$7,$AJ498,W498))</f>
        <v/>
      </c>
      <c r="BE498" s="91" t="str">
        <f aca="false">IF(ISBLANK($C498),"",IF($AJ498&lt;&gt;Constants!$B$7,$AJ498,AU498))</f>
        <v/>
      </c>
      <c r="BF498" s="92" t="str">
        <f aca="false">IF(ISBLANK($C498),"",IF($AJ498&lt;&gt;Constants!$B$7,$AJ498,AK498))</f>
        <v/>
      </c>
      <c r="BG498" s="90" t="str">
        <f aca="false">IF(ISBLANK($C498),"",BA498)</f>
        <v/>
      </c>
      <c r="BH498" s="90" t="str">
        <f aca="false">IF(ISBLANK($C498),"",AZ498)</f>
        <v/>
      </c>
      <c r="BI498" s="93" t="str">
        <f aca="false">IF(ISBLANK($C498),"",IF(BH498=Constants!$B$4,COUNTA($C$8:$C$507)+2,IF(BH498=Constants!$B$5,COUNTA($C$8:$C$507)+1,IF(BH498=Constants!$B$6,COUNTA($C$8:$C$507),BH498))))</f>
        <v/>
      </c>
      <c r="BJ498" s="5"/>
      <c r="BK498" s="94" t="n">
        <f aca="false">IF(OR(ISNUMBER(BH498),BH498=Constants!$B$4,BH498=Constants!$B$6,BH498=Constants!$B$5),1,0)</f>
        <v>0</v>
      </c>
      <c r="BL498" s="94" t="n">
        <v>491</v>
      </c>
      <c r="BM498" s="94" t="str">
        <f aca="false">IF(ISBLANK($C498),"",IF(ISNUMBER(BI498),BI498+ROW($B498)/1000,""))</f>
        <v/>
      </c>
      <c r="BN498" s="94" t="str">
        <f aca="false">IF(ISNUMBER(BM498),RANK(BM498,$BM$8:$BM$507,1),"")</f>
        <v/>
      </c>
      <c r="BO498" s="94" t="str">
        <f aca="false">IF(ISBLANK($C498),"",$B498)</f>
        <v/>
      </c>
      <c r="BP498" s="94" t="str">
        <f aca="false">IF(ISBLANK($C498),"",$C498)</f>
        <v/>
      </c>
      <c r="BQ498" s="94" t="str">
        <f aca="false">IF(ISBLANK($C498),"",$D498)</f>
        <v/>
      </c>
      <c r="BR498" s="95" t="str">
        <f aca="false">BF498</f>
        <v/>
      </c>
      <c r="BS498" s="96" t="str">
        <f aca="false">BE498</f>
        <v/>
      </c>
      <c r="BT498" s="94" t="str">
        <f aca="false">IF(ISBLANK($C498),"",BH498)</f>
        <v/>
      </c>
      <c r="BU498" s="97" t="str">
        <f aca="false">IF($BL498&gt;$BK$7,"",VLOOKUP($BL498,$BN$8:$BT$507,7,FALSE()))</f>
        <v/>
      </c>
      <c r="BV498" s="98" t="str">
        <f aca="false">IF($BL498&gt;$BK$7,"",VLOOKUP($BL498,$BN$8:$BT$507,2,FALSE()))</f>
        <v/>
      </c>
      <c r="BW498" s="98" t="str">
        <f aca="false">IF($BL498&gt;$BK$7,"",VLOOKUP($BL498,$BN$8:$BT$507,3,FALSE()))</f>
        <v/>
      </c>
      <c r="BX498" s="98" t="str">
        <f aca="false">IF($BL498&gt;$BK$7,"",VLOOKUP($BL498,$BN$8:$BT$507,4,FALSE()))</f>
        <v/>
      </c>
      <c r="BY498" s="98" t="str">
        <f aca="false">IF($BL498&gt;$BK$7,"",VLOOKUP($BL498,$BN$8:$BT$507,5,FALSE()))</f>
        <v/>
      </c>
      <c r="BZ498" s="99" t="str">
        <f aca="false">IF($BL498&gt;$BK$7,"",VLOOKUP($BL498,$BN$8:$BT$507,6,FALSE()))</f>
        <v/>
      </c>
      <c r="CA498" s="48"/>
    </row>
    <row r="499" customFormat="false" ht="15.75" hidden="false" customHeight="false" outlineLevel="0" collapsed="false">
      <c r="A499" s="5"/>
      <c r="B499" s="114"/>
      <c r="C499" s="115"/>
      <c r="D499" s="100"/>
      <c r="E499" s="120"/>
      <c r="F499" s="125"/>
      <c r="G499" s="82"/>
      <c r="H499" s="126"/>
      <c r="I499" s="127"/>
      <c r="J499" s="82"/>
      <c r="K499" s="126"/>
      <c r="L499" s="82"/>
      <c r="M499" s="126"/>
      <c r="N499" s="82"/>
      <c r="O499" s="126"/>
      <c r="P499" s="82"/>
      <c r="Q499" s="126"/>
      <c r="R499" s="82"/>
      <c r="S499" s="120"/>
      <c r="T499" s="86"/>
      <c r="U499" s="87" t="str">
        <f aca="false">IF(ISBLANK($C499),"",IF(E499=Constants!$B$2, TRUE(), IF(E499=Constants!$B$3, FALSE(), TRUE())))</f>
        <v/>
      </c>
      <c r="V499" s="87" t="str">
        <f aca="false">IF(ISBLANK($C499),"",IF(F499=Constants!$B$2, TRUE(), IF(F499=Constants!$B$3, FALSE(), TRUE())))</f>
        <v/>
      </c>
      <c r="W499" s="87" t="str">
        <f aca="false">IF(ISBLANK($C499),"",IF(G499=Constants!$B$15,Constants!$B$8,IF(G499=Constants!$B$16,Constants!$B$9,Constants!$B$10)))</f>
        <v/>
      </c>
      <c r="X499" s="87" t="str">
        <f aca="false">IF(ISBLANK($C499),"",IF(H499=Constants!$B$2, TRUE(), IF(H499=Constants!$B$3, FALSE(), TRUE())))</f>
        <v/>
      </c>
      <c r="Y499" s="87" t="str">
        <f aca="false">IF(ISBLANK($C499),"",IF(I499=Constants!$B$19,Constants!$B$19,Constants!$B$18))</f>
        <v/>
      </c>
      <c r="Z499" s="87" t="str">
        <f aca="false">IF(ISBLANK($C499),"",IF(ISNUMBER(J499),IF(J499&gt;=0,J499,""),""))</f>
        <v/>
      </c>
      <c r="AA499" s="87" t="str">
        <f aca="false">IF(ISBLANK($C499),"",IF(K499=Constants!$B$19,Constants!$B$19,Constants!$B$18))</f>
        <v/>
      </c>
      <c r="AB499" s="87" t="str">
        <f aca="false">IF(ISBLANK($C499),"",IF(ISNUMBER(L499),IF(L499&gt;=0,L499,""),""))</f>
        <v/>
      </c>
      <c r="AC499" s="87" t="str">
        <f aca="false">IF(ISBLANK($C499),"",IF(M499=Constants!$B$19,Constants!$B$19,Constants!$B$18))</f>
        <v/>
      </c>
      <c r="AD499" s="87" t="str">
        <f aca="false">IF(ISBLANK($C499),"",IF(ISNUMBER(N499),IF(N499&gt;=0,N499,""),""))</f>
        <v/>
      </c>
      <c r="AE499" s="87" t="str">
        <f aca="false">IF(ISBLANK($C499),"",IF(O499=Constants!$B$19,Constants!$B$19,Constants!$B$18))</f>
        <v/>
      </c>
      <c r="AF499" s="87" t="str">
        <f aca="false">IF(ISBLANK($C499),"",IF(ISNUMBER(P499),IF(P499&gt;=0,P499,""),""))</f>
        <v/>
      </c>
      <c r="AG499" s="87" t="str">
        <f aca="false">IF(ISBLANK($C499),"",IF(Q499=Constants!$B$19,Constants!$B$19,Constants!$B$18))</f>
        <v/>
      </c>
      <c r="AH499" s="87" t="str">
        <f aca="false">IF(ISBLANK($C499),"",IF(ISNUMBER(R499),IF(R499&gt;=0,R499,""),""))</f>
        <v/>
      </c>
      <c r="AI499" s="87" t="str">
        <f aca="false">IF(ISBLANK($C499),"",IF(S499=Constants!$B$2, TRUE(), IF(S499=Constants!$B$3, FALSE(), FALSE())))</f>
        <v/>
      </c>
      <c r="AJ499" s="87" t="str">
        <f aca="false">IF(ISBLANK($C499),"",IF(AI499,Constants!$B$4,IF(COUNTA(E499:R499)=0,Constants!$B$5,IF(COUNTA(J499,L499,N499,P499,R499)=0,Constants!$B$6,Constants!$B$7))))</f>
        <v/>
      </c>
      <c r="AK499" s="87" t="str">
        <f aca="false">IF(ISBLANK($C499),"",IF($AJ499&lt;&gt;Constants!$B$7,$AJ499,IF(OR(NOT(X499),AND(NOT(U499),COUNTIFS(Y499:AG499,Constants!$B$18,Z499:AH499,"&gt;=0")&gt;0),AND(NOT(V499),COUNTIFS(Y499:AG499,Constants!$B$19,Z499:AH499,"&gt;=0")&gt;0)),Constants!$B$12,Constants!$B$11)))</f>
        <v/>
      </c>
      <c r="AL499" s="87" t="str">
        <f aca="false">IF($AJ499=Constants!$B$7,IF(Z499="",Constants!$B$13,Z499),"")</f>
        <v/>
      </c>
      <c r="AM499" s="87" t="str">
        <f aca="false">IF($AJ499=Constants!$B$7,IF(AB499="",Constants!$B$13,AB499),"")</f>
        <v/>
      </c>
      <c r="AN499" s="87" t="str">
        <f aca="false">IF($AJ499=Constants!$B$7,IF(AD499="",Constants!$B$13,AD499),"")</f>
        <v/>
      </c>
      <c r="AO499" s="87" t="str">
        <f aca="false">IF($AJ499=Constants!$B$7,IF(AF499="",Constants!$B$13,AF499),"")</f>
        <v/>
      </c>
      <c r="AP499" s="87" t="str">
        <f aca="false">IF($AJ499=Constants!$B$7,IF(AH499="",Constants!$B$13,AH499),"")</f>
        <v/>
      </c>
      <c r="AQ499" s="87" t="str">
        <f aca="false">IF($AJ499=Constants!$B$7,IF(SUMPRODUCT(--($AL499:$AP499&gt;AL499))+SUMPRODUCT(--($AL499:AL499=AL499))=1,1,IF(SUMPRODUCT(--($AL499:$AP499&gt;AM499))+SUMPRODUCT(--($AL499:AM499=AM499))=1,2,IF(SUMPRODUCT(--($AL499:$AP499&gt;AN499))+SUMPRODUCT(--($AL499:AN499=AN499))=1,3,IF(SUMPRODUCT(--($AL499:$AP499&gt;AO499))+SUMPRODUCT(--($AL499:AO499=AO499))=1,4,5)))),"")</f>
        <v/>
      </c>
      <c r="AR499" s="87" t="str">
        <f aca="false">IF($AJ499=Constants!$B$7,IF(SUMPRODUCT(--($AL499:$AP499&gt;AL499))+SUMPRODUCT(--($AL499:AL499=AL499))=2,1,IF(SUMPRODUCT(--($AL499:$AP499&gt;AM499))+SUMPRODUCT(--($AL499:AM499=AM499))=2,2,IF(SUMPRODUCT(--($AL499:$AP499&gt;AN499))+SUMPRODUCT(--($AL499:AN499=AN499))=2,3,IF(SUMPRODUCT(--($AL499:$AP499&gt;AO499))+SUMPRODUCT(--($AL499:AO499=AO499))=2,4,5)))),"")</f>
        <v/>
      </c>
      <c r="AS499" s="87" t="str">
        <f aca="false">IF($AJ499=Constants!$B$7,IF(SUMPRODUCT(--($AL499:$AP499&gt;AL499))+SUMPRODUCT(--($AL499:AL499=AL499))=3,1,IF(SUMPRODUCT(--($AL499:$AP499&gt;AM499))+SUMPRODUCT(--($AL499:AM499=AM499))=3,2,IF(SUMPRODUCT(--($AL499:$AP499&gt;AN499))+SUMPRODUCT(--($AL499:AN499=AN499))=3,3,IF(SUMPRODUCT(--($AL499:$AP499&gt;AO499))+SUMPRODUCT(--($AL499:AO499=AO499))=3,4,5)))),"")</f>
        <v/>
      </c>
      <c r="AT499" s="87" t="str">
        <f aca="false">IF($AJ499=Constants!$B$7,LARGE(AL499:AP499,1)+LARGE(AL499:AP499,2)+LARGE(AL499:AP499,3),"")</f>
        <v/>
      </c>
      <c r="AU499" s="87" t="str">
        <f aca="false">IF(ISBLANK($C499),"",IF($AJ499&lt;&gt;Constants!$B$7,$AJ499,AT499*W499))</f>
        <v/>
      </c>
      <c r="AV499" s="87" t="str">
        <f aca="false">IF(ISBLANK($C499),"",IF($AJ499=Constants!$B$7,IF(ISNUMBER(AU499),RANK(AU499,$AU$8:$AU$507),Constants!$B$14),$AJ499))</f>
        <v/>
      </c>
      <c r="AW499" s="87" t="str">
        <f aca="false">IF(ISBLANK($C499),"",IF($AJ499=Constants!$B$7,IF(ISNUMBER(AV499),COUNTIFS($AK$8:$AK$507,"&lt;"&amp;$AK499)+COUNTIFS($AK$8:$AK$507,$AK499,$AV$8:$AV$507,"&lt;"&amp;$AV499)+1,Constants!$B$14),$AJ499))</f>
        <v/>
      </c>
      <c r="AX499" s="87" t="str">
        <f aca="false">IF(ISBLANK($C499),"",IF($AJ499=Constants!$B$7,LARGE(AL499:AP499,4)*W499,""))</f>
        <v/>
      </c>
      <c r="AY499" s="87" t="str">
        <f aca="false">IF(ISBLANK($C499),"",IF($AJ499=Constants!$B$7,RANK(AX499,$AX$8:$AX$507),$AJ499))</f>
        <v/>
      </c>
      <c r="AZ499" s="87" t="str">
        <f aca="false">IF(ISBLANK($C499),"",IF($AJ499=Constants!$B$7,IF(ISNUMBER(AV499),COUNTIFS($AK$8:$AK$507,"&lt;"&amp;$AK499)+COUNTIFS($AK$8:$AK$507,$AK499,$AV$8:$AV$507,"&lt;"&amp;$AV499)+COUNTIFS($AK$8:$AK$507,$AK499,$AV$8:$AV$507,$AV499,$AY$8:$AY$507,"&lt;"&amp;$AY499)+1,Constants!$B$14),$AJ499))</f>
        <v/>
      </c>
      <c r="BA499" s="87" t="str">
        <f aca="false">IF(ISBLANK($C499),"",IF($AJ499=Constants!$B$7,IF(ISNUMBER(AW499),AW499-AZ499,Constants!$B$14),$AJ499))</f>
        <v/>
      </c>
      <c r="BB499" s="88"/>
      <c r="BC499" s="89" t="str">
        <f aca="false">IF(ISBLANK($C499),"",IF($AJ499&lt;&gt;Constants!$B$7,$AJ499,SMALL(AQ499:AS499,1)&amp;", "&amp;SMALL(AQ499:AS499,2)&amp;", "&amp;SMALL(AQ499:AS499,3)))</f>
        <v/>
      </c>
      <c r="BD499" s="90" t="str">
        <f aca="false">IF(ISBLANK($C499),"",IF($AJ499&lt;&gt;Constants!$B$7,$AJ499,W499))</f>
        <v/>
      </c>
      <c r="BE499" s="91" t="str">
        <f aca="false">IF(ISBLANK($C499),"",IF($AJ499&lt;&gt;Constants!$B$7,$AJ499,AU499))</f>
        <v/>
      </c>
      <c r="BF499" s="92" t="str">
        <f aca="false">IF(ISBLANK($C499),"",IF($AJ499&lt;&gt;Constants!$B$7,$AJ499,AK499))</f>
        <v/>
      </c>
      <c r="BG499" s="90" t="str">
        <f aca="false">IF(ISBLANK($C499),"",BA499)</f>
        <v/>
      </c>
      <c r="BH499" s="90" t="str">
        <f aca="false">IF(ISBLANK($C499),"",AZ499)</f>
        <v/>
      </c>
      <c r="BI499" s="93" t="str">
        <f aca="false">IF(ISBLANK($C499),"",IF(BH499=Constants!$B$4,COUNTA($C$8:$C$507)+2,IF(BH499=Constants!$B$5,COUNTA($C$8:$C$507)+1,IF(BH499=Constants!$B$6,COUNTA($C$8:$C$507),BH499))))</f>
        <v/>
      </c>
      <c r="BJ499" s="5"/>
      <c r="BK499" s="94" t="n">
        <f aca="false">IF(OR(ISNUMBER(BH499),BH499=Constants!$B$4,BH499=Constants!$B$6,BH499=Constants!$B$5),1,0)</f>
        <v>0</v>
      </c>
      <c r="BL499" s="94" t="n">
        <v>492</v>
      </c>
      <c r="BM499" s="94" t="str">
        <f aca="false">IF(ISBLANK($C499),"",IF(ISNUMBER(BI499),BI499+ROW($B499)/1000,""))</f>
        <v/>
      </c>
      <c r="BN499" s="94" t="str">
        <f aca="false">IF(ISNUMBER(BM499),RANK(BM499,$BM$8:$BM$507,1),"")</f>
        <v/>
      </c>
      <c r="BO499" s="94" t="str">
        <f aca="false">IF(ISBLANK($C499),"",$B499)</f>
        <v/>
      </c>
      <c r="BP499" s="94" t="str">
        <f aca="false">IF(ISBLANK($C499),"",$C499)</f>
        <v/>
      </c>
      <c r="BQ499" s="94" t="str">
        <f aca="false">IF(ISBLANK($C499),"",$D499)</f>
        <v/>
      </c>
      <c r="BR499" s="95" t="str">
        <f aca="false">BF499</f>
        <v/>
      </c>
      <c r="BS499" s="96" t="str">
        <f aca="false">BE499</f>
        <v/>
      </c>
      <c r="BT499" s="94" t="str">
        <f aca="false">IF(ISBLANK($C499),"",BH499)</f>
        <v/>
      </c>
      <c r="BU499" s="97" t="str">
        <f aca="false">IF($BL499&gt;$BK$7,"",VLOOKUP($BL499,$BN$8:$BT$507,7,FALSE()))</f>
        <v/>
      </c>
      <c r="BV499" s="98" t="str">
        <f aca="false">IF($BL499&gt;$BK$7,"",VLOOKUP($BL499,$BN$8:$BT$507,2,FALSE()))</f>
        <v/>
      </c>
      <c r="BW499" s="98" t="str">
        <f aca="false">IF($BL499&gt;$BK$7,"",VLOOKUP($BL499,$BN$8:$BT$507,3,FALSE()))</f>
        <v/>
      </c>
      <c r="BX499" s="98" t="str">
        <f aca="false">IF($BL499&gt;$BK$7,"",VLOOKUP($BL499,$BN$8:$BT$507,4,FALSE()))</f>
        <v/>
      </c>
      <c r="BY499" s="98" t="str">
        <f aca="false">IF($BL499&gt;$BK$7,"",VLOOKUP($BL499,$BN$8:$BT$507,5,FALSE()))</f>
        <v/>
      </c>
      <c r="BZ499" s="99" t="str">
        <f aca="false">IF($BL499&gt;$BK$7,"",VLOOKUP($BL499,$BN$8:$BT$507,6,FALSE()))</f>
        <v/>
      </c>
      <c r="CA499" s="48"/>
    </row>
    <row r="500" customFormat="false" ht="15.75" hidden="false" customHeight="false" outlineLevel="0" collapsed="false">
      <c r="A500" s="5"/>
      <c r="B500" s="121"/>
      <c r="C500" s="50"/>
      <c r="D500" s="51"/>
      <c r="E500" s="74"/>
      <c r="F500" s="122"/>
      <c r="G500" s="54"/>
      <c r="H500" s="123"/>
      <c r="I500" s="124"/>
      <c r="J500" s="54"/>
      <c r="K500" s="123"/>
      <c r="L500" s="54"/>
      <c r="M500" s="123"/>
      <c r="N500" s="54"/>
      <c r="O500" s="123"/>
      <c r="P500" s="54"/>
      <c r="Q500" s="123"/>
      <c r="R500" s="54"/>
      <c r="S500" s="74"/>
      <c r="T500" s="58"/>
      <c r="U500" s="59" t="str">
        <f aca="false">IF(ISBLANK($C500),"",IF(E500=Constants!$B$2, TRUE(), IF(E500=Constants!$B$3, FALSE(), TRUE())))</f>
        <v/>
      </c>
      <c r="V500" s="59" t="str">
        <f aca="false">IF(ISBLANK($C500),"",IF(F500=Constants!$B$2, TRUE(), IF(F500=Constants!$B$3, FALSE(), TRUE())))</f>
        <v/>
      </c>
      <c r="W500" s="59" t="str">
        <f aca="false">IF(ISBLANK($C500),"",IF(G500=Constants!$B$15,Constants!$B$8,IF(G500=Constants!$B$16,Constants!$B$9,Constants!$B$10)))</f>
        <v/>
      </c>
      <c r="X500" s="59" t="str">
        <f aca="false">IF(ISBLANK($C500),"",IF(H500=Constants!$B$2, TRUE(), IF(H500=Constants!$B$3, FALSE(), TRUE())))</f>
        <v/>
      </c>
      <c r="Y500" s="59" t="str">
        <f aca="false">IF(ISBLANK($C500),"",IF(I500=Constants!$B$19,Constants!$B$19,Constants!$B$18))</f>
        <v/>
      </c>
      <c r="Z500" s="59" t="str">
        <f aca="false">IF(ISBLANK($C500),"",IF(ISNUMBER(J500),IF(J500&gt;=0,J500,""),""))</f>
        <v/>
      </c>
      <c r="AA500" s="59" t="str">
        <f aca="false">IF(ISBLANK($C500),"",IF(K500=Constants!$B$19,Constants!$B$19,Constants!$B$18))</f>
        <v/>
      </c>
      <c r="AB500" s="59" t="str">
        <f aca="false">IF(ISBLANK($C500),"",IF(ISNUMBER(L500),IF(L500&gt;=0,L500,""),""))</f>
        <v/>
      </c>
      <c r="AC500" s="59" t="str">
        <f aca="false">IF(ISBLANK($C500),"",IF(M500=Constants!$B$19,Constants!$B$19,Constants!$B$18))</f>
        <v/>
      </c>
      <c r="AD500" s="59" t="str">
        <f aca="false">IF(ISBLANK($C500),"",IF(ISNUMBER(N500),IF(N500&gt;=0,N500,""),""))</f>
        <v/>
      </c>
      <c r="AE500" s="59" t="str">
        <f aca="false">IF(ISBLANK($C500),"",IF(O500=Constants!$B$19,Constants!$B$19,Constants!$B$18))</f>
        <v/>
      </c>
      <c r="AF500" s="59" t="str">
        <f aca="false">IF(ISBLANK($C500),"",IF(ISNUMBER(P500),IF(P500&gt;=0,P500,""),""))</f>
        <v/>
      </c>
      <c r="AG500" s="59" t="str">
        <f aca="false">IF(ISBLANK($C500),"",IF(Q500=Constants!$B$19,Constants!$B$19,Constants!$B$18))</f>
        <v/>
      </c>
      <c r="AH500" s="59" t="str">
        <f aca="false">IF(ISBLANK($C500),"",IF(ISNUMBER(R500),IF(R500&gt;=0,R500,""),""))</f>
        <v/>
      </c>
      <c r="AI500" s="59" t="str">
        <f aca="false">IF(ISBLANK($C500),"",IF(S500=Constants!$B$2, TRUE(), IF(S500=Constants!$B$3, FALSE(), FALSE())))</f>
        <v/>
      </c>
      <c r="AJ500" s="59" t="str">
        <f aca="false">IF(ISBLANK($C500),"",IF(AI500,Constants!$B$4,IF(COUNTA(E500:R500)=0,Constants!$B$5,IF(COUNTA(J500,L500,N500,P500,R500)=0,Constants!$B$6,Constants!$B$7))))</f>
        <v/>
      </c>
      <c r="AK500" s="59" t="str">
        <f aca="false">IF(ISBLANK($C500),"",IF($AJ500&lt;&gt;Constants!$B$7,$AJ500,IF(OR(NOT(X500),AND(NOT(U500),COUNTIFS(Y500:AG500,Constants!$B$18,Z500:AH500,"&gt;=0")&gt;0),AND(NOT(V500),COUNTIFS(Y500:AG500,Constants!$B$19,Z500:AH500,"&gt;=0")&gt;0)),Constants!$B$12,Constants!$B$11)))</f>
        <v/>
      </c>
      <c r="AL500" s="59" t="str">
        <f aca="false">IF($AJ500=Constants!$B$7,IF(Z500="",Constants!$B$13,Z500),"")</f>
        <v/>
      </c>
      <c r="AM500" s="59" t="str">
        <f aca="false">IF($AJ500=Constants!$B$7,IF(AB500="",Constants!$B$13,AB500),"")</f>
        <v/>
      </c>
      <c r="AN500" s="59" t="str">
        <f aca="false">IF($AJ500=Constants!$B$7,IF(AD500="",Constants!$B$13,AD500),"")</f>
        <v/>
      </c>
      <c r="AO500" s="59" t="str">
        <f aca="false">IF($AJ500=Constants!$B$7,IF(AF500="",Constants!$B$13,AF500),"")</f>
        <v/>
      </c>
      <c r="AP500" s="59" t="str">
        <f aca="false">IF($AJ500=Constants!$B$7,IF(AH500="",Constants!$B$13,AH500),"")</f>
        <v/>
      </c>
      <c r="AQ500" s="59" t="str">
        <f aca="false">IF($AJ500=Constants!$B$7,IF(SUMPRODUCT(--($AL500:$AP500&gt;AL500))+SUMPRODUCT(--($AL500:AL500=AL500))=1,1,IF(SUMPRODUCT(--($AL500:$AP500&gt;AM500))+SUMPRODUCT(--($AL500:AM500=AM500))=1,2,IF(SUMPRODUCT(--($AL500:$AP500&gt;AN500))+SUMPRODUCT(--($AL500:AN500=AN500))=1,3,IF(SUMPRODUCT(--($AL500:$AP500&gt;AO500))+SUMPRODUCT(--($AL500:AO500=AO500))=1,4,5)))),"")</f>
        <v/>
      </c>
      <c r="AR500" s="59" t="str">
        <f aca="false">IF($AJ500=Constants!$B$7,IF(SUMPRODUCT(--($AL500:$AP500&gt;AL500))+SUMPRODUCT(--($AL500:AL500=AL500))=2,1,IF(SUMPRODUCT(--($AL500:$AP500&gt;AM500))+SUMPRODUCT(--($AL500:AM500=AM500))=2,2,IF(SUMPRODUCT(--($AL500:$AP500&gt;AN500))+SUMPRODUCT(--($AL500:AN500=AN500))=2,3,IF(SUMPRODUCT(--($AL500:$AP500&gt;AO500))+SUMPRODUCT(--($AL500:AO500=AO500))=2,4,5)))),"")</f>
        <v/>
      </c>
      <c r="AS500" s="59" t="str">
        <f aca="false">IF($AJ500=Constants!$B$7,IF(SUMPRODUCT(--($AL500:$AP500&gt;AL500))+SUMPRODUCT(--($AL500:AL500=AL500))=3,1,IF(SUMPRODUCT(--($AL500:$AP500&gt;AM500))+SUMPRODUCT(--($AL500:AM500=AM500))=3,2,IF(SUMPRODUCT(--($AL500:$AP500&gt;AN500))+SUMPRODUCT(--($AL500:AN500=AN500))=3,3,IF(SUMPRODUCT(--($AL500:$AP500&gt;AO500))+SUMPRODUCT(--($AL500:AO500=AO500))=3,4,5)))),"")</f>
        <v/>
      </c>
      <c r="AT500" s="59" t="str">
        <f aca="false">IF($AJ500=Constants!$B$7,LARGE(AL500:AP500,1)+LARGE(AL500:AP500,2)+LARGE(AL500:AP500,3),"")</f>
        <v/>
      </c>
      <c r="AU500" s="59" t="str">
        <f aca="false">IF(ISBLANK($C500),"",IF($AJ500&lt;&gt;Constants!$B$7,$AJ500,AT500*W500))</f>
        <v/>
      </c>
      <c r="AV500" s="59" t="str">
        <f aca="false">IF(ISBLANK($C500),"",IF($AJ500=Constants!$B$7,IF(ISNUMBER(AU500),RANK(AU500,$AU$8:$AU$507),Constants!$B$14),$AJ500))</f>
        <v/>
      </c>
      <c r="AW500" s="59" t="str">
        <f aca="false">IF(ISBLANK($C500),"",IF($AJ500=Constants!$B$7,IF(ISNUMBER(AV500),COUNTIFS($AK$8:$AK$507,"&lt;"&amp;$AK500)+COUNTIFS($AK$8:$AK$507,$AK500,$AV$8:$AV$507,"&lt;"&amp;$AV500)+1,Constants!$B$14),$AJ500))</f>
        <v/>
      </c>
      <c r="AX500" s="59" t="str">
        <f aca="false">IF(ISBLANK($C500),"",IF($AJ500=Constants!$B$7,LARGE(AL500:AP500,4)*W500,""))</f>
        <v/>
      </c>
      <c r="AY500" s="59" t="str">
        <f aca="false">IF(ISBLANK($C500),"",IF($AJ500=Constants!$B$7,RANK(AX500,$AX$8:$AX$507),$AJ500))</f>
        <v/>
      </c>
      <c r="AZ500" s="59" t="str">
        <f aca="false">IF(ISBLANK($C500),"",IF($AJ500=Constants!$B$7,IF(ISNUMBER(AV500),COUNTIFS($AK$8:$AK$507,"&lt;"&amp;$AK500)+COUNTIFS($AK$8:$AK$507,$AK500,$AV$8:$AV$507,"&lt;"&amp;$AV500)+COUNTIFS($AK$8:$AK$507,$AK500,$AV$8:$AV$507,$AV500,$AY$8:$AY$507,"&lt;"&amp;$AY500)+1,Constants!$B$14),$AJ500))</f>
        <v/>
      </c>
      <c r="BA500" s="59" t="str">
        <f aca="false">IF(ISBLANK($C500),"",IF($AJ500=Constants!$B$7,IF(ISNUMBER(AW500),AW500-AZ500,Constants!$B$14),$AJ500))</f>
        <v/>
      </c>
      <c r="BB500" s="61"/>
      <c r="BC500" s="62" t="str">
        <f aca="false">IF(ISBLANK($C500),"",IF($AJ500&lt;&gt;Constants!$B$7,$AJ500,SMALL(AQ500:AS500,1)&amp;", "&amp;SMALL(AQ500:AS500,2)&amp;", "&amp;SMALL(AQ500:AS500,3)))</f>
        <v/>
      </c>
      <c r="BD500" s="63" t="str">
        <f aca="false">IF(ISBLANK($C500),"",IF($AJ500&lt;&gt;Constants!$B$7,$AJ500,W500))</f>
        <v/>
      </c>
      <c r="BE500" s="64" t="str">
        <f aca="false">IF(ISBLANK($C500),"",IF($AJ500&lt;&gt;Constants!$B$7,$AJ500,AU500))</f>
        <v/>
      </c>
      <c r="BF500" s="65" t="str">
        <f aca="false">IF(ISBLANK($C500),"",IF($AJ500&lt;&gt;Constants!$B$7,$AJ500,AK500))</f>
        <v/>
      </c>
      <c r="BG500" s="63" t="str">
        <f aca="false">IF(ISBLANK($C500),"",BA500)</f>
        <v/>
      </c>
      <c r="BH500" s="63" t="str">
        <f aca="false">IF(ISBLANK($C500),"",AZ500)</f>
        <v/>
      </c>
      <c r="BI500" s="66" t="str">
        <f aca="false">IF(ISBLANK($C500),"",IF(BH500=Constants!$B$4,COUNTA($C$8:$C$507)+2,IF(BH500=Constants!$B$5,COUNTA($C$8:$C$507)+1,IF(BH500=Constants!$B$6,COUNTA($C$8:$C$507),BH500))))</f>
        <v/>
      </c>
      <c r="BJ500" s="5"/>
      <c r="BK500" s="67" t="n">
        <f aca="false">IF(OR(ISNUMBER(BH500),BH500=Constants!$B$4,BH500=Constants!$B$6,BH500=Constants!$B$5),1,0)</f>
        <v>0</v>
      </c>
      <c r="BL500" s="67" t="n">
        <v>493</v>
      </c>
      <c r="BM500" s="67" t="str">
        <f aca="false">IF(ISBLANK($C500),"",IF(ISNUMBER(BI500),BI500+ROW($B500)/1000,""))</f>
        <v/>
      </c>
      <c r="BN500" s="67" t="str">
        <f aca="false">IF(ISNUMBER(BM500),RANK(BM500,$BM$8:$BM$507,1),"")</f>
        <v/>
      </c>
      <c r="BO500" s="67" t="str">
        <f aca="false">IF(ISBLANK($C500),"",$B500)</f>
        <v/>
      </c>
      <c r="BP500" s="67" t="str">
        <f aca="false">IF(ISBLANK($C500),"",$C500)</f>
        <v/>
      </c>
      <c r="BQ500" s="67" t="str">
        <f aca="false">IF(ISBLANK($C500),"",$D500)</f>
        <v/>
      </c>
      <c r="BR500" s="68" t="str">
        <f aca="false">BF500</f>
        <v/>
      </c>
      <c r="BS500" s="69" t="str">
        <f aca="false">BE500</f>
        <v/>
      </c>
      <c r="BT500" s="67" t="str">
        <f aca="false">IF(ISBLANK($C500),"",BH500)</f>
        <v/>
      </c>
      <c r="BU500" s="70" t="str">
        <f aca="false">IF($BL500&gt;$BK$7,"",VLOOKUP($BL500,$BN$8:$BT$507,7,FALSE()))</f>
        <v/>
      </c>
      <c r="BV500" s="71" t="str">
        <f aca="false">IF($BL500&gt;$BK$7,"",VLOOKUP($BL500,$BN$8:$BT$507,2,FALSE()))</f>
        <v/>
      </c>
      <c r="BW500" s="71" t="str">
        <f aca="false">IF($BL500&gt;$BK$7,"",VLOOKUP($BL500,$BN$8:$BT$507,3,FALSE()))</f>
        <v/>
      </c>
      <c r="BX500" s="71" t="str">
        <f aca="false">IF($BL500&gt;$BK$7,"",VLOOKUP($BL500,$BN$8:$BT$507,4,FALSE()))</f>
        <v/>
      </c>
      <c r="BY500" s="71" t="str">
        <f aca="false">IF($BL500&gt;$BK$7,"",VLOOKUP($BL500,$BN$8:$BT$507,5,FALSE()))</f>
        <v/>
      </c>
      <c r="BZ500" s="72" t="str">
        <f aca="false">IF($BL500&gt;$BK$7,"",VLOOKUP($BL500,$BN$8:$BT$507,6,FALSE()))</f>
        <v/>
      </c>
      <c r="CA500" s="48"/>
    </row>
    <row r="501" customFormat="false" ht="15.75" hidden="false" customHeight="false" outlineLevel="0" collapsed="false">
      <c r="A501" s="5"/>
      <c r="B501" s="121"/>
      <c r="C501" s="50"/>
      <c r="D501" s="51"/>
      <c r="E501" s="74"/>
      <c r="F501" s="122"/>
      <c r="G501" s="54"/>
      <c r="H501" s="123"/>
      <c r="I501" s="124"/>
      <c r="J501" s="54"/>
      <c r="K501" s="123"/>
      <c r="L501" s="54"/>
      <c r="M501" s="123"/>
      <c r="N501" s="54"/>
      <c r="O501" s="123"/>
      <c r="P501" s="54"/>
      <c r="Q501" s="123"/>
      <c r="R501" s="54"/>
      <c r="S501" s="74"/>
      <c r="T501" s="58"/>
      <c r="U501" s="59" t="str">
        <f aca="false">IF(ISBLANK($C501),"",IF(E501=Constants!$B$2, TRUE(), IF(E501=Constants!$B$3, FALSE(), TRUE())))</f>
        <v/>
      </c>
      <c r="V501" s="59" t="str">
        <f aca="false">IF(ISBLANK($C501),"",IF(F501=Constants!$B$2, TRUE(), IF(F501=Constants!$B$3, FALSE(), TRUE())))</f>
        <v/>
      </c>
      <c r="W501" s="59" t="str">
        <f aca="false">IF(ISBLANK($C501),"",IF(G501=Constants!$B$15,Constants!$B$8,IF(G501=Constants!$B$16,Constants!$B$9,Constants!$B$10)))</f>
        <v/>
      </c>
      <c r="X501" s="59" t="str">
        <f aca="false">IF(ISBLANK($C501),"",IF(H501=Constants!$B$2, TRUE(), IF(H501=Constants!$B$3, FALSE(), TRUE())))</f>
        <v/>
      </c>
      <c r="Y501" s="59" t="str">
        <f aca="false">IF(ISBLANK($C501),"",IF(I501=Constants!$B$19,Constants!$B$19,Constants!$B$18))</f>
        <v/>
      </c>
      <c r="Z501" s="59" t="str">
        <f aca="false">IF(ISBLANK($C501),"",IF(ISNUMBER(J501),IF(J501&gt;=0,J501,""),""))</f>
        <v/>
      </c>
      <c r="AA501" s="59" t="str">
        <f aca="false">IF(ISBLANK($C501),"",IF(K501=Constants!$B$19,Constants!$B$19,Constants!$B$18))</f>
        <v/>
      </c>
      <c r="AB501" s="59" t="str">
        <f aca="false">IF(ISBLANK($C501),"",IF(ISNUMBER(L501),IF(L501&gt;=0,L501,""),""))</f>
        <v/>
      </c>
      <c r="AC501" s="59" t="str">
        <f aca="false">IF(ISBLANK($C501),"",IF(M501=Constants!$B$19,Constants!$B$19,Constants!$B$18))</f>
        <v/>
      </c>
      <c r="AD501" s="59" t="str">
        <f aca="false">IF(ISBLANK($C501),"",IF(ISNUMBER(N501),IF(N501&gt;=0,N501,""),""))</f>
        <v/>
      </c>
      <c r="AE501" s="59" t="str">
        <f aca="false">IF(ISBLANK($C501),"",IF(O501=Constants!$B$19,Constants!$B$19,Constants!$B$18))</f>
        <v/>
      </c>
      <c r="AF501" s="59" t="str">
        <f aca="false">IF(ISBLANK($C501),"",IF(ISNUMBER(P501),IF(P501&gt;=0,P501,""),""))</f>
        <v/>
      </c>
      <c r="AG501" s="59" t="str">
        <f aca="false">IF(ISBLANK($C501),"",IF(Q501=Constants!$B$19,Constants!$B$19,Constants!$B$18))</f>
        <v/>
      </c>
      <c r="AH501" s="59" t="str">
        <f aca="false">IF(ISBLANK($C501),"",IF(ISNUMBER(R501),IF(R501&gt;=0,R501,""),""))</f>
        <v/>
      </c>
      <c r="AI501" s="59" t="str">
        <f aca="false">IF(ISBLANK($C501),"",IF(S501=Constants!$B$2, TRUE(), IF(S501=Constants!$B$3, FALSE(), FALSE())))</f>
        <v/>
      </c>
      <c r="AJ501" s="59" t="str">
        <f aca="false">IF(ISBLANK($C501),"",IF(AI501,Constants!$B$4,IF(COUNTA(E501:R501)=0,Constants!$B$5,IF(COUNTA(J501,L501,N501,P501,R501)=0,Constants!$B$6,Constants!$B$7))))</f>
        <v/>
      </c>
      <c r="AK501" s="59" t="str">
        <f aca="false">IF(ISBLANK($C501),"",IF($AJ501&lt;&gt;Constants!$B$7,$AJ501,IF(OR(NOT(X501),AND(NOT(U501),COUNTIFS(Y501:AG501,Constants!$B$18,Z501:AH501,"&gt;=0")&gt;0),AND(NOT(V501),COUNTIFS(Y501:AG501,Constants!$B$19,Z501:AH501,"&gt;=0")&gt;0)),Constants!$B$12,Constants!$B$11)))</f>
        <v/>
      </c>
      <c r="AL501" s="59" t="str">
        <f aca="false">IF($AJ501=Constants!$B$7,IF(Z501="",Constants!$B$13,Z501),"")</f>
        <v/>
      </c>
      <c r="AM501" s="59" t="str">
        <f aca="false">IF($AJ501=Constants!$B$7,IF(AB501="",Constants!$B$13,AB501),"")</f>
        <v/>
      </c>
      <c r="AN501" s="59" t="str">
        <f aca="false">IF($AJ501=Constants!$B$7,IF(AD501="",Constants!$B$13,AD501),"")</f>
        <v/>
      </c>
      <c r="AO501" s="59" t="str">
        <f aca="false">IF($AJ501=Constants!$B$7,IF(AF501="",Constants!$B$13,AF501),"")</f>
        <v/>
      </c>
      <c r="AP501" s="59" t="str">
        <f aca="false">IF($AJ501=Constants!$B$7,IF(AH501="",Constants!$B$13,AH501),"")</f>
        <v/>
      </c>
      <c r="AQ501" s="59" t="str">
        <f aca="false">IF($AJ501=Constants!$B$7,IF(SUMPRODUCT(--($AL501:$AP501&gt;AL501))+SUMPRODUCT(--($AL501:AL501=AL501))=1,1,IF(SUMPRODUCT(--($AL501:$AP501&gt;AM501))+SUMPRODUCT(--($AL501:AM501=AM501))=1,2,IF(SUMPRODUCT(--($AL501:$AP501&gt;AN501))+SUMPRODUCT(--($AL501:AN501=AN501))=1,3,IF(SUMPRODUCT(--($AL501:$AP501&gt;AO501))+SUMPRODUCT(--($AL501:AO501=AO501))=1,4,5)))),"")</f>
        <v/>
      </c>
      <c r="AR501" s="59" t="str">
        <f aca="false">IF($AJ501=Constants!$B$7,IF(SUMPRODUCT(--($AL501:$AP501&gt;AL501))+SUMPRODUCT(--($AL501:AL501=AL501))=2,1,IF(SUMPRODUCT(--($AL501:$AP501&gt;AM501))+SUMPRODUCT(--($AL501:AM501=AM501))=2,2,IF(SUMPRODUCT(--($AL501:$AP501&gt;AN501))+SUMPRODUCT(--($AL501:AN501=AN501))=2,3,IF(SUMPRODUCT(--($AL501:$AP501&gt;AO501))+SUMPRODUCT(--($AL501:AO501=AO501))=2,4,5)))),"")</f>
        <v/>
      </c>
      <c r="AS501" s="59" t="str">
        <f aca="false">IF($AJ501=Constants!$B$7,IF(SUMPRODUCT(--($AL501:$AP501&gt;AL501))+SUMPRODUCT(--($AL501:AL501=AL501))=3,1,IF(SUMPRODUCT(--($AL501:$AP501&gt;AM501))+SUMPRODUCT(--($AL501:AM501=AM501))=3,2,IF(SUMPRODUCT(--($AL501:$AP501&gt;AN501))+SUMPRODUCT(--($AL501:AN501=AN501))=3,3,IF(SUMPRODUCT(--($AL501:$AP501&gt;AO501))+SUMPRODUCT(--($AL501:AO501=AO501))=3,4,5)))),"")</f>
        <v/>
      </c>
      <c r="AT501" s="59" t="str">
        <f aca="false">IF($AJ501=Constants!$B$7,LARGE(AL501:AP501,1)+LARGE(AL501:AP501,2)+LARGE(AL501:AP501,3),"")</f>
        <v/>
      </c>
      <c r="AU501" s="59" t="str">
        <f aca="false">IF(ISBLANK($C501),"",IF($AJ501&lt;&gt;Constants!$B$7,$AJ501,AT501*W501))</f>
        <v/>
      </c>
      <c r="AV501" s="59" t="str">
        <f aca="false">IF(ISBLANK($C501),"",IF($AJ501=Constants!$B$7,IF(ISNUMBER(AU501),RANK(AU501,$AU$8:$AU$507),Constants!$B$14),$AJ501))</f>
        <v/>
      </c>
      <c r="AW501" s="59" t="str">
        <f aca="false">IF(ISBLANK($C501),"",IF($AJ501=Constants!$B$7,IF(ISNUMBER(AV501),COUNTIFS($AK$8:$AK$507,"&lt;"&amp;$AK501)+COUNTIFS($AK$8:$AK$507,$AK501,$AV$8:$AV$507,"&lt;"&amp;$AV501)+1,Constants!$B$14),$AJ501))</f>
        <v/>
      </c>
      <c r="AX501" s="59" t="str">
        <f aca="false">IF(ISBLANK($C501),"",IF($AJ501=Constants!$B$7,LARGE(AL501:AP501,4)*W501,""))</f>
        <v/>
      </c>
      <c r="AY501" s="59" t="str">
        <f aca="false">IF(ISBLANK($C501),"",IF($AJ501=Constants!$B$7,RANK(AX501,$AX$8:$AX$507),$AJ501))</f>
        <v/>
      </c>
      <c r="AZ501" s="59" t="str">
        <f aca="false">IF(ISBLANK($C501),"",IF($AJ501=Constants!$B$7,IF(ISNUMBER(AV501),COUNTIFS($AK$8:$AK$507,"&lt;"&amp;$AK501)+COUNTIFS($AK$8:$AK$507,$AK501,$AV$8:$AV$507,"&lt;"&amp;$AV501)+COUNTIFS($AK$8:$AK$507,$AK501,$AV$8:$AV$507,$AV501,$AY$8:$AY$507,"&lt;"&amp;$AY501)+1,Constants!$B$14),$AJ501))</f>
        <v/>
      </c>
      <c r="BA501" s="59" t="str">
        <f aca="false">IF(ISBLANK($C501),"",IF($AJ501=Constants!$B$7,IF(ISNUMBER(AW501),AW501-AZ501,Constants!$B$14),$AJ501))</f>
        <v/>
      </c>
      <c r="BB501" s="61"/>
      <c r="BC501" s="62" t="str">
        <f aca="false">IF(ISBLANK($C501),"",IF($AJ501&lt;&gt;Constants!$B$7,$AJ501,SMALL(AQ501:AS501,1)&amp;", "&amp;SMALL(AQ501:AS501,2)&amp;", "&amp;SMALL(AQ501:AS501,3)))</f>
        <v/>
      </c>
      <c r="BD501" s="63" t="str">
        <f aca="false">IF(ISBLANK($C501),"",IF($AJ501&lt;&gt;Constants!$B$7,$AJ501,W501))</f>
        <v/>
      </c>
      <c r="BE501" s="64" t="str">
        <f aca="false">IF(ISBLANK($C501),"",IF($AJ501&lt;&gt;Constants!$B$7,$AJ501,AU501))</f>
        <v/>
      </c>
      <c r="BF501" s="65" t="str">
        <f aca="false">IF(ISBLANK($C501),"",IF($AJ501&lt;&gt;Constants!$B$7,$AJ501,AK501))</f>
        <v/>
      </c>
      <c r="BG501" s="63" t="str">
        <f aca="false">IF(ISBLANK($C501),"",BA501)</f>
        <v/>
      </c>
      <c r="BH501" s="63" t="str">
        <f aca="false">IF(ISBLANK($C501),"",AZ501)</f>
        <v/>
      </c>
      <c r="BI501" s="66" t="str">
        <f aca="false">IF(ISBLANK($C501),"",IF(BH501=Constants!$B$4,COUNTA($C$8:$C$507)+2,IF(BH501=Constants!$B$5,COUNTA($C$8:$C$507)+1,IF(BH501=Constants!$B$6,COUNTA($C$8:$C$507),BH501))))</f>
        <v/>
      </c>
      <c r="BJ501" s="5"/>
      <c r="BK501" s="67" t="n">
        <f aca="false">IF(OR(ISNUMBER(BH501),BH501=Constants!$B$4,BH501=Constants!$B$6,BH501=Constants!$B$5),1,0)</f>
        <v>0</v>
      </c>
      <c r="BL501" s="67" t="n">
        <v>494</v>
      </c>
      <c r="BM501" s="67" t="str">
        <f aca="false">IF(ISBLANK($C501),"",IF(ISNUMBER(BI501),BI501+ROW($B501)/1000,""))</f>
        <v/>
      </c>
      <c r="BN501" s="67" t="str">
        <f aca="false">IF(ISNUMBER(BM501),RANK(BM501,$BM$8:$BM$507,1),"")</f>
        <v/>
      </c>
      <c r="BO501" s="67" t="str">
        <f aca="false">IF(ISBLANK($C501),"",$B501)</f>
        <v/>
      </c>
      <c r="BP501" s="67" t="str">
        <f aca="false">IF(ISBLANK($C501),"",$C501)</f>
        <v/>
      </c>
      <c r="BQ501" s="67" t="str">
        <f aca="false">IF(ISBLANK($C501),"",$D501)</f>
        <v/>
      </c>
      <c r="BR501" s="68" t="str">
        <f aca="false">BF501</f>
        <v/>
      </c>
      <c r="BS501" s="69" t="str">
        <f aca="false">BE501</f>
        <v/>
      </c>
      <c r="BT501" s="67" t="str">
        <f aca="false">IF(ISBLANK($C501),"",BH501)</f>
        <v/>
      </c>
      <c r="BU501" s="70" t="str">
        <f aca="false">IF($BL501&gt;$BK$7,"",VLOOKUP($BL501,$BN$8:$BT$507,7,FALSE()))</f>
        <v/>
      </c>
      <c r="BV501" s="71" t="str">
        <f aca="false">IF($BL501&gt;$BK$7,"",VLOOKUP($BL501,$BN$8:$BT$507,2,FALSE()))</f>
        <v/>
      </c>
      <c r="BW501" s="71" t="str">
        <f aca="false">IF($BL501&gt;$BK$7,"",VLOOKUP($BL501,$BN$8:$BT$507,3,FALSE()))</f>
        <v/>
      </c>
      <c r="BX501" s="71" t="str">
        <f aca="false">IF($BL501&gt;$BK$7,"",VLOOKUP($BL501,$BN$8:$BT$507,4,FALSE()))</f>
        <v/>
      </c>
      <c r="BY501" s="71" t="str">
        <f aca="false">IF($BL501&gt;$BK$7,"",VLOOKUP($BL501,$BN$8:$BT$507,5,FALSE()))</f>
        <v/>
      </c>
      <c r="BZ501" s="72" t="str">
        <f aca="false">IF($BL501&gt;$BK$7,"",VLOOKUP($BL501,$BN$8:$BT$507,6,FALSE()))</f>
        <v/>
      </c>
      <c r="CA501" s="48"/>
    </row>
    <row r="502" customFormat="false" ht="15.75" hidden="false" customHeight="false" outlineLevel="0" collapsed="false">
      <c r="A502" s="5"/>
      <c r="B502" s="121"/>
      <c r="C502" s="50"/>
      <c r="D502" s="51"/>
      <c r="E502" s="74"/>
      <c r="F502" s="122"/>
      <c r="G502" s="54"/>
      <c r="H502" s="123"/>
      <c r="I502" s="124"/>
      <c r="J502" s="54"/>
      <c r="K502" s="123"/>
      <c r="L502" s="54"/>
      <c r="M502" s="123"/>
      <c r="N502" s="54"/>
      <c r="O502" s="123"/>
      <c r="P502" s="54"/>
      <c r="Q502" s="123"/>
      <c r="R502" s="54"/>
      <c r="S502" s="74"/>
      <c r="T502" s="58"/>
      <c r="U502" s="59" t="str">
        <f aca="false">IF(ISBLANK($C502),"",IF(E502=Constants!$B$2, TRUE(), IF(E502=Constants!$B$3, FALSE(), TRUE())))</f>
        <v/>
      </c>
      <c r="V502" s="59" t="str">
        <f aca="false">IF(ISBLANK($C502),"",IF(F502=Constants!$B$2, TRUE(), IF(F502=Constants!$B$3, FALSE(), TRUE())))</f>
        <v/>
      </c>
      <c r="W502" s="59" t="str">
        <f aca="false">IF(ISBLANK($C502),"",IF(G502=Constants!$B$15,Constants!$B$8,IF(G502=Constants!$B$16,Constants!$B$9,Constants!$B$10)))</f>
        <v/>
      </c>
      <c r="X502" s="59" t="str">
        <f aca="false">IF(ISBLANK($C502),"",IF(H502=Constants!$B$2, TRUE(), IF(H502=Constants!$B$3, FALSE(), TRUE())))</f>
        <v/>
      </c>
      <c r="Y502" s="59" t="str">
        <f aca="false">IF(ISBLANK($C502),"",IF(I502=Constants!$B$19,Constants!$B$19,Constants!$B$18))</f>
        <v/>
      </c>
      <c r="Z502" s="59" t="str">
        <f aca="false">IF(ISBLANK($C502),"",IF(ISNUMBER(J502),IF(J502&gt;=0,J502,""),""))</f>
        <v/>
      </c>
      <c r="AA502" s="59" t="str">
        <f aca="false">IF(ISBLANK($C502),"",IF(K502=Constants!$B$19,Constants!$B$19,Constants!$B$18))</f>
        <v/>
      </c>
      <c r="AB502" s="59" t="str">
        <f aca="false">IF(ISBLANK($C502),"",IF(ISNUMBER(L502),IF(L502&gt;=0,L502,""),""))</f>
        <v/>
      </c>
      <c r="AC502" s="59" t="str">
        <f aca="false">IF(ISBLANK($C502),"",IF(M502=Constants!$B$19,Constants!$B$19,Constants!$B$18))</f>
        <v/>
      </c>
      <c r="AD502" s="59" t="str">
        <f aca="false">IF(ISBLANK($C502),"",IF(ISNUMBER(N502),IF(N502&gt;=0,N502,""),""))</f>
        <v/>
      </c>
      <c r="AE502" s="59" t="str">
        <f aca="false">IF(ISBLANK($C502),"",IF(O502=Constants!$B$19,Constants!$B$19,Constants!$B$18))</f>
        <v/>
      </c>
      <c r="AF502" s="59" t="str">
        <f aca="false">IF(ISBLANK($C502),"",IF(ISNUMBER(P502),IF(P502&gt;=0,P502,""),""))</f>
        <v/>
      </c>
      <c r="AG502" s="59" t="str">
        <f aca="false">IF(ISBLANK($C502),"",IF(Q502=Constants!$B$19,Constants!$B$19,Constants!$B$18))</f>
        <v/>
      </c>
      <c r="AH502" s="59" t="str">
        <f aca="false">IF(ISBLANK($C502),"",IF(ISNUMBER(R502),IF(R502&gt;=0,R502,""),""))</f>
        <v/>
      </c>
      <c r="AI502" s="59" t="str">
        <f aca="false">IF(ISBLANK($C502),"",IF(S502=Constants!$B$2, TRUE(), IF(S502=Constants!$B$3, FALSE(), FALSE())))</f>
        <v/>
      </c>
      <c r="AJ502" s="59" t="str">
        <f aca="false">IF(ISBLANK($C502),"",IF(AI502,Constants!$B$4,IF(COUNTA(E502:R502)=0,Constants!$B$5,IF(COUNTA(J502,L502,N502,P502,R502)=0,Constants!$B$6,Constants!$B$7))))</f>
        <v/>
      </c>
      <c r="AK502" s="59" t="str">
        <f aca="false">IF(ISBLANK($C502),"",IF($AJ502&lt;&gt;Constants!$B$7,$AJ502,IF(OR(NOT(X502),AND(NOT(U502),COUNTIFS(Y502:AG502,Constants!$B$18,Z502:AH502,"&gt;=0")&gt;0),AND(NOT(V502),COUNTIFS(Y502:AG502,Constants!$B$19,Z502:AH502,"&gt;=0")&gt;0)),Constants!$B$12,Constants!$B$11)))</f>
        <v/>
      </c>
      <c r="AL502" s="59" t="str">
        <f aca="false">IF($AJ502=Constants!$B$7,IF(Z502="",Constants!$B$13,Z502),"")</f>
        <v/>
      </c>
      <c r="AM502" s="59" t="str">
        <f aca="false">IF($AJ502=Constants!$B$7,IF(AB502="",Constants!$B$13,AB502),"")</f>
        <v/>
      </c>
      <c r="AN502" s="59" t="str">
        <f aca="false">IF($AJ502=Constants!$B$7,IF(AD502="",Constants!$B$13,AD502),"")</f>
        <v/>
      </c>
      <c r="AO502" s="59" t="str">
        <f aca="false">IF($AJ502=Constants!$B$7,IF(AF502="",Constants!$B$13,AF502),"")</f>
        <v/>
      </c>
      <c r="AP502" s="59" t="str">
        <f aca="false">IF($AJ502=Constants!$B$7,IF(AH502="",Constants!$B$13,AH502),"")</f>
        <v/>
      </c>
      <c r="AQ502" s="59" t="str">
        <f aca="false">IF($AJ502=Constants!$B$7,IF(SUMPRODUCT(--($AL502:$AP502&gt;AL502))+SUMPRODUCT(--($AL502:AL502=AL502))=1,1,IF(SUMPRODUCT(--($AL502:$AP502&gt;AM502))+SUMPRODUCT(--($AL502:AM502=AM502))=1,2,IF(SUMPRODUCT(--($AL502:$AP502&gt;AN502))+SUMPRODUCT(--($AL502:AN502=AN502))=1,3,IF(SUMPRODUCT(--($AL502:$AP502&gt;AO502))+SUMPRODUCT(--($AL502:AO502=AO502))=1,4,5)))),"")</f>
        <v/>
      </c>
      <c r="AR502" s="59" t="str">
        <f aca="false">IF($AJ502=Constants!$B$7,IF(SUMPRODUCT(--($AL502:$AP502&gt;AL502))+SUMPRODUCT(--($AL502:AL502=AL502))=2,1,IF(SUMPRODUCT(--($AL502:$AP502&gt;AM502))+SUMPRODUCT(--($AL502:AM502=AM502))=2,2,IF(SUMPRODUCT(--($AL502:$AP502&gt;AN502))+SUMPRODUCT(--($AL502:AN502=AN502))=2,3,IF(SUMPRODUCT(--($AL502:$AP502&gt;AO502))+SUMPRODUCT(--($AL502:AO502=AO502))=2,4,5)))),"")</f>
        <v/>
      </c>
      <c r="AS502" s="59" t="str">
        <f aca="false">IF($AJ502=Constants!$B$7,IF(SUMPRODUCT(--($AL502:$AP502&gt;AL502))+SUMPRODUCT(--($AL502:AL502=AL502))=3,1,IF(SUMPRODUCT(--($AL502:$AP502&gt;AM502))+SUMPRODUCT(--($AL502:AM502=AM502))=3,2,IF(SUMPRODUCT(--($AL502:$AP502&gt;AN502))+SUMPRODUCT(--($AL502:AN502=AN502))=3,3,IF(SUMPRODUCT(--($AL502:$AP502&gt;AO502))+SUMPRODUCT(--($AL502:AO502=AO502))=3,4,5)))),"")</f>
        <v/>
      </c>
      <c r="AT502" s="59" t="str">
        <f aca="false">IF($AJ502=Constants!$B$7,LARGE(AL502:AP502,1)+LARGE(AL502:AP502,2)+LARGE(AL502:AP502,3),"")</f>
        <v/>
      </c>
      <c r="AU502" s="59" t="str">
        <f aca="false">IF(ISBLANK($C502),"",IF($AJ502&lt;&gt;Constants!$B$7,$AJ502,AT502*W502))</f>
        <v/>
      </c>
      <c r="AV502" s="59" t="str">
        <f aca="false">IF(ISBLANK($C502),"",IF($AJ502=Constants!$B$7,IF(ISNUMBER(AU502),RANK(AU502,$AU$8:$AU$507),Constants!$B$14),$AJ502))</f>
        <v/>
      </c>
      <c r="AW502" s="59" t="str">
        <f aca="false">IF(ISBLANK($C502),"",IF($AJ502=Constants!$B$7,IF(ISNUMBER(AV502),COUNTIFS($AK$8:$AK$507,"&lt;"&amp;$AK502)+COUNTIFS($AK$8:$AK$507,$AK502,$AV$8:$AV$507,"&lt;"&amp;$AV502)+1,Constants!$B$14),$AJ502))</f>
        <v/>
      </c>
      <c r="AX502" s="59" t="str">
        <f aca="false">IF(ISBLANK($C502),"",IF($AJ502=Constants!$B$7,LARGE(AL502:AP502,4)*W502,""))</f>
        <v/>
      </c>
      <c r="AY502" s="59" t="str">
        <f aca="false">IF(ISBLANK($C502),"",IF($AJ502=Constants!$B$7,RANK(AX502,$AX$8:$AX$507),$AJ502))</f>
        <v/>
      </c>
      <c r="AZ502" s="59" t="str">
        <f aca="false">IF(ISBLANK($C502),"",IF($AJ502=Constants!$B$7,IF(ISNUMBER(AV502),COUNTIFS($AK$8:$AK$507,"&lt;"&amp;$AK502)+COUNTIFS($AK$8:$AK$507,$AK502,$AV$8:$AV$507,"&lt;"&amp;$AV502)+COUNTIFS($AK$8:$AK$507,$AK502,$AV$8:$AV$507,$AV502,$AY$8:$AY$507,"&lt;"&amp;$AY502)+1,Constants!$B$14),$AJ502))</f>
        <v/>
      </c>
      <c r="BA502" s="59" t="str">
        <f aca="false">IF(ISBLANK($C502),"",IF($AJ502=Constants!$B$7,IF(ISNUMBER(AW502),AW502-AZ502,Constants!$B$14),$AJ502))</f>
        <v/>
      </c>
      <c r="BB502" s="61"/>
      <c r="BC502" s="62" t="str">
        <f aca="false">IF(ISBLANK($C502),"",IF($AJ502&lt;&gt;Constants!$B$7,$AJ502,SMALL(AQ502:AS502,1)&amp;", "&amp;SMALL(AQ502:AS502,2)&amp;", "&amp;SMALL(AQ502:AS502,3)))</f>
        <v/>
      </c>
      <c r="BD502" s="63" t="str">
        <f aca="false">IF(ISBLANK($C502),"",IF($AJ502&lt;&gt;Constants!$B$7,$AJ502,W502))</f>
        <v/>
      </c>
      <c r="BE502" s="64" t="str">
        <f aca="false">IF(ISBLANK($C502),"",IF($AJ502&lt;&gt;Constants!$B$7,$AJ502,AU502))</f>
        <v/>
      </c>
      <c r="BF502" s="65" t="str">
        <f aca="false">IF(ISBLANK($C502),"",IF($AJ502&lt;&gt;Constants!$B$7,$AJ502,AK502))</f>
        <v/>
      </c>
      <c r="BG502" s="63" t="str">
        <f aca="false">IF(ISBLANK($C502),"",BA502)</f>
        <v/>
      </c>
      <c r="BH502" s="63" t="str">
        <f aca="false">IF(ISBLANK($C502),"",AZ502)</f>
        <v/>
      </c>
      <c r="BI502" s="66" t="str">
        <f aca="false">IF(ISBLANK($C502),"",IF(BH502=Constants!$B$4,COUNTA($C$8:$C$507)+2,IF(BH502=Constants!$B$5,COUNTA($C$8:$C$507)+1,IF(BH502=Constants!$B$6,COUNTA($C$8:$C$507),BH502))))</f>
        <v/>
      </c>
      <c r="BJ502" s="5"/>
      <c r="BK502" s="67" t="n">
        <f aca="false">IF(OR(ISNUMBER(BH502),BH502=Constants!$B$4,BH502=Constants!$B$6,BH502=Constants!$B$5),1,0)</f>
        <v>0</v>
      </c>
      <c r="BL502" s="67" t="n">
        <v>495</v>
      </c>
      <c r="BM502" s="67" t="str">
        <f aca="false">IF(ISBLANK($C502),"",IF(ISNUMBER(BI502),BI502+ROW($B502)/1000,""))</f>
        <v/>
      </c>
      <c r="BN502" s="67" t="str">
        <f aca="false">IF(ISNUMBER(BM502),RANK(BM502,$BM$8:$BM$507,1),"")</f>
        <v/>
      </c>
      <c r="BO502" s="67" t="str">
        <f aca="false">IF(ISBLANK($C502),"",$B502)</f>
        <v/>
      </c>
      <c r="BP502" s="67" t="str">
        <f aca="false">IF(ISBLANK($C502),"",$C502)</f>
        <v/>
      </c>
      <c r="BQ502" s="67" t="str">
        <f aca="false">IF(ISBLANK($C502),"",$D502)</f>
        <v/>
      </c>
      <c r="BR502" s="68" t="str">
        <f aca="false">BF502</f>
        <v/>
      </c>
      <c r="BS502" s="69" t="str">
        <f aca="false">BE502</f>
        <v/>
      </c>
      <c r="BT502" s="67" t="str">
        <f aca="false">IF(ISBLANK($C502),"",BH502)</f>
        <v/>
      </c>
      <c r="BU502" s="70" t="str">
        <f aca="false">IF($BL502&gt;$BK$7,"",VLOOKUP($BL502,$BN$8:$BT$507,7,FALSE()))</f>
        <v/>
      </c>
      <c r="BV502" s="71" t="str">
        <f aca="false">IF($BL502&gt;$BK$7,"",VLOOKUP($BL502,$BN$8:$BT$507,2,FALSE()))</f>
        <v/>
      </c>
      <c r="BW502" s="71" t="str">
        <f aca="false">IF($BL502&gt;$BK$7,"",VLOOKUP($BL502,$BN$8:$BT$507,3,FALSE()))</f>
        <v/>
      </c>
      <c r="BX502" s="71" t="str">
        <f aca="false">IF($BL502&gt;$BK$7,"",VLOOKUP($BL502,$BN$8:$BT$507,4,FALSE()))</f>
        <v/>
      </c>
      <c r="BY502" s="71" t="str">
        <f aca="false">IF($BL502&gt;$BK$7,"",VLOOKUP($BL502,$BN$8:$BT$507,5,FALSE()))</f>
        <v/>
      </c>
      <c r="BZ502" s="72" t="str">
        <f aca="false">IF($BL502&gt;$BK$7,"",VLOOKUP($BL502,$BN$8:$BT$507,6,FALSE()))</f>
        <v/>
      </c>
      <c r="CA502" s="48"/>
    </row>
    <row r="503" customFormat="false" ht="15.75" hidden="false" customHeight="false" outlineLevel="0" collapsed="false">
      <c r="A503" s="5"/>
      <c r="B503" s="114"/>
      <c r="C503" s="115"/>
      <c r="D503" s="100"/>
      <c r="E503" s="120"/>
      <c r="F503" s="125"/>
      <c r="G503" s="82"/>
      <c r="H503" s="126"/>
      <c r="I503" s="127"/>
      <c r="J503" s="82"/>
      <c r="K503" s="126"/>
      <c r="L503" s="82"/>
      <c r="M503" s="126"/>
      <c r="N503" s="82"/>
      <c r="O503" s="126"/>
      <c r="P503" s="82"/>
      <c r="Q503" s="126"/>
      <c r="R503" s="82"/>
      <c r="S503" s="120"/>
      <c r="T503" s="86"/>
      <c r="U503" s="87" t="str">
        <f aca="false">IF(ISBLANK($C503),"",IF(E503=Constants!$B$2, TRUE(), IF(E503=Constants!$B$3, FALSE(), TRUE())))</f>
        <v/>
      </c>
      <c r="V503" s="87" t="str">
        <f aca="false">IF(ISBLANK($C503),"",IF(F503=Constants!$B$2, TRUE(), IF(F503=Constants!$B$3, FALSE(), TRUE())))</f>
        <v/>
      </c>
      <c r="W503" s="87" t="str">
        <f aca="false">IF(ISBLANK($C503),"",IF(G503=Constants!$B$15,Constants!$B$8,IF(G503=Constants!$B$16,Constants!$B$9,Constants!$B$10)))</f>
        <v/>
      </c>
      <c r="X503" s="87" t="str">
        <f aca="false">IF(ISBLANK($C503),"",IF(H503=Constants!$B$2, TRUE(), IF(H503=Constants!$B$3, FALSE(), TRUE())))</f>
        <v/>
      </c>
      <c r="Y503" s="87" t="str">
        <f aca="false">IF(ISBLANK($C503),"",IF(I503=Constants!$B$19,Constants!$B$19,Constants!$B$18))</f>
        <v/>
      </c>
      <c r="Z503" s="87" t="str">
        <f aca="false">IF(ISBLANK($C503),"",IF(ISNUMBER(J503),IF(J503&gt;=0,J503,""),""))</f>
        <v/>
      </c>
      <c r="AA503" s="87" t="str">
        <f aca="false">IF(ISBLANK($C503),"",IF(K503=Constants!$B$19,Constants!$B$19,Constants!$B$18))</f>
        <v/>
      </c>
      <c r="AB503" s="87" t="str">
        <f aca="false">IF(ISBLANK($C503),"",IF(ISNUMBER(L503),IF(L503&gt;=0,L503,""),""))</f>
        <v/>
      </c>
      <c r="AC503" s="87" t="str">
        <f aca="false">IF(ISBLANK($C503),"",IF(M503=Constants!$B$19,Constants!$B$19,Constants!$B$18))</f>
        <v/>
      </c>
      <c r="AD503" s="87" t="str">
        <f aca="false">IF(ISBLANK($C503),"",IF(ISNUMBER(N503),IF(N503&gt;=0,N503,""),""))</f>
        <v/>
      </c>
      <c r="AE503" s="87" t="str">
        <f aca="false">IF(ISBLANK($C503),"",IF(O503=Constants!$B$19,Constants!$B$19,Constants!$B$18))</f>
        <v/>
      </c>
      <c r="AF503" s="87" t="str">
        <f aca="false">IF(ISBLANK($C503),"",IF(ISNUMBER(P503),IF(P503&gt;=0,P503,""),""))</f>
        <v/>
      </c>
      <c r="AG503" s="87" t="str">
        <f aca="false">IF(ISBLANK($C503),"",IF(Q503=Constants!$B$19,Constants!$B$19,Constants!$B$18))</f>
        <v/>
      </c>
      <c r="AH503" s="87" t="str">
        <f aca="false">IF(ISBLANK($C503),"",IF(ISNUMBER(R503),IF(R503&gt;=0,R503,""),""))</f>
        <v/>
      </c>
      <c r="AI503" s="87" t="str">
        <f aca="false">IF(ISBLANK($C503),"",IF(S503=Constants!$B$2, TRUE(), IF(S503=Constants!$B$3, FALSE(), FALSE())))</f>
        <v/>
      </c>
      <c r="AJ503" s="87" t="str">
        <f aca="false">IF(ISBLANK($C503),"",IF(AI503,Constants!$B$4,IF(COUNTA(E503:R503)=0,Constants!$B$5,IF(COUNTA(J503,L503,N503,P503,R503)=0,Constants!$B$6,Constants!$B$7))))</f>
        <v/>
      </c>
      <c r="AK503" s="87" t="str">
        <f aca="false">IF(ISBLANK($C503),"",IF($AJ503&lt;&gt;Constants!$B$7,$AJ503,IF(OR(NOT(X503),AND(NOT(U503),COUNTIFS(Y503:AG503,Constants!$B$18,Z503:AH503,"&gt;=0")&gt;0),AND(NOT(V503),COUNTIFS(Y503:AG503,Constants!$B$19,Z503:AH503,"&gt;=0")&gt;0)),Constants!$B$12,Constants!$B$11)))</f>
        <v/>
      </c>
      <c r="AL503" s="87" t="str">
        <f aca="false">IF($AJ503=Constants!$B$7,IF(Z503="",Constants!$B$13,Z503),"")</f>
        <v/>
      </c>
      <c r="AM503" s="87" t="str">
        <f aca="false">IF($AJ503=Constants!$B$7,IF(AB503="",Constants!$B$13,AB503),"")</f>
        <v/>
      </c>
      <c r="AN503" s="87" t="str">
        <f aca="false">IF($AJ503=Constants!$B$7,IF(AD503="",Constants!$B$13,AD503),"")</f>
        <v/>
      </c>
      <c r="AO503" s="87" t="str">
        <f aca="false">IF($AJ503=Constants!$B$7,IF(AF503="",Constants!$B$13,AF503),"")</f>
        <v/>
      </c>
      <c r="AP503" s="87" t="str">
        <f aca="false">IF($AJ503=Constants!$B$7,IF(AH503="",Constants!$B$13,AH503),"")</f>
        <v/>
      </c>
      <c r="AQ503" s="87" t="str">
        <f aca="false">IF($AJ503=Constants!$B$7,IF(SUMPRODUCT(--($AL503:$AP503&gt;AL503))+SUMPRODUCT(--($AL503:AL503=AL503))=1,1,IF(SUMPRODUCT(--($AL503:$AP503&gt;AM503))+SUMPRODUCT(--($AL503:AM503=AM503))=1,2,IF(SUMPRODUCT(--($AL503:$AP503&gt;AN503))+SUMPRODUCT(--($AL503:AN503=AN503))=1,3,IF(SUMPRODUCT(--($AL503:$AP503&gt;AO503))+SUMPRODUCT(--($AL503:AO503=AO503))=1,4,5)))),"")</f>
        <v/>
      </c>
      <c r="AR503" s="87" t="str">
        <f aca="false">IF($AJ503=Constants!$B$7,IF(SUMPRODUCT(--($AL503:$AP503&gt;AL503))+SUMPRODUCT(--($AL503:AL503=AL503))=2,1,IF(SUMPRODUCT(--($AL503:$AP503&gt;AM503))+SUMPRODUCT(--($AL503:AM503=AM503))=2,2,IF(SUMPRODUCT(--($AL503:$AP503&gt;AN503))+SUMPRODUCT(--($AL503:AN503=AN503))=2,3,IF(SUMPRODUCT(--($AL503:$AP503&gt;AO503))+SUMPRODUCT(--($AL503:AO503=AO503))=2,4,5)))),"")</f>
        <v/>
      </c>
      <c r="AS503" s="87" t="str">
        <f aca="false">IF($AJ503=Constants!$B$7,IF(SUMPRODUCT(--($AL503:$AP503&gt;AL503))+SUMPRODUCT(--($AL503:AL503=AL503))=3,1,IF(SUMPRODUCT(--($AL503:$AP503&gt;AM503))+SUMPRODUCT(--($AL503:AM503=AM503))=3,2,IF(SUMPRODUCT(--($AL503:$AP503&gt;AN503))+SUMPRODUCT(--($AL503:AN503=AN503))=3,3,IF(SUMPRODUCT(--($AL503:$AP503&gt;AO503))+SUMPRODUCT(--($AL503:AO503=AO503))=3,4,5)))),"")</f>
        <v/>
      </c>
      <c r="AT503" s="87" t="str">
        <f aca="false">IF($AJ503=Constants!$B$7,LARGE(AL503:AP503,1)+LARGE(AL503:AP503,2)+LARGE(AL503:AP503,3),"")</f>
        <v/>
      </c>
      <c r="AU503" s="87" t="str">
        <f aca="false">IF(ISBLANK($C503),"",IF($AJ503&lt;&gt;Constants!$B$7,$AJ503,AT503*W503))</f>
        <v/>
      </c>
      <c r="AV503" s="87" t="str">
        <f aca="false">IF(ISBLANK($C503),"",IF($AJ503=Constants!$B$7,IF(ISNUMBER(AU503),RANK(AU503,$AU$8:$AU$507),Constants!$B$14),$AJ503))</f>
        <v/>
      </c>
      <c r="AW503" s="87" t="str">
        <f aca="false">IF(ISBLANK($C503),"",IF($AJ503=Constants!$B$7,IF(ISNUMBER(AV503),COUNTIFS($AK$8:$AK$507,"&lt;"&amp;$AK503)+COUNTIFS($AK$8:$AK$507,$AK503,$AV$8:$AV$507,"&lt;"&amp;$AV503)+1,Constants!$B$14),$AJ503))</f>
        <v/>
      </c>
      <c r="AX503" s="87" t="str">
        <f aca="false">IF(ISBLANK($C503),"",IF($AJ503=Constants!$B$7,LARGE(AL503:AP503,4)*W503,""))</f>
        <v/>
      </c>
      <c r="AY503" s="87" t="str">
        <f aca="false">IF(ISBLANK($C503),"",IF($AJ503=Constants!$B$7,RANK(AX503,$AX$8:$AX$507),$AJ503))</f>
        <v/>
      </c>
      <c r="AZ503" s="87" t="str">
        <f aca="false">IF(ISBLANK($C503),"",IF($AJ503=Constants!$B$7,IF(ISNUMBER(AV503),COUNTIFS($AK$8:$AK$507,"&lt;"&amp;$AK503)+COUNTIFS($AK$8:$AK$507,$AK503,$AV$8:$AV$507,"&lt;"&amp;$AV503)+COUNTIFS($AK$8:$AK$507,$AK503,$AV$8:$AV$507,$AV503,$AY$8:$AY$507,"&lt;"&amp;$AY503)+1,Constants!$B$14),$AJ503))</f>
        <v/>
      </c>
      <c r="BA503" s="87" t="str">
        <f aca="false">IF(ISBLANK($C503),"",IF($AJ503=Constants!$B$7,IF(ISNUMBER(AW503),AW503-AZ503,Constants!$B$14),$AJ503))</f>
        <v/>
      </c>
      <c r="BB503" s="88"/>
      <c r="BC503" s="89" t="str">
        <f aca="false">IF(ISBLANK($C503),"",IF($AJ503&lt;&gt;Constants!$B$7,$AJ503,SMALL(AQ503:AS503,1)&amp;", "&amp;SMALL(AQ503:AS503,2)&amp;", "&amp;SMALL(AQ503:AS503,3)))</f>
        <v/>
      </c>
      <c r="BD503" s="90" t="str">
        <f aca="false">IF(ISBLANK($C503),"",IF($AJ503&lt;&gt;Constants!$B$7,$AJ503,W503))</f>
        <v/>
      </c>
      <c r="BE503" s="91" t="str">
        <f aca="false">IF(ISBLANK($C503),"",IF($AJ503&lt;&gt;Constants!$B$7,$AJ503,AU503))</f>
        <v/>
      </c>
      <c r="BF503" s="92" t="str">
        <f aca="false">IF(ISBLANK($C503),"",IF($AJ503&lt;&gt;Constants!$B$7,$AJ503,AK503))</f>
        <v/>
      </c>
      <c r="BG503" s="90" t="str">
        <f aca="false">IF(ISBLANK($C503),"",BA503)</f>
        <v/>
      </c>
      <c r="BH503" s="90" t="str">
        <f aca="false">IF(ISBLANK($C503),"",AZ503)</f>
        <v/>
      </c>
      <c r="BI503" s="93" t="str">
        <f aca="false">IF(ISBLANK($C503),"",IF(BH503=Constants!$B$4,COUNTA($C$8:$C$507)+2,IF(BH503=Constants!$B$5,COUNTA($C$8:$C$507)+1,IF(BH503=Constants!$B$6,COUNTA($C$8:$C$507),BH503))))</f>
        <v/>
      </c>
      <c r="BJ503" s="5"/>
      <c r="BK503" s="94" t="n">
        <f aca="false">IF(OR(ISNUMBER(BH503),BH503=Constants!$B$4,BH503=Constants!$B$6,BH503=Constants!$B$5),1,0)</f>
        <v>0</v>
      </c>
      <c r="BL503" s="94" t="n">
        <v>496</v>
      </c>
      <c r="BM503" s="94" t="str">
        <f aca="false">IF(ISBLANK($C503),"",IF(ISNUMBER(BI503),BI503+ROW($B503)/1000,""))</f>
        <v/>
      </c>
      <c r="BN503" s="94" t="str">
        <f aca="false">IF(ISNUMBER(BM503),RANK(BM503,$BM$8:$BM$507,1),"")</f>
        <v/>
      </c>
      <c r="BO503" s="94" t="str">
        <f aca="false">IF(ISBLANK($C503),"",$B503)</f>
        <v/>
      </c>
      <c r="BP503" s="94" t="str">
        <f aca="false">IF(ISBLANK($C503),"",$C503)</f>
        <v/>
      </c>
      <c r="BQ503" s="94" t="str">
        <f aca="false">IF(ISBLANK($C503),"",$D503)</f>
        <v/>
      </c>
      <c r="BR503" s="95" t="str">
        <f aca="false">BF503</f>
        <v/>
      </c>
      <c r="BS503" s="96" t="str">
        <f aca="false">BE503</f>
        <v/>
      </c>
      <c r="BT503" s="94" t="str">
        <f aca="false">IF(ISBLANK($C503),"",BH503)</f>
        <v/>
      </c>
      <c r="BU503" s="97" t="str">
        <f aca="false">IF($BL503&gt;$BK$7,"",VLOOKUP($BL503,$BN$8:$BT$507,7,FALSE()))</f>
        <v/>
      </c>
      <c r="BV503" s="98" t="str">
        <f aca="false">IF($BL503&gt;$BK$7,"",VLOOKUP($BL503,$BN$8:$BT$507,2,FALSE()))</f>
        <v/>
      </c>
      <c r="BW503" s="98" t="str">
        <f aca="false">IF($BL503&gt;$BK$7,"",VLOOKUP($BL503,$BN$8:$BT$507,3,FALSE()))</f>
        <v/>
      </c>
      <c r="BX503" s="98" t="str">
        <f aca="false">IF($BL503&gt;$BK$7,"",VLOOKUP($BL503,$BN$8:$BT$507,4,FALSE()))</f>
        <v/>
      </c>
      <c r="BY503" s="98" t="str">
        <f aca="false">IF($BL503&gt;$BK$7,"",VLOOKUP($BL503,$BN$8:$BT$507,5,FALSE()))</f>
        <v/>
      </c>
      <c r="BZ503" s="99" t="str">
        <f aca="false">IF($BL503&gt;$BK$7,"",VLOOKUP($BL503,$BN$8:$BT$507,6,FALSE()))</f>
        <v/>
      </c>
      <c r="CA503" s="48"/>
    </row>
    <row r="504" customFormat="false" ht="15.75" hidden="false" customHeight="false" outlineLevel="0" collapsed="false">
      <c r="A504" s="5"/>
      <c r="B504" s="114"/>
      <c r="C504" s="115"/>
      <c r="D504" s="100"/>
      <c r="E504" s="120"/>
      <c r="F504" s="125"/>
      <c r="G504" s="82"/>
      <c r="H504" s="126"/>
      <c r="I504" s="127"/>
      <c r="J504" s="82"/>
      <c r="K504" s="126"/>
      <c r="L504" s="82"/>
      <c r="M504" s="126"/>
      <c r="N504" s="82"/>
      <c r="O504" s="126"/>
      <c r="P504" s="82"/>
      <c r="Q504" s="126"/>
      <c r="R504" s="82"/>
      <c r="S504" s="120"/>
      <c r="T504" s="86"/>
      <c r="U504" s="87" t="str">
        <f aca="false">IF(ISBLANK($C504),"",IF(E504=Constants!$B$2, TRUE(), IF(E504=Constants!$B$3, FALSE(), TRUE())))</f>
        <v/>
      </c>
      <c r="V504" s="87" t="str">
        <f aca="false">IF(ISBLANK($C504),"",IF(F504=Constants!$B$2, TRUE(), IF(F504=Constants!$B$3, FALSE(), TRUE())))</f>
        <v/>
      </c>
      <c r="W504" s="87" t="str">
        <f aca="false">IF(ISBLANK($C504),"",IF(G504=Constants!$B$15,Constants!$B$8,IF(G504=Constants!$B$16,Constants!$B$9,Constants!$B$10)))</f>
        <v/>
      </c>
      <c r="X504" s="87" t="str">
        <f aca="false">IF(ISBLANK($C504),"",IF(H504=Constants!$B$2, TRUE(), IF(H504=Constants!$B$3, FALSE(), TRUE())))</f>
        <v/>
      </c>
      <c r="Y504" s="87" t="str">
        <f aca="false">IF(ISBLANK($C504),"",IF(I504=Constants!$B$19,Constants!$B$19,Constants!$B$18))</f>
        <v/>
      </c>
      <c r="Z504" s="87" t="str">
        <f aca="false">IF(ISBLANK($C504),"",IF(ISNUMBER(J504),IF(J504&gt;=0,J504,""),""))</f>
        <v/>
      </c>
      <c r="AA504" s="87" t="str">
        <f aca="false">IF(ISBLANK($C504),"",IF(K504=Constants!$B$19,Constants!$B$19,Constants!$B$18))</f>
        <v/>
      </c>
      <c r="AB504" s="87" t="str">
        <f aca="false">IF(ISBLANK($C504),"",IF(ISNUMBER(L504),IF(L504&gt;=0,L504,""),""))</f>
        <v/>
      </c>
      <c r="AC504" s="87" t="str">
        <f aca="false">IF(ISBLANK($C504),"",IF(M504=Constants!$B$19,Constants!$B$19,Constants!$B$18))</f>
        <v/>
      </c>
      <c r="AD504" s="87" t="str">
        <f aca="false">IF(ISBLANK($C504),"",IF(ISNUMBER(N504),IF(N504&gt;=0,N504,""),""))</f>
        <v/>
      </c>
      <c r="AE504" s="87" t="str">
        <f aca="false">IF(ISBLANK($C504),"",IF(O504=Constants!$B$19,Constants!$B$19,Constants!$B$18))</f>
        <v/>
      </c>
      <c r="AF504" s="87" t="str">
        <f aca="false">IF(ISBLANK($C504),"",IF(ISNUMBER(P504),IF(P504&gt;=0,P504,""),""))</f>
        <v/>
      </c>
      <c r="AG504" s="87" t="str">
        <f aca="false">IF(ISBLANK($C504),"",IF(Q504=Constants!$B$19,Constants!$B$19,Constants!$B$18))</f>
        <v/>
      </c>
      <c r="AH504" s="87" t="str">
        <f aca="false">IF(ISBLANK($C504),"",IF(ISNUMBER(R504),IF(R504&gt;=0,R504,""),""))</f>
        <v/>
      </c>
      <c r="AI504" s="87" t="str">
        <f aca="false">IF(ISBLANK($C504),"",IF(S504=Constants!$B$2, TRUE(), IF(S504=Constants!$B$3, FALSE(), FALSE())))</f>
        <v/>
      </c>
      <c r="AJ504" s="87" t="str">
        <f aca="false">IF(ISBLANK($C504),"",IF(AI504,Constants!$B$4,IF(COUNTA(E504:R504)=0,Constants!$B$5,IF(COUNTA(J504,L504,N504,P504,R504)=0,Constants!$B$6,Constants!$B$7))))</f>
        <v/>
      </c>
      <c r="AK504" s="87" t="str">
        <f aca="false">IF(ISBLANK($C504),"",IF($AJ504&lt;&gt;Constants!$B$7,$AJ504,IF(OR(NOT(X504),AND(NOT(U504),COUNTIFS(Y504:AG504,Constants!$B$18,Z504:AH504,"&gt;=0")&gt;0),AND(NOT(V504),COUNTIFS(Y504:AG504,Constants!$B$19,Z504:AH504,"&gt;=0")&gt;0)),Constants!$B$12,Constants!$B$11)))</f>
        <v/>
      </c>
      <c r="AL504" s="87" t="str">
        <f aca="false">IF($AJ504=Constants!$B$7,IF(Z504="",Constants!$B$13,Z504),"")</f>
        <v/>
      </c>
      <c r="AM504" s="87" t="str">
        <f aca="false">IF($AJ504=Constants!$B$7,IF(AB504="",Constants!$B$13,AB504),"")</f>
        <v/>
      </c>
      <c r="AN504" s="87" t="str">
        <f aca="false">IF($AJ504=Constants!$B$7,IF(AD504="",Constants!$B$13,AD504),"")</f>
        <v/>
      </c>
      <c r="AO504" s="87" t="str">
        <f aca="false">IF($AJ504=Constants!$B$7,IF(AF504="",Constants!$B$13,AF504),"")</f>
        <v/>
      </c>
      <c r="AP504" s="87" t="str">
        <f aca="false">IF($AJ504=Constants!$B$7,IF(AH504="",Constants!$B$13,AH504),"")</f>
        <v/>
      </c>
      <c r="AQ504" s="87" t="str">
        <f aca="false">IF($AJ504=Constants!$B$7,IF(SUMPRODUCT(--($AL504:$AP504&gt;AL504))+SUMPRODUCT(--($AL504:AL504=AL504))=1,1,IF(SUMPRODUCT(--($AL504:$AP504&gt;AM504))+SUMPRODUCT(--($AL504:AM504=AM504))=1,2,IF(SUMPRODUCT(--($AL504:$AP504&gt;AN504))+SUMPRODUCT(--($AL504:AN504=AN504))=1,3,IF(SUMPRODUCT(--($AL504:$AP504&gt;AO504))+SUMPRODUCT(--($AL504:AO504=AO504))=1,4,5)))),"")</f>
        <v/>
      </c>
      <c r="AR504" s="87" t="str">
        <f aca="false">IF($AJ504=Constants!$B$7,IF(SUMPRODUCT(--($AL504:$AP504&gt;AL504))+SUMPRODUCT(--($AL504:AL504=AL504))=2,1,IF(SUMPRODUCT(--($AL504:$AP504&gt;AM504))+SUMPRODUCT(--($AL504:AM504=AM504))=2,2,IF(SUMPRODUCT(--($AL504:$AP504&gt;AN504))+SUMPRODUCT(--($AL504:AN504=AN504))=2,3,IF(SUMPRODUCT(--($AL504:$AP504&gt;AO504))+SUMPRODUCT(--($AL504:AO504=AO504))=2,4,5)))),"")</f>
        <v/>
      </c>
      <c r="AS504" s="87" t="str">
        <f aca="false">IF($AJ504=Constants!$B$7,IF(SUMPRODUCT(--($AL504:$AP504&gt;AL504))+SUMPRODUCT(--($AL504:AL504=AL504))=3,1,IF(SUMPRODUCT(--($AL504:$AP504&gt;AM504))+SUMPRODUCT(--($AL504:AM504=AM504))=3,2,IF(SUMPRODUCT(--($AL504:$AP504&gt;AN504))+SUMPRODUCT(--($AL504:AN504=AN504))=3,3,IF(SUMPRODUCT(--($AL504:$AP504&gt;AO504))+SUMPRODUCT(--($AL504:AO504=AO504))=3,4,5)))),"")</f>
        <v/>
      </c>
      <c r="AT504" s="87" t="str">
        <f aca="false">IF($AJ504=Constants!$B$7,LARGE(AL504:AP504,1)+LARGE(AL504:AP504,2)+LARGE(AL504:AP504,3),"")</f>
        <v/>
      </c>
      <c r="AU504" s="87" t="str">
        <f aca="false">IF(ISBLANK($C504),"",IF($AJ504&lt;&gt;Constants!$B$7,$AJ504,AT504*W504))</f>
        <v/>
      </c>
      <c r="AV504" s="87" t="str">
        <f aca="false">IF(ISBLANK($C504),"",IF($AJ504=Constants!$B$7,IF(ISNUMBER(AU504),RANK(AU504,$AU$8:$AU$507),Constants!$B$14),$AJ504))</f>
        <v/>
      </c>
      <c r="AW504" s="87" t="str">
        <f aca="false">IF(ISBLANK($C504),"",IF($AJ504=Constants!$B$7,IF(ISNUMBER(AV504),COUNTIFS($AK$8:$AK$507,"&lt;"&amp;$AK504)+COUNTIFS($AK$8:$AK$507,$AK504,$AV$8:$AV$507,"&lt;"&amp;$AV504)+1,Constants!$B$14),$AJ504))</f>
        <v/>
      </c>
      <c r="AX504" s="87" t="str">
        <f aca="false">IF(ISBLANK($C504),"",IF($AJ504=Constants!$B$7,LARGE(AL504:AP504,4)*W504,""))</f>
        <v/>
      </c>
      <c r="AY504" s="87" t="str">
        <f aca="false">IF(ISBLANK($C504),"",IF($AJ504=Constants!$B$7,RANK(AX504,$AX$8:$AX$507),$AJ504))</f>
        <v/>
      </c>
      <c r="AZ504" s="87" t="str">
        <f aca="false">IF(ISBLANK($C504),"",IF($AJ504=Constants!$B$7,IF(ISNUMBER(AV504),COUNTIFS($AK$8:$AK$507,"&lt;"&amp;$AK504)+COUNTIFS($AK$8:$AK$507,$AK504,$AV$8:$AV$507,"&lt;"&amp;$AV504)+COUNTIFS($AK$8:$AK$507,$AK504,$AV$8:$AV$507,$AV504,$AY$8:$AY$507,"&lt;"&amp;$AY504)+1,Constants!$B$14),$AJ504))</f>
        <v/>
      </c>
      <c r="BA504" s="87" t="str">
        <f aca="false">IF(ISBLANK($C504),"",IF($AJ504=Constants!$B$7,IF(ISNUMBER(AW504),AW504-AZ504,Constants!$B$14),$AJ504))</f>
        <v/>
      </c>
      <c r="BB504" s="88"/>
      <c r="BC504" s="89" t="str">
        <f aca="false">IF(ISBLANK($C504),"",IF($AJ504&lt;&gt;Constants!$B$7,$AJ504,SMALL(AQ504:AS504,1)&amp;", "&amp;SMALL(AQ504:AS504,2)&amp;", "&amp;SMALL(AQ504:AS504,3)))</f>
        <v/>
      </c>
      <c r="BD504" s="90" t="str">
        <f aca="false">IF(ISBLANK($C504),"",IF($AJ504&lt;&gt;Constants!$B$7,$AJ504,W504))</f>
        <v/>
      </c>
      <c r="BE504" s="91" t="str">
        <f aca="false">IF(ISBLANK($C504),"",IF($AJ504&lt;&gt;Constants!$B$7,$AJ504,AU504))</f>
        <v/>
      </c>
      <c r="BF504" s="92" t="str">
        <f aca="false">IF(ISBLANK($C504),"",IF($AJ504&lt;&gt;Constants!$B$7,$AJ504,AK504))</f>
        <v/>
      </c>
      <c r="BG504" s="90" t="str">
        <f aca="false">IF(ISBLANK($C504),"",BA504)</f>
        <v/>
      </c>
      <c r="BH504" s="90" t="str">
        <f aca="false">IF(ISBLANK($C504),"",AZ504)</f>
        <v/>
      </c>
      <c r="BI504" s="93" t="str">
        <f aca="false">IF(ISBLANK($C504),"",IF(BH504=Constants!$B$4,COUNTA($C$8:$C$507)+2,IF(BH504=Constants!$B$5,COUNTA($C$8:$C$507)+1,IF(BH504=Constants!$B$6,COUNTA($C$8:$C$507),BH504))))</f>
        <v/>
      </c>
      <c r="BJ504" s="5"/>
      <c r="BK504" s="94" t="n">
        <f aca="false">IF(OR(ISNUMBER(BH504),BH504=Constants!$B$4,BH504=Constants!$B$6,BH504=Constants!$B$5),1,0)</f>
        <v>0</v>
      </c>
      <c r="BL504" s="94" t="n">
        <v>497</v>
      </c>
      <c r="BM504" s="94" t="str">
        <f aca="false">IF(ISBLANK($C504),"",IF(ISNUMBER(BI504),BI504+ROW($B504)/1000,""))</f>
        <v/>
      </c>
      <c r="BN504" s="94" t="str">
        <f aca="false">IF(ISNUMBER(BM504),RANK(BM504,$BM$8:$BM$507,1),"")</f>
        <v/>
      </c>
      <c r="BO504" s="94" t="str">
        <f aca="false">IF(ISBLANK($C504),"",$B504)</f>
        <v/>
      </c>
      <c r="BP504" s="94" t="str">
        <f aca="false">IF(ISBLANK($C504),"",$C504)</f>
        <v/>
      </c>
      <c r="BQ504" s="94" t="str">
        <f aca="false">IF(ISBLANK($C504),"",$D504)</f>
        <v/>
      </c>
      <c r="BR504" s="95" t="str">
        <f aca="false">BF504</f>
        <v/>
      </c>
      <c r="BS504" s="96" t="str">
        <f aca="false">BE504</f>
        <v/>
      </c>
      <c r="BT504" s="94" t="str">
        <f aca="false">IF(ISBLANK($C504),"",BH504)</f>
        <v/>
      </c>
      <c r="BU504" s="97" t="str">
        <f aca="false">IF($BL504&gt;$BK$7,"",VLOOKUP($BL504,$BN$8:$BT$507,7,FALSE()))</f>
        <v/>
      </c>
      <c r="BV504" s="98" t="str">
        <f aca="false">IF($BL504&gt;$BK$7,"",VLOOKUP($BL504,$BN$8:$BT$507,2,FALSE()))</f>
        <v/>
      </c>
      <c r="BW504" s="98" t="str">
        <f aca="false">IF($BL504&gt;$BK$7,"",VLOOKUP($BL504,$BN$8:$BT$507,3,FALSE()))</f>
        <v/>
      </c>
      <c r="BX504" s="98" t="str">
        <f aca="false">IF($BL504&gt;$BK$7,"",VLOOKUP($BL504,$BN$8:$BT$507,4,FALSE()))</f>
        <v/>
      </c>
      <c r="BY504" s="98" t="str">
        <f aca="false">IF($BL504&gt;$BK$7,"",VLOOKUP($BL504,$BN$8:$BT$507,5,FALSE()))</f>
        <v/>
      </c>
      <c r="BZ504" s="99" t="str">
        <f aca="false">IF($BL504&gt;$BK$7,"",VLOOKUP($BL504,$BN$8:$BT$507,6,FALSE()))</f>
        <v/>
      </c>
      <c r="CA504" s="48"/>
    </row>
    <row r="505" customFormat="false" ht="15.75" hidden="false" customHeight="false" outlineLevel="0" collapsed="false">
      <c r="A505" s="5"/>
      <c r="B505" s="114"/>
      <c r="C505" s="115"/>
      <c r="D505" s="100"/>
      <c r="E505" s="120"/>
      <c r="F505" s="125"/>
      <c r="G505" s="82"/>
      <c r="H505" s="126"/>
      <c r="I505" s="127"/>
      <c r="J505" s="82"/>
      <c r="K505" s="126"/>
      <c r="L505" s="82"/>
      <c r="M505" s="126"/>
      <c r="N505" s="82"/>
      <c r="O505" s="126"/>
      <c r="P505" s="82"/>
      <c r="Q505" s="126"/>
      <c r="R505" s="82"/>
      <c r="S505" s="120"/>
      <c r="T505" s="86"/>
      <c r="U505" s="87" t="str">
        <f aca="false">IF(ISBLANK($C505),"",IF(E505=Constants!$B$2, TRUE(), IF(E505=Constants!$B$3, FALSE(), TRUE())))</f>
        <v/>
      </c>
      <c r="V505" s="87" t="str">
        <f aca="false">IF(ISBLANK($C505),"",IF(F505=Constants!$B$2, TRUE(), IF(F505=Constants!$B$3, FALSE(), TRUE())))</f>
        <v/>
      </c>
      <c r="W505" s="87" t="str">
        <f aca="false">IF(ISBLANK($C505),"",IF(G505=Constants!$B$15,Constants!$B$8,IF(G505=Constants!$B$16,Constants!$B$9,Constants!$B$10)))</f>
        <v/>
      </c>
      <c r="X505" s="87" t="str">
        <f aca="false">IF(ISBLANK($C505),"",IF(H505=Constants!$B$2, TRUE(), IF(H505=Constants!$B$3, FALSE(), TRUE())))</f>
        <v/>
      </c>
      <c r="Y505" s="87" t="str">
        <f aca="false">IF(ISBLANK($C505),"",IF(I505=Constants!$B$19,Constants!$B$19,Constants!$B$18))</f>
        <v/>
      </c>
      <c r="Z505" s="87" t="str">
        <f aca="false">IF(ISBLANK($C505),"",IF(ISNUMBER(J505),IF(J505&gt;=0,J505,""),""))</f>
        <v/>
      </c>
      <c r="AA505" s="87" t="str">
        <f aca="false">IF(ISBLANK($C505),"",IF(K505=Constants!$B$19,Constants!$B$19,Constants!$B$18))</f>
        <v/>
      </c>
      <c r="AB505" s="87" t="str">
        <f aca="false">IF(ISBLANK($C505),"",IF(ISNUMBER(L505),IF(L505&gt;=0,L505,""),""))</f>
        <v/>
      </c>
      <c r="AC505" s="87" t="str">
        <f aca="false">IF(ISBLANK($C505),"",IF(M505=Constants!$B$19,Constants!$B$19,Constants!$B$18))</f>
        <v/>
      </c>
      <c r="AD505" s="87" t="str">
        <f aca="false">IF(ISBLANK($C505),"",IF(ISNUMBER(N505),IF(N505&gt;=0,N505,""),""))</f>
        <v/>
      </c>
      <c r="AE505" s="87" t="str">
        <f aca="false">IF(ISBLANK($C505),"",IF(O505=Constants!$B$19,Constants!$B$19,Constants!$B$18))</f>
        <v/>
      </c>
      <c r="AF505" s="87" t="str">
        <f aca="false">IF(ISBLANK($C505),"",IF(ISNUMBER(P505),IF(P505&gt;=0,P505,""),""))</f>
        <v/>
      </c>
      <c r="AG505" s="87" t="str">
        <f aca="false">IF(ISBLANK($C505),"",IF(Q505=Constants!$B$19,Constants!$B$19,Constants!$B$18))</f>
        <v/>
      </c>
      <c r="AH505" s="87" t="str">
        <f aca="false">IF(ISBLANK($C505),"",IF(ISNUMBER(R505),IF(R505&gt;=0,R505,""),""))</f>
        <v/>
      </c>
      <c r="AI505" s="87" t="str">
        <f aca="false">IF(ISBLANK($C505),"",IF(S505=Constants!$B$2, TRUE(), IF(S505=Constants!$B$3, FALSE(), FALSE())))</f>
        <v/>
      </c>
      <c r="AJ505" s="87" t="str">
        <f aca="false">IF(ISBLANK($C505),"",IF(AI505,Constants!$B$4,IF(COUNTA(E505:R505)=0,Constants!$B$5,IF(COUNTA(J505,L505,N505,P505,R505)=0,Constants!$B$6,Constants!$B$7))))</f>
        <v/>
      </c>
      <c r="AK505" s="87" t="str">
        <f aca="false">IF(ISBLANK($C505),"",IF($AJ505&lt;&gt;Constants!$B$7,$AJ505,IF(OR(NOT(X505),AND(NOT(U505),COUNTIFS(Y505:AG505,Constants!$B$18,Z505:AH505,"&gt;=0")&gt;0),AND(NOT(V505),COUNTIFS(Y505:AG505,Constants!$B$19,Z505:AH505,"&gt;=0")&gt;0)),Constants!$B$12,Constants!$B$11)))</f>
        <v/>
      </c>
      <c r="AL505" s="87" t="str">
        <f aca="false">IF($AJ505=Constants!$B$7,IF(Z505="",Constants!$B$13,Z505),"")</f>
        <v/>
      </c>
      <c r="AM505" s="87" t="str">
        <f aca="false">IF($AJ505=Constants!$B$7,IF(AB505="",Constants!$B$13,AB505),"")</f>
        <v/>
      </c>
      <c r="AN505" s="87" t="str">
        <f aca="false">IF($AJ505=Constants!$B$7,IF(AD505="",Constants!$B$13,AD505),"")</f>
        <v/>
      </c>
      <c r="AO505" s="87" t="str">
        <f aca="false">IF($AJ505=Constants!$B$7,IF(AF505="",Constants!$B$13,AF505),"")</f>
        <v/>
      </c>
      <c r="AP505" s="87" t="str">
        <f aca="false">IF($AJ505=Constants!$B$7,IF(AH505="",Constants!$B$13,AH505),"")</f>
        <v/>
      </c>
      <c r="AQ505" s="87" t="str">
        <f aca="false">IF($AJ505=Constants!$B$7,IF(SUMPRODUCT(--($AL505:$AP505&gt;AL505))+SUMPRODUCT(--($AL505:AL505=AL505))=1,1,IF(SUMPRODUCT(--($AL505:$AP505&gt;AM505))+SUMPRODUCT(--($AL505:AM505=AM505))=1,2,IF(SUMPRODUCT(--($AL505:$AP505&gt;AN505))+SUMPRODUCT(--($AL505:AN505=AN505))=1,3,IF(SUMPRODUCT(--($AL505:$AP505&gt;AO505))+SUMPRODUCT(--($AL505:AO505=AO505))=1,4,5)))),"")</f>
        <v/>
      </c>
      <c r="AR505" s="87" t="str">
        <f aca="false">IF($AJ505=Constants!$B$7,IF(SUMPRODUCT(--($AL505:$AP505&gt;AL505))+SUMPRODUCT(--($AL505:AL505=AL505))=2,1,IF(SUMPRODUCT(--($AL505:$AP505&gt;AM505))+SUMPRODUCT(--($AL505:AM505=AM505))=2,2,IF(SUMPRODUCT(--($AL505:$AP505&gt;AN505))+SUMPRODUCT(--($AL505:AN505=AN505))=2,3,IF(SUMPRODUCT(--($AL505:$AP505&gt;AO505))+SUMPRODUCT(--($AL505:AO505=AO505))=2,4,5)))),"")</f>
        <v/>
      </c>
      <c r="AS505" s="87" t="str">
        <f aca="false">IF($AJ505=Constants!$B$7,IF(SUMPRODUCT(--($AL505:$AP505&gt;AL505))+SUMPRODUCT(--($AL505:AL505=AL505))=3,1,IF(SUMPRODUCT(--($AL505:$AP505&gt;AM505))+SUMPRODUCT(--($AL505:AM505=AM505))=3,2,IF(SUMPRODUCT(--($AL505:$AP505&gt;AN505))+SUMPRODUCT(--($AL505:AN505=AN505))=3,3,IF(SUMPRODUCT(--($AL505:$AP505&gt;AO505))+SUMPRODUCT(--($AL505:AO505=AO505))=3,4,5)))),"")</f>
        <v/>
      </c>
      <c r="AT505" s="87" t="str">
        <f aca="false">IF($AJ505=Constants!$B$7,LARGE(AL505:AP505,1)+LARGE(AL505:AP505,2)+LARGE(AL505:AP505,3),"")</f>
        <v/>
      </c>
      <c r="AU505" s="87" t="str">
        <f aca="false">IF(ISBLANK($C505),"",IF($AJ505&lt;&gt;Constants!$B$7,$AJ505,AT505*W505))</f>
        <v/>
      </c>
      <c r="AV505" s="87" t="str">
        <f aca="false">IF(ISBLANK($C505),"",IF($AJ505=Constants!$B$7,IF(ISNUMBER(AU505),RANK(AU505,$AU$8:$AU$507),Constants!$B$14),$AJ505))</f>
        <v/>
      </c>
      <c r="AW505" s="87" t="str">
        <f aca="false">IF(ISBLANK($C505),"",IF($AJ505=Constants!$B$7,IF(ISNUMBER(AV505),COUNTIFS($AK$8:$AK$507,"&lt;"&amp;$AK505)+COUNTIFS($AK$8:$AK$507,$AK505,$AV$8:$AV$507,"&lt;"&amp;$AV505)+1,Constants!$B$14),$AJ505))</f>
        <v/>
      </c>
      <c r="AX505" s="87" t="str">
        <f aca="false">IF(ISBLANK($C505),"",IF($AJ505=Constants!$B$7,LARGE(AL505:AP505,4)*W505,""))</f>
        <v/>
      </c>
      <c r="AY505" s="87" t="str">
        <f aca="false">IF(ISBLANK($C505),"",IF($AJ505=Constants!$B$7,RANK(AX505,$AX$8:$AX$507),$AJ505))</f>
        <v/>
      </c>
      <c r="AZ505" s="87" t="str">
        <f aca="false">IF(ISBLANK($C505),"",IF($AJ505=Constants!$B$7,IF(ISNUMBER(AV505),COUNTIFS($AK$8:$AK$507,"&lt;"&amp;$AK505)+COUNTIFS($AK$8:$AK$507,$AK505,$AV$8:$AV$507,"&lt;"&amp;$AV505)+COUNTIFS($AK$8:$AK$507,$AK505,$AV$8:$AV$507,$AV505,$AY$8:$AY$507,"&lt;"&amp;$AY505)+1,Constants!$B$14),$AJ505))</f>
        <v/>
      </c>
      <c r="BA505" s="87" t="str">
        <f aca="false">IF(ISBLANK($C505),"",IF($AJ505=Constants!$B$7,IF(ISNUMBER(AW505),AW505-AZ505,Constants!$B$14),$AJ505))</f>
        <v/>
      </c>
      <c r="BB505" s="88"/>
      <c r="BC505" s="89" t="str">
        <f aca="false">IF(ISBLANK($C505),"",IF($AJ505&lt;&gt;Constants!$B$7,$AJ505,SMALL(AQ505:AS505,1)&amp;", "&amp;SMALL(AQ505:AS505,2)&amp;", "&amp;SMALL(AQ505:AS505,3)))</f>
        <v/>
      </c>
      <c r="BD505" s="90" t="str">
        <f aca="false">IF(ISBLANK($C505),"",IF($AJ505&lt;&gt;Constants!$B$7,$AJ505,W505))</f>
        <v/>
      </c>
      <c r="BE505" s="91" t="str">
        <f aca="false">IF(ISBLANK($C505),"",IF($AJ505&lt;&gt;Constants!$B$7,$AJ505,AU505))</f>
        <v/>
      </c>
      <c r="BF505" s="92" t="str">
        <f aca="false">IF(ISBLANK($C505),"",IF($AJ505&lt;&gt;Constants!$B$7,$AJ505,AK505))</f>
        <v/>
      </c>
      <c r="BG505" s="90" t="str">
        <f aca="false">IF(ISBLANK($C505),"",BA505)</f>
        <v/>
      </c>
      <c r="BH505" s="90" t="str">
        <f aca="false">IF(ISBLANK($C505),"",AZ505)</f>
        <v/>
      </c>
      <c r="BI505" s="93" t="str">
        <f aca="false">IF(ISBLANK($C505),"",IF(BH505=Constants!$B$4,COUNTA($C$8:$C$507)+2,IF(BH505=Constants!$B$5,COUNTA($C$8:$C$507)+1,IF(BH505=Constants!$B$6,COUNTA($C$8:$C$507),BH505))))</f>
        <v/>
      </c>
      <c r="BJ505" s="5"/>
      <c r="BK505" s="94" t="n">
        <f aca="false">IF(OR(ISNUMBER(BH505),BH505=Constants!$B$4,BH505=Constants!$B$6,BH505=Constants!$B$5),1,0)</f>
        <v>0</v>
      </c>
      <c r="BL505" s="94" t="n">
        <v>498</v>
      </c>
      <c r="BM505" s="94" t="str">
        <f aca="false">IF(ISBLANK($C505),"",IF(ISNUMBER(BI505),BI505+ROW($B505)/1000,""))</f>
        <v/>
      </c>
      <c r="BN505" s="94" t="str">
        <f aca="false">IF(ISNUMBER(BM505),RANK(BM505,$BM$8:$BM$507,1),"")</f>
        <v/>
      </c>
      <c r="BO505" s="94" t="str">
        <f aca="false">IF(ISBLANK($C505),"",$B505)</f>
        <v/>
      </c>
      <c r="BP505" s="94" t="str">
        <f aca="false">IF(ISBLANK($C505),"",$C505)</f>
        <v/>
      </c>
      <c r="BQ505" s="94" t="str">
        <f aca="false">IF(ISBLANK($C505),"",$D505)</f>
        <v/>
      </c>
      <c r="BR505" s="95" t="str">
        <f aca="false">BF505</f>
        <v/>
      </c>
      <c r="BS505" s="96" t="str">
        <f aca="false">BE505</f>
        <v/>
      </c>
      <c r="BT505" s="94" t="str">
        <f aca="false">IF(ISBLANK($C505),"",BH505)</f>
        <v/>
      </c>
      <c r="BU505" s="97" t="str">
        <f aca="false">IF($BL505&gt;$BK$7,"",VLOOKUP($BL505,$BN$8:$BT$507,7,FALSE()))</f>
        <v/>
      </c>
      <c r="BV505" s="98" t="str">
        <f aca="false">IF($BL505&gt;$BK$7,"",VLOOKUP($BL505,$BN$8:$BT$507,2,FALSE()))</f>
        <v/>
      </c>
      <c r="BW505" s="98" t="str">
        <f aca="false">IF($BL505&gt;$BK$7,"",VLOOKUP($BL505,$BN$8:$BT$507,3,FALSE()))</f>
        <v/>
      </c>
      <c r="BX505" s="98" t="str">
        <f aca="false">IF($BL505&gt;$BK$7,"",VLOOKUP($BL505,$BN$8:$BT$507,4,FALSE()))</f>
        <v/>
      </c>
      <c r="BY505" s="98" t="str">
        <f aca="false">IF($BL505&gt;$BK$7,"",VLOOKUP($BL505,$BN$8:$BT$507,5,FALSE()))</f>
        <v/>
      </c>
      <c r="BZ505" s="99" t="str">
        <f aca="false">IF($BL505&gt;$BK$7,"",VLOOKUP($BL505,$BN$8:$BT$507,6,FALSE()))</f>
        <v/>
      </c>
      <c r="CA505" s="48"/>
    </row>
    <row r="506" customFormat="false" ht="15.75" hidden="false" customHeight="false" outlineLevel="0" collapsed="false">
      <c r="A506" s="5"/>
      <c r="B506" s="121"/>
      <c r="C506" s="50"/>
      <c r="D506" s="51"/>
      <c r="E506" s="74"/>
      <c r="F506" s="122"/>
      <c r="G506" s="54"/>
      <c r="H506" s="123"/>
      <c r="I506" s="124"/>
      <c r="J506" s="54"/>
      <c r="K506" s="123"/>
      <c r="L506" s="54"/>
      <c r="M506" s="123"/>
      <c r="N506" s="54"/>
      <c r="O506" s="123"/>
      <c r="P506" s="54"/>
      <c r="Q506" s="123"/>
      <c r="R506" s="54"/>
      <c r="S506" s="74"/>
      <c r="T506" s="58"/>
      <c r="U506" s="59" t="str">
        <f aca="false">IF(ISBLANK($C506),"",IF(E506=Constants!$B$2, TRUE(), IF(E506=Constants!$B$3, FALSE(), TRUE())))</f>
        <v/>
      </c>
      <c r="V506" s="59" t="str">
        <f aca="false">IF(ISBLANK($C506),"",IF(F506=Constants!$B$2, TRUE(), IF(F506=Constants!$B$3, FALSE(), TRUE())))</f>
        <v/>
      </c>
      <c r="W506" s="59" t="str">
        <f aca="false">IF(ISBLANK($C506),"",IF(G506=Constants!$B$15,Constants!$B$8,IF(G506=Constants!$B$16,Constants!$B$9,Constants!$B$10)))</f>
        <v/>
      </c>
      <c r="X506" s="59" t="str">
        <f aca="false">IF(ISBLANK($C506),"",IF(H506=Constants!$B$2, TRUE(), IF(H506=Constants!$B$3, FALSE(), TRUE())))</f>
        <v/>
      </c>
      <c r="Y506" s="59" t="str">
        <f aca="false">IF(ISBLANK($C506),"",IF(I506=Constants!$B$19,Constants!$B$19,Constants!$B$18))</f>
        <v/>
      </c>
      <c r="Z506" s="59" t="str">
        <f aca="false">IF(ISBLANK($C506),"",IF(ISNUMBER(J506),IF(J506&gt;=0,J506,""),""))</f>
        <v/>
      </c>
      <c r="AA506" s="59" t="str">
        <f aca="false">IF(ISBLANK($C506),"",IF(K506=Constants!$B$19,Constants!$B$19,Constants!$B$18))</f>
        <v/>
      </c>
      <c r="AB506" s="59" t="str">
        <f aca="false">IF(ISBLANK($C506),"",IF(ISNUMBER(L506),IF(L506&gt;=0,L506,""),""))</f>
        <v/>
      </c>
      <c r="AC506" s="59" t="str">
        <f aca="false">IF(ISBLANK($C506),"",IF(M506=Constants!$B$19,Constants!$B$19,Constants!$B$18))</f>
        <v/>
      </c>
      <c r="AD506" s="59" t="str">
        <f aca="false">IF(ISBLANK($C506),"",IF(ISNUMBER(N506),IF(N506&gt;=0,N506,""),""))</f>
        <v/>
      </c>
      <c r="AE506" s="59" t="str">
        <f aca="false">IF(ISBLANK($C506),"",IF(O506=Constants!$B$19,Constants!$B$19,Constants!$B$18))</f>
        <v/>
      </c>
      <c r="AF506" s="59" t="str">
        <f aca="false">IF(ISBLANK($C506),"",IF(ISNUMBER(P506),IF(P506&gt;=0,P506,""),""))</f>
        <v/>
      </c>
      <c r="AG506" s="59" t="str">
        <f aca="false">IF(ISBLANK($C506),"",IF(Q506=Constants!$B$19,Constants!$B$19,Constants!$B$18))</f>
        <v/>
      </c>
      <c r="AH506" s="59" t="str">
        <f aca="false">IF(ISBLANK($C506),"",IF(ISNUMBER(R506),IF(R506&gt;=0,R506,""),""))</f>
        <v/>
      </c>
      <c r="AI506" s="59" t="str">
        <f aca="false">IF(ISBLANK($C506),"",IF(S506=Constants!$B$2, TRUE(), IF(S506=Constants!$B$3, FALSE(), FALSE())))</f>
        <v/>
      </c>
      <c r="AJ506" s="59" t="str">
        <f aca="false">IF(ISBLANK($C506),"",IF(AI506,Constants!$B$4,IF(COUNTA(E506:R506)=0,Constants!$B$5,IF(COUNTA(J506,L506,N506,P506,R506)=0,Constants!$B$6,Constants!$B$7))))</f>
        <v/>
      </c>
      <c r="AK506" s="59" t="str">
        <f aca="false">IF(ISBLANK($C506),"",IF($AJ506&lt;&gt;Constants!$B$7,$AJ506,IF(OR(NOT(X506),AND(NOT(U506),COUNTIFS(Y506:AG506,Constants!$B$18,Z506:AH506,"&gt;=0")&gt;0),AND(NOT(V506),COUNTIFS(Y506:AG506,Constants!$B$19,Z506:AH506,"&gt;=0")&gt;0)),Constants!$B$12,Constants!$B$11)))</f>
        <v/>
      </c>
      <c r="AL506" s="59" t="str">
        <f aca="false">IF($AJ506=Constants!$B$7,IF(Z506="",Constants!$B$13,Z506),"")</f>
        <v/>
      </c>
      <c r="AM506" s="59" t="str">
        <f aca="false">IF($AJ506=Constants!$B$7,IF(AB506="",Constants!$B$13,AB506),"")</f>
        <v/>
      </c>
      <c r="AN506" s="59" t="str">
        <f aca="false">IF($AJ506=Constants!$B$7,IF(AD506="",Constants!$B$13,AD506),"")</f>
        <v/>
      </c>
      <c r="AO506" s="59" t="str">
        <f aca="false">IF($AJ506=Constants!$B$7,IF(AF506="",Constants!$B$13,AF506),"")</f>
        <v/>
      </c>
      <c r="AP506" s="59" t="str">
        <f aca="false">IF($AJ506=Constants!$B$7,IF(AH506="",Constants!$B$13,AH506),"")</f>
        <v/>
      </c>
      <c r="AQ506" s="59" t="str">
        <f aca="false">IF($AJ506=Constants!$B$7,IF(SUMPRODUCT(--($AL506:$AP506&gt;AL506))+SUMPRODUCT(--($AL506:AL506=AL506))=1,1,IF(SUMPRODUCT(--($AL506:$AP506&gt;AM506))+SUMPRODUCT(--($AL506:AM506=AM506))=1,2,IF(SUMPRODUCT(--($AL506:$AP506&gt;AN506))+SUMPRODUCT(--($AL506:AN506=AN506))=1,3,IF(SUMPRODUCT(--($AL506:$AP506&gt;AO506))+SUMPRODUCT(--($AL506:AO506=AO506))=1,4,5)))),"")</f>
        <v/>
      </c>
      <c r="AR506" s="59" t="str">
        <f aca="false">IF($AJ506=Constants!$B$7,IF(SUMPRODUCT(--($AL506:$AP506&gt;AL506))+SUMPRODUCT(--($AL506:AL506=AL506))=2,1,IF(SUMPRODUCT(--($AL506:$AP506&gt;AM506))+SUMPRODUCT(--($AL506:AM506=AM506))=2,2,IF(SUMPRODUCT(--($AL506:$AP506&gt;AN506))+SUMPRODUCT(--($AL506:AN506=AN506))=2,3,IF(SUMPRODUCT(--($AL506:$AP506&gt;AO506))+SUMPRODUCT(--($AL506:AO506=AO506))=2,4,5)))),"")</f>
        <v/>
      </c>
      <c r="AS506" s="59" t="str">
        <f aca="false">IF($AJ506=Constants!$B$7,IF(SUMPRODUCT(--($AL506:$AP506&gt;AL506))+SUMPRODUCT(--($AL506:AL506=AL506))=3,1,IF(SUMPRODUCT(--($AL506:$AP506&gt;AM506))+SUMPRODUCT(--($AL506:AM506=AM506))=3,2,IF(SUMPRODUCT(--($AL506:$AP506&gt;AN506))+SUMPRODUCT(--($AL506:AN506=AN506))=3,3,IF(SUMPRODUCT(--($AL506:$AP506&gt;AO506))+SUMPRODUCT(--($AL506:AO506=AO506))=3,4,5)))),"")</f>
        <v/>
      </c>
      <c r="AT506" s="59" t="str">
        <f aca="false">IF($AJ506=Constants!$B$7,LARGE(AL506:AP506,1)+LARGE(AL506:AP506,2)+LARGE(AL506:AP506,3),"")</f>
        <v/>
      </c>
      <c r="AU506" s="59" t="str">
        <f aca="false">IF(ISBLANK($C506),"",IF($AJ506&lt;&gt;Constants!$B$7,$AJ506,AT506*W506))</f>
        <v/>
      </c>
      <c r="AV506" s="59" t="str">
        <f aca="false">IF(ISBLANK($C506),"",IF($AJ506=Constants!$B$7,IF(ISNUMBER(AU506),RANK(AU506,$AU$8:$AU$507),Constants!$B$14),$AJ506))</f>
        <v/>
      </c>
      <c r="AW506" s="59" t="str">
        <f aca="false">IF(ISBLANK($C506),"",IF($AJ506=Constants!$B$7,IF(ISNUMBER(AV506),COUNTIFS($AK$8:$AK$507,"&lt;"&amp;$AK506)+COUNTIFS($AK$8:$AK$507,$AK506,$AV$8:$AV$507,"&lt;"&amp;$AV506)+1,Constants!$B$14),$AJ506))</f>
        <v/>
      </c>
      <c r="AX506" s="59" t="str">
        <f aca="false">IF(ISBLANK($C506),"",IF($AJ506=Constants!$B$7,LARGE(AL506:AP506,4)*W506,""))</f>
        <v/>
      </c>
      <c r="AY506" s="59" t="str">
        <f aca="false">IF(ISBLANK($C506),"",IF($AJ506=Constants!$B$7,RANK(AX506,$AX$8:$AX$507),$AJ506))</f>
        <v/>
      </c>
      <c r="AZ506" s="59" t="str">
        <f aca="false">IF(ISBLANK($C506),"",IF($AJ506=Constants!$B$7,IF(ISNUMBER(AV506),COUNTIFS($AK$8:$AK$507,"&lt;"&amp;$AK506)+COUNTIFS($AK$8:$AK$507,$AK506,$AV$8:$AV$507,"&lt;"&amp;$AV506)+COUNTIFS($AK$8:$AK$507,$AK506,$AV$8:$AV$507,$AV506,$AY$8:$AY$507,"&lt;"&amp;$AY506)+1,Constants!$B$14),$AJ506))</f>
        <v/>
      </c>
      <c r="BA506" s="59" t="str">
        <f aca="false">IF(ISBLANK($C506),"",IF($AJ506=Constants!$B$7,IF(ISNUMBER(AW506),AW506-AZ506,Constants!$B$14),$AJ506))</f>
        <v/>
      </c>
      <c r="BB506" s="61"/>
      <c r="BC506" s="62" t="str">
        <f aca="false">IF(ISBLANK($C506),"",IF($AJ506&lt;&gt;Constants!$B$7,$AJ506,SMALL(AQ506:AS506,1)&amp;", "&amp;SMALL(AQ506:AS506,2)&amp;", "&amp;SMALL(AQ506:AS506,3)))</f>
        <v/>
      </c>
      <c r="BD506" s="63" t="str">
        <f aca="false">IF(ISBLANK($C506),"",IF($AJ506&lt;&gt;Constants!$B$7,$AJ506,W506))</f>
        <v/>
      </c>
      <c r="BE506" s="64" t="str">
        <f aca="false">IF(ISBLANK($C506),"",IF($AJ506&lt;&gt;Constants!$B$7,$AJ506,AU506))</f>
        <v/>
      </c>
      <c r="BF506" s="65" t="str">
        <f aca="false">IF(ISBLANK($C506),"",IF($AJ506&lt;&gt;Constants!$B$7,$AJ506,AK506))</f>
        <v/>
      </c>
      <c r="BG506" s="63" t="str">
        <f aca="false">IF(ISBLANK($C506),"",BA506)</f>
        <v/>
      </c>
      <c r="BH506" s="63" t="str">
        <f aca="false">IF(ISBLANK($C506),"",AZ506)</f>
        <v/>
      </c>
      <c r="BI506" s="66" t="str">
        <f aca="false">IF(ISBLANK($C506),"",IF(BH506=Constants!$B$4,COUNTA($C$8:$C$507)+2,IF(BH506=Constants!$B$5,COUNTA($C$8:$C$507)+1,IF(BH506=Constants!$B$6,COUNTA($C$8:$C$507),BH506))))</f>
        <v/>
      </c>
      <c r="BJ506" s="5"/>
      <c r="BK506" s="67" t="n">
        <f aca="false">IF(OR(ISNUMBER(BH506),BH506=Constants!$B$4,BH506=Constants!$B$6,BH506=Constants!$B$5),1,0)</f>
        <v>0</v>
      </c>
      <c r="BL506" s="67" t="n">
        <v>499</v>
      </c>
      <c r="BM506" s="67" t="str">
        <f aca="false">IF(ISBLANK($C506),"",IF(ISNUMBER(BI506),BI506+ROW($B506)/1000,""))</f>
        <v/>
      </c>
      <c r="BN506" s="67" t="str">
        <f aca="false">IF(ISNUMBER(BM506),RANK(BM506,$BM$8:$BM$507,1),"")</f>
        <v/>
      </c>
      <c r="BO506" s="67" t="str">
        <f aca="false">IF(ISBLANK($C506),"",$B506)</f>
        <v/>
      </c>
      <c r="BP506" s="67" t="str">
        <f aca="false">IF(ISBLANK($C506),"",$C506)</f>
        <v/>
      </c>
      <c r="BQ506" s="67" t="str">
        <f aca="false">IF(ISBLANK($C506),"",$D506)</f>
        <v/>
      </c>
      <c r="BR506" s="68" t="str">
        <f aca="false">BF506</f>
        <v/>
      </c>
      <c r="BS506" s="69" t="str">
        <f aca="false">BE506</f>
        <v/>
      </c>
      <c r="BT506" s="67" t="str">
        <f aca="false">IF(ISBLANK($C506),"",BH506)</f>
        <v/>
      </c>
      <c r="BU506" s="70" t="str">
        <f aca="false">IF($BL506&gt;$BK$7,"",VLOOKUP($BL506,$BN$8:$BT$507,7,FALSE()))</f>
        <v/>
      </c>
      <c r="BV506" s="71" t="str">
        <f aca="false">IF($BL506&gt;$BK$7,"",VLOOKUP($BL506,$BN$8:$BT$507,2,FALSE()))</f>
        <v/>
      </c>
      <c r="BW506" s="71" t="str">
        <f aca="false">IF($BL506&gt;$BK$7,"",VLOOKUP($BL506,$BN$8:$BT$507,3,FALSE()))</f>
        <v/>
      </c>
      <c r="BX506" s="71" t="str">
        <f aca="false">IF($BL506&gt;$BK$7,"",VLOOKUP($BL506,$BN$8:$BT$507,4,FALSE()))</f>
        <v/>
      </c>
      <c r="BY506" s="71" t="str">
        <f aca="false">IF($BL506&gt;$BK$7,"",VLOOKUP($BL506,$BN$8:$BT$507,5,FALSE()))</f>
        <v/>
      </c>
      <c r="BZ506" s="72" t="str">
        <f aca="false">IF($BL506&gt;$BK$7,"",VLOOKUP($BL506,$BN$8:$BT$507,6,FALSE()))</f>
        <v/>
      </c>
      <c r="CA506" s="48"/>
    </row>
    <row r="507" customFormat="false" ht="15.75" hidden="false" customHeight="false" outlineLevel="0" collapsed="false">
      <c r="A507" s="5"/>
      <c r="B507" s="121"/>
      <c r="C507" s="50"/>
      <c r="D507" s="51"/>
      <c r="E507" s="74"/>
      <c r="F507" s="122"/>
      <c r="G507" s="54"/>
      <c r="H507" s="123"/>
      <c r="I507" s="124"/>
      <c r="J507" s="54"/>
      <c r="K507" s="123"/>
      <c r="L507" s="54"/>
      <c r="M507" s="123"/>
      <c r="N507" s="54"/>
      <c r="O507" s="123"/>
      <c r="P507" s="54"/>
      <c r="Q507" s="123"/>
      <c r="R507" s="54"/>
      <c r="S507" s="74"/>
      <c r="T507" s="58"/>
      <c r="U507" s="59" t="str">
        <f aca="false">IF(ISBLANK($C507),"",IF(E507=Constants!$B$2, TRUE(), IF(E507=Constants!$B$3, FALSE(), TRUE())))</f>
        <v/>
      </c>
      <c r="V507" s="59" t="str">
        <f aca="false">IF(ISBLANK($C507),"",IF(F507=Constants!$B$2, TRUE(), IF(F507=Constants!$B$3, FALSE(), TRUE())))</f>
        <v/>
      </c>
      <c r="W507" s="59" t="str">
        <f aca="false">IF(ISBLANK($C507),"",IF(G507=Constants!$B$15,Constants!$B$8,IF(G507=Constants!$B$16,Constants!$B$9,Constants!$B$10)))</f>
        <v/>
      </c>
      <c r="X507" s="59" t="str">
        <f aca="false">IF(ISBLANK($C507),"",IF(H507=Constants!$B$2, TRUE(), IF(H507=Constants!$B$3, FALSE(), TRUE())))</f>
        <v/>
      </c>
      <c r="Y507" s="59" t="str">
        <f aca="false">IF(ISBLANK($C507),"",IF(I507=Constants!$B$19,Constants!$B$19,Constants!$B$18))</f>
        <v/>
      </c>
      <c r="Z507" s="59" t="str">
        <f aca="false">IF(ISBLANK($C507),"",IF(ISNUMBER(J507),IF(J507&gt;=0,J507,""),""))</f>
        <v/>
      </c>
      <c r="AA507" s="59" t="str">
        <f aca="false">IF(ISBLANK($C507),"",IF(K507=Constants!$B$19,Constants!$B$19,Constants!$B$18))</f>
        <v/>
      </c>
      <c r="AB507" s="59" t="str">
        <f aca="false">IF(ISBLANK($C507),"",IF(ISNUMBER(L507),IF(L507&gt;=0,L507,""),""))</f>
        <v/>
      </c>
      <c r="AC507" s="59" t="str">
        <f aca="false">IF(ISBLANK($C507),"",IF(M507=Constants!$B$19,Constants!$B$19,Constants!$B$18))</f>
        <v/>
      </c>
      <c r="AD507" s="59" t="str">
        <f aca="false">IF(ISBLANK($C507),"",IF(ISNUMBER(N507),IF(N507&gt;=0,N507,""),""))</f>
        <v/>
      </c>
      <c r="AE507" s="59" t="str">
        <f aca="false">IF(ISBLANK($C507),"",IF(O507=Constants!$B$19,Constants!$B$19,Constants!$B$18))</f>
        <v/>
      </c>
      <c r="AF507" s="59" t="str">
        <f aca="false">IF(ISBLANK($C507),"",IF(ISNUMBER(P507),IF(P507&gt;=0,P507,""),""))</f>
        <v/>
      </c>
      <c r="AG507" s="59" t="str">
        <f aca="false">IF(ISBLANK($C507),"",IF(Q507=Constants!$B$19,Constants!$B$19,Constants!$B$18))</f>
        <v/>
      </c>
      <c r="AH507" s="59" t="str">
        <f aca="false">IF(ISBLANK($C507),"",IF(ISNUMBER(R507),IF(R507&gt;=0,R507,""),""))</f>
        <v/>
      </c>
      <c r="AI507" s="59" t="str">
        <f aca="false">IF(ISBLANK($C507),"",IF(S507=Constants!$B$2, TRUE(), IF(S507=Constants!$B$3, FALSE(), FALSE())))</f>
        <v/>
      </c>
      <c r="AJ507" s="59" t="str">
        <f aca="false">IF(ISBLANK($C507),"",IF(AI507,Constants!$B$4,IF(COUNTA(E507:R507)=0,Constants!$B$5,IF(COUNTA(J507,L507,N507,P507,R507)=0,Constants!$B$6,Constants!$B$7))))</f>
        <v/>
      </c>
      <c r="AK507" s="59" t="str">
        <f aca="false">IF(ISBLANK($C507),"",IF($AJ507&lt;&gt;Constants!$B$7,$AJ507,IF(OR(NOT(X507),AND(NOT(U507),COUNTIFS(Y507:AG507,Constants!$B$18,Z507:AH507,"&gt;=0")&gt;0),AND(NOT(V507),COUNTIFS(Y507:AG507,Constants!$B$19,Z507:AH507,"&gt;=0")&gt;0)),Constants!$B$12,Constants!$B$11)))</f>
        <v/>
      </c>
      <c r="AL507" s="59" t="str">
        <f aca="false">IF($AJ507=Constants!$B$7,IF(Z507="",Constants!$B$13,Z507),"")</f>
        <v/>
      </c>
      <c r="AM507" s="59" t="str">
        <f aca="false">IF($AJ507=Constants!$B$7,IF(AB507="",Constants!$B$13,AB507),"")</f>
        <v/>
      </c>
      <c r="AN507" s="59" t="str">
        <f aca="false">IF($AJ507=Constants!$B$7,IF(AD507="",Constants!$B$13,AD507),"")</f>
        <v/>
      </c>
      <c r="AO507" s="59" t="str">
        <f aca="false">IF($AJ507=Constants!$B$7,IF(AF507="",Constants!$B$13,AF507),"")</f>
        <v/>
      </c>
      <c r="AP507" s="59" t="str">
        <f aca="false">IF($AJ507=Constants!$B$7,IF(AH507="",Constants!$B$13,AH507),"")</f>
        <v/>
      </c>
      <c r="AQ507" s="59" t="str">
        <f aca="false">IF($AJ507=Constants!$B$7,IF(SUMPRODUCT(--($AL507:$AP507&gt;AL507))+SUMPRODUCT(--($AL507:AL507=AL507))=1,1,IF(SUMPRODUCT(--($AL507:$AP507&gt;AM507))+SUMPRODUCT(--($AL507:AM507=AM507))=1,2,IF(SUMPRODUCT(--($AL507:$AP507&gt;AN507))+SUMPRODUCT(--($AL507:AN507=AN507))=1,3,IF(SUMPRODUCT(--($AL507:$AP507&gt;AO507))+SUMPRODUCT(--($AL507:AO507=AO507))=1,4,5)))),"")</f>
        <v/>
      </c>
      <c r="AR507" s="59" t="str">
        <f aca="false">IF($AJ507=Constants!$B$7,IF(SUMPRODUCT(--($AL507:$AP507&gt;AL507))+SUMPRODUCT(--($AL507:AL507=AL507))=2,1,IF(SUMPRODUCT(--($AL507:$AP507&gt;AM507))+SUMPRODUCT(--($AL507:AM507=AM507))=2,2,IF(SUMPRODUCT(--($AL507:$AP507&gt;AN507))+SUMPRODUCT(--($AL507:AN507=AN507))=2,3,IF(SUMPRODUCT(--($AL507:$AP507&gt;AO507))+SUMPRODUCT(--($AL507:AO507=AO507))=2,4,5)))),"")</f>
        <v/>
      </c>
      <c r="AS507" s="59" t="str">
        <f aca="false">IF($AJ507=Constants!$B$7,IF(SUMPRODUCT(--($AL507:$AP507&gt;AL507))+SUMPRODUCT(--($AL507:AL507=AL507))=3,1,IF(SUMPRODUCT(--($AL507:$AP507&gt;AM507))+SUMPRODUCT(--($AL507:AM507=AM507))=3,2,IF(SUMPRODUCT(--($AL507:$AP507&gt;AN507))+SUMPRODUCT(--($AL507:AN507=AN507))=3,3,IF(SUMPRODUCT(--($AL507:$AP507&gt;AO507))+SUMPRODUCT(--($AL507:AO507=AO507))=3,4,5)))),"")</f>
        <v/>
      </c>
      <c r="AT507" s="59" t="str">
        <f aca="false">IF($AJ507=Constants!$B$7,LARGE(AL507:AP507,1)+LARGE(AL507:AP507,2)+LARGE(AL507:AP507,3),"")</f>
        <v/>
      </c>
      <c r="AU507" s="59" t="str">
        <f aca="false">IF(ISBLANK($C507),"",IF($AJ507&lt;&gt;Constants!$B$7,$AJ507,AT507*W507))</f>
        <v/>
      </c>
      <c r="AV507" s="59" t="str">
        <f aca="false">IF(ISBLANK($C507),"",IF($AJ507=Constants!$B$7,IF(ISNUMBER(AU507),RANK(AU507,$AU$8:$AU$507),Constants!$B$14),$AJ507))</f>
        <v/>
      </c>
      <c r="AW507" s="59" t="str">
        <f aca="false">IF(ISBLANK($C507),"",IF($AJ507=Constants!$B$7,IF(ISNUMBER(AV507),COUNTIFS($AK$8:$AK$507,"&lt;"&amp;$AK507)+COUNTIFS($AK$8:$AK$507,$AK507,$AV$8:$AV$507,"&lt;"&amp;$AV507)+1,Constants!$B$14),$AJ507))</f>
        <v/>
      </c>
      <c r="AX507" s="59" t="str">
        <f aca="false">IF(ISBLANK($C507),"",IF($AJ507=Constants!$B$7,LARGE(AL507:AP507,4)*W507,""))</f>
        <v/>
      </c>
      <c r="AY507" s="59" t="str">
        <f aca="false">IF(ISBLANK($C507),"",IF($AJ507=Constants!$B$7,RANK(AX507,$AX$8:$AX$507),$AJ507))</f>
        <v/>
      </c>
      <c r="AZ507" s="59" t="str">
        <f aca="false">IF(ISBLANK($C507),"",IF($AJ507=Constants!$B$7,IF(ISNUMBER(AV507),COUNTIFS($AK$8:$AK$507,"&lt;"&amp;$AK507)+COUNTIFS($AK$8:$AK$507,$AK507,$AV$8:$AV$507,"&lt;"&amp;$AV507)+COUNTIFS($AK$8:$AK$507,$AK507,$AV$8:$AV$507,$AV507,$AY$8:$AY$507,"&lt;"&amp;$AY507)+1,Constants!$B$14),$AJ507))</f>
        <v/>
      </c>
      <c r="BA507" s="59" t="str">
        <f aca="false">IF(ISBLANK($C507),"",IF($AJ507=Constants!$B$7,IF(ISNUMBER(AW507),AW507-AZ507,Constants!$B$14),$AJ507))</f>
        <v/>
      </c>
      <c r="BB507" s="61"/>
      <c r="BC507" s="62" t="str">
        <f aca="false">IF(ISBLANK($C507),"",IF($AJ507&lt;&gt;Constants!$B$7,$AJ507,SMALL(AQ507:AS507,1)&amp;", "&amp;SMALL(AQ507:AS507,2)&amp;", "&amp;SMALL(AQ507:AS507,3)))</f>
        <v/>
      </c>
      <c r="BD507" s="63" t="str">
        <f aca="false">IF(ISBLANK($C507),"",IF($AJ507&lt;&gt;Constants!$B$7,$AJ507,W507))</f>
        <v/>
      </c>
      <c r="BE507" s="64" t="str">
        <f aca="false">IF(ISBLANK($C507),"",IF($AJ507&lt;&gt;Constants!$B$7,$AJ507,AU507))</f>
        <v/>
      </c>
      <c r="BF507" s="65" t="str">
        <f aca="false">IF(ISBLANK($C507),"",IF($AJ507&lt;&gt;Constants!$B$7,$AJ507,AK507))</f>
        <v/>
      </c>
      <c r="BG507" s="63" t="str">
        <f aca="false">IF(ISBLANK($C507),"",BA507)</f>
        <v/>
      </c>
      <c r="BH507" s="63" t="str">
        <f aca="false">IF(ISBLANK($C507),"",AZ507)</f>
        <v/>
      </c>
      <c r="BI507" s="66" t="str">
        <f aca="false">IF(ISBLANK($C507),"",IF(BH507=Constants!$B$4,COUNTA($C$8:$C$507)+2,IF(BH507=Constants!$B$5,COUNTA($C$8:$C$507)+1,IF(BH507=Constants!$B$6,COUNTA($C$8:$C$507),BH507))))</f>
        <v/>
      </c>
      <c r="BJ507" s="5"/>
      <c r="BK507" s="67" t="n">
        <f aca="false">IF(OR(ISNUMBER(BH507),BH507=Constants!$B$4,BH507=Constants!$B$6,BH507=Constants!$B$5),1,0)</f>
        <v>0</v>
      </c>
      <c r="BL507" s="67" t="n">
        <v>500</v>
      </c>
      <c r="BM507" s="67" t="str">
        <f aca="false">IF(ISBLANK($C507),"",IF(ISNUMBER(BI507),BI507+ROW($B507)/1000,""))</f>
        <v/>
      </c>
      <c r="BN507" s="67" t="str">
        <f aca="false">IF(ISNUMBER(BM507),RANK(BM507,$BM$8:$BM$507,1),"")</f>
        <v/>
      </c>
      <c r="BO507" s="67" t="str">
        <f aca="false">IF(ISBLANK($C507),"",$B507)</f>
        <v/>
      </c>
      <c r="BP507" s="67" t="str">
        <f aca="false">IF(ISBLANK($C507),"",$C507)</f>
        <v/>
      </c>
      <c r="BQ507" s="67" t="str">
        <f aca="false">IF(ISBLANK($C507),"",$D507)</f>
        <v/>
      </c>
      <c r="BR507" s="68" t="str">
        <f aca="false">BF507</f>
        <v/>
      </c>
      <c r="BS507" s="69" t="str">
        <f aca="false">BE507</f>
        <v/>
      </c>
      <c r="BT507" s="67" t="str">
        <f aca="false">IF(ISBLANK($C507),"",BH507)</f>
        <v/>
      </c>
      <c r="BU507" s="70" t="str">
        <f aca="false">IF($BL507&gt;$BK$7,"",VLOOKUP($BL507,$BN$8:$BT$507,7,FALSE()))</f>
        <v/>
      </c>
      <c r="BV507" s="71" t="str">
        <f aca="false">IF($BL507&gt;$BK$7,"",VLOOKUP($BL507,$BN$8:$BT$507,2,FALSE()))</f>
        <v/>
      </c>
      <c r="BW507" s="71" t="str">
        <f aca="false">IF($BL507&gt;$BK$7,"",VLOOKUP($BL507,$BN$8:$BT$507,3,FALSE()))</f>
        <v/>
      </c>
      <c r="BX507" s="71" t="str">
        <f aca="false">IF($BL507&gt;$BK$7,"",VLOOKUP($BL507,$BN$8:$BT$507,4,FALSE()))</f>
        <v/>
      </c>
      <c r="BY507" s="71" t="str">
        <f aca="false">IF($BL507&gt;$BK$7,"",VLOOKUP($BL507,$BN$8:$BT$507,5,FALSE()))</f>
        <v/>
      </c>
      <c r="BZ507" s="72" t="str">
        <f aca="false">IF($BL507&gt;$BK$7,"",VLOOKUP($BL507,$BN$8:$BT$507,6,FALSE()))</f>
        <v/>
      </c>
      <c r="CA507" s="48"/>
    </row>
  </sheetData>
  <mergeCells count="67">
    <mergeCell ref="B2:D3"/>
    <mergeCell ref="E2:G2"/>
    <mergeCell ref="H2:R2"/>
    <mergeCell ref="T2:T6"/>
    <mergeCell ref="BB2:BB6"/>
    <mergeCell ref="BC2:BD2"/>
    <mergeCell ref="BE2:BI2"/>
    <mergeCell ref="BM2:BM7"/>
    <mergeCell ref="BN2:BN7"/>
    <mergeCell ref="BO2:BO7"/>
    <mergeCell ref="BP2:BP7"/>
    <mergeCell ref="BQ2:BQ7"/>
    <mergeCell ref="BR2:BR7"/>
    <mergeCell ref="BS2:BS7"/>
    <mergeCell ref="BT2:BT7"/>
    <mergeCell ref="BU2:BZ2"/>
    <mergeCell ref="G3:G7"/>
    <mergeCell ref="H3:H7"/>
    <mergeCell ref="I3:J3"/>
    <mergeCell ref="K3:L3"/>
    <mergeCell ref="M3:N3"/>
    <mergeCell ref="O3:P3"/>
    <mergeCell ref="Q3:R3"/>
    <mergeCell ref="S3:S7"/>
    <mergeCell ref="U3:U7"/>
    <mergeCell ref="V3:V7"/>
    <mergeCell ref="W3:W7"/>
    <mergeCell ref="X3:X7"/>
    <mergeCell ref="Y3:Y7"/>
    <mergeCell ref="Z3:Z7"/>
    <mergeCell ref="AA3:AA7"/>
    <mergeCell ref="AB3:AB7"/>
    <mergeCell ref="AC3:AC7"/>
    <mergeCell ref="AD3:AD7"/>
    <mergeCell ref="AE3:AE7"/>
    <mergeCell ref="AF3:AF7"/>
    <mergeCell ref="AG3:AG7"/>
    <mergeCell ref="AH3:AH7"/>
    <mergeCell ref="AI3:AI7"/>
    <mergeCell ref="BC3:BC7"/>
    <mergeCell ref="BD3:BD7"/>
    <mergeCell ref="BE3:BE7"/>
    <mergeCell ref="BF3:BF7"/>
    <mergeCell ref="BG3:BG7"/>
    <mergeCell ref="BH3:BH7"/>
    <mergeCell ref="BI3:BI7"/>
    <mergeCell ref="BU3:BU7"/>
    <mergeCell ref="BV3:BV7"/>
    <mergeCell ref="BW3:BW7"/>
    <mergeCell ref="BX3:BX7"/>
    <mergeCell ref="BY3:BY7"/>
    <mergeCell ref="BZ3:BZ7"/>
    <mergeCell ref="B4:D4"/>
    <mergeCell ref="E4:E7"/>
    <mergeCell ref="F4:F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B5:D5"/>
    <mergeCell ref="B6:D6"/>
  </mergeCells>
  <conditionalFormatting sqref="E8:F507 H8:H507">
    <cfRule type="cellIs" priority="3" operator="equal" aboveAverage="0" equalAverage="0" bottom="0" percent="0" rank="0" text="" dxfId="1">
      <formula>"F"</formula>
    </cfRule>
  </conditionalFormatting>
  <conditionalFormatting sqref="B4:D4">
    <cfRule type="containsText" priority="4" operator="containsText" aboveAverage="0" equalAverage="0" bottom="0" percent="0" rank="0" text="download" dxfId="2">
      <formula>NOT(ISERROR(SEARCH("download",B4)))</formula>
    </cfRule>
  </conditionalFormatting>
  <conditionalFormatting sqref="S8:S507">
    <cfRule type="cellIs" priority="5" operator="equal" aboveAverage="0" equalAverage="0" bottom="0" percent="0" rank="0" text="" dxfId="1">
      <formula>"T"</formula>
    </cfRule>
  </conditionalFormatting>
  <conditionalFormatting sqref="G8:G507">
    <cfRule type="cellIs" priority="6" operator="equal" aboveAverage="0" equalAverage="0" bottom="0" percent="0" rank="0" text="" dxfId="3">
      <formula>"Complete"</formula>
    </cfRule>
    <cfRule type="cellIs" priority="7" operator="equal" aboveAverage="0" equalAverage="0" bottom="0" percent="0" rank="0" text="" dxfId="3">
      <formula>"Partial"</formula>
    </cfRule>
  </conditionalFormatting>
  <dataValidations count="4">
    <dataValidation allowBlank="true" errorStyle="stop" operator="between" prompt="True (T)/False (F)" showDropDown="false" showErrorMessage="true" showInputMessage="true" sqref="E8:F507 H8:H507 S8:S507" type="list">
      <formula1>"T,F"</formula1>
      <formula2>0</formula2>
    </dataValidation>
    <dataValidation allowBlank="true" errorStyle="stop" operator="between" prompt="Complete / Partial / Not present (blank = Not present)" showDropDown="false" showErrorMessage="true" showInputMessage="true" sqref="G8:G507" type="list">
      <formula1>Constants!$B$15:$B$17</formula1>
      <formula2>0</formula2>
    </dataValidation>
    <dataValidation allowBlank="true" errorStyle="stop" operator="between" prompt="Glider A or B (blank = A)" showDropDown="false" showErrorMessage="true" showInputMessage="true" sqref="I8:I507 K8:K507 M8:M507 O8:O507 Q8:Q507" type="list">
      <formula1>Constants!$B$18:$B$19</formula1>
      <formula2>0</formula2>
    </dataValidation>
    <dataValidation allowBlank="true" errorStyle="stop" operator="greaterThanOrEqual" prompt="Seconds" showDropDown="false" showErrorMessage="true" showInputMessage="true" sqref="J8:J507 L8:L507 N8:N507 P8:P507 R8:R507" type="decimal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91"/>
  </cols>
  <sheetData>
    <row r="1" customFormat="false" ht="15.75" hidden="false" customHeight="false" outlineLevel="0" collapsed="false">
      <c r="A1" s="128" t="s">
        <v>59</v>
      </c>
      <c r="B1" s="128" t="s">
        <v>60</v>
      </c>
    </row>
    <row r="2" customFormat="false" ht="15.75" hidden="false" customHeight="false" outlineLevel="0" collapsed="false">
      <c r="A2" s="128" t="b">
        <f aca="false">TRUE()</f>
        <v>1</v>
      </c>
      <c r="B2" s="128" t="s">
        <v>61</v>
      </c>
    </row>
    <row r="3" customFormat="false" ht="15.75" hidden="false" customHeight="false" outlineLevel="0" collapsed="false">
      <c r="A3" s="128" t="b">
        <f aca="false">FALSE()</f>
        <v>0</v>
      </c>
      <c r="B3" s="128" t="s">
        <v>62</v>
      </c>
    </row>
    <row r="4" customFormat="false" ht="15.75" hidden="false" customHeight="false" outlineLevel="0" collapsed="false">
      <c r="A4" s="128" t="s">
        <v>63</v>
      </c>
      <c r="B4" s="128" t="s">
        <v>64</v>
      </c>
    </row>
    <row r="5" customFormat="false" ht="15.75" hidden="false" customHeight="false" outlineLevel="0" collapsed="false">
      <c r="A5" s="128" t="s">
        <v>65</v>
      </c>
      <c r="B5" s="128" t="s">
        <v>66</v>
      </c>
    </row>
    <row r="6" customFormat="false" ht="15.75" hidden="false" customHeight="false" outlineLevel="0" collapsed="false">
      <c r="A6" s="128" t="s">
        <v>67</v>
      </c>
      <c r="B6" s="128" t="s">
        <v>68</v>
      </c>
    </row>
    <row r="7" customFormat="false" ht="15.75" hidden="false" customHeight="false" outlineLevel="0" collapsed="false">
      <c r="A7" s="128" t="s">
        <v>69</v>
      </c>
      <c r="B7" s="128" t="s">
        <v>70</v>
      </c>
    </row>
    <row r="8" customFormat="false" ht="15.75" hidden="false" customHeight="false" outlineLevel="0" collapsed="false">
      <c r="A8" s="128" t="s">
        <v>71</v>
      </c>
      <c r="B8" s="128" t="n">
        <v>1.2</v>
      </c>
    </row>
    <row r="9" customFormat="false" ht="15.75" hidden="false" customHeight="false" outlineLevel="0" collapsed="false">
      <c r="A9" s="128" t="s">
        <v>72</v>
      </c>
      <c r="B9" s="128" t="n">
        <v>1.1</v>
      </c>
    </row>
    <row r="10" customFormat="false" ht="15.75" hidden="false" customHeight="false" outlineLevel="0" collapsed="false">
      <c r="A10" s="128" t="s">
        <v>73</v>
      </c>
      <c r="B10" s="128" t="n">
        <v>1</v>
      </c>
    </row>
    <row r="11" customFormat="false" ht="15.75" hidden="false" customHeight="false" outlineLevel="0" collapsed="false">
      <c r="A11" s="128" t="s">
        <v>74</v>
      </c>
      <c r="B11" s="128" t="n">
        <v>1</v>
      </c>
    </row>
    <row r="12" customFormat="false" ht="15.75" hidden="false" customHeight="false" outlineLevel="0" collapsed="false">
      <c r="A12" s="128" t="s">
        <v>75</v>
      </c>
      <c r="B12" s="128" t="n">
        <v>2</v>
      </c>
    </row>
    <row r="13" customFormat="false" ht="15.75" hidden="false" customHeight="false" outlineLevel="0" collapsed="false">
      <c r="A13" s="128" t="s">
        <v>76</v>
      </c>
      <c r="B13" s="128" t="n">
        <v>0</v>
      </c>
    </row>
    <row r="14" customFormat="false" ht="15.75" hidden="false" customHeight="false" outlineLevel="0" collapsed="false">
      <c r="A14" s="128" t="s">
        <v>77</v>
      </c>
      <c r="B14" s="128" t="s">
        <v>78</v>
      </c>
    </row>
    <row r="15" customFormat="false" ht="15.75" hidden="false" customHeight="false" outlineLevel="0" collapsed="false">
      <c r="A15" s="128" t="s">
        <v>79</v>
      </c>
      <c r="B15" s="128" t="s">
        <v>80</v>
      </c>
    </row>
    <row r="16" customFormat="false" ht="15.75" hidden="false" customHeight="false" outlineLevel="0" collapsed="false">
      <c r="A16" s="128" t="s">
        <v>81</v>
      </c>
      <c r="B16" s="128" t="s">
        <v>82</v>
      </c>
    </row>
    <row r="17" customFormat="false" ht="15.75" hidden="false" customHeight="false" outlineLevel="0" collapsed="false">
      <c r="A17" s="128" t="s">
        <v>83</v>
      </c>
      <c r="B17" s="128" t="s">
        <v>84</v>
      </c>
    </row>
    <row r="18" customFormat="false" ht="15.75" hidden="false" customHeight="false" outlineLevel="0" collapsed="false">
      <c r="A18" s="128" t="s">
        <v>12</v>
      </c>
      <c r="B18" s="128" t="s">
        <v>85</v>
      </c>
    </row>
    <row r="19" customFormat="false" ht="15.75" hidden="false" customHeight="false" outlineLevel="0" collapsed="false">
      <c r="A19" s="128" t="s">
        <v>13</v>
      </c>
      <c r="B19" s="128" t="s">
        <v>86</v>
      </c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29" t="s">
        <v>29</v>
      </c>
      <c r="B1" s="129" t="s">
        <v>30</v>
      </c>
      <c r="C1" s="129" t="s">
        <v>31</v>
      </c>
      <c r="D1" s="129" t="s">
        <v>44</v>
      </c>
      <c r="E1" s="129" t="s">
        <v>24</v>
      </c>
      <c r="F1" s="129" t="s">
        <v>26</v>
      </c>
      <c r="G1" s="129" t="s">
        <v>25</v>
      </c>
      <c r="H1" s="129" t="s">
        <v>28</v>
      </c>
      <c r="I1" s="129" t="s">
        <v>27</v>
      </c>
    </row>
    <row r="2" customFormat="false" ht="15.75" hidden="false" customHeight="false" outlineLevel="0" collapsed="false">
      <c r="A2" s="130" t="n">
        <f aca="false">ExportRaw!$F2</f>
        <v>0</v>
      </c>
      <c r="B2" s="130" t="n">
        <f aca="false">ExportRaw!$C2</f>
        <v>0</v>
      </c>
      <c r="C2" s="130" t="n">
        <f aca="false">ExportRaw!$G2</f>
        <v>0</v>
      </c>
      <c r="D2" s="130" t="str">
        <f aca="false">ExportRaw!$E2</f>
        <v/>
      </c>
      <c r="E2" s="131" t="str">
        <f aca="false">ExportRaw!$D2</f>
        <v/>
      </c>
      <c r="F2" s="130" t="str">
        <f aca="false">ExportRaw!$H2</f>
        <v/>
      </c>
      <c r="G2" s="132" t="str">
        <f aca="false">ExportRaw!$I2</f>
        <v/>
      </c>
      <c r="H2" s="130" t="str">
        <f aca="false">ExportRaw!$A2</f>
        <v/>
      </c>
      <c r="I2" s="130" t="str">
        <f aca="false">ExportRaw!$B2</f>
        <v/>
      </c>
    </row>
    <row r="3" customFormat="false" ht="15.75" hidden="false" customHeight="false" outlineLevel="0" collapsed="false">
      <c r="A3" s="130" t="n">
        <f aca="false">ExportRaw!$F3</f>
        <v>0</v>
      </c>
      <c r="B3" s="130" t="n">
        <f aca="false">ExportRaw!$C3</f>
        <v>0</v>
      </c>
      <c r="C3" s="130" t="n">
        <f aca="false">ExportRaw!$G3</f>
        <v>0</v>
      </c>
      <c r="D3" s="130" t="str">
        <f aca="false">ExportRaw!$E3</f>
        <v/>
      </c>
      <c r="E3" s="131" t="str">
        <f aca="false">ExportRaw!$D3</f>
        <v/>
      </c>
      <c r="F3" s="130" t="str">
        <f aca="false">ExportRaw!$H3</f>
        <v/>
      </c>
      <c r="G3" s="132" t="str">
        <f aca="false">ExportRaw!$I3</f>
        <v/>
      </c>
      <c r="H3" s="130" t="str">
        <f aca="false">ExportRaw!$A3</f>
        <v/>
      </c>
      <c r="I3" s="130" t="str">
        <f aca="false">ExportRaw!$B3</f>
        <v/>
      </c>
    </row>
    <row r="4" customFormat="false" ht="15.75" hidden="false" customHeight="false" outlineLevel="0" collapsed="false">
      <c r="A4" s="130" t="n">
        <f aca="false">ExportRaw!$F4</f>
        <v>0</v>
      </c>
      <c r="B4" s="130" t="n">
        <f aca="false">ExportRaw!$C4</f>
        <v>0</v>
      </c>
      <c r="C4" s="130" t="n">
        <f aca="false">ExportRaw!$G4</f>
        <v>0</v>
      </c>
      <c r="D4" s="130" t="str">
        <f aca="false">ExportRaw!$E4</f>
        <v/>
      </c>
      <c r="E4" s="131" t="str">
        <f aca="false">ExportRaw!$D4</f>
        <v/>
      </c>
      <c r="F4" s="130" t="str">
        <f aca="false">ExportRaw!$H4</f>
        <v/>
      </c>
      <c r="G4" s="132" t="str">
        <f aca="false">ExportRaw!$I4</f>
        <v/>
      </c>
      <c r="H4" s="130" t="str">
        <f aca="false">ExportRaw!$A4</f>
        <v/>
      </c>
      <c r="I4" s="130" t="str">
        <f aca="false">ExportRaw!$B4</f>
        <v/>
      </c>
    </row>
    <row r="5" customFormat="false" ht="15.75" hidden="false" customHeight="false" outlineLevel="0" collapsed="false">
      <c r="A5" s="130" t="n">
        <f aca="false">ExportRaw!$F5</f>
        <v>0</v>
      </c>
      <c r="B5" s="130" t="n">
        <f aca="false">ExportRaw!$C5</f>
        <v>0</v>
      </c>
      <c r="C5" s="130" t="n">
        <f aca="false">ExportRaw!$G5</f>
        <v>0</v>
      </c>
      <c r="D5" s="130" t="str">
        <f aca="false">ExportRaw!$E5</f>
        <v/>
      </c>
      <c r="E5" s="131" t="str">
        <f aca="false">ExportRaw!$D5</f>
        <v/>
      </c>
      <c r="F5" s="130" t="str">
        <f aca="false">ExportRaw!$H5</f>
        <v/>
      </c>
      <c r="G5" s="132" t="str">
        <f aca="false">ExportRaw!$I5</f>
        <v/>
      </c>
      <c r="H5" s="130" t="str">
        <f aca="false">ExportRaw!$A5</f>
        <v/>
      </c>
      <c r="I5" s="130" t="str">
        <f aca="false">ExportRaw!$B5</f>
        <v/>
      </c>
    </row>
    <row r="6" customFormat="false" ht="15.75" hidden="false" customHeight="false" outlineLevel="0" collapsed="false">
      <c r="A6" s="130" t="n">
        <f aca="false">ExportRaw!$F6</f>
        <v>0</v>
      </c>
      <c r="B6" s="130" t="n">
        <f aca="false">ExportRaw!$C6</f>
        <v>0</v>
      </c>
      <c r="C6" s="130" t="n">
        <f aca="false">ExportRaw!$G6</f>
        <v>0</v>
      </c>
      <c r="D6" s="130" t="str">
        <f aca="false">ExportRaw!$E6</f>
        <v/>
      </c>
      <c r="E6" s="131" t="str">
        <f aca="false">ExportRaw!$D6</f>
        <v/>
      </c>
      <c r="F6" s="130" t="str">
        <f aca="false">ExportRaw!$H6</f>
        <v/>
      </c>
      <c r="G6" s="132" t="str">
        <f aca="false">ExportRaw!$I6</f>
        <v/>
      </c>
      <c r="H6" s="130" t="str">
        <f aca="false">ExportRaw!$A6</f>
        <v/>
      </c>
      <c r="I6" s="130" t="str">
        <f aca="false">ExportRaw!$B6</f>
        <v/>
      </c>
    </row>
    <row r="7" customFormat="false" ht="15.75" hidden="false" customHeight="false" outlineLevel="0" collapsed="false">
      <c r="A7" s="130" t="n">
        <f aca="false">ExportRaw!$F7</f>
        <v>0</v>
      </c>
      <c r="B7" s="130" t="n">
        <f aca="false">ExportRaw!$C7</f>
        <v>0</v>
      </c>
      <c r="C7" s="130" t="n">
        <f aca="false">ExportRaw!$G7</f>
        <v>0</v>
      </c>
      <c r="D7" s="130" t="str">
        <f aca="false">ExportRaw!$E7</f>
        <v/>
      </c>
      <c r="E7" s="131" t="str">
        <f aca="false">ExportRaw!$D7</f>
        <v/>
      </c>
      <c r="F7" s="130" t="str">
        <f aca="false">ExportRaw!$H7</f>
        <v/>
      </c>
      <c r="G7" s="132" t="str">
        <f aca="false">ExportRaw!$I7</f>
        <v/>
      </c>
      <c r="H7" s="130" t="str">
        <f aca="false">ExportRaw!$A7</f>
        <v/>
      </c>
      <c r="I7" s="130" t="str">
        <f aca="false">ExportRaw!$B7</f>
        <v/>
      </c>
    </row>
    <row r="8" customFormat="false" ht="15.75" hidden="false" customHeight="false" outlineLevel="0" collapsed="false">
      <c r="A8" s="130" t="n">
        <f aca="false">ExportRaw!$F8</f>
        <v>0</v>
      </c>
      <c r="B8" s="130" t="n">
        <f aca="false">ExportRaw!$C8</f>
        <v>0</v>
      </c>
      <c r="C8" s="130" t="n">
        <f aca="false">ExportRaw!$G8</f>
        <v>0</v>
      </c>
      <c r="D8" s="130" t="str">
        <f aca="false">ExportRaw!$E8</f>
        <v/>
      </c>
      <c r="E8" s="131" t="str">
        <f aca="false">ExportRaw!$D8</f>
        <v/>
      </c>
      <c r="F8" s="130" t="str">
        <f aca="false">ExportRaw!$H8</f>
        <v/>
      </c>
      <c r="G8" s="132" t="str">
        <f aca="false">ExportRaw!$I8</f>
        <v/>
      </c>
      <c r="H8" s="130" t="str">
        <f aca="false">ExportRaw!$A8</f>
        <v/>
      </c>
      <c r="I8" s="130" t="str">
        <f aca="false">ExportRaw!$B8</f>
        <v/>
      </c>
    </row>
    <row r="9" customFormat="false" ht="15.75" hidden="false" customHeight="false" outlineLevel="0" collapsed="false">
      <c r="A9" s="130" t="n">
        <f aca="false">ExportRaw!$F9</f>
        <v>0</v>
      </c>
      <c r="B9" s="130" t="n">
        <f aca="false">ExportRaw!$C9</f>
        <v>0</v>
      </c>
      <c r="C9" s="130" t="n">
        <f aca="false">ExportRaw!$G9</f>
        <v>0</v>
      </c>
      <c r="D9" s="130" t="str">
        <f aca="false">ExportRaw!$E9</f>
        <v/>
      </c>
      <c r="E9" s="131" t="str">
        <f aca="false">ExportRaw!$D9</f>
        <v/>
      </c>
      <c r="F9" s="130" t="str">
        <f aca="false">ExportRaw!$H9</f>
        <v/>
      </c>
      <c r="G9" s="132" t="str">
        <f aca="false">ExportRaw!$I9</f>
        <v/>
      </c>
      <c r="H9" s="130" t="str">
        <f aca="false">ExportRaw!$A9</f>
        <v/>
      </c>
      <c r="I9" s="130" t="str">
        <f aca="false">ExportRaw!$B9</f>
        <v/>
      </c>
    </row>
    <row r="10" customFormat="false" ht="15.75" hidden="false" customHeight="false" outlineLevel="0" collapsed="false">
      <c r="A10" s="130" t="n">
        <f aca="false">ExportRaw!$F10</f>
        <v>0</v>
      </c>
      <c r="B10" s="130" t="n">
        <f aca="false">ExportRaw!$C10</f>
        <v>0</v>
      </c>
      <c r="C10" s="130" t="n">
        <f aca="false">ExportRaw!$G10</f>
        <v>0</v>
      </c>
      <c r="D10" s="130" t="str">
        <f aca="false">ExportRaw!$E10</f>
        <v/>
      </c>
      <c r="E10" s="131" t="str">
        <f aca="false">ExportRaw!$D10</f>
        <v/>
      </c>
      <c r="F10" s="130" t="str">
        <f aca="false">ExportRaw!$H10</f>
        <v/>
      </c>
      <c r="G10" s="132" t="str">
        <f aca="false">ExportRaw!$I10</f>
        <v/>
      </c>
      <c r="H10" s="130" t="str">
        <f aca="false">ExportRaw!$A10</f>
        <v/>
      </c>
      <c r="I10" s="130" t="str">
        <f aca="false">ExportRaw!$B10</f>
        <v/>
      </c>
    </row>
    <row r="11" customFormat="false" ht="15.75" hidden="false" customHeight="false" outlineLevel="0" collapsed="false">
      <c r="A11" s="130" t="n">
        <f aca="false">ExportRaw!$F11</f>
        <v>0</v>
      </c>
      <c r="B11" s="130" t="n">
        <f aca="false">ExportRaw!$C11</f>
        <v>0</v>
      </c>
      <c r="C11" s="130" t="n">
        <f aca="false">ExportRaw!$G11</f>
        <v>0</v>
      </c>
      <c r="D11" s="130" t="str">
        <f aca="false">ExportRaw!$E11</f>
        <v/>
      </c>
      <c r="E11" s="131" t="str">
        <f aca="false">ExportRaw!$D11</f>
        <v/>
      </c>
      <c r="F11" s="130" t="str">
        <f aca="false">ExportRaw!$H11</f>
        <v/>
      </c>
      <c r="G11" s="132" t="str">
        <f aca="false">ExportRaw!$I11</f>
        <v/>
      </c>
      <c r="H11" s="130" t="str">
        <f aca="false">ExportRaw!$A11</f>
        <v/>
      </c>
      <c r="I11" s="130" t="str">
        <f aca="false">ExportRaw!$B11</f>
        <v/>
      </c>
    </row>
    <row r="12" customFormat="false" ht="15.75" hidden="false" customHeight="false" outlineLevel="0" collapsed="false">
      <c r="A12" s="130" t="n">
        <f aca="false">ExportRaw!$F12</f>
        <v>0</v>
      </c>
      <c r="B12" s="130" t="n">
        <f aca="false">ExportRaw!$C12</f>
        <v>0</v>
      </c>
      <c r="C12" s="130" t="n">
        <f aca="false">ExportRaw!$G12</f>
        <v>0</v>
      </c>
      <c r="D12" s="130" t="str">
        <f aca="false">ExportRaw!$E12</f>
        <v/>
      </c>
      <c r="E12" s="131" t="str">
        <f aca="false">ExportRaw!$D12</f>
        <v/>
      </c>
      <c r="F12" s="130" t="str">
        <f aca="false">ExportRaw!$H12</f>
        <v/>
      </c>
      <c r="G12" s="132" t="str">
        <f aca="false">ExportRaw!$I12</f>
        <v/>
      </c>
      <c r="H12" s="130" t="str">
        <f aca="false">ExportRaw!$A12</f>
        <v/>
      </c>
      <c r="I12" s="130" t="str">
        <f aca="false">ExportRaw!$B12</f>
        <v/>
      </c>
    </row>
    <row r="13" customFormat="false" ht="15.75" hidden="false" customHeight="false" outlineLevel="0" collapsed="false">
      <c r="A13" s="130" t="n">
        <f aca="false">ExportRaw!$F13</f>
        <v>0</v>
      </c>
      <c r="B13" s="130" t="n">
        <f aca="false">ExportRaw!$C13</f>
        <v>0</v>
      </c>
      <c r="C13" s="130" t="n">
        <f aca="false">ExportRaw!$G13</f>
        <v>0</v>
      </c>
      <c r="D13" s="130" t="str">
        <f aca="false">ExportRaw!$E13</f>
        <v/>
      </c>
      <c r="E13" s="131" t="str">
        <f aca="false">ExportRaw!$D13</f>
        <v/>
      </c>
      <c r="F13" s="130" t="str">
        <f aca="false">ExportRaw!$H13</f>
        <v/>
      </c>
      <c r="G13" s="132" t="str">
        <f aca="false">ExportRaw!$I13</f>
        <v/>
      </c>
      <c r="H13" s="130" t="str">
        <f aca="false">ExportRaw!$A13</f>
        <v/>
      </c>
      <c r="I13" s="130" t="str">
        <f aca="false">ExportRaw!$B13</f>
        <v/>
      </c>
    </row>
    <row r="14" customFormat="false" ht="15.75" hidden="false" customHeight="false" outlineLevel="0" collapsed="false">
      <c r="A14" s="130" t="n">
        <f aca="false">ExportRaw!$F14</f>
        <v>0</v>
      </c>
      <c r="B14" s="130" t="n">
        <f aca="false">ExportRaw!$C14</f>
        <v>0</v>
      </c>
      <c r="C14" s="130" t="n">
        <f aca="false">ExportRaw!$G14</f>
        <v>0</v>
      </c>
      <c r="D14" s="130" t="str">
        <f aca="false">ExportRaw!$E14</f>
        <v/>
      </c>
      <c r="E14" s="131" t="str">
        <f aca="false">ExportRaw!$D14</f>
        <v/>
      </c>
      <c r="F14" s="130" t="str">
        <f aca="false">ExportRaw!$H14</f>
        <v/>
      </c>
      <c r="G14" s="132" t="str">
        <f aca="false">ExportRaw!$I14</f>
        <v/>
      </c>
      <c r="H14" s="130" t="str">
        <f aca="false">ExportRaw!$A14</f>
        <v/>
      </c>
      <c r="I14" s="130" t="str">
        <f aca="false">ExportRaw!$B14</f>
        <v/>
      </c>
    </row>
    <row r="15" customFormat="false" ht="15.75" hidden="false" customHeight="false" outlineLevel="0" collapsed="false">
      <c r="A15" s="130" t="n">
        <f aca="false">ExportRaw!$F15</f>
        <v>0</v>
      </c>
      <c r="B15" s="130" t="n">
        <f aca="false">ExportRaw!$C15</f>
        <v>0</v>
      </c>
      <c r="C15" s="130" t="n">
        <f aca="false">ExportRaw!$G15</f>
        <v>0</v>
      </c>
      <c r="D15" s="130" t="str">
        <f aca="false">ExportRaw!$E15</f>
        <v/>
      </c>
      <c r="E15" s="131" t="str">
        <f aca="false">ExportRaw!$D15</f>
        <v/>
      </c>
      <c r="F15" s="130" t="str">
        <f aca="false">ExportRaw!$H15</f>
        <v/>
      </c>
      <c r="G15" s="132" t="str">
        <f aca="false">ExportRaw!$I15</f>
        <v/>
      </c>
      <c r="H15" s="130" t="str">
        <f aca="false">ExportRaw!$A15</f>
        <v/>
      </c>
      <c r="I15" s="130" t="str">
        <f aca="false">ExportRaw!$B15</f>
        <v/>
      </c>
    </row>
    <row r="16" customFormat="false" ht="15.75" hidden="false" customHeight="false" outlineLevel="0" collapsed="false">
      <c r="A16" s="130" t="n">
        <f aca="false">ExportRaw!$F16</f>
        <v>0</v>
      </c>
      <c r="B16" s="130" t="n">
        <f aca="false">ExportRaw!$C16</f>
        <v>0</v>
      </c>
      <c r="C16" s="130" t="n">
        <f aca="false">ExportRaw!$G16</f>
        <v>0</v>
      </c>
      <c r="D16" s="130" t="str">
        <f aca="false">ExportRaw!$E16</f>
        <v/>
      </c>
      <c r="E16" s="131" t="str">
        <f aca="false">ExportRaw!$D16</f>
        <v/>
      </c>
      <c r="F16" s="130" t="str">
        <f aca="false">ExportRaw!$H16</f>
        <v/>
      </c>
      <c r="G16" s="132" t="str">
        <f aca="false">ExportRaw!$I16</f>
        <v/>
      </c>
      <c r="H16" s="130" t="str">
        <f aca="false">ExportRaw!$A16</f>
        <v/>
      </c>
      <c r="I16" s="130" t="str">
        <f aca="false">ExportRaw!$B16</f>
        <v/>
      </c>
    </row>
    <row r="17" customFormat="false" ht="15.75" hidden="false" customHeight="false" outlineLevel="0" collapsed="false">
      <c r="A17" s="130" t="n">
        <f aca="false">ExportRaw!$F17</f>
        <v>0</v>
      </c>
      <c r="B17" s="130" t="n">
        <f aca="false">ExportRaw!$C17</f>
        <v>0</v>
      </c>
      <c r="C17" s="130" t="n">
        <f aca="false">ExportRaw!$G17</f>
        <v>0</v>
      </c>
      <c r="D17" s="130" t="str">
        <f aca="false">ExportRaw!$E17</f>
        <v/>
      </c>
      <c r="E17" s="131" t="str">
        <f aca="false">ExportRaw!$D17</f>
        <v/>
      </c>
      <c r="F17" s="130" t="str">
        <f aca="false">ExportRaw!$H17</f>
        <v/>
      </c>
      <c r="G17" s="132" t="str">
        <f aca="false">ExportRaw!$I17</f>
        <v/>
      </c>
      <c r="H17" s="130" t="str">
        <f aca="false">ExportRaw!$A17</f>
        <v/>
      </c>
      <c r="I17" s="130" t="str">
        <f aca="false">ExportRaw!$B17</f>
        <v/>
      </c>
    </row>
    <row r="18" customFormat="false" ht="15.75" hidden="false" customHeight="false" outlineLevel="0" collapsed="false">
      <c r="A18" s="130" t="n">
        <f aca="false">ExportRaw!$F18</f>
        <v>0</v>
      </c>
      <c r="B18" s="130" t="n">
        <f aca="false">ExportRaw!$C18</f>
        <v>0</v>
      </c>
      <c r="C18" s="130" t="n">
        <f aca="false">ExportRaw!$G18</f>
        <v>0</v>
      </c>
      <c r="D18" s="130" t="str">
        <f aca="false">ExportRaw!$E18</f>
        <v/>
      </c>
      <c r="E18" s="131" t="str">
        <f aca="false">ExportRaw!$D18</f>
        <v/>
      </c>
      <c r="F18" s="130" t="str">
        <f aca="false">ExportRaw!$H18</f>
        <v/>
      </c>
      <c r="G18" s="132" t="str">
        <f aca="false">ExportRaw!$I18</f>
        <v/>
      </c>
      <c r="H18" s="130" t="str">
        <f aca="false">ExportRaw!$A18</f>
        <v/>
      </c>
      <c r="I18" s="130" t="str">
        <f aca="false">ExportRaw!$B18</f>
        <v/>
      </c>
    </row>
    <row r="19" customFormat="false" ht="15.75" hidden="false" customHeight="false" outlineLevel="0" collapsed="false">
      <c r="A19" s="130" t="n">
        <f aca="false">ExportRaw!$F19</f>
        <v>0</v>
      </c>
      <c r="B19" s="130" t="n">
        <f aca="false">ExportRaw!$C19</f>
        <v>0</v>
      </c>
      <c r="C19" s="130" t="n">
        <f aca="false">ExportRaw!$G19</f>
        <v>0</v>
      </c>
      <c r="D19" s="130" t="str">
        <f aca="false">ExportRaw!$E19</f>
        <v/>
      </c>
      <c r="E19" s="131" t="str">
        <f aca="false">ExportRaw!$D19</f>
        <v/>
      </c>
      <c r="F19" s="130" t="str">
        <f aca="false">ExportRaw!$H19</f>
        <v/>
      </c>
      <c r="G19" s="132" t="str">
        <f aca="false">ExportRaw!$I19</f>
        <v/>
      </c>
      <c r="H19" s="130" t="str">
        <f aca="false">ExportRaw!$A19</f>
        <v/>
      </c>
      <c r="I19" s="130" t="str">
        <f aca="false">ExportRaw!$B19</f>
        <v/>
      </c>
    </row>
    <row r="20" customFormat="false" ht="15.75" hidden="false" customHeight="false" outlineLevel="0" collapsed="false">
      <c r="A20" s="130" t="n">
        <f aca="false">ExportRaw!$F20</f>
        <v>0</v>
      </c>
      <c r="B20" s="130" t="n">
        <f aca="false">ExportRaw!$C20</f>
        <v>0</v>
      </c>
      <c r="C20" s="130" t="n">
        <f aca="false">ExportRaw!$G20</f>
        <v>0</v>
      </c>
      <c r="D20" s="130" t="str">
        <f aca="false">ExportRaw!$E20</f>
        <v/>
      </c>
      <c r="E20" s="131" t="str">
        <f aca="false">ExportRaw!$D20</f>
        <v/>
      </c>
      <c r="F20" s="130" t="str">
        <f aca="false">ExportRaw!$H20</f>
        <v/>
      </c>
      <c r="G20" s="132" t="str">
        <f aca="false">ExportRaw!$I20</f>
        <v/>
      </c>
      <c r="H20" s="130" t="str">
        <f aca="false">ExportRaw!$A20</f>
        <v/>
      </c>
      <c r="I20" s="130" t="str">
        <f aca="false">ExportRaw!$B20</f>
        <v/>
      </c>
    </row>
    <row r="21" customFormat="false" ht="15.75" hidden="false" customHeight="false" outlineLevel="0" collapsed="false">
      <c r="A21" s="130" t="n">
        <f aca="false">ExportRaw!$F21</f>
        <v>0</v>
      </c>
      <c r="B21" s="130" t="n">
        <f aca="false">ExportRaw!$C21</f>
        <v>0</v>
      </c>
      <c r="C21" s="130" t="n">
        <f aca="false">ExportRaw!$G21</f>
        <v>0</v>
      </c>
      <c r="D21" s="130" t="str">
        <f aca="false">ExportRaw!$E21</f>
        <v/>
      </c>
      <c r="E21" s="131" t="str">
        <f aca="false">ExportRaw!$D21</f>
        <v/>
      </c>
      <c r="F21" s="130" t="str">
        <f aca="false">ExportRaw!$H21</f>
        <v/>
      </c>
      <c r="G21" s="132" t="str">
        <f aca="false">ExportRaw!$I21</f>
        <v/>
      </c>
      <c r="H21" s="130" t="str">
        <f aca="false">ExportRaw!$A21</f>
        <v/>
      </c>
      <c r="I21" s="130" t="str">
        <f aca="false">ExportRaw!$B21</f>
        <v/>
      </c>
    </row>
    <row r="22" customFormat="false" ht="15.75" hidden="false" customHeight="false" outlineLevel="0" collapsed="false">
      <c r="A22" s="130" t="n">
        <f aca="false">ExportRaw!$F22</f>
        <v>0</v>
      </c>
      <c r="B22" s="130" t="n">
        <f aca="false">ExportRaw!$C22</f>
        <v>0</v>
      </c>
      <c r="C22" s="130" t="n">
        <f aca="false">ExportRaw!$G22</f>
        <v>0</v>
      </c>
      <c r="D22" s="130" t="str">
        <f aca="false">ExportRaw!$E22</f>
        <v/>
      </c>
      <c r="E22" s="131" t="str">
        <f aca="false">ExportRaw!$D22</f>
        <v/>
      </c>
      <c r="F22" s="130" t="str">
        <f aca="false">ExportRaw!$H22</f>
        <v/>
      </c>
      <c r="G22" s="132" t="str">
        <f aca="false">ExportRaw!$I22</f>
        <v/>
      </c>
      <c r="H22" s="130" t="str">
        <f aca="false">ExportRaw!$A22</f>
        <v/>
      </c>
      <c r="I22" s="130" t="str">
        <f aca="false">ExportRaw!$B22</f>
        <v/>
      </c>
    </row>
    <row r="23" customFormat="false" ht="15.75" hidden="false" customHeight="false" outlineLevel="0" collapsed="false">
      <c r="A23" s="130" t="n">
        <f aca="false">ExportRaw!$F23</f>
        <v>0</v>
      </c>
      <c r="B23" s="130" t="n">
        <f aca="false">ExportRaw!$C23</f>
        <v>0</v>
      </c>
      <c r="C23" s="130" t="n">
        <f aca="false">ExportRaw!$G23</f>
        <v>0</v>
      </c>
      <c r="D23" s="130" t="str">
        <f aca="false">ExportRaw!$E23</f>
        <v/>
      </c>
      <c r="E23" s="131" t="str">
        <f aca="false">ExportRaw!$D23</f>
        <v/>
      </c>
      <c r="F23" s="130" t="str">
        <f aca="false">ExportRaw!$H23</f>
        <v/>
      </c>
      <c r="G23" s="132" t="str">
        <f aca="false">ExportRaw!$I23</f>
        <v/>
      </c>
      <c r="H23" s="130" t="str">
        <f aca="false">ExportRaw!$A23</f>
        <v/>
      </c>
      <c r="I23" s="130" t="str">
        <f aca="false">ExportRaw!$B23</f>
        <v/>
      </c>
    </row>
    <row r="24" customFormat="false" ht="15.75" hidden="false" customHeight="false" outlineLevel="0" collapsed="false">
      <c r="A24" s="130" t="n">
        <f aca="false">ExportRaw!$F24</f>
        <v>0</v>
      </c>
      <c r="B24" s="130" t="n">
        <f aca="false">ExportRaw!$C24</f>
        <v>0</v>
      </c>
      <c r="C24" s="130" t="n">
        <f aca="false">ExportRaw!$G24</f>
        <v>0</v>
      </c>
      <c r="D24" s="130" t="str">
        <f aca="false">ExportRaw!$E24</f>
        <v/>
      </c>
      <c r="E24" s="131" t="str">
        <f aca="false">ExportRaw!$D24</f>
        <v/>
      </c>
      <c r="F24" s="130" t="str">
        <f aca="false">ExportRaw!$H24</f>
        <v/>
      </c>
      <c r="G24" s="132" t="str">
        <f aca="false">ExportRaw!$I24</f>
        <v/>
      </c>
      <c r="H24" s="130" t="str">
        <f aca="false">ExportRaw!$A24</f>
        <v/>
      </c>
      <c r="I24" s="130" t="str">
        <f aca="false">ExportRaw!$B24</f>
        <v/>
      </c>
    </row>
    <row r="25" customFormat="false" ht="15.75" hidden="false" customHeight="false" outlineLevel="0" collapsed="false">
      <c r="A25" s="130" t="n">
        <f aca="false">ExportRaw!$F25</f>
        <v>0</v>
      </c>
      <c r="B25" s="130" t="n">
        <f aca="false">ExportRaw!$C25</f>
        <v>0</v>
      </c>
      <c r="C25" s="130" t="n">
        <f aca="false">ExportRaw!$G25</f>
        <v>0</v>
      </c>
      <c r="D25" s="130" t="str">
        <f aca="false">ExportRaw!$E25</f>
        <v/>
      </c>
      <c r="E25" s="131" t="str">
        <f aca="false">ExportRaw!$D25</f>
        <v/>
      </c>
      <c r="F25" s="130" t="str">
        <f aca="false">ExportRaw!$H25</f>
        <v/>
      </c>
      <c r="G25" s="132" t="str">
        <f aca="false">ExportRaw!$I25</f>
        <v/>
      </c>
      <c r="H25" s="130" t="str">
        <f aca="false">ExportRaw!$A25</f>
        <v/>
      </c>
      <c r="I25" s="130" t="str">
        <f aca="false">ExportRaw!$B25</f>
        <v/>
      </c>
    </row>
    <row r="26" customFormat="false" ht="15.75" hidden="false" customHeight="false" outlineLevel="0" collapsed="false">
      <c r="A26" s="130" t="n">
        <f aca="false">ExportRaw!$F26</f>
        <v>0</v>
      </c>
      <c r="B26" s="130" t="n">
        <f aca="false">ExportRaw!$C26</f>
        <v>0</v>
      </c>
      <c r="C26" s="130" t="n">
        <f aca="false">ExportRaw!$G26</f>
        <v>0</v>
      </c>
      <c r="D26" s="130" t="str">
        <f aca="false">ExportRaw!$E26</f>
        <v/>
      </c>
      <c r="E26" s="131" t="str">
        <f aca="false">ExportRaw!$D26</f>
        <v/>
      </c>
      <c r="F26" s="130" t="str">
        <f aca="false">ExportRaw!$H26</f>
        <v/>
      </c>
      <c r="G26" s="132" t="str">
        <f aca="false">ExportRaw!$I26</f>
        <v/>
      </c>
      <c r="H26" s="130" t="str">
        <f aca="false">ExportRaw!$A26</f>
        <v/>
      </c>
      <c r="I26" s="130" t="str">
        <f aca="false">ExportRaw!$B26</f>
        <v/>
      </c>
    </row>
    <row r="27" customFormat="false" ht="15.75" hidden="false" customHeight="false" outlineLevel="0" collapsed="false">
      <c r="A27" s="130" t="n">
        <f aca="false">ExportRaw!$F27</f>
        <v>0</v>
      </c>
      <c r="B27" s="130" t="n">
        <f aca="false">ExportRaw!$C27</f>
        <v>0</v>
      </c>
      <c r="C27" s="130" t="n">
        <f aca="false">ExportRaw!$G27</f>
        <v>0</v>
      </c>
      <c r="D27" s="130" t="str">
        <f aca="false">ExportRaw!$E27</f>
        <v/>
      </c>
      <c r="E27" s="131" t="str">
        <f aca="false">ExportRaw!$D27</f>
        <v/>
      </c>
      <c r="F27" s="130" t="str">
        <f aca="false">ExportRaw!$H27</f>
        <v/>
      </c>
      <c r="G27" s="132" t="str">
        <f aca="false">ExportRaw!$I27</f>
        <v/>
      </c>
      <c r="H27" s="130" t="str">
        <f aca="false">ExportRaw!$A27</f>
        <v/>
      </c>
      <c r="I27" s="130" t="str">
        <f aca="false">ExportRaw!$B27</f>
        <v/>
      </c>
    </row>
    <row r="28" customFormat="false" ht="15.75" hidden="false" customHeight="false" outlineLevel="0" collapsed="false">
      <c r="A28" s="130" t="n">
        <f aca="false">ExportRaw!$F28</f>
        <v>0</v>
      </c>
      <c r="B28" s="130" t="n">
        <f aca="false">ExportRaw!$C28</f>
        <v>0</v>
      </c>
      <c r="C28" s="130" t="n">
        <f aca="false">ExportRaw!$G28</f>
        <v>0</v>
      </c>
      <c r="D28" s="130" t="str">
        <f aca="false">ExportRaw!$E28</f>
        <v/>
      </c>
      <c r="E28" s="131" t="str">
        <f aca="false">ExportRaw!$D28</f>
        <v/>
      </c>
      <c r="F28" s="130" t="str">
        <f aca="false">ExportRaw!$H28</f>
        <v/>
      </c>
      <c r="G28" s="132" t="str">
        <f aca="false">ExportRaw!$I28</f>
        <v/>
      </c>
      <c r="H28" s="130" t="str">
        <f aca="false">ExportRaw!$A28</f>
        <v/>
      </c>
      <c r="I28" s="130" t="str">
        <f aca="false">ExportRaw!$B28</f>
        <v/>
      </c>
    </row>
    <row r="29" customFormat="false" ht="15.75" hidden="false" customHeight="false" outlineLevel="0" collapsed="false">
      <c r="A29" s="130" t="n">
        <f aca="false">ExportRaw!$F29</f>
        <v>0</v>
      </c>
      <c r="B29" s="130" t="n">
        <f aca="false">ExportRaw!$C29</f>
        <v>0</v>
      </c>
      <c r="C29" s="130" t="n">
        <f aca="false">ExportRaw!$G29</f>
        <v>0</v>
      </c>
      <c r="D29" s="130" t="str">
        <f aca="false">ExportRaw!$E29</f>
        <v/>
      </c>
      <c r="E29" s="131" t="str">
        <f aca="false">ExportRaw!$D29</f>
        <v/>
      </c>
      <c r="F29" s="130" t="str">
        <f aca="false">ExportRaw!$H29</f>
        <v/>
      </c>
      <c r="G29" s="132" t="str">
        <f aca="false">ExportRaw!$I29</f>
        <v/>
      </c>
      <c r="H29" s="130" t="str">
        <f aca="false">ExportRaw!$A29</f>
        <v/>
      </c>
      <c r="I29" s="130" t="str">
        <f aca="false">ExportRaw!$B29</f>
        <v/>
      </c>
    </row>
    <row r="30" customFormat="false" ht="15.75" hidden="false" customHeight="false" outlineLevel="0" collapsed="false">
      <c r="A30" s="130" t="n">
        <f aca="false">ExportRaw!$F30</f>
        <v>0</v>
      </c>
      <c r="B30" s="130" t="n">
        <f aca="false">ExportRaw!$C30</f>
        <v>0</v>
      </c>
      <c r="C30" s="130" t="n">
        <f aca="false">ExportRaw!$G30</f>
        <v>0</v>
      </c>
      <c r="D30" s="130" t="str">
        <f aca="false">ExportRaw!$E30</f>
        <v/>
      </c>
      <c r="E30" s="131" t="str">
        <f aca="false">ExportRaw!$D30</f>
        <v/>
      </c>
      <c r="F30" s="130" t="str">
        <f aca="false">ExportRaw!$H30</f>
        <v/>
      </c>
      <c r="G30" s="132" t="str">
        <f aca="false">ExportRaw!$I30</f>
        <v/>
      </c>
      <c r="H30" s="130" t="str">
        <f aca="false">ExportRaw!$A30</f>
        <v/>
      </c>
      <c r="I30" s="130" t="str">
        <f aca="false">ExportRaw!$B30</f>
        <v/>
      </c>
    </row>
    <row r="31" customFormat="false" ht="15.75" hidden="false" customHeight="false" outlineLevel="0" collapsed="false">
      <c r="A31" s="130" t="n">
        <f aca="false">ExportRaw!$F31</f>
        <v>0</v>
      </c>
      <c r="B31" s="130" t="n">
        <f aca="false">ExportRaw!$C31</f>
        <v>0</v>
      </c>
      <c r="C31" s="130" t="n">
        <f aca="false">ExportRaw!$G31</f>
        <v>0</v>
      </c>
      <c r="D31" s="130" t="str">
        <f aca="false">ExportRaw!$E31</f>
        <v/>
      </c>
      <c r="E31" s="131" t="str">
        <f aca="false">ExportRaw!$D31</f>
        <v/>
      </c>
      <c r="F31" s="130" t="str">
        <f aca="false">ExportRaw!$H31</f>
        <v/>
      </c>
      <c r="G31" s="132" t="str">
        <f aca="false">ExportRaw!$I31</f>
        <v/>
      </c>
      <c r="H31" s="130" t="str">
        <f aca="false">ExportRaw!$A31</f>
        <v/>
      </c>
      <c r="I31" s="130" t="str">
        <f aca="false">ExportRaw!$B31</f>
        <v/>
      </c>
    </row>
    <row r="32" customFormat="false" ht="15.75" hidden="false" customHeight="false" outlineLevel="0" collapsed="false">
      <c r="A32" s="130" t="n">
        <f aca="false">ExportRaw!$F32</f>
        <v>0</v>
      </c>
      <c r="B32" s="130" t="n">
        <f aca="false">ExportRaw!$C32</f>
        <v>0</v>
      </c>
      <c r="C32" s="130" t="n">
        <f aca="false">ExportRaw!$G32</f>
        <v>0</v>
      </c>
      <c r="D32" s="130" t="str">
        <f aca="false">ExportRaw!$E32</f>
        <v/>
      </c>
      <c r="E32" s="131" t="str">
        <f aca="false">ExportRaw!$D32</f>
        <v/>
      </c>
      <c r="F32" s="130" t="str">
        <f aca="false">ExportRaw!$H32</f>
        <v/>
      </c>
      <c r="G32" s="132" t="str">
        <f aca="false">ExportRaw!$I32</f>
        <v/>
      </c>
      <c r="H32" s="130" t="str">
        <f aca="false">ExportRaw!$A32</f>
        <v/>
      </c>
      <c r="I32" s="130" t="str">
        <f aca="false">ExportRaw!$B32</f>
        <v/>
      </c>
    </row>
    <row r="33" customFormat="false" ht="15.75" hidden="false" customHeight="false" outlineLevel="0" collapsed="false">
      <c r="A33" s="130" t="n">
        <f aca="false">ExportRaw!$F33</f>
        <v>0</v>
      </c>
      <c r="B33" s="130" t="n">
        <f aca="false">ExportRaw!$C33</f>
        <v>0</v>
      </c>
      <c r="C33" s="130" t="n">
        <f aca="false">ExportRaw!$G33</f>
        <v>0</v>
      </c>
      <c r="D33" s="130" t="str">
        <f aca="false">ExportRaw!$E33</f>
        <v/>
      </c>
      <c r="E33" s="131" t="str">
        <f aca="false">ExportRaw!$D33</f>
        <v/>
      </c>
      <c r="F33" s="130" t="str">
        <f aca="false">ExportRaw!$H33</f>
        <v/>
      </c>
      <c r="G33" s="132" t="str">
        <f aca="false">ExportRaw!$I33</f>
        <v/>
      </c>
      <c r="H33" s="130" t="str">
        <f aca="false">ExportRaw!$A33</f>
        <v/>
      </c>
      <c r="I33" s="130" t="str">
        <f aca="false">ExportRaw!$B33</f>
        <v/>
      </c>
    </row>
    <row r="34" customFormat="false" ht="15.75" hidden="false" customHeight="false" outlineLevel="0" collapsed="false">
      <c r="A34" s="130" t="n">
        <f aca="false">ExportRaw!$F34</f>
        <v>0</v>
      </c>
      <c r="B34" s="130" t="n">
        <f aca="false">ExportRaw!$C34</f>
        <v>0</v>
      </c>
      <c r="C34" s="130" t="n">
        <f aca="false">ExportRaw!$G34</f>
        <v>0</v>
      </c>
      <c r="D34" s="130" t="str">
        <f aca="false">ExportRaw!$E34</f>
        <v/>
      </c>
      <c r="E34" s="131" t="str">
        <f aca="false">ExportRaw!$D34</f>
        <v/>
      </c>
      <c r="F34" s="130" t="str">
        <f aca="false">ExportRaw!$H34</f>
        <v/>
      </c>
      <c r="G34" s="132" t="str">
        <f aca="false">ExportRaw!$I34</f>
        <v/>
      </c>
      <c r="H34" s="130" t="str">
        <f aca="false">ExportRaw!$A34</f>
        <v/>
      </c>
      <c r="I34" s="130" t="str">
        <f aca="false">ExportRaw!$B34</f>
        <v/>
      </c>
    </row>
    <row r="35" customFormat="false" ht="15.75" hidden="false" customHeight="false" outlineLevel="0" collapsed="false">
      <c r="A35" s="130" t="n">
        <f aca="false">ExportRaw!$F35</f>
        <v>0</v>
      </c>
      <c r="B35" s="130" t="n">
        <f aca="false">ExportRaw!$C35</f>
        <v>0</v>
      </c>
      <c r="C35" s="130" t="n">
        <f aca="false">ExportRaw!$G35</f>
        <v>0</v>
      </c>
      <c r="D35" s="130" t="str">
        <f aca="false">ExportRaw!$E35</f>
        <v/>
      </c>
      <c r="E35" s="131" t="str">
        <f aca="false">ExportRaw!$D35</f>
        <v/>
      </c>
      <c r="F35" s="130" t="str">
        <f aca="false">ExportRaw!$H35</f>
        <v/>
      </c>
      <c r="G35" s="132" t="str">
        <f aca="false">ExportRaw!$I35</f>
        <v/>
      </c>
      <c r="H35" s="130" t="str">
        <f aca="false">ExportRaw!$A35</f>
        <v/>
      </c>
      <c r="I35" s="130" t="str">
        <f aca="false">ExportRaw!$B35</f>
        <v/>
      </c>
    </row>
    <row r="36" customFormat="false" ht="15.75" hidden="false" customHeight="false" outlineLevel="0" collapsed="false">
      <c r="A36" s="130" t="n">
        <f aca="false">ExportRaw!$F36</f>
        <v>0</v>
      </c>
      <c r="B36" s="130" t="n">
        <f aca="false">ExportRaw!$C36</f>
        <v>0</v>
      </c>
      <c r="C36" s="130" t="n">
        <f aca="false">ExportRaw!$G36</f>
        <v>0</v>
      </c>
      <c r="D36" s="130" t="str">
        <f aca="false">ExportRaw!$E36</f>
        <v/>
      </c>
      <c r="E36" s="131" t="str">
        <f aca="false">ExportRaw!$D36</f>
        <v/>
      </c>
      <c r="F36" s="130" t="str">
        <f aca="false">ExportRaw!$H36</f>
        <v/>
      </c>
      <c r="G36" s="132" t="str">
        <f aca="false">ExportRaw!$I36</f>
        <v/>
      </c>
      <c r="H36" s="130" t="str">
        <f aca="false">ExportRaw!$A36</f>
        <v/>
      </c>
      <c r="I36" s="130" t="str">
        <f aca="false">ExportRaw!$B36</f>
        <v/>
      </c>
    </row>
    <row r="37" customFormat="false" ht="15.75" hidden="false" customHeight="false" outlineLevel="0" collapsed="false">
      <c r="A37" s="130" t="n">
        <f aca="false">ExportRaw!$F37</f>
        <v>0</v>
      </c>
      <c r="B37" s="130" t="n">
        <f aca="false">ExportRaw!$C37</f>
        <v>0</v>
      </c>
      <c r="C37" s="130" t="n">
        <f aca="false">ExportRaw!$G37</f>
        <v>0</v>
      </c>
      <c r="D37" s="130" t="str">
        <f aca="false">ExportRaw!$E37</f>
        <v/>
      </c>
      <c r="E37" s="131" t="str">
        <f aca="false">ExportRaw!$D37</f>
        <v/>
      </c>
      <c r="F37" s="130" t="str">
        <f aca="false">ExportRaw!$H37</f>
        <v/>
      </c>
      <c r="G37" s="132" t="str">
        <f aca="false">ExportRaw!$I37</f>
        <v/>
      </c>
      <c r="H37" s="130" t="str">
        <f aca="false">ExportRaw!$A37</f>
        <v/>
      </c>
      <c r="I37" s="130" t="str">
        <f aca="false">ExportRaw!$B37</f>
        <v/>
      </c>
    </row>
    <row r="38" customFormat="false" ht="15.75" hidden="false" customHeight="false" outlineLevel="0" collapsed="false">
      <c r="A38" s="130" t="n">
        <f aca="false">ExportRaw!$F38</f>
        <v>0</v>
      </c>
      <c r="B38" s="130" t="n">
        <f aca="false">ExportRaw!$C38</f>
        <v>0</v>
      </c>
      <c r="C38" s="130" t="n">
        <f aca="false">ExportRaw!$G38</f>
        <v>0</v>
      </c>
      <c r="D38" s="130" t="str">
        <f aca="false">ExportRaw!$E38</f>
        <v/>
      </c>
      <c r="E38" s="131" t="str">
        <f aca="false">ExportRaw!$D38</f>
        <v/>
      </c>
      <c r="F38" s="130" t="str">
        <f aca="false">ExportRaw!$H38</f>
        <v/>
      </c>
      <c r="G38" s="132" t="str">
        <f aca="false">ExportRaw!$I38</f>
        <v/>
      </c>
      <c r="H38" s="130" t="str">
        <f aca="false">ExportRaw!$A38</f>
        <v/>
      </c>
      <c r="I38" s="130" t="str">
        <f aca="false">ExportRaw!$B38</f>
        <v/>
      </c>
    </row>
    <row r="39" customFormat="false" ht="15.75" hidden="false" customHeight="false" outlineLevel="0" collapsed="false">
      <c r="A39" s="130" t="n">
        <f aca="false">ExportRaw!$F39</f>
        <v>0</v>
      </c>
      <c r="B39" s="130" t="n">
        <f aca="false">ExportRaw!$C39</f>
        <v>0</v>
      </c>
      <c r="C39" s="130" t="n">
        <f aca="false">ExportRaw!$G39</f>
        <v>0</v>
      </c>
      <c r="D39" s="130" t="str">
        <f aca="false">ExportRaw!$E39</f>
        <v/>
      </c>
      <c r="E39" s="131" t="str">
        <f aca="false">ExportRaw!$D39</f>
        <v/>
      </c>
      <c r="F39" s="130" t="str">
        <f aca="false">ExportRaw!$H39</f>
        <v/>
      </c>
      <c r="G39" s="132" t="str">
        <f aca="false">ExportRaw!$I39</f>
        <v/>
      </c>
      <c r="H39" s="130" t="str">
        <f aca="false">ExportRaw!$A39</f>
        <v/>
      </c>
      <c r="I39" s="130" t="str">
        <f aca="false">ExportRaw!$B39</f>
        <v/>
      </c>
    </row>
    <row r="40" customFormat="false" ht="15.75" hidden="false" customHeight="false" outlineLevel="0" collapsed="false">
      <c r="A40" s="130" t="n">
        <f aca="false">ExportRaw!$F40</f>
        <v>0</v>
      </c>
      <c r="B40" s="130" t="n">
        <f aca="false">ExportRaw!$C40</f>
        <v>0</v>
      </c>
      <c r="C40" s="130" t="n">
        <f aca="false">ExportRaw!$G40</f>
        <v>0</v>
      </c>
      <c r="D40" s="130" t="str">
        <f aca="false">ExportRaw!$E40</f>
        <v/>
      </c>
      <c r="E40" s="131" t="str">
        <f aca="false">ExportRaw!$D40</f>
        <v/>
      </c>
      <c r="F40" s="130" t="str">
        <f aca="false">ExportRaw!$H40</f>
        <v/>
      </c>
      <c r="G40" s="132" t="str">
        <f aca="false">ExportRaw!$I40</f>
        <v/>
      </c>
      <c r="H40" s="130" t="str">
        <f aca="false">ExportRaw!$A40</f>
        <v/>
      </c>
      <c r="I40" s="130" t="str">
        <f aca="false">ExportRaw!$B40</f>
        <v/>
      </c>
    </row>
    <row r="41" customFormat="false" ht="15.75" hidden="false" customHeight="false" outlineLevel="0" collapsed="false">
      <c r="A41" s="130" t="n">
        <f aca="false">ExportRaw!$F41</f>
        <v>0</v>
      </c>
      <c r="B41" s="130" t="n">
        <f aca="false">ExportRaw!$C41</f>
        <v>0</v>
      </c>
      <c r="C41" s="130" t="n">
        <f aca="false">ExportRaw!$G41</f>
        <v>0</v>
      </c>
      <c r="D41" s="130" t="str">
        <f aca="false">ExportRaw!$E41</f>
        <v/>
      </c>
      <c r="E41" s="131" t="str">
        <f aca="false">ExportRaw!$D41</f>
        <v/>
      </c>
      <c r="F41" s="130" t="str">
        <f aca="false">ExportRaw!$H41</f>
        <v/>
      </c>
      <c r="G41" s="132" t="str">
        <f aca="false">ExportRaw!$I41</f>
        <v/>
      </c>
      <c r="H41" s="130" t="str">
        <f aca="false">ExportRaw!$A41</f>
        <v/>
      </c>
      <c r="I41" s="130" t="str">
        <f aca="false">ExportRaw!$B41</f>
        <v/>
      </c>
    </row>
    <row r="42" customFormat="false" ht="15.75" hidden="false" customHeight="false" outlineLevel="0" collapsed="false">
      <c r="A42" s="130" t="n">
        <f aca="false">ExportRaw!$F42</f>
        <v>0</v>
      </c>
      <c r="B42" s="130" t="n">
        <f aca="false">ExportRaw!$C42</f>
        <v>0</v>
      </c>
      <c r="C42" s="130" t="n">
        <f aca="false">ExportRaw!$G42</f>
        <v>0</v>
      </c>
      <c r="D42" s="130" t="str">
        <f aca="false">ExportRaw!$E42</f>
        <v/>
      </c>
      <c r="E42" s="131" t="str">
        <f aca="false">ExportRaw!$D42</f>
        <v/>
      </c>
      <c r="F42" s="130" t="str">
        <f aca="false">ExportRaw!$H42</f>
        <v/>
      </c>
      <c r="G42" s="132" t="str">
        <f aca="false">ExportRaw!$I42</f>
        <v/>
      </c>
      <c r="H42" s="130" t="str">
        <f aca="false">ExportRaw!$A42</f>
        <v/>
      </c>
      <c r="I42" s="130" t="str">
        <f aca="false">ExportRaw!$B42</f>
        <v/>
      </c>
    </row>
    <row r="43" customFormat="false" ht="15.75" hidden="false" customHeight="false" outlineLevel="0" collapsed="false">
      <c r="A43" s="130" t="n">
        <f aca="false">ExportRaw!$F43</f>
        <v>0</v>
      </c>
      <c r="B43" s="130" t="n">
        <f aca="false">ExportRaw!$C43</f>
        <v>0</v>
      </c>
      <c r="C43" s="130" t="n">
        <f aca="false">ExportRaw!$G43</f>
        <v>0</v>
      </c>
      <c r="D43" s="130" t="str">
        <f aca="false">ExportRaw!$E43</f>
        <v/>
      </c>
      <c r="E43" s="131" t="str">
        <f aca="false">ExportRaw!$D43</f>
        <v/>
      </c>
      <c r="F43" s="130" t="str">
        <f aca="false">ExportRaw!$H43</f>
        <v/>
      </c>
      <c r="G43" s="132" t="str">
        <f aca="false">ExportRaw!$I43</f>
        <v/>
      </c>
      <c r="H43" s="130" t="str">
        <f aca="false">ExportRaw!$A43</f>
        <v/>
      </c>
      <c r="I43" s="130" t="str">
        <f aca="false">ExportRaw!$B43</f>
        <v/>
      </c>
    </row>
    <row r="44" customFormat="false" ht="15.75" hidden="false" customHeight="false" outlineLevel="0" collapsed="false">
      <c r="A44" s="130" t="n">
        <f aca="false">ExportRaw!$F44</f>
        <v>0</v>
      </c>
      <c r="B44" s="130" t="n">
        <f aca="false">ExportRaw!$C44</f>
        <v>0</v>
      </c>
      <c r="C44" s="130" t="n">
        <f aca="false">ExportRaw!$G44</f>
        <v>0</v>
      </c>
      <c r="D44" s="130" t="str">
        <f aca="false">ExportRaw!$E44</f>
        <v/>
      </c>
      <c r="E44" s="131" t="str">
        <f aca="false">ExportRaw!$D44</f>
        <v/>
      </c>
      <c r="F44" s="130" t="str">
        <f aca="false">ExportRaw!$H44</f>
        <v/>
      </c>
      <c r="G44" s="132" t="str">
        <f aca="false">ExportRaw!$I44</f>
        <v/>
      </c>
      <c r="H44" s="130" t="str">
        <f aca="false">ExportRaw!$A44</f>
        <v/>
      </c>
      <c r="I44" s="130" t="str">
        <f aca="false">ExportRaw!$B44</f>
        <v/>
      </c>
    </row>
    <row r="45" customFormat="false" ht="15.75" hidden="false" customHeight="false" outlineLevel="0" collapsed="false">
      <c r="A45" s="130" t="n">
        <f aca="false">ExportRaw!$F45</f>
        <v>0</v>
      </c>
      <c r="B45" s="130" t="n">
        <f aca="false">ExportRaw!$C45</f>
        <v>0</v>
      </c>
      <c r="C45" s="130" t="n">
        <f aca="false">ExportRaw!$G45</f>
        <v>0</v>
      </c>
      <c r="D45" s="130" t="str">
        <f aca="false">ExportRaw!$E45</f>
        <v/>
      </c>
      <c r="E45" s="131" t="str">
        <f aca="false">ExportRaw!$D45</f>
        <v/>
      </c>
      <c r="F45" s="130" t="str">
        <f aca="false">ExportRaw!$H45</f>
        <v/>
      </c>
      <c r="G45" s="132" t="str">
        <f aca="false">ExportRaw!$I45</f>
        <v/>
      </c>
      <c r="H45" s="130" t="str">
        <f aca="false">ExportRaw!$A45</f>
        <v/>
      </c>
      <c r="I45" s="130" t="str">
        <f aca="false">ExportRaw!$B45</f>
        <v/>
      </c>
    </row>
    <row r="46" customFormat="false" ht="15.75" hidden="false" customHeight="false" outlineLevel="0" collapsed="false">
      <c r="A46" s="130" t="n">
        <f aca="false">ExportRaw!$F46</f>
        <v>0</v>
      </c>
      <c r="B46" s="130" t="n">
        <f aca="false">ExportRaw!$C46</f>
        <v>0</v>
      </c>
      <c r="C46" s="130" t="n">
        <f aca="false">ExportRaw!$G46</f>
        <v>0</v>
      </c>
      <c r="D46" s="130" t="str">
        <f aca="false">ExportRaw!$E46</f>
        <v/>
      </c>
      <c r="E46" s="131" t="str">
        <f aca="false">ExportRaw!$D46</f>
        <v/>
      </c>
      <c r="F46" s="130" t="str">
        <f aca="false">ExportRaw!$H46</f>
        <v/>
      </c>
      <c r="G46" s="132" t="str">
        <f aca="false">ExportRaw!$I46</f>
        <v/>
      </c>
      <c r="H46" s="130" t="str">
        <f aca="false">ExportRaw!$A46</f>
        <v/>
      </c>
      <c r="I46" s="130" t="str">
        <f aca="false">ExportRaw!$B46</f>
        <v/>
      </c>
    </row>
    <row r="47" customFormat="false" ht="15.75" hidden="false" customHeight="false" outlineLevel="0" collapsed="false">
      <c r="A47" s="130" t="n">
        <f aca="false">ExportRaw!$F47</f>
        <v>0</v>
      </c>
      <c r="B47" s="130" t="n">
        <f aca="false">ExportRaw!$C47</f>
        <v>0</v>
      </c>
      <c r="C47" s="130" t="n">
        <f aca="false">ExportRaw!$G47</f>
        <v>0</v>
      </c>
      <c r="D47" s="130" t="str">
        <f aca="false">ExportRaw!$E47</f>
        <v/>
      </c>
      <c r="E47" s="131" t="str">
        <f aca="false">ExportRaw!$D47</f>
        <v/>
      </c>
      <c r="F47" s="130" t="str">
        <f aca="false">ExportRaw!$H47</f>
        <v/>
      </c>
      <c r="G47" s="132" t="str">
        <f aca="false">ExportRaw!$I47</f>
        <v/>
      </c>
      <c r="H47" s="130" t="str">
        <f aca="false">ExportRaw!$A47</f>
        <v/>
      </c>
      <c r="I47" s="130" t="str">
        <f aca="false">ExportRaw!$B47</f>
        <v/>
      </c>
    </row>
    <row r="48" customFormat="false" ht="15.75" hidden="false" customHeight="false" outlineLevel="0" collapsed="false">
      <c r="A48" s="130" t="n">
        <f aca="false">ExportRaw!$F48</f>
        <v>0</v>
      </c>
      <c r="B48" s="130" t="n">
        <f aca="false">ExportRaw!$C48</f>
        <v>0</v>
      </c>
      <c r="C48" s="130" t="n">
        <f aca="false">ExportRaw!$G48</f>
        <v>0</v>
      </c>
      <c r="D48" s="130" t="str">
        <f aca="false">ExportRaw!$E48</f>
        <v/>
      </c>
      <c r="E48" s="131" t="str">
        <f aca="false">ExportRaw!$D48</f>
        <v/>
      </c>
      <c r="F48" s="130" t="str">
        <f aca="false">ExportRaw!$H48</f>
        <v/>
      </c>
      <c r="G48" s="132" t="str">
        <f aca="false">ExportRaw!$I48</f>
        <v/>
      </c>
      <c r="H48" s="130" t="str">
        <f aca="false">ExportRaw!$A48</f>
        <v/>
      </c>
      <c r="I48" s="130" t="str">
        <f aca="false">ExportRaw!$B48</f>
        <v/>
      </c>
    </row>
    <row r="49" customFormat="false" ht="15.75" hidden="false" customHeight="false" outlineLevel="0" collapsed="false">
      <c r="A49" s="130" t="n">
        <f aca="false">ExportRaw!$F49</f>
        <v>0</v>
      </c>
      <c r="B49" s="130" t="n">
        <f aca="false">ExportRaw!$C49</f>
        <v>0</v>
      </c>
      <c r="C49" s="130" t="n">
        <f aca="false">ExportRaw!$G49</f>
        <v>0</v>
      </c>
      <c r="D49" s="130" t="str">
        <f aca="false">ExportRaw!$E49</f>
        <v/>
      </c>
      <c r="E49" s="131" t="str">
        <f aca="false">ExportRaw!$D49</f>
        <v/>
      </c>
      <c r="F49" s="130" t="str">
        <f aca="false">ExportRaw!$H49</f>
        <v/>
      </c>
      <c r="G49" s="132" t="str">
        <f aca="false">ExportRaw!$I49</f>
        <v/>
      </c>
      <c r="H49" s="130" t="str">
        <f aca="false">ExportRaw!$A49</f>
        <v/>
      </c>
      <c r="I49" s="130" t="str">
        <f aca="false">ExportRaw!$B49</f>
        <v/>
      </c>
    </row>
    <row r="50" customFormat="false" ht="15.75" hidden="false" customHeight="false" outlineLevel="0" collapsed="false">
      <c r="A50" s="130" t="n">
        <f aca="false">ExportRaw!$F50</f>
        <v>0</v>
      </c>
      <c r="B50" s="130" t="n">
        <f aca="false">ExportRaw!$C50</f>
        <v>0</v>
      </c>
      <c r="C50" s="130" t="n">
        <f aca="false">ExportRaw!$G50</f>
        <v>0</v>
      </c>
      <c r="D50" s="130" t="str">
        <f aca="false">ExportRaw!$E50</f>
        <v/>
      </c>
      <c r="E50" s="131" t="str">
        <f aca="false">ExportRaw!$D50</f>
        <v/>
      </c>
      <c r="F50" s="130" t="str">
        <f aca="false">ExportRaw!$H50</f>
        <v/>
      </c>
      <c r="G50" s="132" t="str">
        <f aca="false">ExportRaw!$I50</f>
        <v/>
      </c>
      <c r="H50" s="130" t="str">
        <f aca="false">ExportRaw!$A50</f>
        <v/>
      </c>
      <c r="I50" s="130" t="str">
        <f aca="false">ExportRaw!$B50</f>
        <v/>
      </c>
    </row>
    <row r="51" customFormat="false" ht="15.75" hidden="false" customHeight="false" outlineLevel="0" collapsed="false">
      <c r="A51" s="130" t="n">
        <f aca="false">ExportRaw!$F51</f>
        <v>0</v>
      </c>
      <c r="B51" s="130" t="n">
        <f aca="false">ExportRaw!$C51</f>
        <v>0</v>
      </c>
      <c r="C51" s="130" t="n">
        <f aca="false">ExportRaw!$G51</f>
        <v>0</v>
      </c>
      <c r="D51" s="130" t="str">
        <f aca="false">ExportRaw!$E51</f>
        <v/>
      </c>
      <c r="E51" s="131" t="str">
        <f aca="false">ExportRaw!$D51</f>
        <v/>
      </c>
      <c r="F51" s="130" t="str">
        <f aca="false">ExportRaw!$H51</f>
        <v/>
      </c>
      <c r="G51" s="132" t="str">
        <f aca="false">ExportRaw!$I51</f>
        <v/>
      </c>
      <c r="H51" s="130" t="str">
        <f aca="false">ExportRaw!$A51</f>
        <v/>
      </c>
      <c r="I51" s="130" t="str">
        <f aca="false">ExportRaw!$B51</f>
        <v/>
      </c>
    </row>
    <row r="52" customFormat="false" ht="15.75" hidden="false" customHeight="false" outlineLevel="0" collapsed="false">
      <c r="A52" s="130" t="n">
        <f aca="false">ExportRaw!$F52</f>
        <v>0</v>
      </c>
      <c r="B52" s="130" t="n">
        <f aca="false">ExportRaw!$C52</f>
        <v>0</v>
      </c>
      <c r="C52" s="130" t="n">
        <f aca="false">ExportRaw!$G52</f>
        <v>0</v>
      </c>
      <c r="D52" s="130" t="str">
        <f aca="false">ExportRaw!$E52</f>
        <v/>
      </c>
      <c r="E52" s="131" t="str">
        <f aca="false">ExportRaw!$D52</f>
        <v/>
      </c>
      <c r="F52" s="130" t="str">
        <f aca="false">ExportRaw!$H52</f>
        <v/>
      </c>
      <c r="G52" s="132" t="str">
        <f aca="false">ExportRaw!$I52</f>
        <v/>
      </c>
      <c r="H52" s="130" t="str">
        <f aca="false">ExportRaw!$A52</f>
        <v/>
      </c>
      <c r="I52" s="130" t="str">
        <f aca="false">ExportRaw!$B52</f>
        <v/>
      </c>
    </row>
    <row r="53" customFormat="false" ht="15.75" hidden="false" customHeight="false" outlineLevel="0" collapsed="false">
      <c r="A53" s="130" t="n">
        <f aca="false">ExportRaw!$F53</f>
        <v>0</v>
      </c>
      <c r="B53" s="130" t="n">
        <f aca="false">ExportRaw!$C53</f>
        <v>0</v>
      </c>
      <c r="C53" s="130" t="n">
        <f aca="false">ExportRaw!$G53</f>
        <v>0</v>
      </c>
      <c r="D53" s="130" t="str">
        <f aca="false">ExportRaw!$E53</f>
        <v/>
      </c>
      <c r="E53" s="131" t="str">
        <f aca="false">ExportRaw!$D53</f>
        <v/>
      </c>
      <c r="F53" s="130" t="str">
        <f aca="false">ExportRaw!$H53</f>
        <v/>
      </c>
      <c r="G53" s="132" t="str">
        <f aca="false">ExportRaw!$I53</f>
        <v/>
      </c>
      <c r="H53" s="130" t="str">
        <f aca="false">ExportRaw!$A53</f>
        <v/>
      </c>
      <c r="I53" s="130" t="str">
        <f aca="false">ExportRaw!$B53</f>
        <v/>
      </c>
    </row>
    <row r="54" customFormat="false" ht="15.75" hidden="false" customHeight="false" outlineLevel="0" collapsed="false">
      <c r="A54" s="130" t="n">
        <f aca="false">ExportRaw!$F54</f>
        <v>0</v>
      </c>
      <c r="B54" s="130" t="n">
        <f aca="false">ExportRaw!$C54</f>
        <v>0</v>
      </c>
      <c r="C54" s="130" t="n">
        <f aca="false">ExportRaw!$G54</f>
        <v>0</v>
      </c>
      <c r="D54" s="130" t="str">
        <f aca="false">ExportRaw!$E54</f>
        <v/>
      </c>
      <c r="E54" s="131" t="str">
        <f aca="false">ExportRaw!$D54</f>
        <v/>
      </c>
      <c r="F54" s="130" t="str">
        <f aca="false">ExportRaw!$H54</f>
        <v/>
      </c>
      <c r="G54" s="132" t="str">
        <f aca="false">ExportRaw!$I54</f>
        <v/>
      </c>
      <c r="H54" s="130" t="str">
        <f aca="false">ExportRaw!$A54</f>
        <v/>
      </c>
      <c r="I54" s="130" t="str">
        <f aca="false">ExportRaw!$B54</f>
        <v/>
      </c>
    </row>
    <row r="55" customFormat="false" ht="15.75" hidden="false" customHeight="false" outlineLevel="0" collapsed="false">
      <c r="A55" s="130" t="n">
        <f aca="false">ExportRaw!$F55</f>
        <v>0</v>
      </c>
      <c r="B55" s="130" t="n">
        <f aca="false">ExportRaw!$C55</f>
        <v>0</v>
      </c>
      <c r="C55" s="130" t="n">
        <f aca="false">ExportRaw!$G55</f>
        <v>0</v>
      </c>
      <c r="D55" s="130" t="str">
        <f aca="false">ExportRaw!$E55</f>
        <v/>
      </c>
      <c r="E55" s="131" t="str">
        <f aca="false">ExportRaw!$D55</f>
        <v/>
      </c>
      <c r="F55" s="130" t="str">
        <f aca="false">ExportRaw!$H55</f>
        <v/>
      </c>
      <c r="G55" s="132" t="str">
        <f aca="false">ExportRaw!$I55</f>
        <v/>
      </c>
      <c r="H55" s="130" t="str">
        <f aca="false">ExportRaw!$A55</f>
        <v/>
      </c>
      <c r="I55" s="130" t="str">
        <f aca="false">ExportRaw!$B55</f>
        <v/>
      </c>
    </row>
    <row r="56" customFormat="false" ht="15.75" hidden="false" customHeight="false" outlineLevel="0" collapsed="false">
      <c r="A56" s="130" t="n">
        <f aca="false">ExportRaw!$F56</f>
        <v>0</v>
      </c>
      <c r="B56" s="130" t="n">
        <f aca="false">ExportRaw!$C56</f>
        <v>0</v>
      </c>
      <c r="C56" s="130" t="n">
        <f aca="false">ExportRaw!$G56</f>
        <v>0</v>
      </c>
      <c r="D56" s="130" t="str">
        <f aca="false">ExportRaw!$E56</f>
        <v/>
      </c>
      <c r="E56" s="131" t="str">
        <f aca="false">ExportRaw!$D56</f>
        <v/>
      </c>
      <c r="F56" s="130" t="str">
        <f aca="false">ExportRaw!$H56</f>
        <v/>
      </c>
      <c r="G56" s="132" t="str">
        <f aca="false">ExportRaw!$I56</f>
        <v/>
      </c>
      <c r="H56" s="130" t="str">
        <f aca="false">ExportRaw!$A56</f>
        <v/>
      </c>
      <c r="I56" s="130" t="str">
        <f aca="false">ExportRaw!$B56</f>
        <v/>
      </c>
    </row>
    <row r="57" customFormat="false" ht="15.75" hidden="false" customHeight="false" outlineLevel="0" collapsed="false">
      <c r="A57" s="130" t="n">
        <f aca="false">ExportRaw!$F57</f>
        <v>0</v>
      </c>
      <c r="B57" s="130" t="n">
        <f aca="false">ExportRaw!$C57</f>
        <v>0</v>
      </c>
      <c r="C57" s="130" t="n">
        <f aca="false">ExportRaw!$G57</f>
        <v>0</v>
      </c>
      <c r="D57" s="130" t="str">
        <f aca="false">ExportRaw!$E57</f>
        <v/>
      </c>
      <c r="E57" s="131" t="str">
        <f aca="false">ExportRaw!$D57</f>
        <v/>
      </c>
      <c r="F57" s="130" t="str">
        <f aca="false">ExportRaw!$H57</f>
        <v/>
      </c>
      <c r="G57" s="132" t="str">
        <f aca="false">ExportRaw!$I57</f>
        <v/>
      </c>
      <c r="H57" s="130" t="str">
        <f aca="false">ExportRaw!$A57</f>
        <v/>
      </c>
      <c r="I57" s="130" t="str">
        <f aca="false">ExportRaw!$B57</f>
        <v/>
      </c>
    </row>
    <row r="58" customFormat="false" ht="15.75" hidden="false" customHeight="false" outlineLevel="0" collapsed="false">
      <c r="A58" s="130" t="n">
        <f aca="false">ExportRaw!$F58</f>
        <v>0</v>
      </c>
      <c r="B58" s="130" t="n">
        <f aca="false">ExportRaw!$C58</f>
        <v>0</v>
      </c>
      <c r="C58" s="130" t="n">
        <f aca="false">ExportRaw!$G58</f>
        <v>0</v>
      </c>
      <c r="D58" s="130" t="str">
        <f aca="false">ExportRaw!$E58</f>
        <v/>
      </c>
      <c r="E58" s="131" t="str">
        <f aca="false">ExportRaw!$D58</f>
        <v/>
      </c>
      <c r="F58" s="130" t="str">
        <f aca="false">ExportRaw!$H58</f>
        <v/>
      </c>
      <c r="G58" s="132" t="str">
        <f aca="false">ExportRaw!$I58</f>
        <v/>
      </c>
      <c r="H58" s="130" t="str">
        <f aca="false">ExportRaw!$A58</f>
        <v/>
      </c>
      <c r="I58" s="130" t="str">
        <f aca="false">ExportRaw!$B58</f>
        <v/>
      </c>
    </row>
    <row r="59" customFormat="false" ht="15.75" hidden="false" customHeight="false" outlineLevel="0" collapsed="false">
      <c r="A59" s="130" t="n">
        <f aca="false">ExportRaw!$F59</f>
        <v>0</v>
      </c>
      <c r="B59" s="130" t="n">
        <f aca="false">ExportRaw!$C59</f>
        <v>0</v>
      </c>
      <c r="C59" s="130" t="n">
        <f aca="false">ExportRaw!$G59</f>
        <v>0</v>
      </c>
      <c r="D59" s="130" t="str">
        <f aca="false">ExportRaw!$E59</f>
        <v/>
      </c>
      <c r="E59" s="131" t="str">
        <f aca="false">ExportRaw!$D59</f>
        <v/>
      </c>
      <c r="F59" s="130" t="str">
        <f aca="false">ExportRaw!$H59</f>
        <v/>
      </c>
      <c r="G59" s="132" t="str">
        <f aca="false">ExportRaw!$I59</f>
        <v/>
      </c>
      <c r="H59" s="130" t="str">
        <f aca="false">ExportRaw!$A59</f>
        <v/>
      </c>
      <c r="I59" s="130" t="str">
        <f aca="false">ExportRaw!$B59</f>
        <v/>
      </c>
    </row>
    <row r="60" customFormat="false" ht="15.75" hidden="false" customHeight="false" outlineLevel="0" collapsed="false">
      <c r="A60" s="130" t="n">
        <f aca="false">ExportRaw!$F60</f>
        <v>0</v>
      </c>
      <c r="B60" s="130" t="n">
        <f aca="false">ExportRaw!$C60</f>
        <v>0</v>
      </c>
      <c r="C60" s="130" t="n">
        <f aca="false">ExportRaw!$G60</f>
        <v>0</v>
      </c>
      <c r="D60" s="130" t="str">
        <f aca="false">ExportRaw!$E60</f>
        <v/>
      </c>
      <c r="E60" s="131" t="str">
        <f aca="false">ExportRaw!$D60</f>
        <v/>
      </c>
      <c r="F60" s="130" t="str">
        <f aca="false">ExportRaw!$H60</f>
        <v/>
      </c>
      <c r="G60" s="132" t="str">
        <f aca="false">ExportRaw!$I60</f>
        <v/>
      </c>
      <c r="H60" s="130" t="str">
        <f aca="false">ExportRaw!$A60</f>
        <v/>
      </c>
      <c r="I60" s="130" t="str">
        <f aca="false">ExportRaw!$B60</f>
        <v/>
      </c>
    </row>
    <row r="61" customFormat="false" ht="15.75" hidden="false" customHeight="false" outlineLevel="0" collapsed="false">
      <c r="A61" s="130" t="n">
        <f aca="false">ExportRaw!$F61</f>
        <v>0</v>
      </c>
      <c r="B61" s="130" t="n">
        <f aca="false">ExportRaw!$C61</f>
        <v>0</v>
      </c>
      <c r="C61" s="130" t="n">
        <f aca="false">ExportRaw!$G61</f>
        <v>0</v>
      </c>
      <c r="D61" s="130" t="str">
        <f aca="false">ExportRaw!$E61</f>
        <v/>
      </c>
      <c r="E61" s="131" t="str">
        <f aca="false">ExportRaw!$D61</f>
        <v/>
      </c>
      <c r="F61" s="130" t="str">
        <f aca="false">ExportRaw!$H61</f>
        <v/>
      </c>
      <c r="G61" s="132" t="str">
        <f aca="false">ExportRaw!$I61</f>
        <v/>
      </c>
      <c r="H61" s="130" t="str">
        <f aca="false">ExportRaw!$A61</f>
        <v/>
      </c>
      <c r="I61" s="130" t="str">
        <f aca="false">ExportRaw!$B61</f>
        <v/>
      </c>
    </row>
    <row r="62" customFormat="false" ht="15.75" hidden="false" customHeight="false" outlineLevel="0" collapsed="false">
      <c r="A62" s="130" t="n">
        <f aca="false">ExportRaw!$F62</f>
        <v>0</v>
      </c>
      <c r="B62" s="130" t="n">
        <f aca="false">ExportRaw!$C62</f>
        <v>0</v>
      </c>
      <c r="C62" s="130" t="n">
        <f aca="false">ExportRaw!$G62</f>
        <v>0</v>
      </c>
      <c r="D62" s="130" t="str">
        <f aca="false">ExportRaw!$E62</f>
        <v/>
      </c>
      <c r="E62" s="131" t="str">
        <f aca="false">ExportRaw!$D62</f>
        <v/>
      </c>
      <c r="F62" s="130" t="str">
        <f aca="false">ExportRaw!$H62</f>
        <v/>
      </c>
      <c r="G62" s="132" t="str">
        <f aca="false">ExportRaw!$I62</f>
        <v/>
      </c>
      <c r="H62" s="130" t="str">
        <f aca="false">ExportRaw!$A62</f>
        <v/>
      </c>
      <c r="I62" s="130" t="str">
        <f aca="false">ExportRaw!$B62</f>
        <v/>
      </c>
    </row>
    <row r="63" customFormat="false" ht="15.75" hidden="false" customHeight="false" outlineLevel="0" collapsed="false">
      <c r="A63" s="130" t="n">
        <f aca="false">ExportRaw!$F63</f>
        <v>0</v>
      </c>
      <c r="B63" s="130" t="n">
        <f aca="false">ExportRaw!$C63</f>
        <v>0</v>
      </c>
      <c r="C63" s="130" t="n">
        <f aca="false">ExportRaw!$G63</f>
        <v>0</v>
      </c>
      <c r="D63" s="130" t="str">
        <f aca="false">ExportRaw!$E63</f>
        <v/>
      </c>
      <c r="E63" s="131" t="str">
        <f aca="false">ExportRaw!$D63</f>
        <v/>
      </c>
      <c r="F63" s="130" t="str">
        <f aca="false">ExportRaw!$H63</f>
        <v/>
      </c>
      <c r="G63" s="132" t="str">
        <f aca="false">ExportRaw!$I63</f>
        <v/>
      </c>
      <c r="H63" s="130" t="str">
        <f aca="false">ExportRaw!$A63</f>
        <v/>
      </c>
      <c r="I63" s="130" t="str">
        <f aca="false">ExportRaw!$B63</f>
        <v/>
      </c>
    </row>
    <row r="64" customFormat="false" ht="15.75" hidden="false" customHeight="false" outlineLevel="0" collapsed="false">
      <c r="A64" s="130" t="n">
        <f aca="false">ExportRaw!$F64</f>
        <v>0</v>
      </c>
      <c r="B64" s="130" t="n">
        <f aca="false">ExportRaw!$C64</f>
        <v>0</v>
      </c>
      <c r="C64" s="130" t="n">
        <f aca="false">ExportRaw!$G64</f>
        <v>0</v>
      </c>
      <c r="D64" s="130" t="str">
        <f aca="false">ExportRaw!$E64</f>
        <v/>
      </c>
      <c r="E64" s="131" t="str">
        <f aca="false">ExportRaw!$D64</f>
        <v/>
      </c>
      <c r="F64" s="130" t="str">
        <f aca="false">ExportRaw!$H64</f>
        <v/>
      </c>
      <c r="G64" s="132" t="str">
        <f aca="false">ExportRaw!$I64</f>
        <v/>
      </c>
      <c r="H64" s="130" t="str">
        <f aca="false">ExportRaw!$A64</f>
        <v/>
      </c>
      <c r="I64" s="130" t="str">
        <f aca="false">ExportRaw!$B64</f>
        <v/>
      </c>
    </row>
    <row r="65" customFormat="false" ht="15.75" hidden="false" customHeight="false" outlineLevel="0" collapsed="false">
      <c r="A65" s="130" t="n">
        <f aca="false">ExportRaw!$F65</f>
        <v>0</v>
      </c>
      <c r="B65" s="130" t="n">
        <f aca="false">ExportRaw!$C65</f>
        <v>0</v>
      </c>
      <c r="C65" s="130" t="n">
        <f aca="false">ExportRaw!$G65</f>
        <v>0</v>
      </c>
      <c r="D65" s="130" t="str">
        <f aca="false">ExportRaw!$E65</f>
        <v/>
      </c>
      <c r="E65" s="131" t="str">
        <f aca="false">ExportRaw!$D65</f>
        <v/>
      </c>
      <c r="F65" s="130" t="str">
        <f aca="false">ExportRaw!$H65</f>
        <v/>
      </c>
      <c r="G65" s="132" t="str">
        <f aca="false">ExportRaw!$I65</f>
        <v/>
      </c>
      <c r="H65" s="130" t="str">
        <f aca="false">ExportRaw!$A65</f>
        <v/>
      </c>
      <c r="I65" s="130" t="str">
        <f aca="false">ExportRaw!$B65</f>
        <v/>
      </c>
    </row>
    <row r="66" customFormat="false" ht="15.75" hidden="false" customHeight="false" outlineLevel="0" collapsed="false">
      <c r="A66" s="130" t="n">
        <f aca="false">ExportRaw!$F66</f>
        <v>0</v>
      </c>
      <c r="B66" s="130" t="n">
        <f aca="false">ExportRaw!$C66</f>
        <v>0</v>
      </c>
      <c r="C66" s="130" t="n">
        <f aca="false">ExportRaw!$G66</f>
        <v>0</v>
      </c>
      <c r="D66" s="130" t="str">
        <f aca="false">ExportRaw!$E66</f>
        <v/>
      </c>
      <c r="E66" s="131" t="str">
        <f aca="false">ExportRaw!$D66</f>
        <v/>
      </c>
      <c r="F66" s="130" t="str">
        <f aca="false">ExportRaw!$H66</f>
        <v/>
      </c>
      <c r="G66" s="132" t="str">
        <f aca="false">ExportRaw!$I66</f>
        <v/>
      </c>
      <c r="H66" s="130" t="str">
        <f aca="false">ExportRaw!$A66</f>
        <v/>
      </c>
      <c r="I66" s="130" t="str">
        <f aca="false">ExportRaw!$B66</f>
        <v/>
      </c>
    </row>
    <row r="67" customFormat="false" ht="15.75" hidden="false" customHeight="false" outlineLevel="0" collapsed="false">
      <c r="A67" s="130" t="n">
        <f aca="false">ExportRaw!$F67</f>
        <v>0</v>
      </c>
      <c r="B67" s="130" t="n">
        <f aca="false">ExportRaw!$C67</f>
        <v>0</v>
      </c>
      <c r="C67" s="130" t="n">
        <f aca="false">ExportRaw!$G67</f>
        <v>0</v>
      </c>
      <c r="D67" s="130" t="str">
        <f aca="false">ExportRaw!$E67</f>
        <v/>
      </c>
      <c r="E67" s="131" t="str">
        <f aca="false">ExportRaw!$D67</f>
        <v/>
      </c>
      <c r="F67" s="130" t="str">
        <f aca="false">ExportRaw!$H67</f>
        <v/>
      </c>
      <c r="G67" s="132" t="str">
        <f aca="false">ExportRaw!$I67</f>
        <v/>
      </c>
      <c r="H67" s="130" t="str">
        <f aca="false">ExportRaw!$A67</f>
        <v/>
      </c>
      <c r="I67" s="130" t="str">
        <f aca="false">ExportRaw!$B67</f>
        <v/>
      </c>
    </row>
    <row r="68" customFormat="false" ht="15.75" hidden="false" customHeight="false" outlineLevel="0" collapsed="false">
      <c r="A68" s="130" t="n">
        <f aca="false">ExportRaw!$F68</f>
        <v>0</v>
      </c>
      <c r="B68" s="130" t="n">
        <f aca="false">ExportRaw!$C68</f>
        <v>0</v>
      </c>
      <c r="C68" s="130" t="n">
        <f aca="false">ExportRaw!$G68</f>
        <v>0</v>
      </c>
      <c r="D68" s="130" t="str">
        <f aca="false">ExportRaw!$E68</f>
        <v/>
      </c>
      <c r="E68" s="131" t="str">
        <f aca="false">ExportRaw!$D68</f>
        <v/>
      </c>
      <c r="F68" s="130" t="str">
        <f aca="false">ExportRaw!$H68</f>
        <v/>
      </c>
      <c r="G68" s="132" t="str">
        <f aca="false">ExportRaw!$I68</f>
        <v/>
      </c>
      <c r="H68" s="130" t="str">
        <f aca="false">ExportRaw!$A68</f>
        <v/>
      </c>
      <c r="I68" s="130" t="str">
        <f aca="false">ExportRaw!$B68</f>
        <v/>
      </c>
    </row>
    <row r="69" customFormat="false" ht="15.75" hidden="false" customHeight="false" outlineLevel="0" collapsed="false">
      <c r="A69" s="130" t="n">
        <f aca="false">ExportRaw!$F69</f>
        <v>0</v>
      </c>
      <c r="B69" s="130" t="n">
        <f aca="false">ExportRaw!$C69</f>
        <v>0</v>
      </c>
      <c r="C69" s="130" t="n">
        <f aca="false">ExportRaw!$G69</f>
        <v>0</v>
      </c>
      <c r="D69" s="130" t="str">
        <f aca="false">ExportRaw!$E69</f>
        <v/>
      </c>
      <c r="E69" s="131" t="str">
        <f aca="false">ExportRaw!$D69</f>
        <v/>
      </c>
      <c r="F69" s="130" t="str">
        <f aca="false">ExportRaw!$H69</f>
        <v/>
      </c>
      <c r="G69" s="132" t="str">
        <f aca="false">ExportRaw!$I69</f>
        <v/>
      </c>
      <c r="H69" s="130" t="str">
        <f aca="false">ExportRaw!$A69</f>
        <v/>
      </c>
      <c r="I69" s="130" t="str">
        <f aca="false">ExportRaw!$B69</f>
        <v/>
      </c>
    </row>
    <row r="70" customFormat="false" ht="15.75" hidden="false" customHeight="false" outlineLevel="0" collapsed="false">
      <c r="A70" s="130" t="n">
        <f aca="false">ExportRaw!$F70</f>
        <v>0</v>
      </c>
      <c r="B70" s="130" t="n">
        <f aca="false">ExportRaw!$C70</f>
        <v>0</v>
      </c>
      <c r="C70" s="130" t="n">
        <f aca="false">ExportRaw!$G70</f>
        <v>0</v>
      </c>
      <c r="D70" s="130" t="str">
        <f aca="false">ExportRaw!$E70</f>
        <v/>
      </c>
      <c r="E70" s="131" t="str">
        <f aca="false">ExportRaw!$D70</f>
        <v/>
      </c>
      <c r="F70" s="130" t="str">
        <f aca="false">ExportRaw!$H70</f>
        <v/>
      </c>
      <c r="G70" s="132" t="str">
        <f aca="false">ExportRaw!$I70</f>
        <v/>
      </c>
      <c r="H70" s="130" t="str">
        <f aca="false">ExportRaw!$A70</f>
        <v/>
      </c>
      <c r="I70" s="130" t="str">
        <f aca="false">ExportRaw!$B70</f>
        <v/>
      </c>
    </row>
    <row r="71" customFormat="false" ht="15.75" hidden="false" customHeight="false" outlineLevel="0" collapsed="false">
      <c r="A71" s="130" t="n">
        <f aca="false">ExportRaw!$F71</f>
        <v>0</v>
      </c>
      <c r="B71" s="130" t="n">
        <f aca="false">ExportRaw!$C71</f>
        <v>0</v>
      </c>
      <c r="C71" s="130" t="n">
        <f aca="false">ExportRaw!$G71</f>
        <v>0</v>
      </c>
      <c r="D71" s="130" t="str">
        <f aca="false">ExportRaw!$E71</f>
        <v/>
      </c>
      <c r="E71" s="131" t="str">
        <f aca="false">ExportRaw!$D71</f>
        <v/>
      </c>
      <c r="F71" s="130" t="str">
        <f aca="false">ExportRaw!$H71</f>
        <v/>
      </c>
      <c r="G71" s="132" t="str">
        <f aca="false">ExportRaw!$I71</f>
        <v/>
      </c>
      <c r="H71" s="130" t="str">
        <f aca="false">ExportRaw!$A71</f>
        <v/>
      </c>
      <c r="I71" s="130" t="str">
        <f aca="false">ExportRaw!$B71</f>
        <v/>
      </c>
    </row>
    <row r="72" customFormat="false" ht="15.75" hidden="false" customHeight="false" outlineLevel="0" collapsed="false">
      <c r="A72" s="130" t="n">
        <f aca="false">ExportRaw!$F72</f>
        <v>0</v>
      </c>
      <c r="B72" s="130" t="n">
        <f aca="false">ExportRaw!$C72</f>
        <v>0</v>
      </c>
      <c r="C72" s="130" t="n">
        <f aca="false">ExportRaw!$G72</f>
        <v>0</v>
      </c>
      <c r="D72" s="130" t="str">
        <f aca="false">ExportRaw!$E72</f>
        <v/>
      </c>
      <c r="E72" s="131" t="str">
        <f aca="false">ExportRaw!$D72</f>
        <v/>
      </c>
      <c r="F72" s="130" t="str">
        <f aca="false">ExportRaw!$H72</f>
        <v/>
      </c>
      <c r="G72" s="132" t="str">
        <f aca="false">ExportRaw!$I72</f>
        <v/>
      </c>
      <c r="H72" s="130" t="str">
        <f aca="false">ExportRaw!$A72</f>
        <v/>
      </c>
      <c r="I72" s="130" t="str">
        <f aca="false">ExportRaw!$B72</f>
        <v/>
      </c>
    </row>
    <row r="73" customFormat="false" ht="15.75" hidden="false" customHeight="false" outlineLevel="0" collapsed="false">
      <c r="A73" s="130" t="n">
        <f aca="false">ExportRaw!$F73</f>
        <v>0</v>
      </c>
      <c r="B73" s="130" t="n">
        <f aca="false">ExportRaw!$C73</f>
        <v>0</v>
      </c>
      <c r="C73" s="130" t="n">
        <f aca="false">ExportRaw!$G73</f>
        <v>0</v>
      </c>
      <c r="D73" s="130" t="str">
        <f aca="false">ExportRaw!$E73</f>
        <v/>
      </c>
      <c r="E73" s="131" t="str">
        <f aca="false">ExportRaw!$D73</f>
        <v/>
      </c>
      <c r="F73" s="130" t="str">
        <f aca="false">ExportRaw!$H73</f>
        <v/>
      </c>
      <c r="G73" s="132" t="str">
        <f aca="false">ExportRaw!$I73</f>
        <v/>
      </c>
      <c r="H73" s="130" t="str">
        <f aca="false">ExportRaw!$A73</f>
        <v/>
      </c>
      <c r="I73" s="130" t="str">
        <f aca="false">ExportRaw!$B73</f>
        <v/>
      </c>
    </row>
    <row r="74" customFormat="false" ht="15.75" hidden="false" customHeight="false" outlineLevel="0" collapsed="false">
      <c r="A74" s="130" t="n">
        <f aca="false">ExportRaw!$F74</f>
        <v>0</v>
      </c>
      <c r="B74" s="130" t="n">
        <f aca="false">ExportRaw!$C74</f>
        <v>0</v>
      </c>
      <c r="C74" s="130" t="n">
        <f aca="false">ExportRaw!$G74</f>
        <v>0</v>
      </c>
      <c r="D74" s="130" t="str">
        <f aca="false">ExportRaw!$E74</f>
        <v/>
      </c>
      <c r="E74" s="131" t="str">
        <f aca="false">ExportRaw!$D74</f>
        <v/>
      </c>
      <c r="F74" s="130" t="str">
        <f aca="false">ExportRaw!$H74</f>
        <v/>
      </c>
      <c r="G74" s="132" t="str">
        <f aca="false">ExportRaw!$I74</f>
        <v/>
      </c>
      <c r="H74" s="130" t="str">
        <f aca="false">ExportRaw!$A74</f>
        <v/>
      </c>
      <c r="I74" s="130" t="str">
        <f aca="false">ExportRaw!$B74</f>
        <v/>
      </c>
    </row>
    <row r="75" customFormat="false" ht="15.75" hidden="false" customHeight="false" outlineLevel="0" collapsed="false">
      <c r="A75" s="130" t="n">
        <f aca="false">ExportRaw!$F75</f>
        <v>0</v>
      </c>
      <c r="B75" s="130" t="n">
        <f aca="false">ExportRaw!$C75</f>
        <v>0</v>
      </c>
      <c r="C75" s="130" t="n">
        <f aca="false">ExportRaw!$G75</f>
        <v>0</v>
      </c>
      <c r="D75" s="130" t="str">
        <f aca="false">ExportRaw!$E75</f>
        <v/>
      </c>
      <c r="E75" s="131" t="str">
        <f aca="false">ExportRaw!$D75</f>
        <v/>
      </c>
      <c r="F75" s="130" t="str">
        <f aca="false">ExportRaw!$H75</f>
        <v/>
      </c>
      <c r="G75" s="132" t="str">
        <f aca="false">ExportRaw!$I75</f>
        <v/>
      </c>
      <c r="H75" s="130" t="str">
        <f aca="false">ExportRaw!$A75</f>
        <v/>
      </c>
      <c r="I75" s="130" t="str">
        <f aca="false">ExportRaw!$B75</f>
        <v/>
      </c>
    </row>
    <row r="76" customFormat="false" ht="15.75" hidden="false" customHeight="false" outlineLevel="0" collapsed="false">
      <c r="A76" s="130" t="n">
        <f aca="false">ExportRaw!$F76</f>
        <v>0</v>
      </c>
      <c r="B76" s="130" t="n">
        <f aca="false">ExportRaw!$C76</f>
        <v>0</v>
      </c>
      <c r="C76" s="130" t="n">
        <f aca="false">ExportRaw!$G76</f>
        <v>0</v>
      </c>
      <c r="D76" s="130" t="str">
        <f aca="false">ExportRaw!$E76</f>
        <v/>
      </c>
      <c r="E76" s="131" t="str">
        <f aca="false">ExportRaw!$D76</f>
        <v/>
      </c>
      <c r="F76" s="130" t="str">
        <f aca="false">ExportRaw!$H76</f>
        <v/>
      </c>
      <c r="G76" s="132" t="str">
        <f aca="false">ExportRaw!$I76</f>
        <v/>
      </c>
      <c r="H76" s="130" t="str">
        <f aca="false">ExportRaw!$A76</f>
        <v/>
      </c>
      <c r="I76" s="130" t="str">
        <f aca="false">ExportRaw!$B76</f>
        <v/>
      </c>
    </row>
    <row r="77" customFormat="false" ht="15.75" hidden="false" customHeight="false" outlineLevel="0" collapsed="false">
      <c r="A77" s="130" t="n">
        <f aca="false">ExportRaw!$F77</f>
        <v>0</v>
      </c>
      <c r="B77" s="130" t="n">
        <f aca="false">ExportRaw!$C77</f>
        <v>0</v>
      </c>
      <c r="C77" s="130" t="n">
        <f aca="false">ExportRaw!$G77</f>
        <v>0</v>
      </c>
      <c r="D77" s="130" t="str">
        <f aca="false">ExportRaw!$E77</f>
        <v/>
      </c>
      <c r="E77" s="131" t="str">
        <f aca="false">ExportRaw!$D77</f>
        <v/>
      </c>
      <c r="F77" s="130" t="str">
        <f aca="false">ExportRaw!$H77</f>
        <v/>
      </c>
      <c r="G77" s="132" t="str">
        <f aca="false">ExportRaw!$I77</f>
        <v/>
      </c>
      <c r="H77" s="130" t="str">
        <f aca="false">ExportRaw!$A77</f>
        <v/>
      </c>
      <c r="I77" s="130" t="str">
        <f aca="false">ExportRaw!$B77</f>
        <v/>
      </c>
    </row>
    <row r="78" customFormat="false" ht="15.75" hidden="false" customHeight="false" outlineLevel="0" collapsed="false">
      <c r="A78" s="130" t="n">
        <f aca="false">ExportRaw!$F78</f>
        <v>0</v>
      </c>
      <c r="B78" s="130" t="n">
        <f aca="false">ExportRaw!$C78</f>
        <v>0</v>
      </c>
      <c r="C78" s="130" t="n">
        <f aca="false">ExportRaw!$G78</f>
        <v>0</v>
      </c>
      <c r="D78" s="130" t="str">
        <f aca="false">ExportRaw!$E78</f>
        <v/>
      </c>
      <c r="E78" s="131" t="str">
        <f aca="false">ExportRaw!$D78</f>
        <v/>
      </c>
      <c r="F78" s="130" t="str">
        <f aca="false">ExportRaw!$H78</f>
        <v/>
      </c>
      <c r="G78" s="132" t="str">
        <f aca="false">ExportRaw!$I78</f>
        <v/>
      </c>
      <c r="H78" s="130" t="str">
        <f aca="false">ExportRaw!$A78</f>
        <v/>
      </c>
      <c r="I78" s="130" t="str">
        <f aca="false">ExportRaw!$B78</f>
        <v/>
      </c>
    </row>
    <row r="79" customFormat="false" ht="15.75" hidden="false" customHeight="false" outlineLevel="0" collapsed="false">
      <c r="A79" s="130" t="n">
        <f aca="false">ExportRaw!$F79</f>
        <v>0</v>
      </c>
      <c r="B79" s="130" t="n">
        <f aca="false">ExportRaw!$C79</f>
        <v>0</v>
      </c>
      <c r="C79" s="130" t="n">
        <f aca="false">ExportRaw!$G79</f>
        <v>0</v>
      </c>
      <c r="D79" s="130" t="str">
        <f aca="false">ExportRaw!$E79</f>
        <v/>
      </c>
      <c r="E79" s="131" t="str">
        <f aca="false">ExportRaw!$D79</f>
        <v/>
      </c>
      <c r="F79" s="130" t="str">
        <f aca="false">ExportRaw!$H79</f>
        <v/>
      </c>
      <c r="G79" s="132" t="str">
        <f aca="false">ExportRaw!$I79</f>
        <v/>
      </c>
      <c r="H79" s="130" t="str">
        <f aca="false">ExportRaw!$A79</f>
        <v/>
      </c>
      <c r="I79" s="130" t="str">
        <f aca="false">ExportRaw!$B79</f>
        <v/>
      </c>
    </row>
    <row r="80" customFormat="false" ht="15.75" hidden="false" customHeight="false" outlineLevel="0" collapsed="false">
      <c r="A80" s="130" t="n">
        <f aca="false">ExportRaw!$F80</f>
        <v>0</v>
      </c>
      <c r="B80" s="130" t="n">
        <f aca="false">ExportRaw!$C80</f>
        <v>0</v>
      </c>
      <c r="C80" s="130" t="n">
        <f aca="false">ExportRaw!$G80</f>
        <v>0</v>
      </c>
      <c r="D80" s="130" t="str">
        <f aca="false">ExportRaw!$E80</f>
        <v/>
      </c>
      <c r="E80" s="131" t="str">
        <f aca="false">ExportRaw!$D80</f>
        <v/>
      </c>
      <c r="F80" s="130" t="str">
        <f aca="false">ExportRaw!$H80</f>
        <v/>
      </c>
      <c r="G80" s="132" t="str">
        <f aca="false">ExportRaw!$I80</f>
        <v/>
      </c>
      <c r="H80" s="130" t="str">
        <f aca="false">ExportRaw!$A80</f>
        <v/>
      </c>
      <c r="I80" s="130" t="str">
        <f aca="false">ExportRaw!$B80</f>
        <v/>
      </c>
    </row>
    <row r="81" customFormat="false" ht="15.75" hidden="false" customHeight="false" outlineLevel="0" collapsed="false">
      <c r="A81" s="130" t="n">
        <f aca="false">ExportRaw!$F81</f>
        <v>0</v>
      </c>
      <c r="B81" s="130" t="n">
        <f aca="false">ExportRaw!$C81</f>
        <v>0</v>
      </c>
      <c r="C81" s="130" t="n">
        <f aca="false">ExportRaw!$G81</f>
        <v>0</v>
      </c>
      <c r="D81" s="130" t="str">
        <f aca="false">ExportRaw!$E81</f>
        <v/>
      </c>
      <c r="E81" s="131" t="str">
        <f aca="false">ExportRaw!$D81</f>
        <v/>
      </c>
      <c r="F81" s="130" t="str">
        <f aca="false">ExportRaw!$H81</f>
        <v/>
      </c>
      <c r="G81" s="132" t="str">
        <f aca="false">ExportRaw!$I81</f>
        <v/>
      </c>
      <c r="H81" s="130" t="str">
        <f aca="false">ExportRaw!$A81</f>
        <v/>
      </c>
      <c r="I81" s="130" t="str">
        <f aca="false">ExportRaw!$B81</f>
        <v/>
      </c>
    </row>
    <row r="82" customFormat="false" ht="15.75" hidden="false" customHeight="false" outlineLevel="0" collapsed="false">
      <c r="A82" s="130" t="n">
        <f aca="false">ExportRaw!$F82</f>
        <v>0</v>
      </c>
      <c r="B82" s="130" t="n">
        <f aca="false">ExportRaw!$C82</f>
        <v>0</v>
      </c>
      <c r="C82" s="130" t="n">
        <f aca="false">ExportRaw!$G82</f>
        <v>0</v>
      </c>
      <c r="D82" s="130" t="str">
        <f aca="false">ExportRaw!$E82</f>
        <v/>
      </c>
      <c r="E82" s="131" t="str">
        <f aca="false">ExportRaw!$D82</f>
        <v/>
      </c>
      <c r="F82" s="130" t="str">
        <f aca="false">ExportRaw!$H82</f>
        <v/>
      </c>
      <c r="G82" s="132" t="str">
        <f aca="false">ExportRaw!$I82</f>
        <v/>
      </c>
      <c r="H82" s="130" t="str">
        <f aca="false">ExportRaw!$A82</f>
        <v/>
      </c>
      <c r="I82" s="130" t="str">
        <f aca="false">ExportRaw!$B82</f>
        <v/>
      </c>
    </row>
    <row r="83" customFormat="false" ht="15.75" hidden="false" customHeight="false" outlineLevel="0" collapsed="false">
      <c r="A83" s="130" t="n">
        <f aca="false">ExportRaw!$F83</f>
        <v>0</v>
      </c>
      <c r="B83" s="130" t="n">
        <f aca="false">ExportRaw!$C83</f>
        <v>0</v>
      </c>
      <c r="C83" s="130" t="n">
        <f aca="false">ExportRaw!$G83</f>
        <v>0</v>
      </c>
      <c r="D83" s="130" t="str">
        <f aca="false">ExportRaw!$E83</f>
        <v/>
      </c>
      <c r="E83" s="131" t="str">
        <f aca="false">ExportRaw!$D83</f>
        <v/>
      </c>
      <c r="F83" s="130" t="str">
        <f aca="false">ExportRaw!$H83</f>
        <v/>
      </c>
      <c r="G83" s="132" t="str">
        <f aca="false">ExportRaw!$I83</f>
        <v/>
      </c>
      <c r="H83" s="130" t="str">
        <f aca="false">ExportRaw!$A83</f>
        <v/>
      </c>
      <c r="I83" s="130" t="str">
        <f aca="false">ExportRaw!$B83</f>
        <v/>
      </c>
    </row>
    <row r="84" customFormat="false" ht="15.75" hidden="false" customHeight="false" outlineLevel="0" collapsed="false">
      <c r="A84" s="130" t="n">
        <f aca="false">ExportRaw!$F84</f>
        <v>0</v>
      </c>
      <c r="B84" s="130" t="n">
        <f aca="false">ExportRaw!$C84</f>
        <v>0</v>
      </c>
      <c r="C84" s="130" t="n">
        <f aca="false">ExportRaw!$G84</f>
        <v>0</v>
      </c>
      <c r="D84" s="130" t="str">
        <f aca="false">ExportRaw!$E84</f>
        <v/>
      </c>
      <c r="E84" s="131" t="str">
        <f aca="false">ExportRaw!$D84</f>
        <v/>
      </c>
      <c r="F84" s="130" t="str">
        <f aca="false">ExportRaw!$H84</f>
        <v/>
      </c>
      <c r="G84" s="132" t="str">
        <f aca="false">ExportRaw!$I84</f>
        <v/>
      </c>
      <c r="H84" s="130" t="str">
        <f aca="false">ExportRaw!$A84</f>
        <v/>
      </c>
      <c r="I84" s="130" t="str">
        <f aca="false">ExportRaw!$B84</f>
        <v/>
      </c>
    </row>
    <row r="85" customFormat="false" ht="15.75" hidden="false" customHeight="false" outlineLevel="0" collapsed="false">
      <c r="A85" s="130" t="n">
        <f aca="false">ExportRaw!$F85</f>
        <v>0</v>
      </c>
      <c r="B85" s="130" t="n">
        <f aca="false">ExportRaw!$C85</f>
        <v>0</v>
      </c>
      <c r="C85" s="130" t="n">
        <f aca="false">ExportRaw!$G85</f>
        <v>0</v>
      </c>
      <c r="D85" s="130" t="str">
        <f aca="false">ExportRaw!$E85</f>
        <v/>
      </c>
      <c r="E85" s="131" t="str">
        <f aca="false">ExportRaw!$D85</f>
        <v/>
      </c>
      <c r="F85" s="130" t="str">
        <f aca="false">ExportRaw!$H85</f>
        <v/>
      </c>
      <c r="G85" s="132" t="str">
        <f aca="false">ExportRaw!$I85</f>
        <v/>
      </c>
      <c r="H85" s="130" t="str">
        <f aca="false">ExportRaw!$A85</f>
        <v/>
      </c>
      <c r="I85" s="130" t="str">
        <f aca="false">ExportRaw!$B85</f>
        <v/>
      </c>
    </row>
    <row r="86" customFormat="false" ht="15.75" hidden="false" customHeight="false" outlineLevel="0" collapsed="false">
      <c r="A86" s="130" t="n">
        <f aca="false">ExportRaw!$F86</f>
        <v>0</v>
      </c>
      <c r="B86" s="130" t="n">
        <f aca="false">ExportRaw!$C86</f>
        <v>0</v>
      </c>
      <c r="C86" s="130" t="n">
        <f aca="false">ExportRaw!$G86</f>
        <v>0</v>
      </c>
      <c r="D86" s="130" t="str">
        <f aca="false">ExportRaw!$E86</f>
        <v/>
      </c>
      <c r="E86" s="131" t="str">
        <f aca="false">ExportRaw!$D86</f>
        <v/>
      </c>
      <c r="F86" s="130" t="str">
        <f aca="false">ExportRaw!$H86</f>
        <v/>
      </c>
      <c r="G86" s="132" t="str">
        <f aca="false">ExportRaw!$I86</f>
        <v/>
      </c>
      <c r="H86" s="130" t="str">
        <f aca="false">ExportRaw!$A86</f>
        <v/>
      </c>
      <c r="I86" s="130" t="str">
        <f aca="false">ExportRaw!$B86</f>
        <v/>
      </c>
    </row>
    <row r="87" customFormat="false" ht="15.75" hidden="false" customHeight="false" outlineLevel="0" collapsed="false">
      <c r="A87" s="130" t="n">
        <f aca="false">ExportRaw!$F87</f>
        <v>0</v>
      </c>
      <c r="B87" s="130" t="n">
        <f aca="false">ExportRaw!$C87</f>
        <v>0</v>
      </c>
      <c r="C87" s="130" t="n">
        <f aca="false">ExportRaw!$G87</f>
        <v>0</v>
      </c>
      <c r="D87" s="130" t="str">
        <f aca="false">ExportRaw!$E87</f>
        <v/>
      </c>
      <c r="E87" s="131" t="str">
        <f aca="false">ExportRaw!$D87</f>
        <v/>
      </c>
      <c r="F87" s="130" t="str">
        <f aca="false">ExportRaw!$H87</f>
        <v/>
      </c>
      <c r="G87" s="132" t="str">
        <f aca="false">ExportRaw!$I87</f>
        <v/>
      </c>
      <c r="H87" s="130" t="str">
        <f aca="false">ExportRaw!$A87</f>
        <v/>
      </c>
      <c r="I87" s="130" t="str">
        <f aca="false">ExportRaw!$B87</f>
        <v/>
      </c>
    </row>
    <row r="88" customFormat="false" ht="15.75" hidden="false" customHeight="false" outlineLevel="0" collapsed="false">
      <c r="A88" s="130" t="n">
        <f aca="false">ExportRaw!$F88</f>
        <v>0</v>
      </c>
      <c r="B88" s="130" t="n">
        <f aca="false">ExportRaw!$C88</f>
        <v>0</v>
      </c>
      <c r="C88" s="130" t="n">
        <f aca="false">ExportRaw!$G88</f>
        <v>0</v>
      </c>
      <c r="D88" s="130" t="str">
        <f aca="false">ExportRaw!$E88</f>
        <v/>
      </c>
      <c r="E88" s="131" t="str">
        <f aca="false">ExportRaw!$D88</f>
        <v/>
      </c>
      <c r="F88" s="130" t="str">
        <f aca="false">ExportRaw!$H88</f>
        <v/>
      </c>
      <c r="G88" s="132" t="str">
        <f aca="false">ExportRaw!$I88</f>
        <v/>
      </c>
      <c r="H88" s="130" t="str">
        <f aca="false">ExportRaw!$A88</f>
        <v/>
      </c>
      <c r="I88" s="130" t="str">
        <f aca="false">ExportRaw!$B88</f>
        <v/>
      </c>
    </row>
    <row r="89" customFormat="false" ht="15.75" hidden="false" customHeight="false" outlineLevel="0" collapsed="false">
      <c r="A89" s="130" t="n">
        <f aca="false">ExportRaw!$F89</f>
        <v>0</v>
      </c>
      <c r="B89" s="130" t="n">
        <f aca="false">ExportRaw!$C89</f>
        <v>0</v>
      </c>
      <c r="C89" s="130" t="n">
        <f aca="false">ExportRaw!$G89</f>
        <v>0</v>
      </c>
      <c r="D89" s="130" t="str">
        <f aca="false">ExportRaw!$E89</f>
        <v/>
      </c>
      <c r="E89" s="131" t="str">
        <f aca="false">ExportRaw!$D89</f>
        <v/>
      </c>
      <c r="F89" s="130" t="str">
        <f aca="false">ExportRaw!$H89</f>
        <v/>
      </c>
      <c r="G89" s="132" t="str">
        <f aca="false">ExportRaw!$I89</f>
        <v/>
      </c>
      <c r="H89" s="130" t="str">
        <f aca="false">ExportRaw!$A89</f>
        <v/>
      </c>
      <c r="I89" s="130" t="str">
        <f aca="false">ExportRaw!$B89</f>
        <v/>
      </c>
    </row>
    <row r="90" customFormat="false" ht="15.75" hidden="false" customHeight="false" outlineLevel="0" collapsed="false">
      <c r="A90" s="130" t="n">
        <f aca="false">ExportRaw!$F90</f>
        <v>0</v>
      </c>
      <c r="B90" s="130" t="n">
        <f aca="false">ExportRaw!$C90</f>
        <v>0</v>
      </c>
      <c r="C90" s="130" t="n">
        <f aca="false">ExportRaw!$G90</f>
        <v>0</v>
      </c>
      <c r="D90" s="130" t="str">
        <f aca="false">ExportRaw!$E90</f>
        <v/>
      </c>
      <c r="E90" s="131" t="str">
        <f aca="false">ExportRaw!$D90</f>
        <v/>
      </c>
      <c r="F90" s="130" t="str">
        <f aca="false">ExportRaw!$H90</f>
        <v/>
      </c>
      <c r="G90" s="132" t="str">
        <f aca="false">ExportRaw!$I90</f>
        <v/>
      </c>
      <c r="H90" s="130" t="str">
        <f aca="false">ExportRaw!$A90</f>
        <v/>
      </c>
      <c r="I90" s="130" t="str">
        <f aca="false">ExportRaw!$B90</f>
        <v/>
      </c>
    </row>
    <row r="91" customFormat="false" ht="15.75" hidden="false" customHeight="false" outlineLevel="0" collapsed="false">
      <c r="A91" s="130" t="n">
        <f aca="false">ExportRaw!$F91</f>
        <v>0</v>
      </c>
      <c r="B91" s="130" t="n">
        <f aca="false">ExportRaw!$C91</f>
        <v>0</v>
      </c>
      <c r="C91" s="130" t="n">
        <f aca="false">ExportRaw!$G91</f>
        <v>0</v>
      </c>
      <c r="D91" s="130" t="str">
        <f aca="false">ExportRaw!$E91</f>
        <v/>
      </c>
      <c r="E91" s="131" t="str">
        <f aca="false">ExportRaw!$D91</f>
        <v/>
      </c>
      <c r="F91" s="130" t="str">
        <f aca="false">ExportRaw!$H91</f>
        <v/>
      </c>
      <c r="G91" s="132" t="str">
        <f aca="false">ExportRaw!$I91</f>
        <v/>
      </c>
      <c r="H91" s="130" t="str">
        <f aca="false">ExportRaw!$A91</f>
        <v/>
      </c>
      <c r="I91" s="130" t="str">
        <f aca="false">ExportRaw!$B91</f>
        <v/>
      </c>
    </row>
    <row r="92" customFormat="false" ht="15.75" hidden="false" customHeight="false" outlineLevel="0" collapsed="false">
      <c r="A92" s="130" t="n">
        <f aca="false">ExportRaw!$F92</f>
        <v>0</v>
      </c>
      <c r="B92" s="130" t="n">
        <f aca="false">ExportRaw!$C92</f>
        <v>0</v>
      </c>
      <c r="C92" s="130" t="n">
        <f aca="false">ExportRaw!$G92</f>
        <v>0</v>
      </c>
      <c r="D92" s="130" t="str">
        <f aca="false">ExportRaw!$E92</f>
        <v/>
      </c>
      <c r="E92" s="131" t="str">
        <f aca="false">ExportRaw!$D92</f>
        <v/>
      </c>
      <c r="F92" s="130" t="str">
        <f aca="false">ExportRaw!$H92</f>
        <v/>
      </c>
      <c r="G92" s="132" t="str">
        <f aca="false">ExportRaw!$I92</f>
        <v/>
      </c>
      <c r="H92" s="130" t="str">
        <f aca="false">ExportRaw!$A92</f>
        <v/>
      </c>
      <c r="I92" s="130" t="str">
        <f aca="false">ExportRaw!$B92</f>
        <v/>
      </c>
    </row>
    <row r="93" customFormat="false" ht="15.75" hidden="false" customHeight="false" outlineLevel="0" collapsed="false">
      <c r="A93" s="130" t="n">
        <f aca="false">ExportRaw!$F93</f>
        <v>0</v>
      </c>
      <c r="B93" s="130" t="n">
        <f aca="false">ExportRaw!$C93</f>
        <v>0</v>
      </c>
      <c r="C93" s="130" t="n">
        <f aca="false">ExportRaw!$G93</f>
        <v>0</v>
      </c>
      <c r="D93" s="130" t="str">
        <f aca="false">ExportRaw!$E93</f>
        <v/>
      </c>
      <c r="E93" s="131" t="str">
        <f aca="false">ExportRaw!$D93</f>
        <v/>
      </c>
      <c r="F93" s="130" t="str">
        <f aca="false">ExportRaw!$H93</f>
        <v/>
      </c>
      <c r="G93" s="132" t="str">
        <f aca="false">ExportRaw!$I93</f>
        <v/>
      </c>
      <c r="H93" s="130" t="str">
        <f aca="false">ExportRaw!$A93</f>
        <v/>
      </c>
      <c r="I93" s="130" t="str">
        <f aca="false">ExportRaw!$B93</f>
        <v/>
      </c>
    </row>
    <row r="94" customFormat="false" ht="15.75" hidden="false" customHeight="false" outlineLevel="0" collapsed="false">
      <c r="A94" s="130" t="n">
        <f aca="false">ExportRaw!$F94</f>
        <v>0</v>
      </c>
      <c r="B94" s="130" t="n">
        <f aca="false">ExportRaw!$C94</f>
        <v>0</v>
      </c>
      <c r="C94" s="130" t="n">
        <f aca="false">ExportRaw!$G94</f>
        <v>0</v>
      </c>
      <c r="D94" s="130" t="str">
        <f aca="false">ExportRaw!$E94</f>
        <v/>
      </c>
      <c r="E94" s="131" t="str">
        <f aca="false">ExportRaw!$D94</f>
        <v/>
      </c>
      <c r="F94" s="130" t="str">
        <f aca="false">ExportRaw!$H94</f>
        <v/>
      </c>
      <c r="G94" s="132" t="str">
        <f aca="false">ExportRaw!$I94</f>
        <v/>
      </c>
      <c r="H94" s="130" t="str">
        <f aca="false">ExportRaw!$A94</f>
        <v/>
      </c>
      <c r="I94" s="130" t="str">
        <f aca="false">ExportRaw!$B94</f>
        <v/>
      </c>
    </row>
    <row r="95" customFormat="false" ht="15.75" hidden="false" customHeight="false" outlineLevel="0" collapsed="false">
      <c r="A95" s="130" t="n">
        <f aca="false">ExportRaw!$F95</f>
        <v>0</v>
      </c>
      <c r="B95" s="130" t="n">
        <f aca="false">ExportRaw!$C95</f>
        <v>0</v>
      </c>
      <c r="C95" s="130" t="n">
        <f aca="false">ExportRaw!$G95</f>
        <v>0</v>
      </c>
      <c r="D95" s="130" t="str">
        <f aca="false">ExportRaw!$E95</f>
        <v/>
      </c>
      <c r="E95" s="131" t="str">
        <f aca="false">ExportRaw!$D95</f>
        <v/>
      </c>
      <c r="F95" s="130" t="str">
        <f aca="false">ExportRaw!$H95</f>
        <v/>
      </c>
      <c r="G95" s="132" t="str">
        <f aca="false">ExportRaw!$I95</f>
        <v/>
      </c>
      <c r="H95" s="130" t="str">
        <f aca="false">ExportRaw!$A95</f>
        <v/>
      </c>
      <c r="I95" s="130" t="str">
        <f aca="false">ExportRaw!$B95</f>
        <v/>
      </c>
    </row>
    <row r="96" customFormat="false" ht="15.75" hidden="false" customHeight="false" outlineLevel="0" collapsed="false">
      <c r="A96" s="130" t="n">
        <f aca="false">ExportRaw!$F96</f>
        <v>0</v>
      </c>
      <c r="B96" s="130" t="n">
        <f aca="false">ExportRaw!$C96</f>
        <v>0</v>
      </c>
      <c r="C96" s="130" t="n">
        <f aca="false">ExportRaw!$G96</f>
        <v>0</v>
      </c>
      <c r="D96" s="130" t="str">
        <f aca="false">ExportRaw!$E96</f>
        <v/>
      </c>
      <c r="E96" s="131" t="str">
        <f aca="false">ExportRaw!$D96</f>
        <v/>
      </c>
      <c r="F96" s="130" t="str">
        <f aca="false">ExportRaw!$H96</f>
        <v/>
      </c>
      <c r="G96" s="132" t="str">
        <f aca="false">ExportRaw!$I96</f>
        <v/>
      </c>
      <c r="H96" s="130" t="str">
        <f aca="false">ExportRaw!$A96</f>
        <v/>
      </c>
      <c r="I96" s="130" t="str">
        <f aca="false">ExportRaw!$B96</f>
        <v/>
      </c>
    </row>
    <row r="97" customFormat="false" ht="15.75" hidden="false" customHeight="false" outlineLevel="0" collapsed="false">
      <c r="A97" s="130" t="n">
        <f aca="false">ExportRaw!$F97</f>
        <v>0</v>
      </c>
      <c r="B97" s="130" t="n">
        <f aca="false">ExportRaw!$C97</f>
        <v>0</v>
      </c>
      <c r="C97" s="130" t="n">
        <f aca="false">ExportRaw!$G97</f>
        <v>0</v>
      </c>
      <c r="D97" s="130" t="str">
        <f aca="false">ExportRaw!$E97</f>
        <v/>
      </c>
      <c r="E97" s="131" t="str">
        <f aca="false">ExportRaw!$D97</f>
        <v/>
      </c>
      <c r="F97" s="130" t="str">
        <f aca="false">ExportRaw!$H97</f>
        <v/>
      </c>
      <c r="G97" s="132" t="str">
        <f aca="false">ExportRaw!$I97</f>
        <v/>
      </c>
      <c r="H97" s="130" t="str">
        <f aca="false">ExportRaw!$A97</f>
        <v/>
      </c>
      <c r="I97" s="130" t="str">
        <f aca="false">ExportRaw!$B97</f>
        <v/>
      </c>
    </row>
    <row r="98" customFormat="false" ht="15.75" hidden="false" customHeight="false" outlineLevel="0" collapsed="false">
      <c r="A98" s="130" t="n">
        <f aca="false">ExportRaw!$F98</f>
        <v>0</v>
      </c>
      <c r="B98" s="130" t="n">
        <f aca="false">ExportRaw!$C98</f>
        <v>0</v>
      </c>
      <c r="C98" s="130" t="n">
        <f aca="false">ExportRaw!$G98</f>
        <v>0</v>
      </c>
      <c r="D98" s="130" t="str">
        <f aca="false">ExportRaw!$E98</f>
        <v/>
      </c>
      <c r="E98" s="131" t="str">
        <f aca="false">ExportRaw!$D98</f>
        <v/>
      </c>
      <c r="F98" s="130" t="str">
        <f aca="false">ExportRaw!$H98</f>
        <v/>
      </c>
      <c r="G98" s="132" t="str">
        <f aca="false">ExportRaw!$I98</f>
        <v/>
      </c>
      <c r="H98" s="130" t="str">
        <f aca="false">ExportRaw!$A98</f>
        <v/>
      </c>
      <c r="I98" s="130" t="str">
        <f aca="false">ExportRaw!$B98</f>
        <v/>
      </c>
    </row>
    <row r="99" customFormat="false" ht="15.75" hidden="false" customHeight="false" outlineLevel="0" collapsed="false">
      <c r="A99" s="130" t="n">
        <f aca="false">ExportRaw!$F99</f>
        <v>0</v>
      </c>
      <c r="B99" s="130" t="n">
        <f aca="false">ExportRaw!$C99</f>
        <v>0</v>
      </c>
      <c r="C99" s="130" t="n">
        <f aca="false">ExportRaw!$G99</f>
        <v>0</v>
      </c>
      <c r="D99" s="130" t="str">
        <f aca="false">ExportRaw!$E99</f>
        <v/>
      </c>
      <c r="E99" s="131" t="str">
        <f aca="false">ExportRaw!$D99</f>
        <v/>
      </c>
      <c r="F99" s="130" t="str">
        <f aca="false">ExportRaw!$H99</f>
        <v/>
      </c>
      <c r="G99" s="132" t="str">
        <f aca="false">ExportRaw!$I99</f>
        <v/>
      </c>
      <c r="H99" s="130" t="str">
        <f aca="false">ExportRaw!$A99</f>
        <v/>
      </c>
      <c r="I99" s="130" t="str">
        <f aca="false">ExportRaw!$B99</f>
        <v/>
      </c>
    </row>
    <row r="100" customFormat="false" ht="15.75" hidden="false" customHeight="false" outlineLevel="0" collapsed="false">
      <c r="A100" s="130" t="n">
        <f aca="false">ExportRaw!$F100</f>
        <v>0</v>
      </c>
      <c r="B100" s="130" t="n">
        <f aca="false">ExportRaw!$C100</f>
        <v>0</v>
      </c>
      <c r="C100" s="130" t="n">
        <f aca="false">ExportRaw!$G100</f>
        <v>0</v>
      </c>
      <c r="D100" s="130" t="str">
        <f aca="false">ExportRaw!$E100</f>
        <v/>
      </c>
      <c r="E100" s="131" t="str">
        <f aca="false">ExportRaw!$D100</f>
        <v/>
      </c>
      <c r="F100" s="130" t="str">
        <f aca="false">ExportRaw!$H100</f>
        <v/>
      </c>
      <c r="G100" s="132" t="str">
        <f aca="false">ExportRaw!$I100</f>
        <v/>
      </c>
      <c r="H100" s="130" t="str">
        <f aca="false">ExportRaw!$A100</f>
        <v/>
      </c>
      <c r="I100" s="130" t="str">
        <f aca="false">ExportRaw!$B100</f>
        <v/>
      </c>
    </row>
    <row r="101" customFormat="false" ht="15.75" hidden="false" customHeight="false" outlineLevel="0" collapsed="false">
      <c r="A101" s="130" t="n">
        <f aca="false">ExportRaw!$F101</f>
        <v>0</v>
      </c>
      <c r="B101" s="130" t="n">
        <f aca="false">ExportRaw!$C101</f>
        <v>0</v>
      </c>
      <c r="C101" s="130" t="n">
        <f aca="false">ExportRaw!$G101</f>
        <v>0</v>
      </c>
      <c r="D101" s="130" t="str">
        <f aca="false">ExportRaw!$E101</f>
        <v/>
      </c>
      <c r="E101" s="131" t="str">
        <f aca="false">ExportRaw!$D101</f>
        <v/>
      </c>
      <c r="F101" s="130" t="str">
        <f aca="false">ExportRaw!$H101</f>
        <v/>
      </c>
      <c r="G101" s="132" t="str">
        <f aca="false">ExportRaw!$I101</f>
        <v/>
      </c>
      <c r="H101" s="130" t="str">
        <f aca="false">ExportRaw!$A101</f>
        <v/>
      </c>
      <c r="I101" s="130" t="str">
        <f aca="false">ExportRaw!$B101</f>
        <v/>
      </c>
    </row>
    <row r="102" customFormat="false" ht="15.75" hidden="false" customHeight="false" outlineLevel="0" collapsed="false">
      <c r="A102" s="130" t="n">
        <f aca="false">ExportRaw!$F102</f>
        <v>0</v>
      </c>
      <c r="B102" s="130" t="n">
        <f aca="false">ExportRaw!$C102</f>
        <v>0</v>
      </c>
      <c r="C102" s="130" t="n">
        <f aca="false">ExportRaw!$G102</f>
        <v>0</v>
      </c>
      <c r="D102" s="130" t="str">
        <f aca="false">ExportRaw!$E102</f>
        <v/>
      </c>
      <c r="E102" s="131" t="str">
        <f aca="false">ExportRaw!$D102</f>
        <v/>
      </c>
      <c r="F102" s="130" t="str">
        <f aca="false">ExportRaw!$H102</f>
        <v/>
      </c>
      <c r="G102" s="132" t="str">
        <f aca="false">ExportRaw!$I102</f>
        <v/>
      </c>
      <c r="H102" s="130" t="str">
        <f aca="false">ExportRaw!$A102</f>
        <v/>
      </c>
      <c r="I102" s="130" t="str">
        <f aca="false">ExportRaw!$B102</f>
        <v/>
      </c>
    </row>
    <row r="103" customFormat="false" ht="15.75" hidden="false" customHeight="false" outlineLevel="0" collapsed="false">
      <c r="A103" s="130" t="n">
        <f aca="false">ExportRaw!$F103</f>
        <v>0</v>
      </c>
      <c r="B103" s="130" t="n">
        <f aca="false">ExportRaw!$C103</f>
        <v>0</v>
      </c>
      <c r="C103" s="130" t="n">
        <f aca="false">ExportRaw!$G103</f>
        <v>0</v>
      </c>
      <c r="D103" s="130" t="str">
        <f aca="false">ExportRaw!$E103</f>
        <v/>
      </c>
      <c r="E103" s="131" t="str">
        <f aca="false">ExportRaw!$D103</f>
        <v/>
      </c>
      <c r="F103" s="130" t="str">
        <f aca="false">ExportRaw!$H103</f>
        <v/>
      </c>
      <c r="G103" s="132" t="str">
        <f aca="false">ExportRaw!$I103</f>
        <v/>
      </c>
      <c r="H103" s="130" t="str">
        <f aca="false">ExportRaw!$A103</f>
        <v/>
      </c>
      <c r="I103" s="130" t="str">
        <f aca="false">ExportRaw!$B103</f>
        <v/>
      </c>
    </row>
    <row r="104" customFormat="false" ht="15.75" hidden="false" customHeight="false" outlineLevel="0" collapsed="false">
      <c r="A104" s="130" t="n">
        <f aca="false">ExportRaw!$F104</f>
        <v>0</v>
      </c>
      <c r="B104" s="130" t="n">
        <f aca="false">ExportRaw!$C104</f>
        <v>0</v>
      </c>
      <c r="C104" s="130" t="n">
        <f aca="false">ExportRaw!$G104</f>
        <v>0</v>
      </c>
      <c r="D104" s="130" t="str">
        <f aca="false">ExportRaw!$E104</f>
        <v/>
      </c>
      <c r="E104" s="131" t="str">
        <f aca="false">ExportRaw!$D104</f>
        <v/>
      </c>
      <c r="F104" s="130" t="str">
        <f aca="false">ExportRaw!$H104</f>
        <v/>
      </c>
      <c r="G104" s="132" t="str">
        <f aca="false">ExportRaw!$I104</f>
        <v/>
      </c>
      <c r="H104" s="130" t="str">
        <f aca="false">ExportRaw!$A104</f>
        <v/>
      </c>
      <c r="I104" s="130" t="str">
        <f aca="false">ExportRaw!$B104</f>
        <v/>
      </c>
    </row>
    <row r="105" customFormat="false" ht="15.75" hidden="false" customHeight="false" outlineLevel="0" collapsed="false">
      <c r="A105" s="130" t="n">
        <f aca="false">ExportRaw!$F105</f>
        <v>0</v>
      </c>
      <c r="B105" s="130" t="n">
        <f aca="false">ExportRaw!$C105</f>
        <v>0</v>
      </c>
      <c r="C105" s="130" t="n">
        <f aca="false">ExportRaw!$G105</f>
        <v>0</v>
      </c>
      <c r="D105" s="130" t="str">
        <f aca="false">ExportRaw!$E105</f>
        <v/>
      </c>
      <c r="E105" s="131" t="str">
        <f aca="false">ExportRaw!$D105</f>
        <v/>
      </c>
      <c r="F105" s="130" t="str">
        <f aca="false">ExportRaw!$H105</f>
        <v/>
      </c>
      <c r="G105" s="132" t="str">
        <f aca="false">ExportRaw!$I105</f>
        <v/>
      </c>
      <c r="H105" s="130" t="str">
        <f aca="false">ExportRaw!$A105</f>
        <v/>
      </c>
      <c r="I105" s="130" t="str">
        <f aca="false">ExportRaw!$B105</f>
        <v/>
      </c>
    </row>
    <row r="106" customFormat="false" ht="15.75" hidden="false" customHeight="false" outlineLevel="0" collapsed="false">
      <c r="A106" s="130" t="n">
        <f aca="false">ExportRaw!$F106</f>
        <v>0</v>
      </c>
      <c r="B106" s="130" t="n">
        <f aca="false">ExportRaw!$C106</f>
        <v>0</v>
      </c>
      <c r="C106" s="130" t="n">
        <f aca="false">ExportRaw!$G106</f>
        <v>0</v>
      </c>
      <c r="D106" s="130" t="str">
        <f aca="false">ExportRaw!$E106</f>
        <v/>
      </c>
      <c r="E106" s="131" t="str">
        <f aca="false">ExportRaw!$D106</f>
        <v/>
      </c>
      <c r="F106" s="130" t="str">
        <f aca="false">ExportRaw!$H106</f>
        <v/>
      </c>
      <c r="G106" s="132" t="str">
        <f aca="false">ExportRaw!$I106</f>
        <v/>
      </c>
      <c r="H106" s="130" t="str">
        <f aca="false">ExportRaw!$A106</f>
        <v/>
      </c>
      <c r="I106" s="130" t="str">
        <f aca="false">ExportRaw!$B106</f>
        <v/>
      </c>
    </row>
    <row r="107" customFormat="false" ht="15.75" hidden="false" customHeight="false" outlineLevel="0" collapsed="false">
      <c r="A107" s="130" t="n">
        <f aca="false">ExportRaw!$F107</f>
        <v>0</v>
      </c>
      <c r="B107" s="130" t="n">
        <f aca="false">ExportRaw!$C107</f>
        <v>0</v>
      </c>
      <c r="C107" s="130" t="n">
        <f aca="false">ExportRaw!$G107</f>
        <v>0</v>
      </c>
      <c r="D107" s="130" t="str">
        <f aca="false">ExportRaw!$E107</f>
        <v/>
      </c>
      <c r="E107" s="131" t="str">
        <f aca="false">ExportRaw!$D107</f>
        <v/>
      </c>
      <c r="F107" s="130" t="str">
        <f aca="false">ExportRaw!$H107</f>
        <v/>
      </c>
      <c r="G107" s="132" t="str">
        <f aca="false">ExportRaw!$I107</f>
        <v/>
      </c>
      <c r="H107" s="130" t="str">
        <f aca="false">ExportRaw!$A107</f>
        <v/>
      </c>
      <c r="I107" s="130" t="str">
        <f aca="false">ExportRaw!$B107</f>
        <v/>
      </c>
    </row>
    <row r="108" customFormat="false" ht="15.75" hidden="false" customHeight="false" outlineLevel="0" collapsed="false">
      <c r="A108" s="130" t="n">
        <f aca="false">ExportRaw!$F108</f>
        <v>0</v>
      </c>
      <c r="B108" s="130" t="n">
        <f aca="false">ExportRaw!$C108</f>
        <v>0</v>
      </c>
      <c r="C108" s="130" t="n">
        <f aca="false">ExportRaw!$G108</f>
        <v>0</v>
      </c>
      <c r="D108" s="130" t="str">
        <f aca="false">ExportRaw!$E108</f>
        <v/>
      </c>
      <c r="E108" s="131" t="str">
        <f aca="false">ExportRaw!$D108</f>
        <v/>
      </c>
      <c r="F108" s="130" t="str">
        <f aca="false">ExportRaw!$H108</f>
        <v/>
      </c>
      <c r="G108" s="132" t="str">
        <f aca="false">ExportRaw!$I108</f>
        <v/>
      </c>
      <c r="H108" s="130" t="str">
        <f aca="false">ExportRaw!$A108</f>
        <v/>
      </c>
      <c r="I108" s="130" t="str">
        <f aca="false">ExportRaw!$B108</f>
        <v/>
      </c>
    </row>
    <row r="109" customFormat="false" ht="15.75" hidden="false" customHeight="false" outlineLevel="0" collapsed="false">
      <c r="A109" s="130" t="n">
        <f aca="false">ExportRaw!$F109</f>
        <v>0</v>
      </c>
      <c r="B109" s="130" t="n">
        <f aca="false">ExportRaw!$C109</f>
        <v>0</v>
      </c>
      <c r="C109" s="130" t="n">
        <f aca="false">ExportRaw!$G109</f>
        <v>0</v>
      </c>
      <c r="D109" s="130" t="str">
        <f aca="false">ExportRaw!$E109</f>
        <v/>
      </c>
      <c r="E109" s="131" t="str">
        <f aca="false">ExportRaw!$D109</f>
        <v/>
      </c>
      <c r="F109" s="130" t="str">
        <f aca="false">ExportRaw!$H109</f>
        <v/>
      </c>
      <c r="G109" s="132" t="str">
        <f aca="false">ExportRaw!$I109</f>
        <v/>
      </c>
      <c r="H109" s="130" t="str">
        <f aca="false">ExportRaw!$A109</f>
        <v/>
      </c>
      <c r="I109" s="130" t="str">
        <f aca="false">ExportRaw!$B109</f>
        <v/>
      </c>
    </row>
    <row r="110" customFormat="false" ht="15.75" hidden="false" customHeight="false" outlineLevel="0" collapsed="false">
      <c r="A110" s="130" t="n">
        <f aca="false">ExportRaw!$F110</f>
        <v>0</v>
      </c>
      <c r="B110" s="130" t="n">
        <f aca="false">ExportRaw!$C110</f>
        <v>0</v>
      </c>
      <c r="C110" s="130" t="n">
        <f aca="false">ExportRaw!$G110</f>
        <v>0</v>
      </c>
      <c r="D110" s="130" t="str">
        <f aca="false">ExportRaw!$E110</f>
        <v/>
      </c>
      <c r="E110" s="131" t="str">
        <f aca="false">ExportRaw!$D110</f>
        <v/>
      </c>
      <c r="F110" s="130" t="str">
        <f aca="false">ExportRaw!$H110</f>
        <v/>
      </c>
      <c r="G110" s="132" t="str">
        <f aca="false">ExportRaw!$I110</f>
        <v/>
      </c>
      <c r="H110" s="130" t="str">
        <f aca="false">ExportRaw!$A110</f>
        <v/>
      </c>
      <c r="I110" s="130" t="str">
        <f aca="false">ExportRaw!$B110</f>
        <v/>
      </c>
    </row>
    <row r="111" customFormat="false" ht="15.75" hidden="false" customHeight="false" outlineLevel="0" collapsed="false">
      <c r="A111" s="130" t="n">
        <f aca="false">ExportRaw!$F111</f>
        <v>0</v>
      </c>
      <c r="B111" s="130" t="n">
        <f aca="false">ExportRaw!$C111</f>
        <v>0</v>
      </c>
      <c r="C111" s="130" t="n">
        <f aca="false">ExportRaw!$G111</f>
        <v>0</v>
      </c>
      <c r="D111" s="130" t="str">
        <f aca="false">ExportRaw!$E111</f>
        <v/>
      </c>
      <c r="E111" s="131" t="str">
        <f aca="false">ExportRaw!$D111</f>
        <v/>
      </c>
      <c r="F111" s="130" t="str">
        <f aca="false">ExportRaw!$H111</f>
        <v/>
      </c>
      <c r="G111" s="132" t="str">
        <f aca="false">ExportRaw!$I111</f>
        <v/>
      </c>
      <c r="H111" s="130" t="str">
        <f aca="false">ExportRaw!$A111</f>
        <v/>
      </c>
      <c r="I111" s="130" t="str">
        <f aca="false">ExportRaw!$B111</f>
        <v/>
      </c>
    </row>
    <row r="112" customFormat="false" ht="15.75" hidden="false" customHeight="false" outlineLevel="0" collapsed="false">
      <c r="A112" s="130" t="n">
        <f aca="false">ExportRaw!$F112</f>
        <v>0</v>
      </c>
      <c r="B112" s="130" t="n">
        <f aca="false">ExportRaw!$C112</f>
        <v>0</v>
      </c>
      <c r="C112" s="130" t="n">
        <f aca="false">ExportRaw!$G112</f>
        <v>0</v>
      </c>
      <c r="D112" s="130" t="str">
        <f aca="false">ExportRaw!$E112</f>
        <v/>
      </c>
      <c r="E112" s="131" t="str">
        <f aca="false">ExportRaw!$D112</f>
        <v/>
      </c>
      <c r="F112" s="130" t="str">
        <f aca="false">ExportRaw!$H112</f>
        <v/>
      </c>
      <c r="G112" s="132" t="str">
        <f aca="false">ExportRaw!$I112</f>
        <v/>
      </c>
      <c r="H112" s="130" t="str">
        <f aca="false">ExportRaw!$A112</f>
        <v/>
      </c>
      <c r="I112" s="130" t="str">
        <f aca="false">ExportRaw!$B112</f>
        <v/>
      </c>
    </row>
    <row r="113" customFormat="false" ht="15.75" hidden="false" customHeight="false" outlineLevel="0" collapsed="false">
      <c r="A113" s="130" t="n">
        <f aca="false">ExportRaw!$F113</f>
        <v>0</v>
      </c>
      <c r="B113" s="130" t="n">
        <f aca="false">ExportRaw!$C113</f>
        <v>0</v>
      </c>
      <c r="C113" s="130" t="n">
        <f aca="false">ExportRaw!$G113</f>
        <v>0</v>
      </c>
      <c r="D113" s="130" t="str">
        <f aca="false">ExportRaw!$E113</f>
        <v/>
      </c>
      <c r="E113" s="131" t="str">
        <f aca="false">ExportRaw!$D113</f>
        <v/>
      </c>
      <c r="F113" s="130" t="str">
        <f aca="false">ExportRaw!$H113</f>
        <v/>
      </c>
      <c r="G113" s="132" t="str">
        <f aca="false">ExportRaw!$I113</f>
        <v/>
      </c>
      <c r="H113" s="130" t="str">
        <f aca="false">ExportRaw!$A113</f>
        <v/>
      </c>
      <c r="I113" s="130" t="str">
        <f aca="false">ExportRaw!$B113</f>
        <v/>
      </c>
    </row>
    <row r="114" customFormat="false" ht="15.75" hidden="false" customHeight="false" outlineLevel="0" collapsed="false">
      <c r="A114" s="130" t="n">
        <f aca="false">ExportRaw!$F114</f>
        <v>0</v>
      </c>
      <c r="B114" s="130" t="n">
        <f aca="false">ExportRaw!$C114</f>
        <v>0</v>
      </c>
      <c r="C114" s="130" t="n">
        <f aca="false">ExportRaw!$G114</f>
        <v>0</v>
      </c>
      <c r="D114" s="130" t="str">
        <f aca="false">ExportRaw!$E114</f>
        <v/>
      </c>
      <c r="E114" s="131" t="str">
        <f aca="false">ExportRaw!$D114</f>
        <v/>
      </c>
      <c r="F114" s="130" t="str">
        <f aca="false">ExportRaw!$H114</f>
        <v/>
      </c>
      <c r="G114" s="132" t="str">
        <f aca="false">ExportRaw!$I114</f>
        <v/>
      </c>
      <c r="H114" s="130" t="str">
        <f aca="false">ExportRaw!$A114</f>
        <v/>
      </c>
      <c r="I114" s="130" t="str">
        <f aca="false">ExportRaw!$B114</f>
        <v/>
      </c>
    </row>
    <row r="115" customFormat="false" ht="15.75" hidden="false" customHeight="false" outlineLevel="0" collapsed="false">
      <c r="A115" s="130" t="n">
        <f aca="false">ExportRaw!$F115</f>
        <v>0</v>
      </c>
      <c r="B115" s="130" t="n">
        <f aca="false">ExportRaw!$C115</f>
        <v>0</v>
      </c>
      <c r="C115" s="130" t="n">
        <f aca="false">ExportRaw!$G115</f>
        <v>0</v>
      </c>
      <c r="D115" s="130" t="str">
        <f aca="false">ExportRaw!$E115</f>
        <v/>
      </c>
      <c r="E115" s="131" t="str">
        <f aca="false">ExportRaw!$D115</f>
        <v/>
      </c>
      <c r="F115" s="130" t="str">
        <f aca="false">ExportRaw!$H115</f>
        <v/>
      </c>
      <c r="G115" s="132" t="str">
        <f aca="false">ExportRaw!$I115</f>
        <v/>
      </c>
      <c r="H115" s="130" t="str">
        <f aca="false">ExportRaw!$A115</f>
        <v/>
      </c>
      <c r="I115" s="130" t="str">
        <f aca="false">ExportRaw!$B115</f>
        <v/>
      </c>
    </row>
    <row r="116" customFormat="false" ht="15.75" hidden="false" customHeight="false" outlineLevel="0" collapsed="false">
      <c r="A116" s="130" t="n">
        <f aca="false">ExportRaw!$F116</f>
        <v>0</v>
      </c>
      <c r="B116" s="130" t="n">
        <f aca="false">ExportRaw!$C116</f>
        <v>0</v>
      </c>
      <c r="C116" s="130" t="n">
        <f aca="false">ExportRaw!$G116</f>
        <v>0</v>
      </c>
      <c r="D116" s="130" t="str">
        <f aca="false">ExportRaw!$E116</f>
        <v/>
      </c>
      <c r="E116" s="131" t="str">
        <f aca="false">ExportRaw!$D116</f>
        <v/>
      </c>
      <c r="F116" s="130" t="str">
        <f aca="false">ExportRaw!$H116</f>
        <v/>
      </c>
      <c r="G116" s="132" t="str">
        <f aca="false">ExportRaw!$I116</f>
        <v/>
      </c>
      <c r="H116" s="130" t="str">
        <f aca="false">ExportRaw!$A116</f>
        <v/>
      </c>
      <c r="I116" s="130" t="str">
        <f aca="false">ExportRaw!$B116</f>
        <v/>
      </c>
    </row>
    <row r="117" customFormat="false" ht="15.75" hidden="false" customHeight="false" outlineLevel="0" collapsed="false">
      <c r="A117" s="130" t="n">
        <f aca="false">ExportRaw!$F117</f>
        <v>0</v>
      </c>
      <c r="B117" s="130" t="n">
        <f aca="false">ExportRaw!$C117</f>
        <v>0</v>
      </c>
      <c r="C117" s="130" t="n">
        <f aca="false">ExportRaw!$G117</f>
        <v>0</v>
      </c>
      <c r="D117" s="130" t="str">
        <f aca="false">ExportRaw!$E117</f>
        <v/>
      </c>
      <c r="E117" s="131" t="str">
        <f aca="false">ExportRaw!$D117</f>
        <v/>
      </c>
      <c r="F117" s="130" t="str">
        <f aca="false">ExportRaw!$H117</f>
        <v/>
      </c>
      <c r="G117" s="132" t="str">
        <f aca="false">ExportRaw!$I117</f>
        <v/>
      </c>
      <c r="H117" s="130" t="str">
        <f aca="false">ExportRaw!$A117</f>
        <v/>
      </c>
      <c r="I117" s="130" t="str">
        <f aca="false">ExportRaw!$B117</f>
        <v/>
      </c>
    </row>
    <row r="118" customFormat="false" ht="15.75" hidden="false" customHeight="false" outlineLevel="0" collapsed="false">
      <c r="A118" s="130" t="n">
        <f aca="false">ExportRaw!$F118</f>
        <v>0</v>
      </c>
      <c r="B118" s="130" t="n">
        <f aca="false">ExportRaw!$C118</f>
        <v>0</v>
      </c>
      <c r="C118" s="130" t="n">
        <f aca="false">ExportRaw!$G118</f>
        <v>0</v>
      </c>
      <c r="D118" s="130" t="str">
        <f aca="false">ExportRaw!$E118</f>
        <v/>
      </c>
      <c r="E118" s="131" t="str">
        <f aca="false">ExportRaw!$D118</f>
        <v/>
      </c>
      <c r="F118" s="130" t="str">
        <f aca="false">ExportRaw!$H118</f>
        <v/>
      </c>
      <c r="G118" s="132" t="str">
        <f aca="false">ExportRaw!$I118</f>
        <v/>
      </c>
      <c r="H118" s="130" t="str">
        <f aca="false">ExportRaw!$A118</f>
        <v/>
      </c>
      <c r="I118" s="130" t="str">
        <f aca="false">ExportRaw!$B118</f>
        <v/>
      </c>
    </row>
    <row r="119" customFormat="false" ht="15.75" hidden="false" customHeight="false" outlineLevel="0" collapsed="false">
      <c r="A119" s="130" t="n">
        <f aca="false">ExportRaw!$F119</f>
        <v>0</v>
      </c>
      <c r="B119" s="130" t="n">
        <f aca="false">ExportRaw!$C119</f>
        <v>0</v>
      </c>
      <c r="C119" s="130" t="n">
        <f aca="false">ExportRaw!$G119</f>
        <v>0</v>
      </c>
      <c r="D119" s="130" t="str">
        <f aca="false">ExportRaw!$E119</f>
        <v/>
      </c>
      <c r="E119" s="131" t="str">
        <f aca="false">ExportRaw!$D119</f>
        <v/>
      </c>
      <c r="F119" s="130" t="str">
        <f aca="false">ExportRaw!$H119</f>
        <v/>
      </c>
      <c r="G119" s="132" t="str">
        <f aca="false">ExportRaw!$I119</f>
        <v/>
      </c>
      <c r="H119" s="130" t="str">
        <f aca="false">ExportRaw!$A119</f>
        <v/>
      </c>
      <c r="I119" s="130" t="str">
        <f aca="false">ExportRaw!$B119</f>
        <v/>
      </c>
    </row>
    <row r="120" customFormat="false" ht="15.75" hidden="false" customHeight="false" outlineLevel="0" collapsed="false">
      <c r="A120" s="130" t="n">
        <f aca="false">ExportRaw!$F120</f>
        <v>0</v>
      </c>
      <c r="B120" s="130" t="n">
        <f aca="false">ExportRaw!$C120</f>
        <v>0</v>
      </c>
      <c r="C120" s="130" t="n">
        <f aca="false">ExportRaw!$G120</f>
        <v>0</v>
      </c>
      <c r="D120" s="130" t="str">
        <f aca="false">ExportRaw!$E120</f>
        <v/>
      </c>
      <c r="E120" s="131" t="str">
        <f aca="false">ExportRaw!$D120</f>
        <v/>
      </c>
      <c r="F120" s="130" t="str">
        <f aca="false">ExportRaw!$H120</f>
        <v/>
      </c>
      <c r="G120" s="132" t="str">
        <f aca="false">ExportRaw!$I120</f>
        <v/>
      </c>
      <c r="H120" s="130" t="str">
        <f aca="false">ExportRaw!$A120</f>
        <v/>
      </c>
      <c r="I120" s="130" t="str">
        <f aca="false">ExportRaw!$B120</f>
        <v/>
      </c>
    </row>
    <row r="121" customFormat="false" ht="15.75" hidden="false" customHeight="false" outlineLevel="0" collapsed="false">
      <c r="A121" s="130" t="n">
        <f aca="false">ExportRaw!$F121</f>
        <v>0</v>
      </c>
      <c r="B121" s="130" t="n">
        <f aca="false">ExportRaw!$C121</f>
        <v>0</v>
      </c>
      <c r="C121" s="130" t="n">
        <f aca="false">ExportRaw!$G121</f>
        <v>0</v>
      </c>
      <c r="D121" s="130" t="str">
        <f aca="false">ExportRaw!$E121</f>
        <v/>
      </c>
      <c r="E121" s="131" t="str">
        <f aca="false">ExportRaw!$D121</f>
        <v/>
      </c>
      <c r="F121" s="130" t="str">
        <f aca="false">ExportRaw!$H121</f>
        <v/>
      </c>
      <c r="G121" s="132" t="str">
        <f aca="false">ExportRaw!$I121</f>
        <v/>
      </c>
      <c r="H121" s="130" t="str">
        <f aca="false">ExportRaw!$A121</f>
        <v/>
      </c>
      <c r="I121" s="130" t="str">
        <f aca="false">ExportRaw!$B121</f>
        <v/>
      </c>
    </row>
    <row r="122" customFormat="false" ht="15.75" hidden="false" customHeight="false" outlineLevel="0" collapsed="false">
      <c r="A122" s="130" t="n">
        <f aca="false">ExportRaw!$F122</f>
        <v>0</v>
      </c>
      <c r="B122" s="130" t="n">
        <f aca="false">ExportRaw!$C122</f>
        <v>0</v>
      </c>
      <c r="C122" s="130" t="n">
        <f aca="false">ExportRaw!$G122</f>
        <v>0</v>
      </c>
      <c r="D122" s="130" t="str">
        <f aca="false">ExportRaw!$E122</f>
        <v/>
      </c>
      <c r="E122" s="131" t="str">
        <f aca="false">ExportRaw!$D122</f>
        <v/>
      </c>
      <c r="F122" s="130" t="str">
        <f aca="false">ExportRaw!$H122</f>
        <v/>
      </c>
      <c r="G122" s="132" t="str">
        <f aca="false">ExportRaw!$I122</f>
        <v/>
      </c>
      <c r="H122" s="130" t="str">
        <f aca="false">ExportRaw!$A122</f>
        <v/>
      </c>
      <c r="I122" s="130" t="str">
        <f aca="false">ExportRaw!$B122</f>
        <v/>
      </c>
    </row>
    <row r="123" customFormat="false" ht="15.75" hidden="false" customHeight="false" outlineLevel="0" collapsed="false">
      <c r="A123" s="130" t="n">
        <f aca="false">ExportRaw!$F123</f>
        <v>0</v>
      </c>
      <c r="B123" s="130" t="n">
        <f aca="false">ExportRaw!$C123</f>
        <v>0</v>
      </c>
      <c r="C123" s="130" t="n">
        <f aca="false">ExportRaw!$G123</f>
        <v>0</v>
      </c>
      <c r="D123" s="130" t="str">
        <f aca="false">ExportRaw!$E123</f>
        <v/>
      </c>
      <c r="E123" s="131" t="str">
        <f aca="false">ExportRaw!$D123</f>
        <v/>
      </c>
      <c r="F123" s="130" t="str">
        <f aca="false">ExportRaw!$H123</f>
        <v/>
      </c>
      <c r="G123" s="132" t="str">
        <f aca="false">ExportRaw!$I123</f>
        <v/>
      </c>
      <c r="H123" s="130" t="str">
        <f aca="false">ExportRaw!$A123</f>
        <v/>
      </c>
      <c r="I123" s="130" t="str">
        <f aca="false">ExportRaw!$B123</f>
        <v/>
      </c>
    </row>
    <row r="124" customFormat="false" ht="15.75" hidden="false" customHeight="false" outlineLevel="0" collapsed="false">
      <c r="A124" s="130" t="n">
        <f aca="false">ExportRaw!$F124</f>
        <v>0</v>
      </c>
      <c r="B124" s="130" t="n">
        <f aca="false">ExportRaw!$C124</f>
        <v>0</v>
      </c>
      <c r="C124" s="130" t="n">
        <f aca="false">ExportRaw!$G124</f>
        <v>0</v>
      </c>
      <c r="D124" s="130" t="str">
        <f aca="false">ExportRaw!$E124</f>
        <v/>
      </c>
      <c r="E124" s="131" t="str">
        <f aca="false">ExportRaw!$D124</f>
        <v/>
      </c>
      <c r="F124" s="130" t="str">
        <f aca="false">ExportRaw!$H124</f>
        <v/>
      </c>
      <c r="G124" s="132" t="str">
        <f aca="false">ExportRaw!$I124</f>
        <v/>
      </c>
      <c r="H124" s="130" t="str">
        <f aca="false">ExportRaw!$A124</f>
        <v/>
      </c>
      <c r="I124" s="130" t="str">
        <f aca="false">ExportRaw!$B124</f>
        <v/>
      </c>
    </row>
    <row r="125" customFormat="false" ht="15.75" hidden="false" customHeight="false" outlineLevel="0" collapsed="false">
      <c r="A125" s="130" t="n">
        <f aca="false">ExportRaw!$F125</f>
        <v>0</v>
      </c>
      <c r="B125" s="130" t="n">
        <f aca="false">ExportRaw!$C125</f>
        <v>0</v>
      </c>
      <c r="C125" s="130" t="n">
        <f aca="false">ExportRaw!$G125</f>
        <v>0</v>
      </c>
      <c r="D125" s="130" t="str">
        <f aca="false">ExportRaw!$E125</f>
        <v/>
      </c>
      <c r="E125" s="131" t="str">
        <f aca="false">ExportRaw!$D125</f>
        <v/>
      </c>
      <c r="F125" s="130" t="str">
        <f aca="false">ExportRaw!$H125</f>
        <v/>
      </c>
      <c r="G125" s="132" t="str">
        <f aca="false">ExportRaw!$I125</f>
        <v/>
      </c>
      <c r="H125" s="130" t="str">
        <f aca="false">ExportRaw!$A125</f>
        <v/>
      </c>
      <c r="I125" s="130" t="str">
        <f aca="false">ExportRaw!$B125</f>
        <v/>
      </c>
    </row>
    <row r="126" customFormat="false" ht="15.75" hidden="false" customHeight="false" outlineLevel="0" collapsed="false">
      <c r="A126" s="130" t="n">
        <f aca="false">ExportRaw!$F126</f>
        <v>0</v>
      </c>
      <c r="B126" s="130" t="n">
        <f aca="false">ExportRaw!$C126</f>
        <v>0</v>
      </c>
      <c r="C126" s="130" t="n">
        <f aca="false">ExportRaw!$G126</f>
        <v>0</v>
      </c>
      <c r="D126" s="130" t="str">
        <f aca="false">ExportRaw!$E126</f>
        <v/>
      </c>
      <c r="E126" s="131" t="str">
        <f aca="false">ExportRaw!$D126</f>
        <v/>
      </c>
      <c r="F126" s="130" t="str">
        <f aca="false">ExportRaw!$H126</f>
        <v/>
      </c>
      <c r="G126" s="132" t="str">
        <f aca="false">ExportRaw!$I126</f>
        <v/>
      </c>
      <c r="H126" s="130" t="str">
        <f aca="false">ExportRaw!$A126</f>
        <v/>
      </c>
      <c r="I126" s="130" t="str">
        <f aca="false">ExportRaw!$B126</f>
        <v/>
      </c>
    </row>
    <row r="127" customFormat="false" ht="15.75" hidden="false" customHeight="false" outlineLevel="0" collapsed="false">
      <c r="A127" s="130" t="n">
        <f aca="false">ExportRaw!$F127</f>
        <v>0</v>
      </c>
      <c r="B127" s="130" t="n">
        <f aca="false">ExportRaw!$C127</f>
        <v>0</v>
      </c>
      <c r="C127" s="130" t="n">
        <f aca="false">ExportRaw!$G127</f>
        <v>0</v>
      </c>
      <c r="D127" s="130" t="str">
        <f aca="false">ExportRaw!$E127</f>
        <v/>
      </c>
      <c r="E127" s="131" t="str">
        <f aca="false">ExportRaw!$D127</f>
        <v/>
      </c>
      <c r="F127" s="130" t="str">
        <f aca="false">ExportRaw!$H127</f>
        <v/>
      </c>
      <c r="G127" s="132" t="str">
        <f aca="false">ExportRaw!$I127</f>
        <v/>
      </c>
      <c r="H127" s="130" t="str">
        <f aca="false">ExportRaw!$A127</f>
        <v/>
      </c>
      <c r="I127" s="130" t="str">
        <f aca="false">ExportRaw!$B127</f>
        <v/>
      </c>
    </row>
    <row r="128" customFormat="false" ht="15.75" hidden="false" customHeight="false" outlineLevel="0" collapsed="false">
      <c r="A128" s="130" t="n">
        <f aca="false">ExportRaw!$F128</f>
        <v>0</v>
      </c>
      <c r="B128" s="130" t="n">
        <f aca="false">ExportRaw!$C128</f>
        <v>0</v>
      </c>
      <c r="C128" s="130" t="n">
        <f aca="false">ExportRaw!$G128</f>
        <v>0</v>
      </c>
      <c r="D128" s="130" t="str">
        <f aca="false">ExportRaw!$E128</f>
        <v/>
      </c>
      <c r="E128" s="131" t="str">
        <f aca="false">ExportRaw!$D128</f>
        <v/>
      </c>
      <c r="F128" s="130" t="str">
        <f aca="false">ExportRaw!$H128</f>
        <v/>
      </c>
      <c r="G128" s="132" t="str">
        <f aca="false">ExportRaw!$I128</f>
        <v/>
      </c>
      <c r="H128" s="130" t="str">
        <f aca="false">ExportRaw!$A128</f>
        <v/>
      </c>
      <c r="I128" s="130" t="str">
        <f aca="false">ExportRaw!$B128</f>
        <v/>
      </c>
    </row>
    <row r="129" customFormat="false" ht="15.75" hidden="false" customHeight="false" outlineLevel="0" collapsed="false">
      <c r="A129" s="130" t="n">
        <f aca="false">ExportRaw!$F129</f>
        <v>0</v>
      </c>
      <c r="B129" s="130" t="n">
        <f aca="false">ExportRaw!$C129</f>
        <v>0</v>
      </c>
      <c r="C129" s="130" t="n">
        <f aca="false">ExportRaw!$G129</f>
        <v>0</v>
      </c>
      <c r="D129" s="130" t="str">
        <f aca="false">ExportRaw!$E129</f>
        <v/>
      </c>
      <c r="E129" s="131" t="str">
        <f aca="false">ExportRaw!$D129</f>
        <v/>
      </c>
      <c r="F129" s="130" t="str">
        <f aca="false">ExportRaw!$H129</f>
        <v/>
      </c>
      <c r="G129" s="132" t="str">
        <f aca="false">ExportRaw!$I129</f>
        <v/>
      </c>
      <c r="H129" s="130" t="str">
        <f aca="false">ExportRaw!$A129</f>
        <v/>
      </c>
      <c r="I129" s="130" t="str">
        <f aca="false">ExportRaw!$B129</f>
        <v/>
      </c>
    </row>
    <row r="130" customFormat="false" ht="15.75" hidden="false" customHeight="false" outlineLevel="0" collapsed="false">
      <c r="A130" s="130" t="n">
        <f aca="false">ExportRaw!$F130</f>
        <v>0</v>
      </c>
      <c r="B130" s="130" t="n">
        <f aca="false">ExportRaw!$C130</f>
        <v>0</v>
      </c>
      <c r="C130" s="130" t="n">
        <f aca="false">ExportRaw!$G130</f>
        <v>0</v>
      </c>
      <c r="D130" s="130" t="str">
        <f aca="false">ExportRaw!$E130</f>
        <v/>
      </c>
      <c r="E130" s="131" t="str">
        <f aca="false">ExportRaw!$D130</f>
        <v/>
      </c>
      <c r="F130" s="130" t="str">
        <f aca="false">ExportRaw!$H130</f>
        <v/>
      </c>
      <c r="G130" s="132" t="str">
        <f aca="false">ExportRaw!$I130</f>
        <v/>
      </c>
      <c r="H130" s="130" t="str">
        <f aca="false">ExportRaw!$A130</f>
        <v/>
      </c>
      <c r="I130" s="130" t="str">
        <f aca="false">ExportRaw!$B130</f>
        <v/>
      </c>
    </row>
    <row r="131" customFormat="false" ht="15.75" hidden="false" customHeight="false" outlineLevel="0" collapsed="false">
      <c r="A131" s="130" t="n">
        <f aca="false">ExportRaw!$F131</f>
        <v>0</v>
      </c>
      <c r="B131" s="130" t="n">
        <f aca="false">ExportRaw!$C131</f>
        <v>0</v>
      </c>
      <c r="C131" s="130" t="n">
        <f aca="false">ExportRaw!$G131</f>
        <v>0</v>
      </c>
      <c r="D131" s="130" t="str">
        <f aca="false">ExportRaw!$E131</f>
        <v/>
      </c>
      <c r="E131" s="131" t="str">
        <f aca="false">ExportRaw!$D131</f>
        <v/>
      </c>
      <c r="F131" s="130" t="str">
        <f aca="false">ExportRaw!$H131</f>
        <v/>
      </c>
      <c r="G131" s="132" t="str">
        <f aca="false">ExportRaw!$I131</f>
        <v/>
      </c>
      <c r="H131" s="130" t="str">
        <f aca="false">ExportRaw!$A131</f>
        <v/>
      </c>
      <c r="I131" s="130" t="str">
        <f aca="false">ExportRaw!$B131</f>
        <v/>
      </c>
    </row>
    <row r="132" customFormat="false" ht="15.75" hidden="false" customHeight="false" outlineLevel="0" collapsed="false">
      <c r="A132" s="130" t="n">
        <f aca="false">ExportRaw!$F132</f>
        <v>0</v>
      </c>
      <c r="B132" s="130" t="n">
        <f aca="false">ExportRaw!$C132</f>
        <v>0</v>
      </c>
      <c r="C132" s="130" t="n">
        <f aca="false">ExportRaw!$G132</f>
        <v>0</v>
      </c>
      <c r="D132" s="130" t="str">
        <f aca="false">ExportRaw!$E132</f>
        <v/>
      </c>
      <c r="E132" s="131" t="str">
        <f aca="false">ExportRaw!$D132</f>
        <v/>
      </c>
      <c r="F132" s="130" t="str">
        <f aca="false">ExportRaw!$H132</f>
        <v/>
      </c>
      <c r="G132" s="132" t="str">
        <f aca="false">ExportRaw!$I132</f>
        <v/>
      </c>
      <c r="H132" s="130" t="str">
        <f aca="false">ExportRaw!$A132</f>
        <v/>
      </c>
      <c r="I132" s="130" t="str">
        <f aca="false">ExportRaw!$B132</f>
        <v/>
      </c>
    </row>
    <row r="133" customFormat="false" ht="15.75" hidden="false" customHeight="false" outlineLevel="0" collapsed="false">
      <c r="A133" s="130" t="n">
        <f aca="false">ExportRaw!$F133</f>
        <v>0</v>
      </c>
      <c r="B133" s="130" t="n">
        <f aca="false">ExportRaw!$C133</f>
        <v>0</v>
      </c>
      <c r="C133" s="130" t="n">
        <f aca="false">ExportRaw!$G133</f>
        <v>0</v>
      </c>
      <c r="D133" s="130" t="str">
        <f aca="false">ExportRaw!$E133</f>
        <v/>
      </c>
      <c r="E133" s="131" t="str">
        <f aca="false">ExportRaw!$D133</f>
        <v/>
      </c>
      <c r="F133" s="130" t="str">
        <f aca="false">ExportRaw!$H133</f>
        <v/>
      </c>
      <c r="G133" s="132" t="str">
        <f aca="false">ExportRaw!$I133</f>
        <v/>
      </c>
      <c r="H133" s="130" t="str">
        <f aca="false">ExportRaw!$A133</f>
        <v/>
      </c>
      <c r="I133" s="130" t="str">
        <f aca="false">ExportRaw!$B133</f>
        <v/>
      </c>
    </row>
    <row r="134" customFormat="false" ht="15.75" hidden="false" customHeight="false" outlineLevel="0" collapsed="false">
      <c r="A134" s="130" t="n">
        <f aca="false">ExportRaw!$F134</f>
        <v>0</v>
      </c>
      <c r="B134" s="130" t="n">
        <f aca="false">ExportRaw!$C134</f>
        <v>0</v>
      </c>
      <c r="C134" s="130" t="n">
        <f aca="false">ExportRaw!$G134</f>
        <v>0</v>
      </c>
      <c r="D134" s="130" t="str">
        <f aca="false">ExportRaw!$E134</f>
        <v/>
      </c>
      <c r="E134" s="131" t="str">
        <f aca="false">ExportRaw!$D134</f>
        <v/>
      </c>
      <c r="F134" s="130" t="str">
        <f aca="false">ExportRaw!$H134</f>
        <v/>
      </c>
      <c r="G134" s="132" t="str">
        <f aca="false">ExportRaw!$I134</f>
        <v/>
      </c>
      <c r="H134" s="130" t="str">
        <f aca="false">ExportRaw!$A134</f>
        <v/>
      </c>
      <c r="I134" s="130" t="str">
        <f aca="false">ExportRaw!$B134</f>
        <v/>
      </c>
    </row>
    <row r="135" customFormat="false" ht="15.75" hidden="false" customHeight="false" outlineLevel="0" collapsed="false">
      <c r="A135" s="130" t="n">
        <f aca="false">ExportRaw!$F135</f>
        <v>0</v>
      </c>
      <c r="B135" s="130" t="n">
        <f aca="false">ExportRaw!$C135</f>
        <v>0</v>
      </c>
      <c r="C135" s="130" t="n">
        <f aca="false">ExportRaw!$G135</f>
        <v>0</v>
      </c>
      <c r="D135" s="130" t="str">
        <f aca="false">ExportRaw!$E135</f>
        <v/>
      </c>
      <c r="E135" s="131" t="str">
        <f aca="false">ExportRaw!$D135</f>
        <v/>
      </c>
      <c r="F135" s="130" t="str">
        <f aca="false">ExportRaw!$H135</f>
        <v/>
      </c>
      <c r="G135" s="132" t="str">
        <f aca="false">ExportRaw!$I135</f>
        <v/>
      </c>
      <c r="H135" s="130" t="str">
        <f aca="false">ExportRaw!$A135</f>
        <v/>
      </c>
      <c r="I135" s="130" t="str">
        <f aca="false">ExportRaw!$B135</f>
        <v/>
      </c>
    </row>
    <row r="136" customFormat="false" ht="15.75" hidden="false" customHeight="false" outlineLevel="0" collapsed="false">
      <c r="A136" s="130" t="n">
        <f aca="false">ExportRaw!$F136</f>
        <v>0</v>
      </c>
      <c r="B136" s="130" t="n">
        <f aca="false">ExportRaw!$C136</f>
        <v>0</v>
      </c>
      <c r="C136" s="130" t="n">
        <f aca="false">ExportRaw!$G136</f>
        <v>0</v>
      </c>
      <c r="D136" s="130" t="str">
        <f aca="false">ExportRaw!$E136</f>
        <v/>
      </c>
      <c r="E136" s="131" t="str">
        <f aca="false">ExportRaw!$D136</f>
        <v/>
      </c>
      <c r="F136" s="130" t="str">
        <f aca="false">ExportRaw!$H136</f>
        <v/>
      </c>
      <c r="G136" s="132" t="str">
        <f aca="false">ExportRaw!$I136</f>
        <v/>
      </c>
      <c r="H136" s="130" t="str">
        <f aca="false">ExportRaw!$A136</f>
        <v/>
      </c>
      <c r="I136" s="130" t="str">
        <f aca="false">ExportRaw!$B136</f>
        <v/>
      </c>
    </row>
    <row r="137" customFormat="false" ht="15.75" hidden="false" customHeight="false" outlineLevel="0" collapsed="false">
      <c r="A137" s="130" t="n">
        <f aca="false">ExportRaw!$F137</f>
        <v>0</v>
      </c>
      <c r="B137" s="130" t="n">
        <f aca="false">ExportRaw!$C137</f>
        <v>0</v>
      </c>
      <c r="C137" s="130" t="n">
        <f aca="false">ExportRaw!$G137</f>
        <v>0</v>
      </c>
      <c r="D137" s="130" t="str">
        <f aca="false">ExportRaw!$E137</f>
        <v/>
      </c>
      <c r="E137" s="131" t="str">
        <f aca="false">ExportRaw!$D137</f>
        <v/>
      </c>
      <c r="F137" s="130" t="str">
        <f aca="false">ExportRaw!$H137</f>
        <v/>
      </c>
      <c r="G137" s="132" t="str">
        <f aca="false">ExportRaw!$I137</f>
        <v/>
      </c>
      <c r="H137" s="130" t="str">
        <f aca="false">ExportRaw!$A137</f>
        <v/>
      </c>
      <c r="I137" s="130" t="str">
        <f aca="false">ExportRaw!$B137</f>
        <v/>
      </c>
    </row>
    <row r="138" customFormat="false" ht="15.75" hidden="false" customHeight="false" outlineLevel="0" collapsed="false">
      <c r="A138" s="130" t="n">
        <f aca="false">ExportRaw!$F138</f>
        <v>0</v>
      </c>
      <c r="B138" s="130" t="n">
        <f aca="false">ExportRaw!$C138</f>
        <v>0</v>
      </c>
      <c r="C138" s="130" t="n">
        <f aca="false">ExportRaw!$G138</f>
        <v>0</v>
      </c>
      <c r="D138" s="130" t="str">
        <f aca="false">ExportRaw!$E138</f>
        <v/>
      </c>
      <c r="E138" s="131" t="str">
        <f aca="false">ExportRaw!$D138</f>
        <v/>
      </c>
      <c r="F138" s="130" t="str">
        <f aca="false">ExportRaw!$H138</f>
        <v/>
      </c>
      <c r="G138" s="132" t="str">
        <f aca="false">ExportRaw!$I138</f>
        <v/>
      </c>
      <c r="H138" s="130" t="str">
        <f aca="false">ExportRaw!$A138</f>
        <v/>
      </c>
      <c r="I138" s="130" t="str">
        <f aca="false">ExportRaw!$B138</f>
        <v/>
      </c>
    </row>
    <row r="139" customFormat="false" ht="15.75" hidden="false" customHeight="false" outlineLevel="0" collapsed="false">
      <c r="A139" s="130" t="n">
        <f aca="false">ExportRaw!$F139</f>
        <v>0</v>
      </c>
      <c r="B139" s="130" t="n">
        <f aca="false">ExportRaw!$C139</f>
        <v>0</v>
      </c>
      <c r="C139" s="130" t="n">
        <f aca="false">ExportRaw!$G139</f>
        <v>0</v>
      </c>
      <c r="D139" s="130" t="str">
        <f aca="false">ExportRaw!$E139</f>
        <v/>
      </c>
      <c r="E139" s="131" t="str">
        <f aca="false">ExportRaw!$D139</f>
        <v/>
      </c>
      <c r="F139" s="130" t="str">
        <f aca="false">ExportRaw!$H139</f>
        <v/>
      </c>
      <c r="G139" s="132" t="str">
        <f aca="false">ExportRaw!$I139</f>
        <v/>
      </c>
      <c r="H139" s="130" t="str">
        <f aca="false">ExportRaw!$A139</f>
        <v/>
      </c>
      <c r="I139" s="130" t="str">
        <f aca="false">ExportRaw!$B139</f>
        <v/>
      </c>
    </row>
    <row r="140" customFormat="false" ht="15.75" hidden="false" customHeight="false" outlineLevel="0" collapsed="false">
      <c r="A140" s="130" t="n">
        <f aca="false">ExportRaw!$F140</f>
        <v>0</v>
      </c>
      <c r="B140" s="130" t="n">
        <f aca="false">ExportRaw!$C140</f>
        <v>0</v>
      </c>
      <c r="C140" s="130" t="n">
        <f aca="false">ExportRaw!$G140</f>
        <v>0</v>
      </c>
      <c r="D140" s="130" t="str">
        <f aca="false">ExportRaw!$E140</f>
        <v/>
      </c>
      <c r="E140" s="131" t="str">
        <f aca="false">ExportRaw!$D140</f>
        <v/>
      </c>
      <c r="F140" s="130" t="str">
        <f aca="false">ExportRaw!$H140</f>
        <v/>
      </c>
      <c r="G140" s="132" t="str">
        <f aca="false">ExportRaw!$I140</f>
        <v/>
      </c>
      <c r="H140" s="130" t="str">
        <f aca="false">ExportRaw!$A140</f>
        <v/>
      </c>
      <c r="I140" s="130" t="str">
        <f aca="false">ExportRaw!$B140</f>
        <v/>
      </c>
    </row>
    <row r="141" customFormat="false" ht="15.75" hidden="false" customHeight="false" outlineLevel="0" collapsed="false">
      <c r="A141" s="130" t="n">
        <f aca="false">ExportRaw!$F141</f>
        <v>0</v>
      </c>
      <c r="B141" s="130" t="n">
        <f aca="false">ExportRaw!$C141</f>
        <v>0</v>
      </c>
      <c r="C141" s="130" t="n">
        <f aca="false">ExportRaw!$G141</f>
        <v>0</v>
      </c>
      <c r="D141" s="130" t="str">
        <f aca="false">ExportRaw!$E141</f>
        <v/>
      </c>
      <c r="E141" s="131" t="str">
        <f aca="false">ExportRaw!$D141</f>
        <v/>
      </c>
      <c r="F141" s="130" t="str">
        <f aca="false">ExportRaw!$H141</f>
        <v/>
      </c>
      <c r="G141" s="132" t="str">
        <f aca="false">ExportRaw!$I141</f>
        <v/>
      </c>
      <c r="H141" s="130" t="str">
        <f aca="false">ExportRaw!$A141</f>
        <v/>
      </c>
      <c r="I141" s="130" t="str">
        <f aca="false">ExportRaw!$B141</f>
        <v/>
      </c>
    </row>
    <row r="142" customFormat="false" ht="15.75" hidden="false" customHeight="false" outlineLevel="0" collapsed="false">
      <c r="A142" s="130" t="n">
        <f aca="false">ExportRaw!$F142</f>
        <v>0</v>
      </c>
      <c r="B142" s="130" t="n">
        <f aca="false">ExportRaw!$C142</f>
        <v>0</v>
      </c>
      <c r="C142" s="130" t="n">
        <f aca="false">ExportRaw!$G142</f>
        <v>0</v>
      </c>
      <c r="D142" s="130" t="str">
        <f aca="false">ExportRaw!$E142</f>
        <v/>
      </c>
      <c r="E142" s="131" t="str">
        <f aca="false">ExportRaw!$D142</f>
        <v/>
      </c>
      <c r="F142" s="130" t="str">
        <f aca="false">ExportRaw!$H142</f>
        <v/>
      </c>
      <c r="G142" s="132" t="str">
        <f aca="false">ExportRaw!$I142</f>
        <v/>
      </c>
      <c r="H142" s="130" t="str">
        <f aca="false">ExportRaw!$A142</f>
        <v/>
      </c>
      <c r="I142" s="130" t="str">
        <f aca="false">ExportRaw!$B142</f>
        <v/>
      </c>
    </row>
    <row r="143" customFormat="false" ht="15.75" hidden="false" customHeight="false" outlineLevel="0" collapsed="false">
      <c r="A143" s="130" t="n">
        <f aca="false">ExportRaw!$F143</f>
        <v>0</v>
      </c>
      <c r="B143" s="130" t="n">
        <f aca="false">ExportRaw!$C143</f>
        <v>0</v>
      </c>
      <c r="C143" s="130" t="n">
        <f aca="false">ExportRaw!$G143</f>
        <v>0</v>
      </c>
      <c r="D143" s="130" t="str">
        <f aca="false">ExportRaw!$E143</f>
        <v/>
      </c>
      <c r="E143" s="131" t="str">
        <f aca="false">ExportRaw!$D143</f>
        <v/>
      </c>
      <c r="F143" s="130" t="str">
        <f aca="false">ExportRaw!$H143</f>
        <v/>
      </c>
      <c r="G143" s="132" t="str">
        <f aca="false">ExportRaw!$I143</f>
        <v/>
      </c>
      <c r="H143" s="130" t="str">
        <f aca="false">ExportRaw!$A143</f>
        <v/>
      </c>
      <c r="I143" s="130" t="str">
        <f aca="false">ExportRaw!$B143</f>
        <v/>
      </c>
    </row>
    <row r="144" customFormat="false" ht="15.75" hidden="false" customHeight="false" outlineLevel="0" collapsed="false">
      <c r="A144" s="130" t="n">
        <f aca="false">ExportRaw!$F144</f>
        <v>0</v>
      </c>
      <c r="B144" s="130" t="n">
        <f aca="false">ExportRaw!$C144</f>
        <v>0</v>
      </c>
      <c r="C144" s="130" t="n">
        <f aca="false">ExportRaw!$G144</f>
        <v>0</v>
      </c>
      <c r="D144" s="130" t="str">
        <f aca="false">ExportRaw!$E144</f>
        <v/>
      </c>
      <c r="E144" s="131" t="str">
        <f aca="false">ExportRaw!$D144</f>
        <v/>
      </c>
      <c r="F144" s="130" t="str">
        <f aca="false">ExportRaw!$H144</f>
        <v/>
      </c>
      <c r="G144" s="132" t="str">
        <f aca="false">ExportRaw!$I144</f>
        <v/>
      </c>
      <c r="H144" s="130" t="str">
        <f aca="false">ExportRaw!$A144</f>
        <v/>
      </c>
      <c r="I144" s="130" t="str">
        <f aca="false">ExportRaw!$B144</f>
        <v/>
      </c>
    </row>
    <row r="145" customFormat="false" ht="15.75" hidden="false" customHeight="false" outlineLevel="0" collapsed="false">
      <c r="A145" s="130" t="n">
        <f aca="false">ExportRaw!$F145</f>
        <v>0</v>
      </c>
      <c r="B145" s="130" t="n">
        <f aca="false">ExportRaw!$C145</f>
        <v>0</v>
      </c>
      <c r="C145" s="130" t="n">
        <f aca="false">ExportRaw!$G145</f>
        <v>0</v>
      </c>
      <c r="D145" s="130" t="str">
        <f aca="false">ExportRaw!$E145</f>
        <v/>
      </c>
      <c r="E145" s="131" t="str">
        <f aca="false">ExportRaw!$D145</f>
        <v/>
      </c>
      <c r="F145" s="130" t="str">
        <f aca="false">ExportRaw!$H145</f>
        <v/>
      </c>
      <c r="G145" s="132" t="str">
        <f aca="false">ExportRaw!$I145</f>
        <v/>
      </c>
      <c r="H145" s="130" t="str">
        <f aca="false">ExportRaw!$A145</f>
        <v/>
      </c>
      <c r="I145" s="130" t="str">
        <f aca="false">ExportRaw!$B145</f>
        <v/>
      </c>
    </row>
    <row r="146" customFormat="false" ht="15.75" hidden="false" customHeight="false" outlineLevel="0" collapsed="false">
      <c r="A146" s="130" t="n">
        <f aca="false">ExportRaw!$F146</f>
        <v>0</v>
      </c>
      <c r="B146" s="130" t="n">
        <f aca="false">ExportRaw!$C146</f>
        <v>0</v>
      </c>
      <c r="C146" s="130" t="n">
        <f aca="false">ExportRaw!$G146</f>
        <v>0</v>
      </c>
      <c r="D146" s="130" t="str">
        <f aca="false">ExportRaw!$E146</f>
        <v/>
      </c>
      <c r="E146" s="131" t="str">
        <f aca="false">ExportRaw!$D146</f>
        <v/>
      </c>
      <c r="F146" s="130" t="str">
        <f aca="false">ExportRaw!$H146</f>
        <v/>
      </c>
      <c r="G146" s="132" t="str">
        <f aca="false">ExportRaw!$I146</f>
        <v/>
      </c>
      <c r="H146" s="130" t="str">
        <f aca="false">ExportRaw!$A146</f>
        <v/>
      </c>
      <c r="I146" s="130" t="str">
        <f aca="false">ExportRaw!$B146</f>
        <v/>
      </c>
    </row>
    <row r="147" customFormat="false" ht="15.75" hidden="false" customHeight="false" outlineLevel="0" collapsed="false">
      <c r="A147" s="130" t="n">
        <f aca="false">ExportRaw!$F147</f>
        <v>0</v>
      </c>
      <c r="B147" s="130" t="n">
        <f aca="false">ExportRaw!$C147</f>
        <v>0</v>
      </c>
      <c r="C147" s="130" t="n">
        <f aca="false">ExportRaw!$G147</f>
        <v>0</v>
      </c>
      <c r="D147" s="130" t="str">
        <f aca="false">ExportRaw!$E147</f>
        <v/>
      </c>
      <c r="E147" s="131" t="str">
        <f aca="false">ExportRaw!$D147</f>
        <v/>
      </c>
      <c r="F147" s="130" t="str">
        <f aca="false">ExportRaw!$H147</f>
        <v/>
      </c>
      <c r="G147" s="132" t="str">
        <f aca="false">ExportRaw!$I147</f>
        <v/>
      </c>
      <c r="H147" s="130" t="str">
        <f aca="false">ExportRaw!$A147</f>
        <v/>
      </c>
      <c r="I147" s="130" t="str">
        <f aca="false">ExportRaw!$B147</f>
        <v/>
      </c>
    </row>
    <row r="148" customFormat="false" ht="15.75" hidden="false" customHeight="false" outlineLevel="0" collapsed="false">
      <c r="A148" s="130" t="n">
        <f aca="false">ExportRaw!$F148</f>
        <v>0</v>
      </c>
      <c r="B148" s="130" t="n">
        <f aca="false">ExportRaw!$C148</f>
        <v>0</v>
      </c>
      <c r="C148" s="130" t="n">
        <f aca="false">ExportRaw!$G148</f>
        <v>0</v>
      </c>
      <c r="D148" s="130" t="str">
        <f aca="false">ExportRaw!$E148</f>
        <v/>
      </c>
      <c r="E148" s="131" t="str">
        <f aca="false">ExportRaw!$D148</f>
        <v/>
      </c>
      <c r="F148" s="130" t="str">
        <f aca="false">ExportRaw!$H148</f>
        <v/>
      </c>
      <c r="G148" s="132" t="str">
        <f aca="false">ExportRaw!$I148</f>
        <v/>
      </c>
      <c r="H148" s="130" t="str">
        <f aca="false">ExportRaw!$A148</f>
        <v/>
      </c>
      <c r="I148" s="130" t="str">
        <f aca="false">ExportRaw!$B148</f>
        <v/>
      </c>
    </row>
    <row r="149" customFormat="false" ht="15.75" hidden="false" customHeight="false" outlineLevel="0" collapsed="false">
      <c r="A149" s="130" t="n">
        <f aca="false">ExportRaw!$F149</f>
        <v>0</v>
      </c>
      <c r="B149" s="130" t="n">
        <f aca="false">ExportRaw!$C149</f>
        <v>0</v>
      </c>
      <c r="C149" s="130" t="n">
        <f aca="false">ExportRaw!$G149</f>
        <v>0</v>
      </c>
      <c r="D149" s="130" t="str">
        <f aca="false">ExportRaw!$E149</f>
        <v/>
      </c>
      <c r="E149" s="131" t="str">
        <f aca="false">ExportRaw!$D149</f>
        <v/>
      </c>
      <c r="F149" s="130" t="str">
        <f aca="false">ExportRaw!$H149</f>
        <v/>
      </c>
      <c r="G149" s="132" t="str">
        <f aca="false">ExportRaw!$I149</f>
        <v/>
      </c>
      <c r="H149" s="130" t="str">
        <f aca="false">ExportRaw!$A149</f>
        <v/>
      </c>
      <c r="I149" s="130" t="str">
        <f aca="false">ExportRaw!$B149</f>
        <v/>
      </c>
    </row>
    <row r="150" customFormat="false" ht="15.75" hidden="false" customHeight="false" outlineLevel="0" collapsed="false">
      <c r="A150" s="130" t="n">
        <f aca="false">ExportRaw!$F150</f>
        <v>0</v>
      </c>
      <c r="B150" s="130" t="n">
        <f aca="false">ExportRaw!$C150</f>
        <v>0</v>
      </c>
      <c r="C150" s="130" t="n">
        <f aca="false">ExportRaw!$G150</f>
        <v>0</v>
      </c>
      <c r="D150" s="130" t="str">
        <f aca="false">ExportRaw!$E150</f>
        <v/>
      </c>
      <c r="E150" s="131" t="str">
        <f aca="false">ExportRaw!$D150</f>
        <v/>
      </c>
      <c r="F150" s="130" t="str">
        <f aca="false">ExportRaw!$H150</f>
        <v/>
      </c>
      <c r="G150" s="132" t="str">
        <f aca="false">ExportRaw!$I150</f>
        <v/>
      </c>
      <c r="H150" s="130" t="str">
        <f aca="false">ExportRaw!$A150</f>
        <v/>
      </c>
      <c r="I150" s="130" t="str">
        <f aca="false">ExportRaw!$B150</f>
        <v/>
      </c>
    </row>
    <row r="151" customFormat="false" ht="15.75" hidden="false" customHeight="false" outlineLevel="0" collapsed="false">
      <c r="A151" s="130" t="n">
        <f aca="false">ExportRaw!$F151</f>
        <v>0</v>
      </c>
      <c r="B151" s="130" t="n">
        <f aca="false">ExportRaw!$C151</f>
        <v>0</v>
      </c>
      <c r="C151" s="130" t="n">
        <f aca="false">ExportRaw!$G151</f>
        <v>0</v>
      </c>
      <c r="D151" s="130" t="str">
        <f aca="false">ExportRaw!$E151</f>
        <v/>
      </c>
      <c r="E151" s="131" t="str">
        <f aca="false">ExportRaw!$D151</f>
        <v/>
      </c>
      <c r="F151" s="130" t="str">
        <f aca="false">ExportRaw!$H151</f>
        <v/>
      </c>
      <c r="G151" s="132" t="str">
        <f aca="false">ExportRaw!$I151</f>
        <v/>
      </c>
      <c r="H151" s="130" t="str">
        <f aca="false">ExportRaw!$A151</f>
        <v/>
      </c>
      <c r="I151" s="130" t="str">
        <f aca="false">ExportRaw!$B151</f>
        <v/>
      </c>
    </row>
    <row r="152" customFormat="false" ht="15.75" hidden="false" customHeight="false" outlineLevel="0" collapsed="false">
      <c r="A152" s="130" t="n">
        <f aca="false">ExportRaw!$F152</f>
        <v>0</v>
      </c>
      <c r="B152" s="130" t="n">
        <f aca="false">ExportRaw!$C152</f>
        <v>0</v>
      </c>
      <c r="C152" s="130" t="n">
        <f aca="false">ExportRaw!$G152</f>
        <v>0</v>
      </c>
      <c r="D152" s="130" t="str">
        <f aca="false">ExportRaw!$E152</f>
        <v/>
      </c>
      <c r="E152" s="131" t="str">
        <f aca="false">ExportRaw!$D152</f>
        <v/>
      </c>
      <c r="F152" s="130" t="str">
        <f aca="false">ExportRaw!$H152</f>
        <v/>
      </c>
      <c r="G152" s="132" t="str">
        <f aca="false">ExportRaw!$I152</f>
        <v/>
      </c>
      <c r="H152" s="130" t="str">
        <f aca="false">ExportRaw!$A152</f>
        <v/>
      </c>
      <c r="I152" s="130" t="str">
        <f aca="false">ExportRaw!$B152</f>
        <v/>
      </c>
    </row>
    <row r="153" customFormat="false" ht="15.75" hidden="false" customHeight="false" outlineLevel="0" collapsed="false">
      <c r="A153" s="130" t="n">
        <f aca="false">ExportRaw!$F153</f>
        <v>0</v>
      </c>
      <c r="B153" s="130" t="n">
        <f aca="false">ExportRaw!$C153</f>
        <v>0</v>
      </c>
      <c r="C153" s="130" t="n">
        <f aca="false">ExportRaw!$G153</f>
        <v>0</v>
      </c>
      <c r="D153" s="130" t="str">
        <f aca="false">ExportRaw!$E153</f>
        <v/>
      </c>
      <c r="E153" s="131" t="str">
        <f aca="false">ExportRaw!$D153</f>
        <v/>
      </c>
      <c r="F153" s="130" t="str">
        <f aca="false">ExportRaw!$H153</f>
        <v/>
      </c>
      <c r="G153" s="132" t="str">
        <f aca="false">ExportRaw!$I153</f>
        <v/>
      </c>
      <c r="H153" s="130" t="str">
        <f aca="false">ExportRaw!$A153</f>
        <v/>
      </c>
      <c r="I153" s="130" t="str">
        <f aca="false">ExportRaw!$B153</f>
        <v/>
      </c>
    </row>
    <row r="154" customFormat="false" ht="15.75" hidden="false" customHeight="false" outlineLevel="0" collapsed="false">
      <c r="A154" s="130" t="n">
        <f aca="false">ExportRaw!$F154</f>
        <v>0</v>
      </c>
      <c r="B154" s="130" t="n">
        <f aca="false">ExportRaw!$C154</f>
        <v>0</v>
      </c>
      <c r="C154" s="130" t="n">
        <f aca="false">ExportRaw!$G154</f>
        <v>0</v>
      </c>
      <c r="D154" s="130" t="str">
        <f aca="false">ExportRaw!$E154</f>
        <v/>
      </c>
      <c r="E154" s="131" t="str">
        <f aca="false">ExportRaw!$D154</f>
        <v/>
      </c>
      <c r="F154" s="130" t="str">
        <f aca="false">ExportRaw!$H154</f>
        <v/>
      </c>
      <c r="G154" s="132" t="str">
        <f aca="false">ExportRaw!$I154</f>
        <v/>
      </c>
      <c r="H154" s="130" t="str">
        <f aca="false">ExportRaw!$A154</f>
        <v/>
      </c>
      <c r="I154" s="130" t="str">
        <f aca="false">ExportRaw!$B154</f>
        <v/>
      </c>
    </row>
    <row r="155" customFormat="false" ht="15.75" hidden="false" customHeight="false" outlineLevel="0" collapsed="false">
      <c r="A155" s="130" t="n">
        <f aca="false">ExportRaw!$F155</f>
        <v>0</v>
      </c>
      <c r="B155" s="130" t="n">
        <f aca="false">ExportRaw!$C155</f>
        <v>0</v>
      </c>
      <c r="C155" s="130" t="n">
        <f aca="false">ExportRaw!$G155</f>
        <v>0</v>
      </c>
      <c r="D155" s="130" t="str">
        <f aca="false">ExportRaw!$E155</f>
        <v/>
      </c>
      <c r="E155" s="131" t="str">
        <f aca="false">ExportRaw!$D155</f>
        <v/>
      </c>
      <c r="F155" s="130" t="str">
        <f aca="false">ExportRaw!$H155</f>
        <v/>
      </c>
      <c r="G155" s="132" t="str">
        <f aca="false">ExportRaw!$I155</f>
        <v/>
      </c>
      <c r="H155" s="130" t="str">
        <f aca="false">ExportRaw!$A155</f>
        <v/>
      </c>
      <c r="I155" s="130" t="str">
        <f aca="false">ExportRaw!$B155</f>
        <v/>
      </c>
    </row>
    <row r="156" customFormat="false" ht="15.75" hidden="false" customHeight="false" outlineLevel="0" collapsed="false">
      <c r="A156" s="130" t="n">
        <f aca="false">ExportRaw!$F156</f>
        <v>0</v>
      </c>
      <c r="B156" s="130" t="n">
        <f aca="false">ExportRaw!$C156</f>
        <v>0</v>
      </c>
      <c r="C156" s="130" t="n">
        <f aca="false">ExportRaw!$G156</f>
        <v>0</v>
      </c>
      <c r="D156" s="130" t="str">
        <f aca="false">ExportRaw!$E156</f>
        <v/>
      </c>
      <c r="E156" s="131" t="str">
        <f aca="false">ExportRaw!$D156</f>
        <v/>
      </c>
      <c r="F156" s="130" t="str">
        <f aca="false">ExportRaw!$H156</f>
        <v/>
      </c>
      <c r="G156" s="132" t="str">
        <f aca="false">ExportRaw!$I156</f>
        <v/>
      </c>
      <c r="H156" s="130" t="str">
        <f aca="false">ExportRaw!$A156</f>
        <v/>
      </c>
      <c r="I156" s="130" t="str">
        <f aca="false">ExportRaw!$B156</f>
        <v/>
      </c>
    </row>
    <row r="157" customFormat="false" ht="15.75" hidden="false" customHeight="false" outlineLevel="0" collapsed="false">
      <c r="A157" s="130" t="n">
        <f aca="false">ExportRaw!$F157</f>
        <v>0</v>
      </c>
      <c r="B157" s="130" t="n">
        <f aca="false">ExportRaw!$C157</f>
        <v>0</v>
      </c>
      <c r="C157" s="130" t="n">
        <f aca="false">ExportRaw!$G157</f>
        <v>0</v>
      </c>
      <c r="D157" s="130" t="str">
        <f aca="false">ExportRaw!$E157</f>
        <v/>
      </c>
      <c r="E157" s="131" t="str">
        <f aca="false">ExportRaw!$D157</f>
        <v/>
      </c>
      <c r="F157" s="130" t="str">
        <f aca="false">ExportRaw!$H157</f>
        <v/>
      </c>
      <c r="G157" s="132" t="str">
        <f aca="false">ExportRaw!$I157</f>
        <v/>
      </c>
      <c r="H157" s="130" t="str">
        <f aca="false">ExportRaw!$A157</f>
        <v/>
      </c>
      <c r="I157" s="130" t="str">
        <f aca="false">ExportRaw!$B157</f>
        <v/>
      </c>
    </row>
    <row r="158" customFormat="false" ht="15.75" hidden="false" customHeight="false" outlineLevel="0" collapsed="false">
      <c r="A158" s="130" t="n">
        <f aca="false">ExportRaw!$F158</f>
        <v>0</v>
      </c>
      <c r="B158" s="130" t="n">
        <f aca="false">ExportRaw!$C158</f>
        <v>0</v>
      </c>
      <c r="C158" s="130" t="n">
        <f aca="false">ExportRaw!$G158</f>
        <v>0</v>
      </c>
      <c r="D158" s="130" t="str">
        <f aca="false">ExportRaw!$E158</f>
        <v/>
      </c>
      <c r="E158" s="131" t="str">
        <f aca="false">ExportRaw!$D158</f>
        <v/>
      </c>
      <c r="F158" s="130" t="str">
        <f aca="false">ExportRaw!$H158</f>
        <v/>
      </c>
      <c r="G158" s="132" t="str">
        <f aca="false">ExportRaw!$I158</f>
        <v/>
      </c>
      <c r="H158" s="130" t="str">
        <f aca="false">ExportRaw!$A158</f>
        <v/>
      </c>
      <c r="I158" s="130" t="str">
        <f aca="false">ExportRaw!$B158</f>
        <v/>
      </c>
    </row>
    <row r="159" customFormat="false" ht="15.75" hidden="false" customHeight="false" outlineLevel="0" collapsed="false">
      <c r="A159" s="130" t="n">
        <f aca="false">ExportRaw!$F159</f>
        <v>0</v>
      </c>
      <c r="B159" s="130" t="n">
        <f aca="false">ExportRaw!$C159</f>
        <v>0</v>
      </c>
      <c r="C159" s="130" t="n">
        <f aca="false">ExportRaw!$G159</f>
        <v>0</v>
      </c>
      <c r="D159" s="130" t="str">
        <f aca="false">ExportRaw!$E159</f>
        <v/>
      </c>
      <c r="E159" s="131" t="str">
        <f aca="false">ExportRaw!$D159</f>
        <v/>
      </c>
      <c r="F159" s="130" t="str">
        <f aca="false">ExportRaw!$H159</f>
        <v/>
      </c>
      <c r="G159" s="132" t="str">
        <f aca="false">ExportRaw!$I159</f>
        <v/>
      </c>
      <c r="H159" s="130" t="str">
        <f aca="false">ExportRaw!$A159</f>
        <v/>
      </c>
      <c r="I159" s="130" t="str">
        <f aca="false">ExportRaw!$B159</f>
        <v/>
      </c>
    </row>
    <row r="160" customFormat="false" ht="15.75" hidden="false" customHeight="false" outlineLevel="0" collapsed="false">
      <c r="A160" s="130" t="n">
        <f aca="false">ExportRaw!$F160</f>
        <v>0</v>
      </c>
      <c r="B160" s="130" t="n">
        <f aca="false">ExportRaw!$C160</f>
        <v>0</v>
      </c>
      <c r="C160" s="130" t="n">
        <f aca="false">ExportRaw!$G160</f>
        <v>0</v>
      </c>
      <c r="D160" s="130" t="str">
        <f aca="false">ExportRaw!$E160</f>
        <v/>
      </c>
      <c r="E160" s="131" t="str">
        <f aca="false">ExportRaw!$D160</f>
        <v/>
      </c>
      <c r="F160" s="130" t="str">
        <f aca="false">ExportRaw!$H160</f>
        <v/>
      </c>
      <c r="G160" s="132" t="str">
        <f aca="false">ExportRaw!$I160</f>
        <v/>
      </c>
      <c r="H160" s="130" t="str">
        <f aca="false">ExportRaw!$A160</f>
        <v/>
      </c>
      <c r="I160" s="130" t="str">
        <f aca="false">ExportRaw!$B160</f>
        <v/>
      </c>
    </row>
    <row r="161" customFormat="false" ht="15.75" hidden="false" customHeight="false" outlineLevel="0" collapsed="false">
      <c r="A161" s="130" t="n">
        <f aca="false">ExportRaw!$F161</f>
        <v>0</v>
      </c>
      <c r="B161" s="130" t="n">
        <f aca="false">ExportRaw!$C161</f>
        <v>0</v>
      </c>
      <c r="C161" s="130" t="n">
        <f aca="false">ExportRaw!$G161</f>
        <v>0</v>
      </c>
      <c r="D161" s="130" t="str">
        <f aca="false">ExportRaw!$E161</f>
        <v/>
      </c>
      <c r="E161" s="131" t="str">
        <f aca="false">ExportRaw!$D161</f>
        <v/>
      </c>
      <c r="F161" s="130" t="str">
        <f aca="false">ExportRaw!$H161</f>
        <v/>
      </c>
      <c r="G161" s="132" t="str">
        <f aca="false">ExportRaw!$I161</f>
        <v/>
      </c>
      <c r="H161" s="130" t="str">
        <f aca="false">ExportRaw!$A161</f>
        <v/>
      </c>
      <c r="I161" s="130" t="str">
        <f aca="false">ExportRaw!$B161</f>
        <v/>
      </c>
    </row>
    <row r="162" customFormat="false" ht="15.75" hidden="false" customHeight="false" outlineLevel="0" collapsed="false">
      <c r="A162" s="130" t="n">
        <f aca="false">ExportRaw!$F162</f>
        <v>0</v>
      </c>
      <c r="B162" s="130" t="n">
        <f aca="false">ExportRaw!$C162</f>
        <v>0</v>
      </c>
      <c r="C162" s="130" t="n">
        <f aca="false">ExportRaw!$G162</f>
        <v>0</v>
      </c>
      <c r="D162" s="130" t="str">
        <f aca="false">ExportRaw!$E162</f>
        <v/>
      </c>
      <c r="E162" s="131" t="str">
        <f aca="false">ExportRaw!$D162</f>
        <v/>
      </c>
      <c r="F162" s="130" t="str">
        <f aca="false">ExportRaw!$H162</f>
        <v/>
      </c>
      <c r="G162" s="132" t="str">
        <f aca="false">ExportRaw!$I162</f>
        <v/>
      </c>
      <c r="H162" s="130" t="str">
        <f aca="false">ExportRaw!$A162</f>
        <v/>
      </c>
      <c r="I162" s="130" t="str">
        <f aca="false">ExportRaw!$B162</f>
        <v/>
      </c>
    </row>
    <row r="163" customFormat="false" ht="15.75" hidden="false" customHeight="false" outlineLevel="0" collapsed="false">
      <c r="A163" s="130" t="n">
        <f aca="false">ExportRaw!$F163</f>
        <v>0</v>
      </c>
      <c r="B163" s="130" t="n">
        <f aca="false">ExportRaw!$C163</f>
        <v>0</v>
      </c>
      <c r="C163" s="130" t="n">
        <f aca="false">ExportRaw!$G163</f>
        <v>0</v>
      </c>
      <c r="D163" s="130" t="str">
        <f aca="false">ExportRaw!$E163</f>
        <v/>
      </c>
      <c r="E163" s="131" t="str">
        <f aca="false">ExportRaw!$D163</f>
        <v/>
      </c>
      <c r="F163" s="130" t="str">
        <f aca="false">ExportRaw!$H163</f>
        <v/>
      </c>
      <c r="G163" s="132" t="str">
        <f aca="false">ExportRaw!$I163</f>
        <v/>
      </c>
      <c r="H163" s="130" t="str">
        <f aca="false">ExportRaw!$A163</f>
        <v/>
      </c>
      <c r="I163" s="130" t="str">
        <f aca="false">ExportRaw!$B163</f>
        <v/>
      </c>
    </row>
    <row r="164" customFormat="false" ht="15.75" hidden="false" customHeight="false" outlineLevel="0" collapsed="false">
      <c r="A164" s="130" t="n">
        <f aca="false">ExportRaw!$F164</f>
        <v>0</v>
      </c>
      <c r="B164" s="130" t="n">
        <f aca="false">ExportRaw!$C164</f>
        <v>0</v>
      </c>
      <c r="C164" s="130" t="n">
        <f aca="false">ExportRaw!$G164</f>
        <v>0</v>
      </c>
      <c r="D164" s="130" t="str">
        <f aca="false">ExportRaw!$E164</f>
        <v/>
      </c>
      <c r="E164" s="131" t="str">
        <f aca="false">ExportRaw!$D164</f>
        <v/>
      </c>
      <c r="F164" s="130" t="str">
        <f aca="false">ExportRaw!$H164</f>
        <v/>
      </c>
      <c r="G164" s="132" t="str">
        <f aca="false">ExportRaw!$I164</f>
        <v/>
      </c>
      <c r="H164" s="130" t="str">
        <f aca="false">ExportRaw!$A164</f>
        <v/>
      </c>
      <c r="I164" s="130" t="str">
        <f aca="false">ExportRaw!$B164</f>
        <v/>
      </c>
    </row>
    <row r="165" customFormat="false" ht="15.75" hidden="false" customHeight="false" outlineLevel="0" collapsed="false">
      <c r="A165" s="130" t="n">
        <f aca="false">ExportRaw!$F165</f>
        <v>0</v>
      </c>
      <c r="B165" s="130" t="n">
        <f aca="false">ExportRaw!$C165</f>
        <v>0</v>
      </c>
      <c r="C165" s="130" t="n">
        <f aca="false">ExportRaw!$G165</f>
        <v>0</v>
      </c>
      <c r="D165" s="130" t="str">
        <f aca="false">ExportRaw!$E165</f>
        <v/>
      </c>
      <c r="E165" s="131" t="str">
        <f aca="false">ExportRaw!$D165</f>
        <v/>
      </c>
      <c r="F165" s="130" t="str">
        <f aca="false">ExportRaw!$H165</f>
        <v/>
      </c>
      <c r="G165" s="132" t="str">
        <f aca="false">ExportRaw!$I165</f>
        <v/>
      </c>
      <c r="H165" s="130" t="str">
        <f aca="false">ExportRaw!$A165</f>
        <v/>
      </c>
      <c r="I165" s="130" t="str">
        <f aca="false">ExportRaw!$B165</f>
        <v/>
      </c>
    </row>
    <row r="166" customFormat="false" ht="15.75" hidden="false" customHeight="false" outlineLevel="0" collapsed="false">
      <c r="A166" s="130" t="n">
        <f aca="false">ExportRaw!$F166</f>
        <v>0</v>
      </c>
      <c r="B166" s="130" t="n">
        <f aca="false">ExportRaw!$C166</f>
        <v>0</v>
      </c>
      <c r="C166" s="130" t="n">
        <f aca="false">ExportRaw!$G166</f>
        <v>0</v>
      </c>
      <c r="D166" s="130" t="str">
        <f aca="false">ExportRaw!$E166</f>
        <v/>
      </c>
      <c r="E166" s="131" t="str">
        <f aca="false">ExportRaw!$D166</f>
        <v/>
      </c>
      <c r="F166" s="130" t="str">
        <f aca="false">ExportRaw!$H166</f>
        <v/>
      </c>
      <c r="G166" s="132" t="str">
        <f aca="false">ExportRaw!$I166</f>
        <v/>
      </c>
      <c r="H166" s="130" t="str">
        <f aca="false">ExportRaw!$A166</f>
        <v/>
      </c>
      <c r="I166" s="130" t="str">
        <f aca="false">ExportRaw!$B166</f>
        <v/>
      </c>
    </row>
    <row r="167" customFormat="false" ht="15.75" hidden="false" customHeight="false" outlineLevel="0" collapsed="false">
      <c r="A167" s="130" t="n">
        <f aca="false">ExportRaw!$F167</f>
        <v>0</v>
      </c>
      <c r="B167" s="130" t="n">
        <f aca="false">ExportRaw!$C167</f>
        <v>0</v>
      </c>
      <c r="C167" s="130" t="n">
        <f aca="false">ExportRaw!$G167</f>
        <v>0</v>
      </c>
      <c r="D167" s="130" t="str">
        <f aca="false">ExportRaw!$E167</f>
        <v/>
      </c>
      <c r="E167" s="131" t="str">
        <f aca="false">ExportRaw!$D167</f>
        <v/>
      </c>
      <c r="F167" s="130" t="str">
        <f aca="false">ExportRaw!$H167</f>
        <v/>
      </c>
      <c r="G167" s="132" t="str">
        <f aca="false">ExportRaw!$I167</f>
        <v/>
      </c>
      <c r="H167" s="130" t="str">
        <f aca="false">ExportRaw!$A167</f>
        <v/>
      </c>
      <c r="I167" s="130" t="str">
        <f aca="false">ExportRaw!$B167</f>
        <v/>
      </c>
    </row>
    <row r="168" customFormat="false" ht="15.75" hidden="false" customHeight="false" outlineLevel="0" collapsed="false">
      <c r="A168" s="130" t="n">
        <f aca="false">ExportRaw!$F168</f>
        <v>0</v>
      </c>
      <c r="B168" s="130" t="n">
        <f aca="false">ExportRaw!$C168</f>
        <v>0</v>
      </c>
      <c r="C168" s="130" t="n">
        <f aca="false">ExportRaw!$G168</f>
        <v>0</v>
      </c>
      <c r="D168" s="130" t="str">
        <f aca="false">ExportRaw!$E168</f>
        <v/>
      </c>
      <c r="E168" s="131" t="str">
        <f aca="false">ExportRaw!$D168</f>
        <v/>
      </c>
      <c r="F168" s="130" t="str">
        <f aca="false">ExportRaw!$H168</f>
        <v/>
      </c>
      <c r="G168" s="132" t="str">
        <f aca="false">ExportRaw!$I168</f>
        <v/>
      </c>
      <c r="H168" s="130" t="str">
        <f aca="false">ExportRaw!$A168</f>
        <v/>
      </c>
      <c r="I168" s="130" t="str">
        <f aca="false">ExportRaw!$B168</f>
        <v/>
      </c>
    </row>
    <row r="169" customFormat="false" ht="15.75" hidden="false" customHeight="false" outlineLevel="0" collapsed="false">
      <c r="A169" s="130" t="n">
        <f aca="false">ExportRaw!$F169</f>
        <v>0</v>
      </c>
      <c r="B169" s="130" t="n">
        <f aca="false">ExportRaw!$C169</f>
        <v>0</v>
      </c>
      <c r="C169" s="130" t="n">
        <f aca="false">ExportRaw!$G169</f>
        <v>0</v>
      </c>
      <c r="D169" s="130" t="str">
        <f aca="false">ExportRaw!$E169</f>
        <v/>
      </c>
      <c r="E169" s="131" t="str">
        <f aca="false">ExportRaw!$D169</f>
        <v/>
      </c>
      <c r="F169" s="130" t="str">
        <f aca="false">ExportRaw!$H169</f>
        <v/>
      </c>
      <c r="G169" s="132" t="str">
        <f aca="false">ExportRaw!$I169</f>
        <v/>
      </c>
      <c r="H169" s="130" t="str">
        <f aca="false">ExportRaw!$A169</f>
        <v/>
      </c>
      <c r="I169" s="130" t="str">
        <f aca="false">ExportRaw!$B169</f>
        <v/>
      </c>
    </row>
    <row r="170" customFormat="false" ht="15.75" hidden="false" customHeight="false" outlineLevel="0" collapsed="false">
      <c r="A170" s="130" t="n">
        <f aca="false">ExportRaw!$F170</f>
        <v>0</v>
      </c>
      <c r="B170" s="130" t="n">
        <f aca="false">ExportRaw!$C170</f>
        <v>0</v>
      </c>
      <c r="C170" s="130" t="n">
        <f aca="false">ExportRaw!$G170</f>
        <v>0</v>
      </c>
      <c r="D170" s="130" t="str">
        <f aca="false">ExportRaw!$E170</f>
        <v/>
      </c>
      <c r="E170" s="131" t="str">
        <f aca="false">ExportRaw!$D170</f>
        <v/>
      </c>
      <c r="F170" s="130" t="str">
        <f aca="false">ExportRaw!$H170</f>
        <v/>
      </c>
      <c r="G170" s="132" t="str">
        <f aca="false">ExportRaw!$I170</f>
        <v/>
      </c>
      <c r="H170" s="130" t="str">
        <f aca="false">ExportRaw!$A170</f>
        <v/>
      </c>
      <c r="I170" s="130" t="str">
        <f aca="false">ExportRaw!$B170</f>
        <v/>
      </c>
    </row>
    <row r="171" customFormat="false" ht="15.75" hidden="false" customHeight="false" outlineLevel="0" collapsed="false">
      <c r="A171" s="130" t="n">
        <f aca="false">ExportRaw!$F171</f>
        <v>0</v>
      </c>
      <c r="B171" s="130" t="n">
        <f aca="false">ExportRaw!$C171</f>
        <v>0</v>
      </c>
      <c r="C171" s="130" t="n">
        <f aca="false">ExportRaw!$G171</f>
        <v>0</v>
      </c>
      <c r="D171" s="130" t="str">
        <f aca="false">ExportRaw!$E171</f>
        <v/>
      </c>
      <c r="E171" s="131" t="str">
        <f aca="false">ExportRaw!$D171</f>
        <v/>
      </c>
      <c r="F171" s="130" t="str">
        <f aca="false">ExportRaw!$H171</f>
        <v/>
      </c>
      <c r="G171" s="132" t="str">
        <f aca="false">ExportRaw!$I171</f>
        <v/>
      </c>
      <c r="H171" s="130" t="str">
        <f aca="false">ExportRaw!$A171</f>
        <v/>
      </c>
      <c r="I171" s="130" t="str">
        <f aca="false">ExportRaw!$B171</f>
        <v/>
      </c>
    </row>
    <row r="172" customFormat="false" ht="15.75" hidden="false" customHeight="false" outlineLevel="0" collapsed="false">
      <c r="A172" s="130" t="n">
        <f aca="false">ExportRaw!$F172</f>
        <v>0</v>
      </c>
      <c r="B172" s="130" t="n">
        <f aca="false">ExportRaw!$C172</f>
        <v>0</v>
      </c>
      <c r="C172" s="130" t="n">
        <f aca="false">ExportRaw!$G172</f>
        <v>0</v>
      </c>
      <c r="D172" s="130" t="str">
        <f aca="false">ExportRaw!$E172</f>
        <v/>
      </c>
      <c r="E172" s="131" t="str">
        <f aca="false">ExportRaw!$D172</f>
        <v/>
      </c>
      <c r="F172" s="130" t="str">
        <f aca="false">ExportRaw!$H172</f>
        <v/>
      </c>
      <c r="G172" s="132" t="str">
        <f aca="false">ExportRaw!$I172</f>
        <v/>
      </c>
      <c r="H172" s="130" t="str">
        <f aca="false">ExportRaw!$A172</f>
        <v/>
      </c>
      <c r="I172" s="130" t="str">
        <f aca="false">ExportRaw!$B172</f>
        <v/>
      </c>
    </row>
    <row r="173" customFormat="false" ht="15.75" hidden="false" customHeight="false" outlineLevel="0" collapsed="false">
      <c r="A173" s="130" t="n">
        <f aca="false">ExportRaw!$F173</f>
        <v>0</v>
      </c>
      <c r="B173" s="130" t="n">
        <f aca="false">ExportRaw!$C173</f>
        <v>0</v>
      </c>
      <c r="C173" s="130" t="n">
        <f aca="false">ExportRaw!$G173</f>
        <v>0</v>
      </c>
      <c r="D173" s="130" t="str">
        <f aca="false">ExportRaw!$E173</f>
        <v/>
      </c>
      <c r="E173" s="131" t="str">
        <f aca="false">ExportRaw!$D173</f>
        <v/>
      </c>
      <c r="F173" s="130" t="str">
        <f aca="false">ExportRaw!$H173</f>
        <v/>
      </c>
      <c r="G173" s="132" t="str">
        <f aca="false">ExportRaw!$I173</f>
        <v/>
      </c>
      <c r="H173" s="130" t="str">
        <f aca="false">ExportRaw!$A173</f>
        <v/>
      </c>
      <c r="I173" s="130" t="str">
        <f aca="false">ExportRaw!$B173</f>
        <v/>
      </c>
    </row>
    <row r="174" customFormat="false" ht="15.75" hidden="false" customHeight="false" outlineLevel="0" collapsed="false">
      <c r="A174" s="130" t="n">
        <f aca="false">ExportRaw!$F174</f>
        <v>0</v>
      </c>
      <c r="B174" s="130" t="n">
        <f aca="false">ExportRaw!$C174</f>
        <v>0</v>
      </c>
      <c r="C174" s="130" t="n">
        <f aca="false">ExportRaw!$G174</f>
        <v>0</v>
      </c>
      <c r="D174" s="130" t="str">
        <f aca="false">ExportRaw!$E174</f>
        <v/>
      </c>
      <c r="E174" s="131" t="str">
        <f aca="false">ExportRaw!$D174</f>
        <v/>
      </c>
      <c r="F174" s="130" t="str">
        <f aca="false">ExportRaw!$H174</f>
        <v/>
      </c>
      <c r="G174" s="132" t="str">
        <f aca="false">ExportRaw!$I174</f>
        <v/>
      </c>
      <c r="H174" s="130" t="str">
        <f aca="false">ExportRaw!$A174</f>
        <v/>
      </c>
      <c r="I174" s="130" t="str">
        <f aca="false">ExportRaw!$B174</f>
        <v/>
      </c>
    </row>
    <row r="175" customFormat="false" ht="15.75" hidden="false" customHeight="false" outlineLevel="0" collapsed="false">
      <c r="A175" s="130" t="n">
        <f aca="false">ExportRaw!$F175</f>
        <v>0</v>
      </c>
      <c r="B175" s="130" t="n">
        <f aca="false">ExportRaw!$C175</f>
        <v>0</v>
      </c>
      <c r="C175" s="130" t="n">
        <f aca="false">ExportRaw!$G175</f>
        <v>0</v>
      </c>
      <c r="D175" s="130" t="str">
        <f aca="false">ExportRaw!$E175</f>
        <v/>
      </c>
      <c r="E175" s="131" t="str">
        <f aca="false">ExportRaw!$D175</f>
        <v/>
      </c>
      <c r="F175" s="130" t="str">
        <f aca="false">ExportRaw!$H175</f>
        <v/>
      </c>
      <c r="G175" s="132" t="str">
        <f aca="false">ExportRaw!$I175</f>
        <v/>
      </c>
      <c r="H175" s="130" t="str">
        <f aca="false">ExportRaw!$A175</f>
        <v/>
      </c>
      <c r="I175" s="130" t="str">
        <f aca="false">ExportRaw!$B175</f>
        <v/>
      </c>
    </row>
    <row r="176" customFormat="false" ht="15.75" hidden="false" customHeight="false" outlineLevel="0" collapsed="false">
      <c r="A176" s="130" t="n">
        <f aca="false">ExportRaw!$F176</f>
        <v>0</v>
      </c>
      <c r="B176" s="130" t="n">
        <f aca="false">ExportRaw!$C176</f>
        <v>0</v>
      </c>
      <c r="C176" s="130" t="n">
        <f aca="false">ExportRaw!$G176</f>
        <v>0</v>
      </c>
      <c r="D176" s="130" t="str">
        <f aca="false">ExportRaw!$E176</f>
        <v/>
      </c>
      <c r="E176" s="131" t="str">
        <f aca="false">ExportRaw!$D176</f>
        <v/>
      </c>
      <c r="F176" s="130" t="str">
        <f aca="false">ExportRaw!$H176</f>
        <v/>
      </c>
      <c r="G176" s="132" t="str">
        <f aca="false">ExportRaw!$I176</f>
        <v/>
      </c>
      <c r="H176" s="130" t="str">
        <f aca="false">ExportRaw!$A176</f>
        <v/>
      </c>
      <c r="I176" s="130" t="str">
        <f aca="false">ExportRaw!$B176</f>
        <v/>
      </c>
    </row>
    <row r="177" customFormat="false" ht="15.75" hidden="false" customHeight="false" outlineLevel="0" collapsed="false">
      <c r="A177" s="130" t="n">
        <f aca="false">ExportRaw!$F177</f>
        <v>0</v>
      </c>
      <c r="B177" s="130" t="n">
        <f aca="false">ExportRaw!$C177</f>
        <v>0</v>
      </c>
      <c r="C177" s="130" t="n">
        <f aca="false">ExportRaw!$G177</f>
        <v>0</v>
      </c>
      <c r="D177" s="130" t="str">
        <f aca="false">ExportRaw!$E177</f>
        <v/>
      </c>
      <c r="E177" s="131" t="str">
        <f aca="false">ExportRaw!$D177</f>
        <v/>
      </c>
      <c r="F177" s="130" t="str">
        <f aca="false">ExportRaw!$H177</f>
        <v/>
      </c>
      <c r="G177" s="132" t="str">
        <f aca="false">ExportRaw!$I177</f>
        <v/>
      </c>
      <c r="H177" s="130" t="str">
        <f aca="false">ExportRaw!$A177</f>
        <v/>
      </c>
      <c r="I177" s="130" t="str">
        <f aca="false">ExportRaw!$B177</f>
        <v/>
      </c>
    </row>
    <row r="178" customFormat="false" ht="15.75" hidden="false" customHeight="false" outlineLevel="0" collapsed="false">
      <c r="A178" s="130" t="n">
        <f aca="false">ExportRaw!$F178</f>
        <v>0</v>
      </c>
      <c r="B178" s="130" t="n">
        <f aca="false">ExportRaw!$C178</f>
        <v>0</v>
      </c>
      <c r="C178" s="130" t="n">
        <f aca="false">ExportRaw!$G178</f>
        <v>0</v>
      </c>
      <c r="D178" s="130" t="str">
        <f aca="false">ExportRaw!$E178</f>
        <v/>
      </c>
      <c r="E178" s="131" t="str">
        <f aca="false">ExportRaw!$D178</f>
        <v/>
      </c>
      <c r="F178" s="130" t="str">
        <f aca="false">ExportRaw!$H178</f>
        <v/>
      </c>
      <c r="G178" s="132" t="str">
        <f aca="false">ExportRaw!$I178</f>
        <v/>
      </c>
      <c r="H178" s="130" t="str">
        <f aca="false">ExportRaw!$A178</f>
        <v/>
      </c>
      <c r="I178" s="130" t="str">
        <f aca="false">ExportRaw!$B178</f>
        <v/>
      </c>
    </row>
    <row r="179" customFormat="false" ht="15.75" hidden="false" customHeight="false" outlineLevel="0" collapsed="false">
      <c r="A179" s="130" t="n">
        <f aca="false">ExportRaw!$F179</f>
        <v>0</v>
      </c>
      <c r="B179" s="130" t="n">
        <f aca="false">ExportRaw!$C179</f>
        <v>0</v>
      </c>
      <c r="C179" s="130" t="n">
        <f aca="false">ExportRaw!$G179</f>
        <v>0</v>
      </c>
      <c r="D179" s="130" t="str">
        <f aca="false">ExportRaw!$E179</f>
        <v/>
      </c>
      <c r="E179" s="131" t="str">
        <f aca="false">ExportRaw!$D179</f>
        <v/>
      </c>
      <c r="F179" s="130" t="str">
        <f aca="false">ExportRaw!$H179</f>
        <v/>
      </c>
      <c r="G179" s="132" t="str">
        <f aca="false">ExportRaw!$I179</f>
        <v/>
      </c>
      <c r="H179" s="130" t="str">
        <f aca="false">ExportRaw!$A179</f>
        <v/>
      </c>
      <c r="I179" s="130" t="str">
        <f aca="false">ExportRaw!$B179</f>
        <v/>
      </c>
    </row>
    <row r="180" customFormat="false" ht="15.75" hidden="false" customHeight="false" outlineLevel="0" collapsed="false">
      <c r="A180" s="130" t="n">
        <f aca="false">ExportRaw!$F180</f>
        <v>0</v>
      </c>
      <c r="B180" s="130" t="n">
        <f aca="false">ExportRaw!$C180</f>
        <v>0</v>
      </c>
      <c r="C180" s="130" t="n">
        <f aca="false">ExportRaw!$G180</f>
        <v>0</v>
      </c>
      <c r="D180" s="130" t="str">
        <f aca="false">ExportRaw!$E180</f>
        <v/>
      </c>
      <c r="E180" s="131" t="str">
        <f aca="false">ExportRaw!$D180</f>
        <v/>
      </c>
      <c r="F180" s="130" t="str">
        <f aca="false">ExportRaw!$H180</f>
        <v/>
      </c>
      <c r="G180" s="132" t="str">
        <f aca="false">ExportRaw!$I180</f>
        <v/>
      </c>
      <c r="H180" s="130" t="str">
        <f aca="false">ExportRaw!$A180</f>
        <v/>
      </c>
      <c r="I180" s="130" t="str">
        <f aca="false">ExportRaw!$B180</f>
        <v/>
      </c>
    </row>
    <row r="181" customFormat="false" ht="15.75" hidden="false" customHeight="false" outlineLevel="0" collapsed="false">
      <c r="A181" s="130" t="n">
        <f aca="false">ExportRaw!$F181</f>
        <v>0</v>
      </c>
      <c r="B181" s="130" t="n">
        <f aca="false">ExportRaw!$C181</f>
        <v>0</v>
      </c>
      <c r="C181" s="130" t="n">
        <f aca="false">ExportRaw!$G181</f>
        <v>0</v>
      </c>
      <c r="D181" s="130" t="str">
        <f aca="false">ExportRaw!$E181</f>
        <v/>
      </c>
      <c r="E181" s="131" t="str">
        <f aca="false">ExportRaw!$D181</f>
        <v/>
      </c>
      <c r="F181" s="130" t="str">
        <f aca="false">ExportRaw!$H181</f>
        <v/>
      </c>
      <c r="G181" s="132" t="str">
        <f aca="false">ExportRaw!$I181</f>
        <v/>
      </c>
      <c r="H181" s="130" t="str">
        <f aca="false">ExportRaw!$A181</f>
        <v/>
      </c>
      <c r="I181" s="130" t="str">
        <f aca="false">ExportRaw!$B181</f>
        <v/>
      </c>
    </row>
    <row r="182" customFormat="false" ht="15.75" hidden="false" customHeight="false" outlineLevel="0" collapsed="false">
      <c r="A182" s="130" t="n">
        <f aca="false">ExportRaw!$F182</f>
        <v>0</v>
      </c>
      <c r="B182" s="130" t="n">
        <f aca="false">ExportRaw!$C182</f>
        <v>0</v>
      </c>
      <c r="C182" s="130" t="n">
        <f aca="false">ExportRaw!$G182</f>
        <v>0</v>
      </c>
      <c r="D182" s="130" t="str">
        <f aca="false">ExportRaw!$E182</f>
        <v/>
      </c>
      <c r="E182" s="131" t="str">
        <f aca="false">ExportRaw!$D182</f>
        <v/>
      </c>
      <c r="F182" s="130" t="str">
        <f aca="false">ExportRaw!$H182</f>
        <v/>
      </c>
      <c r="G182" s="132" t="str">
        <f aca="false">ExportRaw!$I182</f>
        <v/>
      </c>
      <c r="H182" s="130" t="str">
        <f aca="false">ExportRaw!$A182</f>
        <v/>
      </c>
      <c r="I182" s="130" t="str">
        <f aca="false">ExportRaw!$B182</f>
        <v/>
      </c>
    </row>
    <row r="183" customFormat="false" ht="15.75" hidden="false" customHeight="false" outlineLevel="0" collapsed="false">
      <c r="A183" s="130" t="n">
        <f aca="false">ExportRaw!$F183</f>
        <v>0</v>
      </c>
      <c r="B183" s="130" t="n">
        <f aca="false">ExportRaw!$C183</f>
        <v>0</v>
      </c>
      <c r="C183" s="130" t="n">
        <f aca="false">ExportRaw!$G183</f>
        <v>0</v>
      </c>
      <c r="D183" s="130" t="str">
        <f aca="false">ExportRaw!$E183</f>
        <v/>
      </c>
      <c r="E183" s="131" t="str">
        <f aca="false">ExportRaw!$D183</f>
        <v/>
      </c>
      <c r="F183" s="130" t="str">
        <f aca="false">ExportRaw!$H183</f>
        <v/>
      </c>
      <c r="G183" s="132" t="str">
        <f aca="false">ExportRaw!$I183</f>
        <v/>
      </c>
      <c r="H183" s="130" t="str">
        <f aca="false">ExportRaw!$A183</f>
        <v/>
      </c>
      <c r="I183" s="130" t="str">
        <f aca="false">ExportRaw!$B183</f>
        <v/>
      </c>
    </row>
    <row r="184" customFormat="false" ht="15.75" hidden="false" customHeight="false" outlineLevel="0" collapsed="false">
      <c r="A184" s="130" t="n">
        <f aca="false">ExportRaw!$F184</f>
        <v>0</v>
      </c>
      <c r="B184" s="130" t="n">
        <f aca="false">ExportRaw!$C184</f>
        <v>0</v>
      </c>
      <c r="C184" s="130" t="n">
        <f aca="false">ExportRaw!$G184</f>
        <v>0</v>
      </c>
      <c r="D184" s="130" t="str">
        <f aca="false">ExportRaw!$E184</f>
        <v/>
      </c>
      <c r="E184" s="131" t="str">
        <f aca="false">ExportRaw!$D184</f>
        <v/>
      </c>
      <c r="F184" s="130" t="str">
        <f aca="false">ExportRaw!$H184</f>
        <v/>
      </c>
      <c r="G184" s="132" t="str">
        <f aca="false">ExportRaw!$I184</f>
        <v/>
      </c>
      <c r="H184" s="130" t="str">
        <f aca="false">ExportRaw!$A184</f>
        <v/>
      </c>
      <c r="I184" s="130" t="str">
        <f aca="false">ExportRaw!$B184</f>
        <v/>
      </c>
    </row>
    <row r="185" customFormat="false" ht="15.75" hidden="false" customHeight="false" outlineLevel="0" collapsed="false">
      <c r="A185" s="130" t="n">
        <f aca="false">ExportRaw!$F185</f>
        <v>0</v>
      </c>
      <c r="B185" s="130" t="n">
        <f aca="false">ExportRaw!$C185</f>
        <v>0</v>
      </c>
      <c r="C185" s="130" t="n">
        <f aca="false">ExportRaw!$G185</f>
        <v>0</v>
      </c>
      <c r="D185" s="130" t="str">
        <f aca="false">ExportRaw!$E185</f>
        <v/>
      </c>
      <c r="E185" s="131" t="str">
        <f aca="false">ExportRaw!$D185</f>
        <v/>
      </c>
      <c r="F185" s="130" t="str">
        <f aca="false">ExportRaw!$H185</f>
        <v/>
      </c>
      <c r="G185" s="132" t="str">
        <f aca="false">ExportRaw!$I185</f>
        <v/>
      </c>
      <c r="H185" s="130" t="str">
        <f aca="false">ExportRaw!$A185</f>
        <v/>
      </c>
      <c r="I185" s="130" t="str">
        <f aca="false">ExportRaw!$B185</f>
        <v/>
      </c>
    </row>
    <row r="186" customFormat="false" ht="15.75" hidden="false" customHeight="false" outlineLevel="0" collapsed="false">
      <c r="A186" s="130" t="n">
        <f aca="false">ExportRaw!$F186</f>
        <v>0</v>
      </c>
      <c r="B186" s="130" t="n">
        <f aca="false">ExportRaw!$C186</f>
        <v>0</v>
      </c>
      <c r="C186" s="130" t="n">
        <f aca="false">ExportRaw!$G186</f>
        <v>0</v>
      </c>
      <c r="D186" s="130" t="str">
        <f aca="false">ExportRaw!$E186</f>
        <v/>
      </c>
      <c r="E186" s="131" t="str">
        <f aca="false">ExportRaw!$D186</f>
        <v/>
      </c>
      <c r="F186" s="130" t="str">
        <f aca="false">ExportRaw!$H186</f>
        <v/>
      </c>
      <c r="G186" s="132" t="str">
        <f aca="false">ExportRaw!$I186</f>
        <v/>
      </c>
      <c r="H186" s="130" t="str">
        <f aca="false">ExportRaw!$A186</f>
        <v/>
      </c>
      <c r="I186" s="130" t="str">
        <f aca="false">ExportRaw!$B186</f>
        <v/>
      </c>
    </row>
    <row r="187" customFormat="false" ht="15.75" hidden="false" customHeight="false" outlineLevel="0" collapsed="false">
      <c r="A187" s="130" t="n">
        <f aca="false">ExportRaw!$F187</f>
        <v>0</v>
      </c>
      <c r="B187" s="130" t="n">
        <f aca="false">ExportRaw!$C187</f>
        <v>0</v>
      </c>
      <c r="C187" s="130" t="n">
        <f aca="false">ExportRaw!$G187</f>
        <v>0</v>
      </c>
      <c r="D187" s="130" t="str">
        <f aca="false">ExportRaw!$E187</f>
        <v/>
      </c>
      <c r="E187" s="131" t="str">
        <f aca="false">ExportRaw!$D187</f>
        <v/>
      </c>
      <c r="F187" s="130" t="str">
        <f aca="false">ExportRaw!$H187</f>
        <v/>
      </c>
      <c r="G187" s="132" t="str">
        <f aca="false">ExportRaw!$I187</f>
        <v/>
      </c>
      <c r="H187" s="130" t="str">
        <f aca="false">ExportRaw!$A187</f>
        <v/>
      </c>
      <c r="I187" s="130" t="str">
        <f aca="false">ExportRaw!$B187</f>
        <v/>
      </c>
    </row>
    <row r="188" customFormat="false" ht="15.75" hidden="false" customHeight="false" outlineLevel="0" collapsed="false">
      <c r="A188" s="130" t="n">
        <f aca="false">ExportRaw!$F188</f>
        <v>0</v>
      </c>
      <c r="B188" s="130" t="n">
        <f aca="false">ExportRaw!$C188</f>
        <v>0</v>
      </c>
      <c r="C188" s="130" t="n">
        <f aca="false">ExportRaw!$G188</f>
        <v>0</v>
      </c>
      <c r="D188" s="130" t="str">
        <f aca="false">ExportRaw!$E188</f>
        <v/>
      </c>
      <c r="E188" s="131" t="str">
        <f aca="false">ExportRaw!$D188</f>
        <v/>
      </c>
      <c r="F188" s="130" t="str">
        <f aca="false">ExportRaw!$H188</f>
        <v/>
      </c>
      <c r="G188" s="132" t="str">
        <f aca="false">ExportRaw!$I188</f>
        <v/>
      </c>
      <c r="H188" s="130" t="str">
        <f aca="false">ExportRaw!$A188</f>
        <v/>
      </c>
      <c r="I188" s="130" t="str">
        <f aca="false">ExportRaw!$B188</f>
        <v/>
      </c>
    </row>
    <row r="189" customFormat="false" ht="15.75" hidden="false" customHeight="false" outlineLevel="0" collapsed="false">
      <c r="A189" s="130" t="n">
        <f aca="false">ExportRaw!$F189</f>
        <v>0</v>
      </c>
      <c r="B189" s="130" t="n">
        <f aca="false">ExportRaw!$C189</f>
        <v>0</v>
      </c>
      <c r="C189" s="130" t="n">
        <f aca="false">ExportRaw!$G189</f>
        <v>0</v>
      </c>
      <c r="D189" s="130" t="str">
        <f aca="false">ExportRaw!$E189</f>
        <v/>
      </c>
      <c r="E189" s="131" t="str">
        <f aca="false">ExportRaw!$D189</f>
        <v/>
      </c>
      <c r="F189" s="130" t="str">
        <f aca="false">ExportRaw!$H189</f>
        <v/>
      </c>
      <c r="G189" s="132" t="str">
        <f aca="false">ExportRaw!$I189</f>
        <v/>
      </c>
      <c r="H189" s="130" t="str">
        <f aca="false">ExportRaw!$A189</f>
        <v/>
      </c>
      <c r="I189" s="130" t="str">
        <f aca="false">ExportRaw!$B189</f>
        <v/>
      </c>
    </row>
    <row r="190" customFormat="false" ht="15.75" hidden="false" customHeight="false" outlineLevel="0" collapsed="false">
      <c r="A190" s="130" t="n">
        <f aca="false">ExportRaw!$F190</f>
        <v>0</v>
      </c>
      <c r="B190" s="130" t="n">
        <f aca="false">ExportRaw!$C190</f>
        <v>0</v>
      </c>
      <c r="C190" s="130" t="n">
        <f aca="false">ExportRaw!$G190</f>
        <v>0</v>
      </c>
      <c r="D190" s="130" t="str">
        <f aca="false">ExportRaw!$E190</f>
        <v/>
      </c>
      <c r="E190" s="131" t="str">
        <f aca="false">ExportRaw!$D190</f>
        <v/>
      </c>
      <c r="F190" s="130" t="str">
        <f aca="false">ExportRaw!$H190</f>
        <v/>
      </c>
      <c r="G190" s="132" t="str">
        <f aca="false">ExportRaw!$I190</f>
        <v/>
      </c>
      <c r="H190" s="130" t="str">
        <f aca="false">ExportRaw!$A190</f>
        <v/>
      </c>
      <c r="I190" s="130" t="str">
        <f aca="false">ExportRaw!$B190</f>
        <v/>
      </c>
    </row>
    <row r="191" customFormat="false" ht="15.75" hidden="false" customHeight="false" outlineLevel="0" collapsed="false">
      <c r="A191" s="130" t="n">
        <f aca="false">ExportRaw!$F191</f>
        <v>0</v>
      </c>
      <c r="B191" s="130" t="n">
        <f aca="false">ExportRaw!$C191</f>
        <v>0</v>
      </c>
      <c r="C191" s="130" t="n">
        <f aca="false">ExportRaw!$G191</f>
        <v>0</v>
      </c>
      <c r="D191" s="130" t="str">
        <f aca="false">ExportRaw!$E191</f>
        <v/>
      </c>
      <c r="E191" s="131" t="str">
        <f aca="false">ExportRaw!$D191</f>
        <v/>
      </c>
      <c r="F191" s="130" t="str">
        <f aca="false">ExportRaw!$H191</f>
        <v/>
      </c>
      <c r="G191" s="132" t="str">
        <f aca="false">ExportRaw!$I191</f>
        <v/>
      </c>
      <c r="H191" s="130" t="str">
        <f aca="false">ExportRaw!$A191</f>
        <v/>
      </c>
      <c r="I191" s="130" t="str">
        <f aca="false">ExportRaw!$B191</f>
        <v/>
      </c>
    </row>
    <row r="192" customFormat="false" ht="15.75" hidden="false" customHeight="false" outlineLevel="0" collapsed="false">
      <c r="A192" s="130" t="n">
        <f aca="false">ExportRaw!$F192</f>
        <v>0</v>
      </c>
      <c r="B192" s="130" t="n">
        <f aca="false">ExportRaw!$C192</f>
        <v>0</v>
      </c>
      <c r="C192" s="130" t="n">
        <f aca="false">ExportRaw!$G192</f>
        <v>0</v>
      </c>
      <c r="D192" s="130" t="str">
        <f aca="false">ExportRaw!$E192</f>
        <v/>
      </c>
      <c r="E192" s="131" t="str">
        <f aca="false">ExportRaw!$D192</f>
        <v/>
      </c>
      <c r="F192" s="130" t="str">
        <f aca="false">ExportRaw!$H192</f>
        <v/>
      </c>
      <c r="G192" s="132" t="str">
        <f aca="false">ExportRaw!$I192</f>
        <v/>
      </c>
      <c r="H192" s="130" t="str">
        <f aca="false">ExportRaw!$A192</f>
        <v/>
      </c>
      <c r="I192" s="130" t="str">
        <f aca="false">ExportRaw!$B192</f>
        <v/>
      </c>
    </row>
    <row r="193" customFormat="false" ht="15.75" hidden="false" customHeight="false" outlineLevel="0" collapsed="false">
      <c r="A193" s="130" t="n">
        <f aca="false">ExportRaw!$F193</f>
        <v>0</v>
      </c>
      <c r="B193" s="130" t="n">
        <f aca="false">ExportRaw!$C193</f>
        <v>0</v>
      </c>
      <c r="C193" s="130" t="n">
        <f aca="false">ExportRaw!$G193</f>
        <v>0</v>
      </c>
      <c r="D193" s="130" t="str">
        <f aca="false">ExportRaw!$E193</f>
        <v/>
      </c>
      <c r="E193" s="131" t="str">
        <f aca="false">ExportRaw!$D193</f>
        <v/>
      </c>
      <c r="F193" s="130" t="str">
        <f aca="false">ExportRaw!$H193</f>
        <v/>
      </c>
      <c r="G193" s="132" t="str">
        <f aca="false">ExportRaw!$I193</f>
        <v/>
      </c>
      <c r="H193" s="130" t="str">
        <f aca="false">ExportRaw!$A193</f>
        <v/>
      </c>
      <c r="I193" s="130" t="str">
        <f aca="false">ExportRaw!$B193</f>
        <v/>
      </c>
    </row>
    <row r="194" customFormat="false" ht="15.75" hidden="false" customHeight="false" outlineLevel="0" collapsed="false">
      <c r="A194" s="130" t="n">
        <f aca="false">ExportRaw!$F194</f>
        <v>0</v>
      </c>
      <c r="B194" s="130" t="n">
        <f aca="false">ExportRaw!$C194</f>
        <v>0</v>
      </c>
      <c r="C194" s="130" t="n">
        <f aca="false">ExportRaw!$G194</f>
        <v>0</v>
      </c>
      <c r="D194" s="130" t="str">
        <f aca="false">ExportRaw!$E194</f>
        <v/>
      </c>
      <c r="E194" s="131" t="str">
        <f aca="false">ExportRaw!$D194</f>
        <v/>
      </c>
      <c r="F194" s="130" t="str">
        <f aca="false">ExportRaw!$H194</f>
        <v/>
      </c>
      <c r="G194" s="132" t="str">
        <f aca="false">ExportRaw!$I194</f>
        <v/>
      </c>
      <c r="H194" s="130" t="str">
        <f aca="false">ExportRaw!$A194</f>
        <v/>
      </c>
      <c r="I194" s="130" t="str">
        <f aca="false">ExportRaw!$B194</f>
        <v/>
      </c>
    </row>
    <row r="195" customFormat="false" ht="15.75" hidden="false" customHeight="false" outlineLevel="0" collapsed="false">
      <c r="A195" s="130" t="n">
        <f aca="false">ExportRaw!$F195</f>
        <v>0</v>
      </c>
      <c r="B195" s="130" t="n">
        <f aca="false">ExportRaw!$C195</f>
        <v>0</v>
      </c>
      <c r="C195" s="130" t="n">
        <f aca="false">ExportRaw!$G195</f>
        <v>0</v>
      </c>
      <c r="D195" s="130" t="str">
        <f aca="false">ExportRaw!$E195</f>
        <v/>
      </c>
      <c r="E195" s="131" t="str">
        <f aca="false">ExportRaw!$D195</f>
        <v/>
      </c>
      <c r="F195" s="130" t="str">
        <f aca="false">ExportRaw!$H195</f>
        <v/>
      </c>
      <c r="G195" s="132" t="str">
        <f aca="false">ExportRaw!$I195</f>
        <v/>
      </c>
      <c r="H195" s="130" t="str">
        <f aca="false">ExportRaw!$A195</f>
        <v/>
      </c>
      <c r="I195" s="130" t="str">
        <f aca="false">ExportRaw!$B195</f>
        <v/>
      </c>
    </row>
    <row r="196" customFormat="false" ht="15.75" hidden="false" customHeight="false" outlineLevel="0" collapsed="false">
      <c r="A196" s="130" t="n">
        <f aca="false">ExportRaw!$F196</f>
        <v>0</v>
      </c>
      <c r="B196" s="130" t="n">
        <f aca="false">ExportRaw!$C196</f>
        <v>0</v>
      </c>
      <c r="C196" s="130" t="n">
        <f aca="false">ExportRaw!$G196</f>
        <v>0</v>
      </c>
      <c r="D196" s="130" t="str">
        <f aca="false">ExportRaw!$E196</f>
        <v/>
      </c>
      <c r="E196" s="131" t="str">
        <f aca="false">ExportRaw!$D196</f>
        <v/>
      </c>
      <c r="F196" s="130" t="str">
        <f aca="false">ExportRaw!$H196</f>
        <v/>
      </c>
      <c r="G196" s="132" t="str">
        <f aca="false">ExportRaw!$I196</f>
        <v/>
      </c>
      <c r="H196" s="130" t="str">
        <f aca="false">ExportRaw!$A196</f>
        <v/>
      </c>
      <c r="I196" s="130" t="str">
        <f aca="false">ExportRaw!$B196</f>
        <v/>
      </c>
    </row>
    <row r="197" customFormat="false" ht="15.75" hidden="false" customHeight="false" outlineLevel="0" collapsed="false">
      <c r="A197" s="130" t="n">
        <f aca="false">ExportRaw!$F197</f>
        <v>0</v>
      </c>
      <c r="B197" s="130" t="n">
        <f aca="false">ExportRaw!$C197</f>
        <v>0</v>
      </c>
      <c r="C197" s="130" t="n">
        <f aca="false">ExportRaw!$G197</f>
        <v>0</v>
      </c>
      <c r="D197" s="130" t="str">
        <f aca="false">ExportRaw!$E197</f>
        <v/>
      </c>
      <c r="E197" s="131" t="str">
        <f aca="false">ExportRaw!$D197</f>
        <v/>
      </c>
      <c r="F197" s="130" t="str">
        <f aca="false">ExportRaw!$H197</f>
        <v/>
      </c>
      <c r="G197" s="132" t="str">
        <f aca="false">ExportRaw!$I197</f>
        <v/>
      </c>
      <c r="H197" s="130" t="str">
        <f aca="false">ExportRaw!$A197</f>
        <v/>
      </c>
      <c r="I197" s="130" t="str">
        <f aca="false">ExportRaw!$B197</f>
        <v/>
      </c>
    </row>
    <row r="198" customFormat="false" ht="15.75" hidden="false" customHeight="false" outlineLevel="0" collapsed="false">
      <c r="A198" s="130" t="n">
        <f aca="false">ExportRaw!$F198</f>
        <v>0</v>
      </c>
      <c r="B198" s="130" t="n">
        <f aca="false">ExportRaw!$C198</f>
        <v>0</v>
      </c>
      <c r="C198" s="130" t="n">
        <f aca="false">ExportRaw!$G198</f>
        <v>0</v>
      </c>
      <c r="D198" s="130" t="str">
        <f aca="false">ExportRaw!$E198</f>
        <v/>
      </c>
      <c r="E198" s="131" t="str">
        <f aca="false">ExportRaw!$D198</f>
        <v/>
      </c>
      <c r="F198" s="130" t="str">
        <f aca="false">ExportRaw!$H198</f>
        <v/>
      </c>
      <c r="G198" s="132" t="str">
        <f aca="false">ExportRaw!$I198</f>
        <v/>
      </c>
      <c r="H198" s="130" t="str">
        <f aca="false">ExportRaw!$A198</f>
        <v/>
      </c>
      <c r="I198" s="130" t="str">
        <f aca="false">ExportRaw!$B198</f>
        <v/>
      </c>
    </row>
    <row r="199" customFormat="false" ht="15.75" hidden="false" customHeight="false" outlineLevel="0" collapsed="false">
      <c r="A199" s="130" t="n">
        <f aca="false">ExportRaw!$F199</f>
        <v>0</v>
      </c>
      <c r="B199" s="130" t="n">
        <f aca="false">ExportRaw!$C199</f>
        <v>0</v>
      </c>
      <c r="C199" s="130" t="n">
        <f aca="false">ExportRaw!$G199</f>
        <v>0</v>
      </c>
      <c r="D199" s="130" t="str">
        <f aca="false">ExportRaw!$E199</f>
        <v/>
      </c>
      <c r="E199" s="131" t="str">
        <f aca="false">ExportRaw!$D199</f>
        <v/>
      </c>
      <c r="F199" s="130" t="str">
        <f aca="false">ExportRaw!$H199</f>
        <v/>
      </c>
      <c r="G199" s="132" t="str">
        <f aca="false">ExportRaw!$I199</f>
        <v/>
      </c>
      <c r="H199" s="130" t="str">
        <f aca="false">ExportRaw!$A199</f>
        <v/>
      </c>
      <c r="I199" s="130" t="str">
        <f aca="false">ExportRaw!$B199</f>
        <v/>
      </c>
    </row>
    <row r="200" customFormat="false" ht="15.75" hidden="false" customHeight="false" outlineLevel="0" collapsed="false">
      <c r="A200" s="130" t="n">
        <f aca="false">ExportRaw!$F200</f>
        <v>0</v>
      </c>
      <c r="B200" s="130" t="n">
        <f aca="false">ExportRaw!$C200</f>
        <v>0</v>
      </c>
      <c r="C200" s="130" t="n">
        <f aca="false">ExportRaw!$G200</f>
        <v>0</v>
      </c>
      <c r="D200" s="130" t="str">
        <f aca="false">ExportRaw!$E200</f>
        <v/>
      </c>
      <c r="E200" s="131" t="str">
        <f aca="false">ExportRaw!$D200</f>
        <v/>
      </c>
      <c r="F200" s="130" t="str">
        <f aca="false">ExportRaw!$H200</f>
        <v/>
      </c>
      <c r="G200" s="132" t="str">
        <f aca="false">ExportRaw!$I200</f>
        <v/>
      </c>
      <c r="H200" s="130" t="str">
        <f aca="false">ExportRaw!$A200</f>
        <v/>
      </c>
      <c r="I200" s="130" t="str">
        <f aca="false">ExportRaw!$B200</f>
        <v/>
      </c>
    </row>
    <row r="201" customFormat="false" ht="15.75" hidden="false" customHeight="false" outlineLevel="0" collapsed="false">
      <c r="A201" s="130" t="n">
        <f aca="false">ExportRaw!$F201</f>
        <v>0</v>
      </c>
      <c r="B201" s="130" t="n">
        <f aca="false">ExportRaw!$C201</f>
        <v>0</v>
      </c>
      <c r="C201" s="130" t="n">
        <f aca="false">ExportRaw!$G201</f>
        <v>0</v>
      </c>
      <c r="D201" s="130" t="str">
        <f aca="false">ExportRaw!$E201</f>
        <v/>
      </c>
      <c r="E201" s="131" t="str">
        <f aca="false">ExportRaw!$D201</f>
        <v/>
      </c>
      <c r="F201" s="130" t="str">
        <f aca="false">ExportRaw!$H201</f>
        <v/>
      </c>
      <c r="G201" s="132" t="str">
        <f aca="false">ExportRaw!$I201</f>
        <v/>
      </c>
      <c r="H201" s="130" t="str">
        <f aca="false">ExportRaw!$A201</f>
        <v/>
      </c>
      <c r="I201" s="130" t="str">
        <f aca="false">ExportRaw!$B201</f>
        <v/>
      </c>
    </row>
    <row r="202" customFormat="false" ht="15.75" hidden="false" customHeight="false" outlineLevel="0" collapsed="false">
      <c r="A202" s="130" t="n">
        <f aca="false">ExportRaw!$F202</f>
        <v>0</v>
      </c>
      <c r="B202" s="130" t="n">
        <f aca="false">ExportRaw!$C202</f>
        <v>0</v>
      </c>
      <c r="C202" s="130" t="n">
        <f aca="false">ExportRaw!$G202</f>
        <v>0</v>
      </c>
      <c r="D202" s="130" t="str">
        <f aca="false">ExportRaw!$E202</f>
        <v/>
      </c>
      <c r="E202" s="131" t="str">
        <f aca="false">ExportRaw!$D202</f>
        <v/>
      </c>
      <c r="F202" s="130" t="str">
        <f aca="false">ExportRaw!$H202</f>
        <v/>
      </c>
      <c r="G202" s="132" t="str">
        <f aca="false">ExportRaw!$I202</f>
        <v/>
      </c>
      <c r="H202" s="130" t="str">
        <f aca="false">ExportRaw!$A202</f>
        <v/>
      </c>
      <c r="I202" s="130" t="str">
        <f aca="false">ExportRaw!$B202</f>
        <v/>
      </c>
    </row>
    <row r="203" customFormat="false" ht="15.75" hidden="false" customHeight="false" outlineLevel="0" collapsed="false">
      <c r="A203" s="130" t="n">
        <f aca="false">ExportRaw!$F203</f>
        <v>0</v>
      </c>
      <c r="B203" s="130" t="n">
        <f aca="false">ExportRaw!$C203</f>
        <v>0</v>
      </c>
      <c r="C203" s="130" t="n">
        <f aca="false">ExportRaw!$G203</f>
        <v>0</v>
      </c>
      <c r="D203" s="130" t="str">
        <f aca="false">ExportRaw!$E203</f>
        <v/>
      </c>
      <c r="E203" s="131" t="str">
        <f aca="false">ExportRaw!$D203</f>
        <v/>
      </c>
      <c r="F203" s="130" t="str">
        <f aca="false">ExportRaw!$H203</f>
        <v/>
      </c>
      <c r="G203" s="132" t="str">
        <f aca="false">ExportRaw!$I203</f>
        <v/>
      </c>
      <c r="H203" s="130" t="str">
        <f aca="false">ExportRaw!$A203</f>
        <v/>
      </c>
      <c r="I203" s="130" t="str">
        <f aca="false">ExportRaw!$B203</f>
        <v/>
      </c>
    </row>
    <row r="204" customFormat="false" ht="15.75" hidden="false" customHeight="false" outlineLevel="0" collapsed="false">
      <c r="A204" s="130" t="n">
        <f aca="false">ExportRaw!$F204</f>
        <v>0</v>
      </c>
      <c r="B204" s="130" t="n">
        <f aca="false">ExportRaw!$C204</f>
        <v>0</v>
      </c>
      <c r="C204" s="130" t="n">
        <f aca="false">ExportRaw!$G204</f>
        <v>0</v>
      </c>
      <c r="D204" s="130" t="str">
        <f aca="false">ExportRaw!$E204</f>
        <v/>
      </c>
      <c r="E204" s="131" t="str">
        <f aca="false">ExportRaw!$D204</f>
        <v/>
      </c>
      <c r="F204" s="130" t="str">
        <f aca="false">ExportRaw!$H204</f>
        <v/>
      </c>
      <c r="G204" s="132" t="str">
        <f aca="false">ExportRaw!$I204</f>
        <v/>
      </c>
      <c r="H204" s="130" t="str">
        <f aca="false">ExportRaw!$A204</f>
        <v/>
      </c>
      <c r="I204" s="130" t="str">
        <f aca="false">ExportRaw!$B204</f>
        <v/>
      </c>
    </row>
    <row r="205" customFormat="false" ht="15.75" hidden="false" customHeight="false" outlineLevel="0" collapsed="false">
      <c r="A205" s="130" t="n">
        <f aca="false">ExportRaw!$F205</f>
        <v>0</v>
      </c>
      <c r="B205" s="130" t="n">
        <f aca="false">ExportRaw!$C205</f>
        <v>0</v>
      </c>
      <c r="C205" s="130" t="n">
        <f aca="false">ExportRaw!$G205</f>
        <v>0</v>
      </c>
      <c r="D205" s="130" t="str">
        <f aca="false">ExportRaw!$E205</f>
        <v/>
      </c>
      <c r="E205" s="131" t="str">
        <f aca="false">ExportRaw!$D205</f>
        <v/>
      </c>
      <c r="F205" s="130" t="str">
        <f aca="false">ExportRaw!$H205</f>
        <v/>
      </c>
      <c r="G205" s="132" t="str">
        <f aca="false">ExportRaw!$I205</f>
        <v/>
      </c>
      <c r="H205" s="130" t="str">
        <f aca="false">ExportRaw!$A205</f>
        <v/>
      </c>
      <c r="I205" s="130" t="str">
        <f aca="false">ExportRaw!$B205</f>
        <v/>
      </c>
    </row>
    <row r="206" customFormat="false" ht="15.75" hidden="false" customHeight="false" outlineLevel="0" collapsed="false">
      <c r="A206" s="130" t="n">
        <f aca="false">ExportRaw!$F206</f>
        <v>0</v>
      </c>
      <c r="B206" s="130" t="n">
        <f aca="false">ExportRaw!$C206</f>
        <v>0</v>
      </c>
      <c r="C206" s="130" t="n">
        <f aca="false">ExportRaw!$G206</f>
        <v>0</v>
      </c>
      <c r="D206" s="130" t="str">
        <f aca="false">ExportRaw!$E206</f>
        <v/>
      </c>
      <c r="E206" s="131" t="str">
        <f aca="false">ExportRaw!$D206</f>
        <v/>
      </c>
      <c r="F206" s="130" t="str">
        <f aca="false">ExportRaw!$H206</f>
        <v/>
      </c>
      <c r="G206" s="132" t="str">
        <f aca="false">ExportRaw!$I206</f>
        <v/>
      </c>
      <c r="H206" s="130" t="str">
        <f aca="false">ExportRaw!$A206</f>
        <v/>
      </c>
      <c r="I206" s="130" t="str">
        <f aca="false">ExportRaw!$B206</f>
        <v/>
      </c>
    </row>
    <row r="207" customFormat="false" ht="15.75" hidden="false" customHeight="false" outlineLevel="0" collapsed="false">
      <c r="A207" s="130" t="n">
        <f aca="false">ExportRaw!$F207</f>
        <v>0</v>
      </c>
      <c r="B207" s="130" t="n">
        <f aca="false">ExportRaw!$C207</f>
        <v>0</v>
      </c>
      <c r="C207" s="130" t="n">
        <f aca="false">ExportRaw!$G207</f>
        <v>0</v>
      </c>
      <c r="D207" s="130" t="str">
        <f aca="false">ExportRaw!$E207</f>
        <v/>
      </c>
      <c r="E207" s="131" t="str">
        <f aca="false">ExportRaw!$D207</f>
        <v/>
      </c>
      <c r="F207" s="130" t="str">
        <f aca="false">ExportRaw!$H207</f>
        <v/>
      </c>
      <c r="G207" s="132" t="str">
        <f aca="false">ExportRaw!$I207</f>
        <v/>
      </c>
      <c r="H207" s="130" t="str">
        <f aca="false">ExportRaw!$A207</f>
        <v/>
      </c>
      <c r="I207" s="130" t="str">
        <f aca="false">ExportRaw!$B207</f>
        <v/>
      </c>
    </row>
    <row r="208" customFormat="false" ht="15.75" hidden="false" customHeight="false" outlineLevel="0" collapsed="false">
      <c r="A208" s="130" t="n">
        <f aca="false">ExportRaw!$F208</f>
        <v>0</v>
      </c>
      <c r="B208" s="130" t="n">
        <f aca="false">ExportRaw!$C208</f>
        <v>0</v>
      </c>
      <c r="C208" s="130" t="n">
        <f aca="false">ExportRaw!$G208</f>
        <v>0</v>
      </c>
      <c r="D208" s="130" t="str">
        <f aca="false">ExportRaw!$E208</f>
        <v/>
      </c>
      <c r="E208" s="131" t="str">
        <f aca="false">ExportRaw!$D208</f>
        <v/>
      </c>
      <c r="F208" s="130" t="str">
        <f aca="false">ExportRaw!$H208</f>
        <v/>
      </c>
      <c r="G208" s="132" t="str">
        <f aca="false">ExportRaw!$I208</f>
        <v/>
      </c>
      <c r="H208" s="130" t="str">
        <f aca="false">ExportRaw!$A208</f>
        <v/>
      </c>
      <c r="I208" s="130" t="str">
        <f aca="false">ExportRaw!$B208</f>
        <v/>
      </c>
    </row>
    <row r="209" customFormat="false" ht="15.75" hidden="false" customHeight="false" outlineLevel="0" collapsed="false">
      <c r="A209" s="130" t="n">
        <f aca="false">ExportRaw!$F209</f>
        <v>0</v>
      </c>
      <c r="B209" s="130" t="n">
        <f aca="false">ExportRaw!$C209</f>
        <v>0</v>
      </c>
      <c r="C209" s="130" t="n">
        <f aca="false">ExportRaw!$G209</f>
        <v>0</v>
      </c>
      <c r="D209" s="130" t="str">
        <f aca="false">ExportRaw!$E209</f>
        <v/>
      </c>
      <c r="E209" s="131" t="str">
        <f aca="false">ExportRaw!$D209</f>
        <v/>
      </c>
      <c r="F209" s="130" t="str">
        <f aca="false">ExportRaw!$H209</f>
        <v/>
      </c>
      <c r="G209" s="132" t="str">
        <f aca="false">ExportRaw!$I209</f>
        <v/>
      </c>
      <c r="H209" s="130" t="str">
        <f aca="false">ExportRaw!$A209</f>
        <v/>
      </c>
      <c r="I209" s="130" t="str">
        <f aca="false">ExportRaw!$B209</f>
        <v/>
      </c>
    </row>
    <row r="210" customFormat="false" ht="15.75" hidden="false" customHeight="false" outlineLevel="0" collapsed="false">
      <c r="A210" s="130" t="n">
        <f aca="false">ExportRaw!$F210</f>
        <v>0</v>
      </c>
      <c r="B210" s="130" t="n">
        <f aca="false">ExportRaw!$C210</f>
        <v>0</v>
      </c>
      <c r="C210" s="130" t="n">
        <f aca="false">ExportRaw!$G210</f>
        <v>0</v>
      </c>
      <c r="D210" s="130" t="str">
        <f aca="false">ExportRaw!$E210</f>
        <v/>
      </c>
      <c r="E210" s="131" t="str">
        <f aca="false">ExportRaw!$D210</f>
        <v/>
      </c>
      <c r="F210" s="130" t="str">
        <f aca="false">ExportRaw!$H210</f>
        <v/>
      </c>
      <c r="G210" s="132" t="str">
        <f aca="false">ExportRaw!$I210</f>
        <v/>
      </c>
      <c r="H210" s="130" t="str">
        <f aca="false">ExportRaw!$A210</f>
        <v/>
      </c>
      <c r="I210" s="130" t="str">
        <f aca="false">ExportRaw!$B210</f>
        <v/>
      </c>
    </row>
    <row r="211" customFormat="false" ht="15.75" hidden="false" customHeight="false" outlineLevel="0" collapsed="false">
      <c r="A211" s="130" t="n">
        <f aca="false">ExportRaw!$F211</f>
        <v>0</v>
      </c>
      <c r="B211" s="130" t="n">
        <f aca="false">ExportRaw!$C211</f>
        <v>0</v>
      </c>
      <c r="C211" s="130" t="n">
        <f aca="false">ExportRaw!$G211</f>
        <v>0</v>
      </c>
      <c r="D211" s="130" t="str">
        <f aca="false">ExportRaw!$E211</f>
        <v/>
      </c>
      <c r="E211" s="131" t="str">
        <f aca="false">ExportRaw!$D211</f>
        <v/>
      </c>
      <c r="F211" s="130" t="str">
        <f aca="false">ExportRaw!$H211</f>
        <v/>
      </c>
      <c r="G211" s="132" t="str">
        <f aca="false">ExportRaw!$I211</f>
        <v/>
      </c>
      <c r="H211" s="130" t="str">
        <f aca="false">ExportRaw!$A211</f>
        <v/>
      </c>
      <c r="I211" s="130" t="str">
        <f aca="false">ExportRaw!$B211</f>
        <v/>
      </c>
    </row>
    <row r="212" customFormat="false" ht="15.75" hidden="false" customHeight="false" outlineLevel="0" collapsed="false">
      <c r="A212" s="130" t="n">
        <f aca="false">ExportRaw!$F212</f>
        <v>0</v>
      </c>
      <c r="B212" s="130" t="n">
        <f aca="false">ExportRaw!$C212</f>
        <v>0</v>
      </c>
      <c r="C212" s="130" t="n">
        <f aca="false">ExportRaw!$G212</f>
        <v>0</v>
      </c>
      <c r="D212" s="130" t="str">
        <f aca="false">ExportRaw!$E212</f>
        <v/>
      </c>
      <c r="E212" s="131" t="str">
        <f aca="false">ExportRaw!$D212</f>
        <v/>
      </c>
      <c r="F212" s="130" t="str">
        <f aca="false">ExportRaw!$H212</f>
        <v/>
      </c>
      <c r="G212" s="132" t="str">
        <f aca="false">ExportRaw!$I212</f>
        <v/>
      </c>
      <c r="H212" s="130" t="str">
        <f aca="false">ExportRaw!$A212</f>
        <v/>
      </c>
      <c r="I212" s="130" t="str">
        <f aca="false">ExportRaw!$B212</f>
        <v/>
      </c>
    </row>
    <row r="213" customFormat="false" ht="15.75" hidden="false" customHeight="false" outlineLevel="0" collapsed="false">
      <c r="A213" s="130" t="n">
        <f aca="false">ExportRaw!$F213</f>
        <v>0</v>
      </c>
      <c r="B213" s="130" t="n">
        <f aca="false">ExportRaw!$C213</f>
        <v>0</v>
      </c>
      <c r="C213" s="130" t="n">
        <f aca="false">ExportRaw!$G213</f>
        <v>0</v>
      </c>
      <c r="D213" s="130" t="str">
        <f aca="false">ExportRaw!$E213</f>
        <v/>
      </c>
      <c r="E213" s="131" t="str">
        <f aca="false">ExportRaw!$D213</f>
        <v/>
      </c>
      <c r="F213" s="130" t="str">
        <f aca="false">ExportRaw!$H213</f>
        <v/>
      </c>
      <c r="G213" s="132" t="str">
        <f aca="false">ExportRaw!$I213</f>
        <v/>
      </c>
      <c r="H213" s="130" t="str">
        <f aca="false">ExportRaw!$A213</f>
        <v/>
      </c>
      <c r="I213" s="130" t="str">
        <f aca="false">ExportRaw!$B213</f>
        <v/>
      </c>
    </row>
    <row r="214" customFormat="false" ht="15.75" hidden="false" customHeight="false" outlineLevel="0" collapsed="false">
      <c r="A214" s="130" t="n">
        <f aca="false">ExportRaw!$F214</f>
        <v>0</v>
      </c>
      <c r="B214" s="130" t="n">
        <f aca="false">ExportRaw!$C214</f>
        <v>0</v>
      </c>
      <c r="C214" s="130" t="n">
        <f aca="false">ExportRaw!$G214</f>
        <v>0</v>
      </c>
      <c r="D214" s="130" t="str">
        <f aca="false">ExportRaw!$E214</f>
        <v/>
      </c>
      <c r="E214" s="131" t="str">
        <f aca="false">ExportRaw!$D214</f>
        <v/>
      </c>
      <c r="F214" s="130" t="str">
        <f aca="false">ExportRaw!$H214</f>
        <v/>
      </c>
      <c r="G214" s="132" t="str">
        <f aca="false">ExportRaw!$I214</f>
        <v/>
      </c>
      <c r="H214" s="130" t="str">
        <f aca="false">ExportRaw!$A214</f>
        <v/>
      </c>
      <c r="I214" s="130" t="str">
        <f aca="false">ExportRaw!$B214</f>
        <v/>
      </c>
    </row>
    <row r="215" customFormat="false" ht="15.75" hidden="false" customHeight="false" outlineLevel="0" collapsed="false">
      <c r="A215" s="130" t="n">
        <f aca="false">ExportRaw!$F215</f>
        <v>0</v>
      </c>
      <c r="B215" s="130" t="n">
        <f aca="false">ExportRaw!$C215</f>
        <v>0</v>
      </c>
      <c r="C215" s="130" t="n">
        <f aca="false">ExportRaw!$G215</f>
        <v>0</v>
      </c>
      <c r="D215" s="130" t="str">
        <f aca="false">ExportRaw!$E215</f>
        <v/>
      </c>
      <c r="E215" s="131" t="str">
        <f aca="false">ExportRaw!$D215</f>
        <v/>
      </c>
      <c r="F215" s="130" t="str">
        <f aca="false">ExportRaw!$H215</f>
        <v/>
      </c>
      <c r="G215" s="132" t="str">
        <f aca="false">ExportRaw!$I215</f>
        <v/>
      </c>
      <c r="H215" s="130" t="str">
        <f aca="false">ExportRaw!$A215</f>
        <v/>
      </c>
      <c r="I215" s="130" t="str">
        <f aca="false">ExportRaw!$B215</f>
        <v/>
      </c>
    </row>
    <row r="216" customFormat="false" ht="15.75" hidden="false" customHeight="false" outlineLevel="0" collapsed="false">
      <c r="A216" s="130" t="n">
        <f aca="false">ExportRaw!$F216</f>
        <v>0</v>
      </c>
      <c r="B216" s="130" t="n">
        <f aca="false">ExportRaw!$C216</f>
        <v>0</v>
      </c>
      <c r="C216" s="130" t="n">
        <f aca="false">ExportRaw!$G216</f>
        <v>0</v>
      </c>
      <c r="D216" s="130" t="str">
        <f aca="false">ExportRaw!$E216</f>
        <v/>
      </c>
      <c r="E216" s="131" t="str">
        <f aca="false">ExportRaw!$D216</f>
        <v/>
      </c>
      <c r="F216" s="130" t="str">
        <f aca="false">ExportRaw!$H216</f>
        <v/>
      </c>
      <c r="G216" s="132" t="str">
        <f aca="false">ExportRaw!$I216</f>
        <v/>
      </c>
      <c r="H216" s="130" t="str">
        <f aca="false">ExportRaw!$A216</f>
        <v/>
      </c>
      <c r="I216" s="130" t="str">
        <f aca="false">ExportRaw!$B216</f>
        <v/>
      </c>
    </row>
    <row r="217" customFormat="false" ht="15.75" hidden="false" customHeight="false" outlineLevel="0" collapsed="false">
      <c r="A217" s="130" t="n">
        <f aca="false">ExportRaw!$F217</f>
        <v>0</v>
      </c>
      <c r="B217" s="130" t="n">
        <f aca="false">ExportRaw!$C217</f>
        <v>0</v>
      </c>
      <c r="C217" s="130" t="n">
        <f aca="false">ExportRaw!$G217</f>
        <v>0</v>
      </c>
      <c r="D217" s="130" t="str">
        <f aca="false">ExportRaw!$E217</f>
        <v/>
      </c>
      <c r="E217" s="131" t="str">
        <f aca="false">ExportRaw!$D217</f>
        <v/>
      </c>
      <c r="F217" s="130" t="str">
        <f aca="false">ExportRaw!$H217</f>
        <v/>
      </c>
      <c r="G217" s="132" t="str">
        <f aca="false">ExportRaw!$I217</f>
        <v/>
      </c>
      <c r="H217" s="130" t="str">
        <f aca="false">ExportRaw!$A217</f>
        <v/>
      </c>
      <c r="I217" s="130" t="str">
        <f aca="false">ExportRaw!$B217</f>
        <v/>
      </c>
    </row>
    <row r="218" customFormat="false" ht="15.75" hidden="false" customHeight="false" outlineLevel="0" collapsed="false">
      <c r="A218" s="130" t="n">
        <f aca="false">ExportRaw!$F218</f>
        <v>0</v>
      </c>
      <c r="B218" s="130" t="n">
        <f aca="false">ExportRaw!$C218</f>
        <v>0</v>
      </c>
      <c r="C218" s="130" t="n">
        <f aca="false">ExportRaw!$G218</f>
        <v>0</v>
      </c>
      <c r="D218" s="130" t="str">
        <f aca="false">ExportRaw!$E218</f>
        <v/>
      </c>
      <c r="E218" s="131" t="str">
        <f aca="false">ExportRaw!$D218</f>
        <v/>
      </c>
      <c r="F218" s="130" t="str">
        <f aca="false">ExportRaw!$H218</f>
        <v/>
      </c>
      <c r="G218" s="132" t="str">
        <f aca="false">ExportRaw!$I218</f>
        <v/>
      </c>
      <c r="H218" s="130" t="str">
        <f aca="false">ExportRaw!$A218</f>
        <v/>
      </c>
      <c r="I218" s="130" t="str">
        <f aca="false">ExportRaw!$B218</f>
        <v/>
      </c>
    </row>
    <row r="219" customFormat="false" ht="15.75" hidden="false" customHeight="false" outlineLevel="0" collapsed="false">
      <c r="A219" s="130" t="n">
        <f aca="false">ExportRaw!$F219</f>
        <v>0</v>
      </c>
      <c r="B219" s="130" t="n">
        <f aca="false">ExportRaw!$C219</f>
        <v>0</v>
      </c>
      <c r="C219" s="130" t="n">
        <f aca="false">ExportRaw!$G219</f>
        <v>0</v>
      </c>
      <c r="D219" s="130" t="str">
        <f aca="false">ExportRaw!$E219</f>
        <v/>
      </c>
      <c r="E219" s="131" t="str">
        <f aca="false">ExportRaw!$D219</f>
        <v/>
      </c>
      <c r="F219" s="130" t="str">
        <f aca="false">ExportRaw!$H219</f>
        <v/>
      </c>
      <c r="G219" s="132" t="str">
        <f aca="false">ExportRaw!$I219</f>
        <v/>
      </c>
      <c r="H219" s="130" t="str">
        <f aca="false">ExportRaw!$A219</f>
        <v/>
      </c>
      <c r="I219" s="130" t="str">
        <f aca="false">ExportRaw!$B219</f>
        <v/>
      </c>
    </row>
    <row r="220" customFormat="false" ht="15.75" hidden="false" customHeight="false" outlineLevel="0" collapsed="false">
      <c r="A220" s="130" t="n">
        <f aca="false">ExportRaw!$F220</f>
        <v>0</v>
      </c>
      <c r="B220" s="130" t="n">
        <f aca="false">ExportRaw!$C220</f>
        <v>0</v>
      </c>
      <c r="C220" s="130" t="n">
        <f aca="false">ExportRaw!$G220</f>
        <v>0</v>
      </c>
      <c r="D220" s="130" t="str">
        <f aca="false">ExportRaw!$E220</f>
        <v/>
      </c>
      <c r="E220" s="131" t="str">
        <f aca="false">ExportRaw!$D220</f>
        <v/>
      </c>
      <c r="F220" s="130" t="str">
        <f aca="false">ExportRaw!$H220</f>
        <v/>
      </c>
      <c r="G220" s="132" t="str">
        <f aca="false">ExportRaw!$I220</f>
        <v/>
      </c>
      <c r="H220" s="130" t="str">
        <f aca="false">ExportRaw!$A220</f>
        <v/>
      </c>
      <c r="I220" s="130" t="str">
        <f aca="false">ExportRaw!$B220</f>
        <v/>
      </c>
    </row>
    <row r="221" customFormat="false" ht="15.75" hidden="false" customHeight="false" outlineLevel="0" collapsed="false">
      <c r="A221" s="130" t="n">
        <f aca="false">ExportRaw!$F221</f>
        <v>0</v>
      </c>
      <c r="B221" s="130" t="n">
        <f aca="false">ExportRaw!$C221</f>
        <v>0</v>
      </c>
      <c r="C221" s="130" t="n">
        <f aca="false">ExportRaw!$G221</f>
        <v>0</v>
      </c>
      <c r="D221" s="130" t="str">
        <f aca="false">ExportRaw!$E221</f>
        <v/>
      </c>
      <c r="E221" s="131" t="str">
        <f aca="false">ExportRaw!$D221</f>
        <v/>
      </c>
      <c r="F221" s="130" t="str">
        <f aca="false">ExportRaw!$H221</f>
        <v/>
      </c>
      <c r="G221" s="132" t="str">
        <f aca="false">ExportRaw!$I221</f>
        <v/>
      </c>
      <c r="H221" s="130" t="str">
        <f aca="false">ExportRaw!$A221</f>
        <v/>
      </c>
      <c r="I221" s="130" t="str">
        <f aca="false">ExportRaw!$B221</f>
        <v/>
      </c>
    </row>
    <row r="222" customFormat="false" ht="15.75" hidden="false" customHeight="false" outlineLevel="0" collapsed="false">
      <c r="A222" s="130" t="n">
        <f aca="false">ExportRaw!$F222</f>
        <v>0</v>
      </c>
      <c r="B222" s="130" t="n">
        <f aca="false">ExportRaw!$C222</f>
        <v>0</v>
      </c>
      <c r="C222" s="130" t="n">
        <f aca="false">ExportRaw!$G222</f>
        <v>0</v>
      </c>
      <c r="D222" s="130" t="str">
        <f aca="false">ExportRaw!$E222</f>
        <v/>
      </c>
      <c r="E222" s="131" t="str">
        <f aca="false">ExportRaw!$D222</f>
        <v/>
      </c>
      <c r="F222" s="130" t="str">
        <f aca="false">ExportRaw!$H222</f>
        <v/>
      </c>
      <c r="G222" s="132" t="str">
        <f aca="false">ExportRaw!$I222</f>
        <v/>
      </c>
      <c r="H222" s="130" t="str">
        <f aca="false">ExportRaw!$A222</f>
        <v/>
      </c>
      <c r="I222" s="130" t="str">
        <f aca="false">ExportRaw!$B222</f>
        <v/>
      </c>
    </row>
    <row r="223" customFormat="false" ht="15.75" hidden="false" customHeight="false" outlineLevel="0" collapsed="false">
      <c r="A223" s="130" t="n">
        <f aca="false">ExportRaw!$F223</f>
        <v>0</v>
      </c>
      <c r="B223" s="130" t="n">
        <f aca="false">ExportRaw!$C223</f>
        <v>0</v>
      </c>
      <c r="C223" s="130" t="n">
        <f aca="false">ExportRaw!$G223</f>
        <v>0</v>
      </c>
      <c r="D223" s="130" t="str">
        <f aca="false">ExportRaw!$E223</f>
        <v/>
      </c>
      <c r="E223" s="131" t="str">
        <f aca="false">ExportRaw!$D223</f>
        <v/>
      </c>
      <c r="F223" s="130" t="str">
        <f aca="false">ExportRaw!$H223</f>
        <v/>
      </c>
      <c r="G223" s="132" t="str">
        <f aca="false">ExportRaw!$I223</f>
        <v/>
      </c>
      <c r="H223" s="130" t="str">
        <f aca="false">ExportRaw!$A223</f>
        <v/>
      </c>
      <c r="I223" s="130" t="str">
        <f aca="false">ExportRaw!$B223</f>
        <v/>
      </c>
    </row>
    <row r="224" customFormat="false" ht="15.75" hidden="false" customHeight="false" outlineLevel="0" collapsed="false">
      <c r="A224" s="130" t="n">
        <f aca="false">ExportRaw!$F224</f>
        <v>0</v>
      </c>
      <c r="B224" s="130" t="n">
        <f aca="false">ExportRaw!$C224</f>
        <v>0</v>
      </c>
      <c r="C224" s="130" t="n">
        <f aca="false">ExportRaw!$G224</f>
        <v>0</v>
      </c>
      <c r="D224" s="130" t="str">
        <f aca="false">ExportRaw!$E224</f>
        <v/>
      </c>
      <c r="E224" s="131" t="str">
        <f aca="false">ExportRaw!$D224</f>
        <v/>
      </c>
      <c r="F224" s="130" t="str">
        <f aca="false">ExportRaw!$H224</f>
        <v/>
      </c>
      <c r="G224" s="132" t="str">
        <f aca="false">ExportRaw!$I224</f>
        <v/>
      </c>
      <c r="H224" s="130" t="str">
        <f aca="false">ExportRaw!$A224</f>
        <v/>
      </c>
      <c r="I224" s="130" t="str">
        <f aca="false">ExportRaw!$B224</f>
        <v/>
      </c>
    </row>
    <row r="225" customFormat="false" ht="15.75" hidden="false" customHeight="false" outlineLevel="0" collapsed="false">
      <c r="A225" s="130" t="n">
        <f aca="false">ExportRaw!$F225</f>
        <v>0</v>
      </c>
      <c r="B225" s="130" t="n">
        <f aca="false">ExportRaw!$C225</f>
        <v>0</v>
      </c>
      <c r="C225" s="130" t="n">
        <f aca="false">ExportRaw!$G225</f>
        <v>0</v>
      </c>
      <c r="D225" s="130" t="str">
        <f aca="false">ExportRaw!$E225</f>
        <v/>
      </c>
      <c r="E225" s="131" t="str">
        <f aca="false">ExportRaw!$D225</f>
        <v/>
      </c>
      <c r="F225" s="130" t="str">
        <f aca="false">ExportRaw!$H225</f>
        <v/>
      </c>
      <c r="G225" s="132" t="str">
        <f aca="false">ExportRaw!$I225</f>
        <v/>
      </c>
      <c r="H225" s="130" t="str">
        <f aca="false">ExportRaw!$A225</f>
        <v/>
      </c>
      <c r="I225" s="130" t="str">
        <f aca="false">ExportRaw!$B225</f>
        <v/>
      </c>
    </row>
    <row r="226" customFormat="false" ht="15.75" hidden="false" customHeight="false" outlineLevel="0" collapsed="false">
      <c r="A226" s="130" t="n">
        <f aca="false">ExportRaw!$F226</f>
        <v>0</v>
      </c>
      <c r="B226" s="130" t="n">
        <f aca="false">ExportRaw!$C226</f>
        <v>0</v>
      </c>
      <c r="C226" s="130" t="n">
        <f aca="false">ExportRaw!$G226</f>
        <v>0</v>
      </c>
      <c r="D226" s="130" t="str">
        <f aca="false">ExportRaw!$E226</f>
        <v/>
      </c>
      <c r="E226" s="131" t="str">
        <f aca="false">ExportRaw!$D226</f>
        <v/>
      </c>
      <c r="F226" s="130" t="str">
        <f aca="false">ExportRaw!$H226</f>
        <v/>
      </c>
      <c r="G226" s="132" t="str">
        <f aca="false">ExportRaw!$I226</f>
        <v/>
      </c>
      <c r="H226" s="130" t="str">
        <f aca="false">ExportRaw!$A226</f>
        <v/>
      </c>
      <c r="I226" s="130" t="str">
        <f aca="false">ExportRaw!$B226</f>
        <v/>
      </c>
    </row>
    <row r="227" customFormat="false" ht="15.75" hidden="false" customHeight="false" outlineLevel="0" collapsed="false">
      <c r="A227" s="130" t="n">
        <f aca="false">ExportRaw!$F227</f>
        <v>0</v>
      </c>
      <c r="B227" s="130" t="n">
        <f aca="false">ExportRaw!$C227</f>
        <v>0</v>
      </c>
      <c r="C227" s="130" t="n">
        <f aca="false">ExportRaw!$G227</f>
        <v>0</v>
      </c>
      <c r="D227" s="130" t="str">
        <f aca="false">ExportRaw!$E227</f>
        <v/>
      </c>
      <c r="E227" s="131" t="str">
        <f aca="false">ExportRaw!$D227</f>
        <v/>
      </c>
      <c r="F227" s="130" t="str">
        <f aca="false">ExportRaw!$H227</f>
        <v/>
      </c>
      <c r="G227" s="132" t="str">
        <f aca="false">ExportRaw!$I227</f>
        <v/>
      </c>
      <c r="H227" s="130" t="str">
        <f aca="false">ExportRaw!$A227</f>
        <v/>
      </c>
      <c r="I227" s="130" t="str">
        <f aca="false">ExportRaw!$B227</f>
        <v/>
      </c>
    </row>
    <row r="228" customFormat="false" ht="15.75" hidden="false" customHeight="false" outlineLevel="0" collapsed="false">
      <c r="A228" s="130" t="n">
        <f aca="false">ExportRaw!$F228</f>
        <v>0</v>
      </c>
      <c r="B228" s="130" t="n">
        <f aca="false">ExportRaw!$C228</f>
        <v>0</v>
      </c>
      <c r="C228" s="130" t="n">
        <f aca="false">ExportRaw!$G228</f>
        <v>0</v>
      </c>
      <c r="D228" s="130" t="str">
        <f aca="false">ExportRaw!$E228</f>
        <v/>
      </c>
      <c r="E228" s="131" t="str">
        <f aca="false">ExportRaw!$D228</f>
        <v/>
      </c>
      <c r="F228" s="130" t="str">
        <f aca="false">ExportRaw!$H228</f>
        <v/>
      </c>
      <c r="G228" s="132" t="str">
        <f aca="false">ExportRaw!$I228</f>
        <v/>
      </c>
      <c r="H228" s="130" t="str">
        <f aca="false">ExportRaw!$A228</f>
        <v/>
      </c>
      <c r="I228" s="130" t="str">
        <f aca="false">ExportRaw!$B228</f>
        <v/>
      </c>
    </row>
    <row r="229" customFormat="false" ht="15.75" hidden="false" customHeight="false" outlineLevel="0" collapsed="false">
      <c r="A229" s="130" t="n">
        <f aca="false">ExportRaw!$F229</f>
        <v>0</v>
      </c>
      <c r="B229" s="130" t="n">
        <f aca="false">ExportRaw!$C229</f>
        <v>0</v>
      </c>
      <c r="C229" s="130" t="n">
        <f aca="false">ExportRaw!$G229</f>
        <v>0</v>
      </c>
      <c r="D229" s="130" t="str">
        <f aca="false">ExportRaw!$E229</f>
        <v/>
      </c>
      <c r="E229" s="131" t="str">
        <f aca="false">ExportRaw!$D229</f>
        <v/>
      </c>
      <c r="F229" s="130" t="str">
        <f aca="false">ExportRaw!$H229</f>
        <v/>
      </c>
      <c r="G229" s="132" t="str">
        <f aca="false">ExportRaw!$I229</f>
        <v/>
      </c>
      <c r="H229" s="130" t="str">
        <f aca="false">ExportRaw!$A229</f>
        <v/>
      </c>
      <c r="I229" s="130" t="str">
        <f aca="false">ExportRaw!$B229</f>
        <v/>
      </c>
    </row>
    <row r="230" customFormat="false" ht="15.75" hidden="false" customHeight="false" outlineLevel="0" collapsed="false">
      <c r="A230" s="130" t="n">
        <f aca="false">ExportRaw!$F230</f>
        <v>0</v>
      </c>
      <c r="B230" s="130" t="n">
        <f aca="false">ExportRaw!$C230</f>
        <v>0</v>
      </c>
      <c r="C230" s="130" t="n">
        <f aca="false">ExportRaw!$G230</f>
        <v>0</v>
      </c>
      <c r="D230" s="130" t="str">
        <f aca="false">ExportRaw!$E230</f>
        <v/>
      </c>
      <c r="E230" s="131" t="str">
        <f aca="false">ExportRaw!$D230</f>
        <v/>
      </c>
      <c r="F230" s="130" t="str">
        <f aca="false">ExportRaw!$H230</f>
        <v/>
      </c>
      <c r="G230" s="132" t="str">
        <f aca="false">ExportRaw!$I230</f>
        <v/>
      </c>
      <c r="H230" s="130" t="str">
        <f aca="false">ExportRaw!$A230</f>
        <v/>
      </c>
      <c r="I230" s="130" t="str">
        <f aca="false">ExportRaw!$B230</f>
        <v/>
      </c>
    </row>
    <row r="231" customFormat="false" ht="15.75" hidden="false" customHeight="false" outlineLevel="0" collapsed="false">
      <c r="A231" s="130" t="n">
        <f aca="false">ExportRaw!$F231</f>
        <v>0</v>
      </c>
      <c r="B231" s="130" t="n">
        <f aca="false">ExportRaw!$C231</f>
        <v>0</v>
      </c>
      <c r="C231" s="130" t="n">
        <f aca="false">ExportRaw!$G231</f>
        <v>0</v>
      </c>
      <c r="D231" s="130" t="str">
        <f aca="false">ExportRaw!$E231</f>
        <v/>
      </c>
      <c r="E231" s="131" t="str">
        <f aca="false">ExportRaw!$D231</f>
        <v/>
      </c>
      <c r="F231" s="130" t="str">
        <f aca="false">ExportRaw!$H231</f>
        <v/>
      </c>
      <c r="G231" s="132" t="str">
        <f aca="false">ExportRaw!$I231</f>
        <v/>
      </c>
      <c r="H231" s="130" t="str">
        <f aca="false">ExportRaw!$A231</f>
        <v/>
      </c>
      <c r="I231" s="130" t="str">
        <f aca="false">ExportRaw!$B231</f>
        <v/>
      </c>
    </row>
    <row r="232" customFormat="false" ht="15.75" hidden="false" customHeight="false" outlineLevel="0" collapsed="false">
      <c r="A232" s="130" t="n">
        <f aca="false">ExportRaw!$F232</f>
        <v>0</v>
      </c>
      <c r="B232" s="130" t="n">
        <f aca="false">ExportRaw!$C232</f>
        <v>0</v>
      </c>
      <c r="C232" s="130" t="n">
        <f aca="false">ExportRaw!$G232</f>
        <v>0</v>
      </c>
      <c r="D232" s="130" t="str">
        <f aca="false">ExportRaw!$E232</f>
        <v/>
      </c>
      <c r="E232" s="131" t="str">
        <f aca="false">ExportRaw!$D232</f>
        <v/>
      </c>
      <c r="F232" s="130" t="str">
        <f aca="false">ExportRaw!$H232</f>
        <v/>
      </c>
      <c r="G232" s="132" t="str">
        <f aca="false">ExportRaw!$I232</f>
        <v/>
      </c>
      <c r="H232" s="130" t="str">
        <f aca="false">ExportRaw!$A232</f>
        <v/>
      </c>
      <c r="I232" s="130" t="str">
        <f aca="false">ExportRaw!$B232</f>
        <v/>
      </c>
    </row>
    <row r="233" customFormat="false" ht="15.75" hidden="false" customHeight="false" outlineLevel="0" collapsed="false">
      <c r="A233" s="130" t="n">
        <f aca="false">ExportRaw!$F233</f>
        <v>0</v>
      </c>
      <c r="B233" s="130" t="n">
        <f aca="false">ExportRaw!$C233</f>
        <v>0</v>
      </c>
      <c r="C233" s="130" t="n">
        <f aca="false">ExportRaw!$G233</f>
        <v>0</v>
      </c>
      <c r="D233" s="130" t="str">
        <f aca="false">ExportRaw!$E233</f>
        <v/>
      </c>
      <c r="E233" s="131" t="str">
        <f aca="false">ExportRaw!$D233</f>
        <v/>
      </c>
      <c r="F233" s="130" t="str">
        <f aca="false">ExportRaw!$H233</f>
        <v/>
      </c>
      <c r="G233" s="132" t="str">
        <f aca="false">ExportRaw!$I233</f>
        <v/>
      </c>
      <c r="H233" s="130" t="str">
        <f aca="false">ExportRaw!$A233</f>
        <v/>
      </c>
      <c r="I233" s="130" t="str">
        <f aca="false">ExportRaw!$B233</f>
        <v/>
      </c>
    </row>
    <row r="234" customFormat="false" ht="15.75" hidden="false" customHeight="false" outlineLevel="0" collapsed="false">
      <c r="A234" s="130" t="n">
        <f aca="false">ExportRaw!$F234</f>
        <v>0</v>
      </c>
      <c r="B234" s="130" t="n">
        <f aca="false">ExportRaw!$C234</f>
        <v>0</v>
      </c>
      <c r="C234" s="130" t="n">
        <f aca="false">ExportRaw!$G234</f>
        <v>0</v>
      </c>
      <c r="D234" s="130" t="str">
        <f aca="false">ExportRaw!$E234</f>
        <v/>
      </c>
      <c r="E234" s="131" t="str">
        <f aca="false">ExportRaw!$D234</f>
        <v/>
      </c>
      <c r="F234" s="130" t="str">
        <f aca="false">ExportRaw!$H234</f>
        <v/>
      </c>
      <c r="G234" s="132" t="str">
        <f aca="false">ExportRaw!$I234</f>
        <v/>
      </c>
      <c r="H234" s="130" t="str">
        <f aca="false">ExportRaw!$A234</f>
        <v/>
      </c>
      <c r="I234" s="130" t="str">
        <f aca="false">ExportRaw!$B234</f>
        <v/>
      </c>
    </row>
    <row r="235" customFormat="false" ht="15.75" hidden="false" customHeight="false" outlineLevel="0" collapsed="false">
      <c r="A235" s="130" t="n">
        <f aca="false">ExportRaw!$F235</f>
        <v>0</v>
      </c>
      <c r="B235" s="130" t="n">
        <f aca="false">ExportRaw!$C235</f>
        <v>0</v>
      </c>
      <c r="C235" s="130" t="n">
        <f aca="false">ExportRaw!$G235</f>
        <v>0</v>
      </c>
      <c r="D235" s="130" t="str">
        <f aca="false">ExportRaw!$E235</f>
        <v/>
      </c>
      <c r="E235" s="131" t="str">
        <f aca="false">ExportRaw!$D235</f>
        <v/>
      </c>
      <c r="F235" s="130" t="str">
        <f aca="false">ExportRaw!$H235</f>
        <v/>
      </c>
      <c r="G235" s="132" t="str">
        <f aca="false">ExportRaw!$I235</f>
        <v/>
      </c>
      <c r="H235" s="130" t="str">
        <f aca="false">ExportRaw!$A235</f>
        <v/>
      </c>
      <c r="I235" s="130" t="str">
        <f aca="false">ExportRaw!$B235</f>
        <v/>
      </c>
    </row>
    <row r="236" customFormat="false" ht="15.75" hidden="false" customHeight="false" outlineLevel="0" collapsed="false">
      <c r="A236" s="130" t="n">
        <f aca="false">ExportRaw!$F236</f>
        <v>0</v>
      </c>
      <c r="B236" s="130" t="n">
        <f aca="false">ExportRaw!$C236</f>
        <v>0</v>
      </c>
      <c r="C236" s="130" t="n">
        <f aca="false">ExportRaw!$G236</f>
        <v>0</v>
      </c>
      <c r="D236" s="130" t="str">
        <f aca="false">ExportRaw!$E236</f>
        <v/>
      </c>
      <c r="E236" s="131" t="str">
        <f aca="false">ExportRaw!$D236</f>
        <v/>
      </c>
      <c r="F236" s="130" t="str">
        <f aca="false">ExportRaw!$H236</f>
        <v/>
      </c>
      <c r="G236" s="132" t="str">
        <f aca="false">ExportRaw!$I236</f>
        <v/>
      </c>
      <c r="H236" s="130" t="str">
        <f aca="false">ExportRaw!$A236</f>
        <v/>
      </c>
      <c r="I236" s="130" t="str">
        <f aca="false">ExportRaw!$B236</f>
        <v/>
      </c>
    </row>
    <row r="237" customFormat="false" ht="15.75" hidden="false" customHeight="false" outlineLevel="0" collapsed="false">
      <c r="A237" s="130" t="n">
        <f aca="false">ExportRaw!$F237</f>
        <v>0</v>
      </c>
      <c r="B237" s="130" t="n">
        <f aca="false">ExportRaw!$C237</f>
        <v>0</v>
      </c>
      <c r="C237" s="130" t="n">
        <f aca="false">ExportRaw!$G237</f>
        <v>0</v>
      </c>
      <c r="D237" s="130" t="str">
        <f aca="false">ExportRaw!$E237</f>
        <v/>
      </c>
      <c r="E237" s="131" t="str">
        <f aca="false">ExportRaw!$D237</f>
        <v/>
      </c>
      <c r="F237" s="130" t="str">
        <f aca="false">ExportRaw!$H237</f>
        <v/>
      </c>
      <c r="G237" s="132" t="str">
        <f aca="false">ExportRaw!$I237</f>
        <v/>
      </c>
      <c r="H237" s="130" t="str">
        <f aca="false">ExportRaw!$A237</f>
        <v/>
      </c>
      <c r="I237" s="130" t="str">
        <f aca="false">ExportRaw!$B237</f>
        <v/>
      </c>
    </row>
    <row r="238" customFormat="false" ht="15.75" hidden="false" customHeight="false" outlineLevel="0" collapsed="false">
      <c r="A238" s="130" t="n">
        <f aca="false">ExportRaw!$F238</f>
        <v>0</v>
      </c>
      <c r="B238" s="130" t="n">
        <f aca="false">ExportRaw!$C238</f>
        <v>0</v>
      </c>
      <c r="C238" s="130" t="n">
        <f aca="false">ExportRaw!$G238</f>
        <v>0</v>
      </c>
      <c r="D238" s="130" t="str">
        <f aca="false">ExportRaw!$E238</f>
        <v/>
      </c>
      <c r="E238" s="131" t="str">
        <f aca="false">ExportRaw!$D238</f>
        <v/>
      </c>
      <c r="F238" s="130" t="str">
        <f aca="false">ExportRaw!$H238</f>
        <v/>
      </c>
      <c r="G238" s="132" t="str">
        <f aca="false">ExportRaw!$I238</f>
        <v/>
      </c>
      <c r="H238" s="130" t="str">
        <f aca="false">ExportRaw!$A238</f>
        <v/>
      </c>
      <c r="I238" s="130" t="str">
        <f aca="false">ExportRaw!$B238</f>
        <v/>
      </c>
    </row>
    <row r="239" customFormat="false" ht="15.75" hidden="false" customHeight="false" outlineLevel="0" collapsed="false">
      <c r="A239" s="130" t="n">
        <f aca="false">ExportRaw!$F239</f>
        <v>0</v>
      </c>
      <c r="B239" s="130" t="n">
        <f aca="false">ExportRaw!$C239</f>
        <v>0</v>
      </c>
      <c r="C239" s="130" t="n">
        <f aca="false">ExportRaw!$G239</f>
        <v>0</v>
      </c>
      <c r="D239" s="130" t="str">
        <f aca="false">ExportRaw!$E239</f>
        <v/>
      </c>
      <c r="E239" s="131" t="str">
        <f aca="false">ExportRaw!$D239</f>
        <v/>
      </c>
      <c r="F239" s="130" t="str">
        <f aca="false">ExportRaw!$H239</f>
        <v/>
      </c>
      <c r="G239" s="132" t="str">
        <f aca="false">ExportRaw!$I239</f>
        <v/>
      </c>
      <c r="H239" s="130" t="str">
        <f aca="false">ExportRaw!$A239</f>
        <v/>
      </c>
      <c r="I239" s="130" t="str">
        <f aca="false">ExportRaw!$B239</f>
        <v/>
      </c>
    </row>
    <row r="240" customFormat="false" ht="15.75" hidden="false" customHeight="false" outlineLevel="0" collapsed="false">
      <c r="A240" s="130" t="n">
        <f aca="false">ExportRaw!$F240</f>
        <v>0</v>
      </c>
      <c r="B240" s="130" t="n">
        <f aca="false">ExportRaw!$C240</f>
        <v>0</v>
      </c>
      <c r="C240" s="130" t="n">
        <f aca="false">ExportRaw!$G240</f>
        <v>0</v>
      </c>
      <c r="D240" s="130" t="str">
        <f aca="false">ExportRaw!$E240</f>
        <v/>
      </c>
      <c r="E240" s="131" t="str">
        <f aca="false">ExportRaw!$D240</f>
        <v/>
      </c>
      <c r="F240" s="130" t="str">
        <f aca="false">ExportRaw!$H240</f>
        <v/>
      </c>
      <c r="G240" s="132" t="str">
        <f aca="false">ExportRaw!$I240</f>
        <v/>
      </c>
      <c r="H240" s="130" t="str">
        <f aca="false">ExportRaw!$A240</f>
        <v/>
      </c>
      <c r="I240" s="130" t="str">
        <f aca="false">ExportRaw!$B240</f>
        <v/>
      </c>
    </row>
    <row r="241" customFormat="false" ht="15.75" hidden="false" customHeight="false" outlineLevel="0" collapsed="false">
      <c r="A241" s="130" t="n">
        <f aca="false">ExportRaw!$F241</f>
        <v>0</v>
      </c>
      <c r="B241" s="130" t="n">
        <f aca="false">ExportRaw!$C241</f>
        <v>0</v>
      </c>
      <c r="C241" s="130" t="n">
        <f aca="false">ExportRaw!$G241</f>
        <v>0</v>
      </c>
      <c r="D241" s="130" t="str">
        <f aca="false">ExportRaw!$E241</f>
        <v/>
      </c>
      <c r="E241" s="131" t="str">
        <f aca="false">ExportRaw!$D241</f>
        <v/>
      </c>
      <c r="F241" s="130" t="str">
        <f aca="false">ExportRaw!$H241</f>
        <v/>
      </c>
      <c r="G241" s="132" t="str">
        <f aca="false">ExportRaw!$I241</f>
        <v/>
      </c>
      <c r="H241" s="130" t="str">
        <f aca="false">ExportRaw!$A241</f>
        <v/>
      </c>
      <c r="I241" s="130" t="str">
        <f aca="false">ExportRaw!$B241</f>
        <v/>
      </c>
    </row>
    <row r="242" customFormat="false" ht="15.75" hidden="false" customHeight="false" outlineLevel="0" collapsed="false">
      <c r="A242" s="130" t="n">
        <f aca="false">ExportRaw!$F242</f>
        <v>0</v>
      </c>
      <c r="B242" s="130" t="n">
        <f aca="false">ExportRaw!$C242</f>
        <v>0</v>
      </c>
      <c r="C242" s="130" t="n">
        <f aca="false">ExportRaw!$G242</f>
        <v>0</v>
      </c>
      <c r="D242" s="130" t="str">
        <f aca="false">ExportRaw!$E242</f>
        <v/>
      </c>
      <c r="E242" s="131" t="str">
        <f aca="false">ExportRaw!$D242</f>
        <v/>
      </c>
      <c r="F242" s="130" t="str">
        <f aca="false">ExportRaw!$H242</f>
        <v/>
      </c>
      <c r="G242" s="132" t="str">
        <f aca="false">ExportRaw!$I242</f>
        <v/>
      </c>
      <c r="H242" s="130" t="str">
        <f aca="false">ExportRaw!$A242</f>
        <v/>
      </c>
      <c r="I242" s="130" t="str">
        <f aca="false">ExportRaw!$B242</f>
        <v/>
      </c>
    </row>
    <row r="243" customFormat="false" ht="15.75" hidden="false" customHeight="false" outlineLevel="0" collapsed="false">
      <c r="A243" s="130" t="n">
        <f aca="false">ExportRaw!$F243</f>
        <v>0</v>
      </c>
      <c r="B243" s="130" t="n">
        <f aca="false">ExportRaw!$C243</f>
        <v>0</v>
      </c>
      <c r="C243" s="130" t="n">
        <f aca="false">ExportRaw!$G243</f>
        <v>0</v>
      </c>
      <c r="D243" s="130" t="str">
        <f aca="false">ExportRaw!$E243</f>
        <v/>
      </c>
      <c r="E243" s="131" t="str">
        <f aca="false">ExportRaw!$D243</f>
        <v/>
      </c>
      <c r="F243" s="130" t="str">
        <f aca="false">ExportRaw!$H243</f>
        <v/>
      </c>
      <c r="G243" s="132" t="str">
        <f aca="false">ExportRaw!$I243</f>
        <v/>
      </c>
      <c r="H243" s="130" t="str">
        <f aca="false">ExportRaw!$A243</f>
        <v/>
      </c>
      <c r="I243" s="130" t="str">
        <f aca="false">ExportRaw!$B243</f>
        <v/>
      </c>
    </row>
    <row r="244" customFormat="false" ht="15.75" hidden="false" customHeight="false" outlineLevel="0" collapsed="false">
      <c r="A244" s="130" t="n">
        <f aca="false">ExportRaw!$F244</f>
        <v>0</v>
      </c>
      <c r="B244" s="130" t="n">
        <f aca="false">ExportRaw!$C244</f>
        <v>0</v>
      </c>
      <c r="C244" s="130" t="n">
        <f aca="false">ExportRaw!$G244</f>
        <v>0</v>
      </c>
      <c r="D244" s="130" t="str">
        <f aca="false">ExportRaw!$E244</f>
        <v/>
      </c>
      <c r="E244" s="131" t="str">
        <f aca="false">ExportRaw!$D244</f>
        <v/>
      </c>
      <c r="F244" s="130" t="str">
        <f aca="false">ExportRaw!$H244</f>
        <v/>
      </c>
      <c r="G244" s="132" t="str">
        <f aca="false">ExportRaw!$I244</f>
        <v/>
      </c>
      <c r="H244" s="130" t="str">
        <f aca="false">ExportRaw!$A244</f>
        <v/>
      </c>
      <c r="I244" s="130" t="str">
        <f aca="false">ExportRaw!$B244</f>
        <v/>
      </c>
    </row>
    <row r="245" customFormat="false" ht="15.75" hidden="false" customHeight="false" outlineLevel="0" collapsed="false">
      <c r="A245" s="130" t="n">
        <f aca="false">ExportRaw!$F245</f>
        <v>0</v>
      </c>
      <c r="B245" s="130" t="n">
        <f aca="false">ExportRaw!$C245</f>
        <v>0</v>
      </c>
      <c r="C245" s="130" t="n">
        <f aca="false">ExportRaw!$G245</f>
        <v>0</v>
      </c>
      <c r="D245" s="130" t="str">
        <f aca="false">ExportRaw!$E245</f>
        <v/>
      </c>
      <c r="E245" s="131" t="str">
        <f aca="false">ExportRaw!$D245</f>
        <v/>
      </c>
      <c r="F245" s="130" t="str">
        <f aca="false">ExportRaw!$H245</f>
        <v/>
      </c>
      <c r="G245" s="132" t="str">
        <f aca="false">ExportRaw!$I245</f>
        <v/>
      </c>
      <c r="H245" s="130" t="str">
        <f aca="false">ExportRaw!$A245</f>
        <v/>
      </c>
      <c r="I245" s="130" t="str">
        <f aca="false">ExportRaw!$B245</f>
        <v/>
      </c>
    </row>
    <row r="246" customFormat="false" ht="15.75" hidden="false" customHeight="false" outlineLevel="0" collapsed="false">
      <c r="A246" s="130" t="n">
        <f aca="false">ExportRaw!$F246</f>
        <v>0</v>
      </c>
      <c r="B246" s="130" t="n">
        <f aca="false">ExportRaw!$C246</f>
        <v>0</v>
      </c>
      <c r="C246" s="130" t="n">
        <f aca="false">ExportRaw!$G246</f>
        <v>0</v>
      </c>
      <c r="D246" s="130" t="str">
        <f aca="false">ExportRaw!$E246</f>
        <v/>
      </c>
      <c r="E246" s="131" t="str">
        <f aca="false">ExportRaw!$D246</f>
        <v/>
      </c>
      <c r="F246" s="130" t="str">
        <f aca="false">ExportRaw!$H246</f>
        <v/>
      </c>
      <c r="G246" s="132" t="str">
        <f aca="false">ExportRaw!$I246</f>
        <v/>
      </c>
      <c r="H246" s="130" t="str">
        <f aca="false">ExportRaw!$A246</f>
        <v/>
      </c>
      <c r="I246" s="130" t="str">
        <f aca="false">ExportRaw!$B246</f>
        <v/>
      </c>
    </row>
    <row r="247" customFormat="false" ht="15.75" hidden="false" customHeight="false" outlineLevel="0" collapsed="false">
      <c r="A247" s="130" t="n">
        <f aca="false">ExportRaw!$F247</f>
        <v>0</v>
      </c>
      <c r="B247" s="130" t="n">
        <f aca="false">ExportRaw!$C247</f>
        <v>0</v>
      </c>
      <c r="C247" s="130" t="n">
        <f aca="false">ExportRaw!$G247</f>
        <v>0</v>
      </c>
      <c r="D247" s="130" t="str">
        <f aca="false">ExportRaw!$E247</f>
        <v/>
      </c>
      <c r="E247" s="131" t="str">
        <f aca="false">ExportRaw!$D247</f>
        <v/>
      </c>
      <c r="F247" s="130" t="str">
        <f aca="false">ExportRaw!$H247</f>
        <v/>
      </c>
      <c r="G247" s="132" t="str">
        <f aca="false">ExportRaw!$I247</f>
        <v/>
      </c>
      <c r="H247" s="130" t="str">
        <f aca="false">ExportRaw!$A247</f>
        <v/>
      </c>
      <c r="I247" s="130" t="str">
        <f aca="false">ExportRaw!$B247</f>
        <v/>
      </c>
    </row>
    <row r="248" customFormat="false" ht="15.75" hidden="false" customHeight="false" outlineLevel="0" collapsed="false">
      <c r="A248" s="130" t="n">
        <f aca="false">ExportRaw!$F248</f>
        <v>0</v>
      </c>
      <c r="B248" s="130" t="n">
        <f aca="false">ExportRaw!$C248</f>
        <v>0</v>
      </c>
      <c r="C248" s="130" t="n">
        <f aca="false">ExportRaw!$G248</f>
        <v>0</v>
      </c>
      <c r="D248" s="130" t="str">
        <f aca="false">ExportRaw!$E248</f>
        <v/>
      </c>
      <c r="E248" s="131" t="str">
        <f aca="false">ExportRaw!$D248</f>
        <v/>
      </c>
      <c r="F248" s="130" t="str">
        <f aca="false">ExportRaw!$H248</f>
        <v/>
      </c>
      <c r="G248" s="132" t="str">
        <f aca="false">ExportRaw!$I248</f>
        <v/>
      </c>
      <c r="H248" s="130" t="str">
        <f aca="false">ExportRaw!$A248</f>
        <v/>
      </c>
      <c r="I248" s="130" t="str">
        <f aca="false">ExportRaw!$B248</f>
        <v/>
      </c>
    </row>
    <row r="249" customFormat="false" ht="15.75" hidden="false" customHeight="false" outlineLevel="0" collapsed="false">
      <c r="A249" s="130" t="n">
        <f aca="false">ExportRaw!$F249</f>
        <v>0</v>
      </c>
      <c r="B249" s="130" t="n">
        <f aca="false">ExportRaw!$C249</f>
        <v>0</v>
      </c>
      <c r="C249" s="130" t="n">
        <f aca="false">ExportRaw!$G249</f>
        <v>0</v>
      </c>
      <c r="D249" s="130" t="str">
        <f aca="false">ExportRaw!$E249</f>
        <v/>
      </c>
      <c r="E249" s="131" t="str">
        <f aca="false">ExportRaw!$D249</f>
        <v/>
      </c>
      <c r="F249" s="130" t="str">
        <f aca="false">ExportRaw!$H249</f>
        <v/>
      </c>
      <c r="G249" s="132" t="str">
        <f aca="false">ExportRaw!$I249</f>
        <v/>
      </c>
      <c r="H249" s="130" t="str">
        <f aca="false">ExportRaw!$A249</f>
        <v/>
      </c>
      <c r="I249" s="130" t="str">
        <f aca="false">ExportRaw!$B249</f>
        <v/>
      </c>
    </row>
    <row r="250" customFormat="false" ht="15.75" hidden="false" customHeight="false" outlineLevel="0" collapsed="false">
      <c r="A250" s="130" t="n">
        <f aca="false">ExportRaw!$F250</f>
        <v>0</v>
      </c>
      <c r="B250" s="130" t="n">
        <f aca="false">ExportRaw!$C250</f>
        <v>0</v>
      </c>
      <c r="C250" s="130" t="n">
        <f aca="false">ExportRaw!$G250</f>
        <v>0</v>
      </c>
      <c r="D250" s="130" t="str">
        <f aca="false">ExportRaw!$E250</f>
        <v/>
      </c>
      <c r="E250" s="131" t="str">
        <f aca="false">ExportRaw!$D250</f>
        <v/>
      </c>
      <c r="F250" s="130" t="str">
        <f aca="false">ExportRaw!$H250</f>
        <v/>
      </c>
      <c r="G250" s="132" t="str">
        <f aca="false">ExportRaw!$I250</f>
        <v/>
      </c>
      <c r="H250" s="130" t="str">
        <f aca="false">ExportRaw!$A250</f>
        <v/>
      </c>
      <c r="I250" s="130" t="str">
        <f aca="false">ExportRaw!$B250</f>
        <v/>
      </c>
    </row>
    <row r="251" customFormat="false" ht="15.75" hidden="false" customHeight="false" outlineLevel="0" collapsed="false">
      <c r="A251" s="130" t="n">
        <f aca="false">ExportRaw!$F251</f>
        <v>0</v>
      </c>
      <c r="B251" s="130" t="n">
        <f aca="false">ExportRaw!$C251</f>
        <v>0</v>
      </c>
      <c r="C251" s="130" t="n">
        <f aca="false">ExportRaw!$G251</f>
        <v>0</v>
      </c>
      <c r="D251" s="130" t="str">
        <f aca="false">ExportRaw!$E251</f>
        <v/>
      </c>
      <c r="E251" s="131" t="str">
        <f aca="false">ExportRaw!$D251</f>
        <v/>
      </c>
      <c r="F251" s="130" t="str">
        <f aca="false">ExportRaw!$H251</f>
        <v/>
      </c>
      <c r="G251" s="132" t="str">
        <f aca="false">ExportRaw!$I251</f>
        <v/>
      </c>
      <c r="H251" s="130" t="str">
        <f aca="false">ExportRaw!$A251</f>
        <v/>
      </c>
      <c r="I251" s="130" t="str">
        <f aca="false">ExportRaw!$B251</f>
        <v/>
      </c>
    </row>
    <row r="252" customFormat="false" ht="15.75" hidden="false" customHeight="false" outlineLevel="0" collapsed="false">
      <c r="A252" s="130" t="n">
        <f aca="false">ExportRaw!$F252</f>
        <v>0</v>
      </c>
      <c r="B252" s="130" t="n">
        <f aca="false">ExportRaw!$C252</f>
        <v>0</v>
      </c>
      <c r="C252" s="130" t="n">
        <f aca="false">ExportRaw!$G252</f>
        <v>0</v>
      </c>
      <c r="D252" s="130" t="str">
        <f aca="false">ExportRaw!$E252</f>
        <v/>
      </c>
      <c r="E252" s="131" t="str">
        <f aca="false">ExportRaw!$D252</f>
        <v/>
      </c>
      <c r="F252" s="130" t="str">
        <f aca="false">ExportRaw!$H252</f>
        <v/>
      </c>
      <c r="G252" s="132" t="str">
        <f aca="false">ExportRaw!$I252</f>
        <v/>
      </c>
      <c r="H252" s="130" t="str">
        <f aca="false">ExportRaw!$A252</f>
        <v/>
      </c>
      <c r="I252" s="130" t="str">
        <f aca="false">ExportRaw!$B252</f>
        <v/>
      </c>
    </row>
    <row r="253" customFormat="false" ht="15.75" hidden="false" customHeight="false" outlineLevel="0" collapsed="false">
      <c r="A253" s="130" t="n">
        <f aca="false">ExportRaw!$F253</f>
        <v>0</v>
      </c>
      <c r="B253" s="130" t="n">
        <f aca="false">ExportRaw!$C253</f>
        <v>0</v>
      </c>
      <c r="C253" s="130" t="n">
        <f aca="false">ExportRaw!$G253</f>
        <v>0</v>
      </c>
      <c r="D253" s="130" t="str">
        <f aca="false">ExportRaw!$E253</f>
        <v/>
      </c>
      <c r="E253" s="131" t="str">
        <f aca="false">ExportRaw!$D253</f>
        <v/>
      </c>
      <c r="F253" s="130" t="str">
        <f aca="false">ExportRaw!$H253</f>
        <v/>
      </c>
      <c r="G253" s="132" t="str">
        <f aca="false">ExportRaw!$I253</f>
        <v/>
      </c>
      <c r="H253" s="130" t="str">
        <f aca="false">ExportRaw!$A253</f>
        <v/>
      </c>
      <c r="I253" s="130" t="str">
        <f aca="false">ExportRaw!$B253</f>
        <v/>
      </c>
    </row>
    <row r="254" customFormat="false" ht="15.75" hidden="false" customHeight="false" outlineLevel="0" collapsed="false">
      <c r="A254" s="130" t="n">
        <f aca="false">ExportRaw!$F254</f>
        <v>0</v>
      </c>
      <c r="B254" s="130" t="n">
        <f aca="false">ExportRaw!$C254</f>
        <v>0</v>
      </c>
      <c r="C254" s="130" t="n">
        <f aca="false">ExportRaw!$G254</f>
        <v>0</v>
      </c>
      <c r="D254" s="130" t="str">
        <f aca="false">ExportRaw!$E254</f>
        <v/>
      </c>
      <c r="E254" s="131" t="str">
        <f aca="false">ExportRaw!$D254</f>
        <v/>
      </c>
      <c r="F254" s="130" t="str">
        <f aca="false">ExportRaw!$H254</f>
        <v/>
      </c>
      <c r="G254" s="132" t="str">
        <f aca="false">ExportRaw!$I254</f>
        <v/>
      </c>
      <c r="H254" s="130" t="str">
        <f aca="false">ExportRaw!$A254</f>
        <v/>
      </c>
      <c r="I254" s="130" t="str">
        <f aca="false">ExportRaw!$B254</f>
        <v/>
      </c>
    </row>
    <row r="255" customFormat="false" ht="15.75" hidden="false" customHeight="false" outlineLevel="0" collapsed="false">
      <c r="A255" s="130" t="n">
        <f aca="false">ExportRaw!$F255</f>
        <v>0</v>
      </c>
      <c r="B255" s="130" t="n">
        <f aca="false">ExportRaw!$C255</f>
        <v>0</v>
      </c>
      <c r="C255" s="130" t="n">
        <f aca="false">ExportRaw!$G255</f>
        <v>0</v>
      </c>
      <c r="D255" s="130" t="str">
        <f aca="false">ExportRaw!$E255</f>
        <v/>
      </c>
      <c r="E255" s="131" t="str">
        <f aca="false">ExportRaw!$D255</f>
        <v/>
      </c>
      <c r="F255" s="130" t="str">
        <f aca="false">ExportRaw!$H255</f>
        <v/>
      </c>
      <c r="G255" s="132" t="str">
        <f aca="false">ExportRaw!$I255</f>
        <v/>
      </c>
      <c r="H255" s="130" t="str">
        <f aca="false">ExportRaw!$A255</f>
        <v/>
      </c>
      <c r="I255" s="130" t="str">
        <f aca="false">ExportRaw!$B255</f>
        <v/>
      </c>
    </row>
    <row r="256" customFormat="false" ht="15.75" hidden="false" customHeight="false" outlineLevel="0" collapsed="false">
      <c r="A256" s="130" t="n">
        <f aca="false">ExportRaw!$F256</f>
        <v>0</v>
      </c>
      <c r="B256" s="130" t="n">
        <f aca="false">ExportRaw!$C256</f>
        <v>0</v>
      </c>
      <c r="C256" s="130" t="n">
        <f aca="false">ExportRaw!$G256</f>
        <v>0</v>
      </c>
      <c r="D256" s="130" t="str">
        <f aca="false">ExportRaw!$E256</f>
        <v/>
      </c>
      <c r="E256" s="131" t="str">
        <f aca="false">ExportRaw!$D256</f>
        <v/>
      </c>
      <c r="F256" s="130" t="str">
        <f aca="false">ExportRaw!$H256</f>
        <v/>
      </c>
      <c r="G256" s="132" t="str">
        <f aca="false">ExportRaw!$I256</f>
        <v/>
      </c>
      <c r="H256" s="130" t="str">
        <f aca="false">ExportRaw!$A256</f>
        <v/>
      </c>
      <c r="I256" s="130" t="str">
        <f aca="false">ExportRaw!$B256</f>
        <v/>
      </c>
    </row>
    <row r="257" customFormat="false" ht="15.75" hidden="false" customHeight="false" outlineLevel="0" collapsed="false">
      <c r="A257" s="130" t="n">
        <f aca="false">ExportRaw!$F257</f>
        <v>0</v>
      </c>
      <c r="B257" s="130" t="n">
        <f aca="false">ExportRaw!$C257</f>
        <v>0</v>
      </c>
      <c r="C257" s="130" t="n">
        <f aca="false">ExportRaw!$G257</f>
        <v>0</v>
      </c>
      <c r="D257" s="130" t="str">
        <f aca="false">ExportRaw!$E257</f>
        <v/>
      </c>
      <c r="E257" s="131" t="str">
        <f aca="false">ExportRaw!$D257</f>
        <v/>
      </c>
      <c r="F257" s="130" t="str">
        <f aca="false">ExportRaw!$H257</f>
        <v/>
      </c>
      <c r="G257" s="132" t="str">
        <f aca="false">ExportRaw!$I257</f>
        <v/>
      </c>
      <c r="H257" s="130" t="str">
        <f aca="false">ExportRaw!$A257</f>
        <v/>
      </c>
      <c r="I257" s="130" t="str">
        <f aca="false">ExportRaw!$B257</f>
        <v/>
      </c>
    </row>
    <row r="258" customFormat="false" ht="15.75" hidden="false" customHeight="false" outlineLevel="0" collapsed="false">
      <c r="A258" s="130" t="n">
        <f aca="false">ExportRaw!$F258</f>
        <v>0</v>
      </c>
      <c r="B258" s="130" t="n">
        <f aca="false">ExportRaw!$C258</f>
        <v>0</v>
      </c>
      <c r="C258" s="130" t="n">
        <f aca="false">ExportRaw!$G258</f>
        <v>0</v>
      </c>
      <c r="D258" s="130" t="str">
        <f aca="false">ExportRaw!$E258</f>
        <v/>
      </c>
      <c r="E258" s="131" t="str">
        <f aca="false">ExportRaw!$D258</f>
        <v/>
      </c>
      <c r="F258" s="130" t="str">
        <f aca="false">ExportRaw!$H258</f>
        <v/>
      </c>
      <c r="G258" s="132" t="str">
        <f aca="false">ExportRaw!$I258</f>
        <v/>
      </c>
      <c r="H258" s="130" t="str">
        <f aca="false">ExportRaw!$A258</f>
        <v/>
      </c>
      <c r="I258" s="130" t="str">
        <f aca="false">ExportRaw!$B258</f>
        <v/>
      </c>
    </row>
    <row r="259" customFormat="false" ht="15.75" hidden="false" customHeight="false" outlineLevel="0" collapsed="false">
      <c r="A259" s="130" t="n">
        <f aca="false">ExportRaw!$F259</f>
        <v>0</v>
      </c>
      <c r="B259" s="130" t="n">
        <f aca="false">ExportRaw!$C259</f>
        <v>0</v>
      </c>
      <c r="C259" s="130" t="n">
        <f aca="false">ExportRaw!$G259</f>
        <v>0</v>
      </c>
      <c r="D259" s="130" t="str">
        <f aca="false">ExportRaw!$E259</f>
        <v/>
      </c>
      <c r="E259" s="131" t="str">
        <f aca="false">ExportRaw!$D259</f>
        <v/>
      </c>
      <c r="F259" s="130" t="str">
        <f aca="false">ExportRaw!$H259</f>
        <v/>
      </c>
      <c r="G259" s="132" t="str">
        <f aca="false">ExportRaw!$I259</f>
        <v/>
      </c>
      <c r="H259" s="130" t="str">
        <f aca="false">ExportRaw!$A259</f>
        <v/>
      </c>
      <c r="I259" s="130" t="str">
        <f aca="false">ExportRaw!$B259</f>
        <v/>
      </c>
    </row>
    <row r="260" customFormat="false" ht="15.75" hidden="false" customHeight="false" outlineLevel="0" collapsed="false">
      <c r="A260" s="130" t="n">
        <f aca="false">ExportRaw!$F260</f>
        <v>0</v>
      </c>
      <c r="B260" s="130" t="n">
        <f aca="false">ExportRaw!$C260</f>
        <v>0</v>
      </c>
      <c r="C260" s="130" t="n">
        <f aca="false">ExportRaw!$G260</f>
        <v>0</v>
      </c>
      <c r="D260" s="130" t="str">
        <f aca="false">ExportRaw!$E260</f>
        <v/>
      </c>
      <c r="E260" s="131" t="str">
        <f aca="false">ExportRaw!$D260</f>
        <v/>
      </c>
      <c r="F260" s="130" t="str">
        <f aca="false">ExportRaw!$H260</f>
        <v/>
      </c>
      <c r="G260" s="132" t="str">
        <f aca="false">ExportRaw!$I260</f>
        <v/>
      </c>
      <c r="H260" s="130" t="str">
        <f aca="false">ExportRaw!$A260</f>
        <v/>
      </c>
      <c r="I260" s="130" t="str">
        <f aca="false">ExportRaw!$B260</f>
        <v/>
      </c>
    </row>
    <row r="261" customFormat="false" ht="15.75" hidden="false" customHeight="false" outlineLevel="0" collapsed="false">
      <c r="A261" s="130" t="n">
        <f aca="false">ExportRaw!$F261</f>
        <v>0</v>
      </c>
      <c r="B261" s="130" t="n">
        <f aca="false">ExportRaw!$C261</f>
        <v>0</v>
      </c>
      <c r="C261" s="130" t="n">
        <f aca="false">ExportRaw!$G261</f>
        <v>0</v>
      </c>
      <c r="D261" s="130" t="str">
        <f aca="false">ExportRaw!$E261</f>
        <v/>
      </c>
      <c r="E261" s="131" t="str">
        <f aca="false">ExportRaw!$D261</f>
        <v/>
      </c>
      <c r="F261" s="130" t="str">
        <f aca="false">ExportRaw!$H261</f>
        <v/>
      </c>
      <c r="G261" s="132" t="str">
        <f aca="false">ExportRaw!$I261</f>
        <v/>
      </c>
      <c r="H261" s="130" t="str">
        <f aca="false">ExportRaw!$A261</f>
        <v/>
      </c>
      <c r="I261" s="130" t="str">
        <f aca="false">ExportRaw!$B261</f>
        <v/>
      </c>
    </row>
    <row r="262" customFormat="false" ht="15.75" hidden="false" customHeight="false" outlineLevel="0" collapsed="false">
      <c r="A262" s="130" t="n">
        <f aca="false">ExportRaw!$F262</f>
        <v>0</v>
      </c>
      <c r="B262" s="130" t="n">
        <f aca="false">ExportRaw!$C262</f>
        <v>0</v>
      </c>
      <c r="C262" s="130" t="n">
        <f aca="false">ExportRaw!$G262</f>
        <v>0</v>
      </c>
      <c r="D262" s="130" t="str">
        <f aca="false">ExportRaw!$E262</f>
        <v/>
      </c>
      <c r="E262" s="131" t="str">
        <f aca="false">ExportRaw!$D262</f>
        <v/>
      </c>
      <c r="F262" s="130" t="str">
        <f aca="false">ExportRaw!$H262</f>
        <v/>
      </c>
      <c r="G262" s="132" t="str">
        <f aca="false">ExportRaw!$I262</f>
        <v/>
      </c>
      <c r="H262" s="130" t="str">
        <f aca="false">ExportRaw!$A262</f>
        <v/>
      </c>
      <c r="I262" s="130" t="str">
        <f aca="false">ExportRaw!$B262</f>
        <v/>
      </c>
    </row>
    <row r="263" customFormat="false" ht="15.75" hidden="false" customHeight="false" outlineLevel="0" collapsed="false">
      <c r="A263" s="130" t="n">
        <f aca="false">ExportRaw!$F263</f>
        <v>0</v>
      </c>
      <c r="B263" s="130" t="n">
        <f aca="false">ExportRaw!$C263</f>
        <v>0</v>
      </c>
      <c r="C263" s="130" t="n">
        <f aca="false">ExportRaw!$G263</f>
        <v>0</v>
      </c>
      <c r="D263" s="130" t="str">
        <f aca="false">ExportRaw!$E263</f>
        <v/>
      </c>
      <c r="E263" s="131" t="str">
        <f aca="false">ExportRaw!$D263</f>
        <v/>
      </c>
      <c r="F263" s="130" t="str">
        <f aca="false">ExportRaw!$H263</f>
        <v/>
      </c>
      <c r="G263" s="132" t="str">
        <f aca="false">ExportRaw!$I263</f>
        <v/>
      </c>
      <c r="H263" s="130" t="str">
        <f aca="false">ExportRaw!$A263</f>
        <v/>
      </c>
      <c r="I263" s="130" t="str">
        <f aca="false">ExportRaw!$B263</f>
        <v/>
      </c>
    </row>
    <row r="264" customFormat="false" ht="15.75" hidden="false" customHeight="false" outlineLevel="0" collapsed="false">
      <c r="A264" s="130" t="n">
        <f aca="false">ExportRaw!$F264</f>
        <v>0</v>
      </c>
      <c r="B264" s="130" t="n">
        <f aca="false">ExportRaw!$C264</f>
        <v>0</v>
      </c>
      <c r="C264" s="130" t="n">
        <f aca="false">ExportRaw!$G264</f>
        <v>0</v>
      </c>
      <c r="D264" s="130" t="str">
        <f aca="false">ExportRaw!$E264</f>
        <v/>
      </c>
      <c r="E264" s="131" t="str">
        <f aca="false">ExportRaw!$D264</f>
        <v/>
      </c>
      <c r="F264" s="130" t="str">
        <f aca="false">ExportRaw!$H264</f>
        <v/>
      </c>
      <c r="G264" s="132" t="str">
        <f aca="false">ExportRaw!$I264</f>
        <v/>
      </c>
      <c r="H264" s="130" t="str">
        <f aca="false">ExportRaw!$A264</f>
        <v/>
      </c>
      <c r="I264" s="130" t="str">
        <f aca="false">ExportRaw!$B264</f>
        <v/>
      </c>
    </row>
    <row r="265" customFormat="false" ht="15.75" hidden="false" customHeight="false" outlineLevel="0" collapsed="false">
      <c r="A265" s="130" t="n">
        <f aca="false">ExportRaw!$F265</f>
        <v>0</v>
      </c>
      <c r="B265" s="130" t="n">
        <f aca="false">ExportRaw!$C265</f>
        <v>0</v>
      </c>
      <c r="C265" s="130" t="n">
        <f aca="false">ExportRaw!$G265</f>
        <v>0</v>
      </c>
      <c r="D265" s="130" t="str">
        <f aca="false">ExportRaw!$E265</f>
        <v/>
      </c>
      <c r="E265" s="131" t="str">
        <f aca="false">ExportRaw!$D265</f>
        <v/>
      </c>
      <c r="F265" s="130" t="str">
        <f aca="false">ExportRaw!$H265</f>
        <v/>
      </c>
      <c r="G265" s="132" t="str">
        <f aca="false">ExportRaw!$I265</f>
        <v/>
      </c>
      <c r="H265" s="130" t="str">
        <f aca="false">ExportRaw!$A265</f>
        <v/>
      </c>
      <c r="I265" s="130" t="str">
        <f aca="false">ExportRaw!$B265</f>
        <v/>
      </c>
    </row>
    <row r="266" customFormat="false" ht="15.75" hidden="false" customHeight="false" outlineLevel="0" collapsed="false">
      <c r="A266" s="130" t="n">
        <f aca="false">ExportRaw!$F266</f>
        <v>0</v>
      </c>
      <c r="B266" s="130" t="n">
        <f aca="false">ExportRaw!$C266</f>
        <v>0</v>
      </c>
      <c r="C266" s="130" t="n">
        <f aca="false">ExportRaw!$G266</f>
        <v>0</v>
      </c>
      <c r="D266" s="130" t="str">
        <f aca="false">ExportRaw!$E266</f>
        <v/>
      </c>
      <c r="E266" s="131" t="str">
        <f aca="false">ExportRaw!$D266</f>
        <v/>
      </c>
      <c r="F266" s="130" t="str">
        <f aca="false">ExportRaw!$H266</f>
        <v/>
      </c>
      <c r="G266" s="132" t="str">
        <f aca="false">ExportRaw!$I266</f>
        <v/>
      </c>
      <c r="H266" s="130" t="str">
        <f aca="false">ExportRaw!$A266</f>
        <v/>
      </c>
      <c r="I266" s="130" t="str">
        <f aca="false">ExportRaw!$B266</f>
        <v/>
      </c>
    </row>
    <row r="267" customFormat="false" ht="15.75" hidden="false" customHeight="false" outlineLevel="0" collapsed="false">
      <c r="A267" s="130" t="n">
        <f aca="false">ExportRaw!$F267</f>
        <v>0</v>
      </c>
      <c r="B267" s="130" t="n">
        <f aca="false">ExportRaw!$C267</f>
        <v>0</v>
      </c>
      <c r="C267" s="130" t="n">
        <f aca="false">ExportRaw!$G267</f>
        <v>0</v>
      </c>
      <c r="D267" s="130" t="str">
        <f aca="false">ExportRaw!$E267</f>
        <v/>
      </c>
      <c r="E267" s="131" t="str">
        <f aca="false">ExportRaw!$D267</f>
        <v/>
      </c>
      <c r="F267" s="130" t="str">
        <f aca="false">ExportRaw!$H267</f>
        <v/>
      </c>
      <c r="G267" s="132" t="str">
        <f aca="false">ExportRaw!$I267</f>
        <v/>
      </c>
      <c r="H267" s="130" t="str">
        <f aca="false">ExportRaw!$A267</f>
        <v/>
      </c>
      <c r="I267" s="130" t="str">
        <f aca="false">ExportRaw!$B267</f>
        <v/>
      </c>
    </row>
    <row r="268" customFormat="false" ht="15.75" hidden="false" customHeight="false" outlineLevel="0" collapsed="false">
      <c r="A268" s="130" t="n">
        <f aca="false">ExportRaw!$F268</f>
        <v>0</v>
      </c>
      <c r="B268" s="130" t="n">
        <f aca="false">ExportRaw!$C268</f>
        <v>0</v>
      </c>
      <c r="C268" s="130" t="n">
        <f aca="false">ExportRaw!$G268</f>
        <v>0</v>
      </c>
      <c r="D268" s="130" t="str">
        <f aca="false">ExportRaw!$E268</f>
        <v/>
      </c>
      <c r="E268" s="131" t="str">
        <f aca="false">ExportRaw!$D268</f>
        <v/>
      </c>
      <c r="F268" s="130" t="str">
        <f aca="false">ExportRaw!$H268</f>
        <v/>
      </c>
      <c r="G268" s="132" t="str">
        <f aca="false">ExportRaw!$I268</f>
        <v/>
      </c>
      <c r="H268" s="130" t="str">
        <f aca="false">ExportRaw!$A268</f>
        <v/>
      </c>
      <c r="I268" s="130" t="str">
        <f aca="false">ExportRaw!$B268</f>
        <v/>
      </c>
    </row>
    <row r="269" customFormat="false" ht="15.75" hidden="false" customHeight="false" outlineLevel="0" collapsed="false">
      <c r="A269" s="130" t="n">
        <f aca="false">ExportRaw!$F269</f>
        <v>0</v>
      </c>
      <c r="B269" s="130" t="n">
        <f aca="false">ExportRaw!$C269</f>
        <v>0</v>
      </c>
      <c r="C269" s="130" t="n">
        <f aca="false">ExportRaw!$G269</f>
        <v>0</v>
      </c>
      <c r="D269" s="130" t="str">
        <f aca="false">ExportRaw!$E269</f>
        <v/>
      </c>
      <c r="E269" s="131" t="str">
        <f aca="false">ExportRaw!$D269</f>
        <v/>
      </c>
      <c r="F269" s="130" t="str">
        <f aca="false">ExportRaw!$H269</f>
        <v/>
      </c>
      <c r="G269" s="132" t="str">
        <f aca="false">ExportRaw!$I269</f>
        <v/>
      </c>
      <c r="H269" s="130" t="str">
        <f aca="false">ExportRaw!$A269</f>
        <v/>
      </c>
      <c r="I269" s="130" t="str">
        <f aca="false">ExportRaw!$B269</f>
        <v/>
      </c>
    </row>
    <row r="270" customFormat="false" ht="15.75" hidden="false" customHeight="false" outlineLevel="0" collapsed="false">
      <c r="A270" s="130" t="n">
        <f aca="false">ExportRaw!$F270</f>
        <v>0</v>
      </c>
      <c r="B270" s="130" t="n">
        <f aca="false">ExportRaw!$C270</f>
        <v>0</v>
      </c>
      <c r="C270" s="130" t="n">
        <f aca="false">ExportRaw!$G270</f>
        <v>0</v>
      </c>
      <c r="D270" s="130" t="str">
        <f aca="false">ExportRaw!$E270</f>
        <v/>
      </c>
      <c r="E270" s="131" t="str">
        <f aca="false">ExportRaw!$D270</f>
        <v/>
      </c>
      <c r="F270" s="130" t="str">
        <f aca="false">ExportRaw!$H270</f>
        <v/>
      </c>
      <c r="G270" s="132" t="str">
        <f aca="false">ExportRaw!$I270</f>
        <v/>
      </c>
      <c r="H270" s="130" t="str">
        <f aca="false">ExportRaw!$A270</f>
        <v/>
      </c>
      <c r="I270" s="130" t="str">
        <f aca="false">ExportRaw!$B270</f>
        <v/>
      </c>
    </row>
    <row r="271" customFormat="false" ht="15.75" hidden="false" customHeight="false" outlineLevel="0" collapsed="false">
      <c r="A271" s="130" t="n">
        <f aca="false">ExportRaw!$F271</f>
        <v>0</v>
      </c>
      <c r="B271" s="130" t="n">
        <f aca="false">ExportRaw!$C271</f>
        <v>0</v>
      </c>
      <c r="C271" s="130" t="n">
        <f aca="false">ExportRaw!$G271</f>
        <v>0</v>
      </c>
      <c r="D271" s="130" t="str">
        <f aca="false">ExportRaw!$E271</f>
        <v/>
      </c>
      <c r="E271" s="131" t="str">
        <f aca="false">ExportRaw!$D271</f>
        <v/>
      </c>
      <c r="F271" s="130" t="str">
        <f aca="false">ExportRaw!$H271</f>
        <v/>
      </c>
      <c r="G271" s="132" t="str">
        <f aca="false">ExportRaw!$I271</f>
        <v/>
      </c>
      <c r="H271" s="130" t="str">
        <f aca="false">ExportRaw!$A271</f>
        <v/>
      </c>
      <c r="I271" s="130" t="str">
        <f aca="false">ExportRaw!$B271</f>
        <v/>
      </c>
    </row>
    <row r="272" customFormat="false" ht="15.75" hidden="false" customHeight="false" outlineLevel="0" collapsed="false">
      <c r="A272" s="130" t="n">
        <f aca="false">ExportRaw!$F272</f>
        <v>0</v>
      </c>
      <c r="B272" s="130" t="n">
        <f aca="false">ExportRaw!$C272</f>
        <v>0</v>
      </c>
      <c r="C272" s="130" t="n">
        <f aca="false">ExportRaw!$G272</f>
        <v>0</v>
      </c>
      <c r="D272" s="130" t="str">
        <f aca="false">ExportRaw!$E272</f>
        <v/>
      </c>
      <c r="E272" s="131" t="str">
        <f aca="false">ExportRaw!$D272</f>
        <v/>
      </c>
      <c r="F272" s="130" t="str">
        <f aca="false">ExportRaw!$H272</f>
        <v/>
      </c>
      <c r="G272" s="132" t="str">
        <f aca="false">ExportRaw!$I272</f>
        <v/>
      </c>
      <c r="H272" s="130" t="str">
        <f aca="false">ExportRaw!$A272</f>
        <v/>
      </c>
      <c r="I272" s="130" t="str">
        <f aca="false">ExportRaw!$B272</f>
        <v/>
      </c>
    </row>
    <row r="273" customFormat="false" ht="15.75" hidden="false" customHeight="false" outlineLevel="0" collapsed="false">
      <c r="A273" s="130" t="n">
        <f aca="false">ExportRaw!$F273</f>
        <v>0</v>
      </c>
      <c r="B273" s="130" t="n">
        <f aca="false">ExportRaw!$C273</f>
        <v>0</v>
      </c>
      <c r="C273" s="130" t="n">
        <f aca="false">ExportRaw!$G273</f>
        <v>0</v>
      </c>
      <c r="D273" s="130" t="str">
        <f aca="false">ExportRaw!$E273</f>
        <v/>
      </c>
      <c r="E273" s="131" t="str">
        <f aca="false">ExportRaw!$D273</f>
        <v/>
      </c>
      <c r="F273" s="130" t="str">
        <f aca="false">ExportRaw!$H273</f>
        <v/>
      </c>
      <c r="G273" s="132" t="str">
        <f aca="false">ExportRaw!$I273</f>
        <v/>
      </c>
      <c r="H273" s="130" t="str">
        <f aca="false">ExportRaw!$A273</f>
        <v/>
      </c>
      <c r="I273" s="130" t="str">
        <f aca="false">ExportRaw!$B273</f>
        <v/>
      </c>
    </row>
    <row r="274" customFormat="false" ht="15.75" hidden="false" customHeight="false" outlineLevel="0" collapsed="false">
      <c r="A274" s="130" t="n">
        <f aca="false">ExportRaw!$F274</f>
        <v>0</v>
      </c>
      <c r="B274" s="130" t="n">
        <f aca="false">ExportRaw!$C274</f>
        <v>0</v>
      </c>
      <c r="C274" s="130" t="n">
        <f aca="false">ExportRaw!$G274</f>
        <v>0</v>
      </c>
      <c r="D274" s="130" t="str">
        <f aca="false">ExportRaw!$E274</f>
        <v/>
      </c>
      <c r="E274" s="131" t="str">
        <f aca="false">ExportRaw!$D274</f>
        <v/>
      </c>
      <c r="F274" s="130" t="str">
        <f aca="false">ExportRaw!$H274</f>
        <v/>
      </c>
      <c r="G274" s="132" t="str">
        <f aca="false">ExportRaw!$I274</f>
        <v/>
      </c>
      <c r="H274" s="130" t="str">
        <f aca="false">ExportRaw!$A274</f>
        <v/>
      </c>
      <c r="I274" s="130" t="str">
        <f aca="false">ExportRaw!$B274</f>
        <v/>
      </c>
    </row>
    <row r="275" customFormat="false" ht="15.75" hidden="false" customHeight="false" outlineLevel="0" collapsed="false">
      <c r="A275" s="130" t="n">
        <f aca="false">ExportRaw!$F275</f>
        <v>0</v>
      </c>
      <c r="B275" s="130" t="n">
        <f aca="false">ExportRaw!$C275</f>
        <v>0</v>
      </c>
      <c r="C275" s="130" t="n">
        <f aca="false">ExportRaw!$G275</f>
        <v>0</v>
      </c>
      <c r="D275" s="130" t="str">
        <f aca="false">ExportRaw!$E275</f>
        <v/>
      </c>
      <c r="E275" s="131" t="str">
        <f aca="false">ExportRaw!$D275</f>
        <v/>
      </c>
      <c r="F275" s="130" t="str">
        <f aca="false">ExportRaw!$H275</f>
        <v/>
      </c>
      <c r="G275" s="132" t="str">
        <f aca="false">ExportRaw!$I275</f>
        <v/>
      </c>
      <c r="H275" s="130" t="str">
        <f aca="false">ExportRaw!$A275</f>
        <v/>
      </c>
      <c r="I275" s="130" t="str">
        <f aca="false">ExportRaw!$B275</f>
        <v/>
      </c>
    </row>
    <row r="276" customFormat="false" ht="15.75" hidden="false" customHeight="false" outlineLevel="0" collapsed="false">
      <c r="A276" s="130" t="n">
        <f aca="false">ExportRaw!$F276</f>
        <v>0</v>
      </c>
      <c r="B276" s="130" t="n">
        <f aca="false">ExportRaw!$C276</f>
        <v>0</v>
      </c>
      <c r="C276" s="130" t="n">
        <f aca="false">ExportRaw!$G276</f>
        <v>0</v>
      </c>
      <c r="D276" s="130" t="str">
        <f aca="false">ExportRaw!$E276</f>
        <v/>
      </c>
      <c r="E276" s="131" t="str">
        <f aca="false">ExportRaw!$D276</f>
        <v/>
      </c>
      <c r="F276" s="130" t="str">
        <f aca="false">ExportRaw!$H276</f>
        <v/>
      </c>
      <c r="G276" s="132" t="str">
        <f aca="false">ExportRaw!$I276</f>
        <v/>
      </c>
      <c r="H276" s="130" t="str">
        <f aca="false">ExportRaw!$A276</f>
        <v/>
      </c>
      <c r="I276" s="130" t="str">
        <f aca="false">ExportRaw!$B276</f>
        <v/>
      </c>
    </row>
    <row r="277" customFormat="false" ht="15.75" hidden="false" customHeight="false" outlineLevel="0" collapsed="false">
      <c r="A277" s="130" t="n">
        <f aca="false">ExportRaw!$F277</f>
        <v>0</v>
      </c>
      <c r="B277" s="130" t="n">
        <f aca="false">ExportRaw!$C277</f>
        <v>0</v>
      </c>
      <c r="C277" s="130" t="n">
        <f aca="false">ExportRaw!$G277</f>
        <v>0</v>
      </c>
      <c r="D277" s="130" t="str">
        <f aca="false">ExportRaw!$E277</f>
        <v/>
      </c>
      <c r="E277" s="131" t="str">
        <f aca="false">ExportRaw!$D277</f>
        <v/>
      </c>
      <c r="F277" s="130" t="str">
        <f aca="false">ExportRaw!$H277</f>
        <v/>
      </c>
      <c r="G277" s="132" t="str">
        <f aca="false">ExportRaw!$I277</f>
        <v/>
      </c>
      <c r="H277" s="130" t="str">
        <f aca="false">ExportRaw!$A277</f>
        <v/>
      </c>
      <c r="I277" s="130" t="str">
        <f aca="false">ExportRaw!$B277</f>
        <v/>
      </c>
    </row>
    <row r="278" customFormat="false" ht="15.75" hidden="false" customHeight="false" outlineLevel="0" collapsed="false">
      <c r="A278" s="130" t="n">
        <f aca="false">ExportRaw!$F278</f>
        <v>0</v>
      </c>
      <c r="B278" s="130" t="n">
        <f aca="false">ExportRaw!$C278</f>
        <v>0</v>
      </c>
      <c r="C278" s="130" t="n">
        <f aca="false">ExportRaw!$G278</f>
        <v>0</v>
      </c>
      <c r="D278" s="130" t="str">
        <f aca="false">ExportRaw!$E278</f>
        <v/>
      </c>
      <c r="E278" s="131" t="str">
        <f aca="false">ExportRaw!$D278</f>
        <v/>
      </c>
      <c r="F278" s="130" t="str">
        <f aca="false">ExportRaw!$H278</f>
        <v/>
      </c>
      <c r="G278" s="132" t="str">
        <f aca="false">ExportRaw!$I278</f>
        <v/>
      </c>
      <c r="H278" s="130" t="str">
        <f aca="false">ExportRaw!$A278</f>
        <v/>
      </c>
      <c r="I278" s="130" t="str">
        <f aca="false">ExportRaw!$B278</f>
        <v/>
      </c>
    </row>
    <row r="279" customFormat="false" ht="15.75" hidden="false" customHeight="false" outlineLevel="0" collapsed="false">
      <c r="A279" s="130" t="n">
        <f aca="false">ExportRaw!$F279</f>
        <v>0</v>
      </c>
      <c r="B279" s="130" t="n">
        <f aca="false">ExportRaw!$C279</f>
        <v>0</v>
      </c>
      <c r="C279" s="130" t="n">
        <f aca="false">ExportRaw!$G279</f>
        <v>0</v>
      </c>
      <c r="D279" s="130" t="str">
        <f aca="false">ExportRaw!$E279</f>
        <v/>
      </c>
      <c r="E279" s="131" t="str">
        <f aca="false">ExportRaw!$D279</f>
        <v/>
      </c>
      <c r="F279" s="130" t="str">
        <f aca="false">ExportRaw!$H279</f>
        <v/>
      </c>
      <c r="G279" s="132" t="str">
        <f aca="false">ExportRaw!$I279</f>
        <v/>
      </c>
      <c r="H279" s="130" t="str">
        <f aca="false">ExportRaw!$A279</f>
        <v/>
      </c>
      <c r="I279" s="130" t="str">
        <f aca="false">ExportRaw!$B279</f>
        <v/>
      </c>
    </row>
    <row r="280" customFormat="false" ht="15.75" hidden="false" customHeight="false" outlineLevel="0" collapsed="false">
      <c r="A280" s="130" t="n">
        <f aca="false">ExportRaw!$F280</f>
        <v>0</v>
      </c>
      <c r="B280" s="130" t="n">
        <f aca="false">ExportRaw!$C280</f>
        <v>0</v>
      </c>
      <c r="C280" s="130" t="n">
        <f aca="false">ExportRaw!$G280</f>
        <v>0</v>
      </c>
      <c r="D280" s="130" t="str">
        <f aca="false">ExportRaw!$E280</f>
        <v/>
      </c>
      <c r="E280" s="131" t="str">
        <f aca="false">ExportRaw!$D280</f>
        <v/>
      </c>
      <c r="F280" s="130" t="str">
        <f aca="false">ExportRaw!$H280</f>
        <v/>
      </c>
      <c r="G280" s="132" t="str">
        <f aca="false">ExportRaw!$I280</f>
        <v/>
      </c>
      <c r="H280" s="130" t="str">
        <f aca="false">ExportRaw!$A280</f>
        <v/>
      </c>
      <c r="I280" s="130" t="str">
        <f aca="false">ExportRaw!$B280</f>
        <v/>
      </c>
    </row>
    <row r="281" customFormat="false" ht="15.75" hidden="false" customHeight="false" outlineLevel="0" collapsed="false">
      <c r="A281" s="130" t="n">
        <f aca="false">ExportRaw!$F281</f>
        <v>0</v>
      </c>
      <c r="B281" s="130" t="n">
        <f aca="false">ExportRaw!$C281</f>
        <v>0</v>
      </c>
      <c r="C281" s="130" t="n">
        <f aca="false">ExportRaw!$G281</f>
        <v>0</v>
      </c>
      <c r="D281" s="130" t="str">
        <f aca="false">ExportRaw!$E281</f>
        <v/>
      </c>
      <c r="E281" s="131" t="str">
        <f aca="false">ExportRaw!$D281</f>
        <v/>
      </c>
      <c r="F281" s="130" t="str">
        <f aca="false">ExportRaw!$H281</f>
        <v/>
      </c>
      <c r="G281" s="132" t="str">
        <f aca="false">ExportRaw!$I281</f>
        <v/>
      </c>
      <c r="H281" s="130" t="str">
        <f aca="false">ExportRaw!$A281</f>
        <v/>
      </c>
      <c r="I281" s="130" t="str">
        <f aca="false">ExportRaw!$B281</f>
        <v/>
      </c>
    </row>
    <row r="282" customFormat="false" ht="15.75" hidden="false" customHeight="false" outlineLevel="0" collapsed="false">
      <c r="A282" s="130" t="n">
        <f aca="false">ExportRaw!$F282</f>
        <v>0</v>
      </c>
      <c r="B282" s="130" t="n">
        <f aca="false">ExportRaw!$C282</f>
        <v>0</v>
      </c>
      <c r="C282" s="130" t="n">
        <f aca="false">ExportRaw!$G282</f>
        <v>0</v>
      </c>
      <c r="D282" s="130" t="str">
        <f aca="false">ExportRaw!$E282</f>
        <v/>
      </c>
      <c r="E282" s="131" t="str">
        <f aca="false">ExportRaw!$D282</f>
        <v/>
      </c>
      <c r="F282" s="130" t="str">
        <f aca="false">ExportRaw!$H282</f>
        <v/>
      </c>
      <c r="G282" s="132" t="str">
        <f aca="false">ExportRaw!$I282</f>
        <v/>
      </c>
      <c r="H282" s="130" t="str">
        <f aca="false">ExportRaw!$A282</f>
        <v/>
      </c>
      <c r="I282" s="130" t="str">
        <f aca="false">ExportRaw!$B282</f>
        <v/>
      </c>
    </row>
    <row r="283" customFormat="false" ht="15.75" hidden="false" customHeight="false" outlineLevel="0" collapsed="false">
      <c r="A283" s="130" t="n">
        <f aca="false">ExportRaw!$F283</f>
        <v>0</v>
      </c>
      <c r="B283" s="130" t="n">
        <f aca="false">ExportRaw!$C283</f>
        <v>0</v>
      </c>
      <c r="C283" s="130" t="n">
        <f aca="false">ExportRaw!$G283</f>
        <v>0</v>
      </c>
      <c r="D283" s="130" t="str">
        <f aca="false">ExportRaw!$E283</f>
        <v/>
      </c>
      <c r="E283" s="131" t="str">
        <f aca="false">ExportRaw!$D283</f>
        <v/>
      </c>
      <c r="F283" s="130" t="str">
        <f aca="false">ExportRaw!$H283</f>
        <v/>
      </c>
      <c r="G283" s="132" t="str">
        <f aca="false">ExportRaw!$I283</f>
        <v/>
      </c>
      <c r="H283" s="130" t="str">
        <f aca="false">ExportRaw!$A283</f>
        <v/>
      </c>
      <c r="I283" s="130" t="str">
        <f aca="false">ExportRaw!$B283</f>
        <v/>
      </c>
    </row>
    <row r="284" customFormat="false" ht="15.75" hidden="false" customHeight="false" outlineLevel="0" collapsed="false">
      <c r="A284" s="130" t="n">
        <f aca="false">ExportRaw!$F284</f>
        <v>0</v>
      </c>
      <c r="B284" s="130" t="n">
        <f aca="false">ExportRaw!$C284</f>
        <v>0</v>
      </c>
      <c r="C284" s="130" t="n">
        <f aca="false">ExportRaw!$G284</f>
        <v>0</v>
      </c>
      <c r="D284" s="130" t="str">
        <f aca="false">ExportRaw!$E284</f>
        <v/>
      </c>
      <c r="E284" s="131" t="str">
        <f aca="false">ExportRaw!$D284</f>
        <v/>
      </c>
      <c r="F284" s="130" t="str">
        <f aca="false">ExportRaw!$H284</f>
        <v/>
      </c>
      <c r="G284" s="132" t="str">
        <f aca="false">ExportRaw!$I284</f>
        <v/>
      </c>
      <c r="H284" s="130" t="str">
        <f aca="false">ExportRaw!$A284</f>
        <v/>
      </c>
      <c r="I284" s="130" t="str">
        <f aca="false">ExportRaw!$B284</f>
        <v/>
      </c>
    </row>
    <row r="285" customFormat="false" ht="15.75" hidden="false" customHeight="false" outlineLevel="0" collapsed="false">
      <c r="A285" s="130" t="n">
        <f aca="false">ExportRaw!$F285</f>
        <v>0</v>
      </c>
      <c r="B285" s="130" t="n">
        <f aca="false">ExportRaw!$C285</f>
        <v>0</v>
      </c>
      <c r="C285" s="130" t="n">
        <f aca="false">ExportRaw!$G285</f>
        <v>0</v>
      </c>
      <c r="D285" s="130" t="str">
        <f aca="false">ExportRaw!$E285</f>
        <v/>
      </c>
      <c r="E285" s="131" t="str">
        <f aca="false">ExportRaw!$D285</f>
        <v/>
      </c>
      <c r="F285" s="130" t="str">
        <f aca="false">ExportRaw!$H285</f>
        <v/>
      </c>
      <c r="G285" s="132" t="str">
        <f aca="false">ExportRaw!$I285</f>
        <v/>
      </c>
      <c r="H285" s="130" t="str">
        <f aca="false">ExportRaw!$A285</f>
        <v/>
      </c>
      <c r="I285" s="130" t="str">
        <f aca="false">ExportRaw!$B285</f>
        <v/>
      </c>
    </row>
    <row r="286" customFormat="false" ht="15.75" hidden="false" customHeight="false" outlineLevel="0" collapsed="false">
      <c r="A286" s="130" t="n">
        <f aca="false">ExportRaw!$F286</f>
        <v>0</v>
      </c>
      <c r="B286" s="130" t="n">
        <f aca="false">ExportRaw!$C286</f>
        <v>0</v>
      </c>
      <c r="C286" s="130" t="n">
        <f aca="false">ExportRaw!$G286</f>
        <v>0</v>
      </c>
      <c r="D286" s="130" t="str">
        <f aca="false">ExportRaw!$E286</f>
        <v/>
      </c>
      <c r="E286" s="131" t="str">
        <f aca="false">ExportRaw!$D286</f>
        <v/>
      </c>
      <c r="F286" s="130" t="str">
        <f aca="false">ExportRaw!$H286</f>
        <v/>
      </c>
      <c r="G286" s="132" t="str">
        <f aca="false">ExportRaw!$I286</f>
        <v/>
      </c>
      <c r="H286" s="130" t="str">
        <f aca="false">ExportRaw!$A286</f>
        <v/>
      </c>
      <c r="I286" s="130" t="str">
        <f aca="false">ExportRaw!$B286</f>
        <v/>
      </c>
    </row>
    <row r="287" customFormat="false" ht="15.75" hidden="false" customHeight="false" outlineLevel="0" collapsed="false">
      <c r="A287" s="130" t="n">
        <f aca="false">ExportRaw!$F287</f>
        <v>0</v>
      </c>
      <c r="B287" s="130" t="n">
        <f aca="false">ExportRaw!$C287</f>
        <v>0</v>
      </c>
      <c r="C287" s="130" t="n">
        <f aca="false">ExportRaw!$G287</f>
        <v>0</v>
      </c>
      <c r="D287" s="130" t="str">
        <f aca="false">ExportRaw!$E287</f>
        <v/>
      </c>
      <c r="E287" s="131" t="str">
        <f aca="false">ExportRaw!$D287</f>
        <v/>
      </c>
      <c r="F287" s="130" t="str">
        <f aca="false">ExportRaw!$H287</f>
        <v/>
      </c>
      <c r="G287" s="132" t="str">
        <f aca="false">ExportRaw!$I287</f>
        <v/>
      </c>
      <c r="H287" s="130" t="str">
        <f aca="false">ExportRaw!$A287</f>
        <v/>
      </c>
      <c r="I287" s="130" t="str">
        <f aca="false">ExportRaw!$B287</f>
        <v/>
      </c>
    </row>
    <row r="288" customFormat="false" ht="15.75" hidden="false" customHeight="false" outlineLevel="0" collapsed="false">
      <c r="A288" s="130" t="n">
        <f aca="false">ExportRaw!$F288</f>
        <v>0</v>
      </c>
      <c r="B288" s="130" t="n">
        <f aca="false">ExportRaw!$C288</f>
        <v>0</v>
      </c>
      <c r="C288" s="130" t="n">
        <f aca="false">ExportRaw!$G288</f>
        <v>0</v>
      </c>
      <c r="D288" s="130" t="str">
        <f aca="false">ExportRaw!$E288</f>
        <v/>
      </c>
      <c r="E288" s="131" t="str">
        <f aca="false">ExportRaw!$D288</f>
        <v/>
      </c>
      <c r="F288" s="130" t="str">
        <f aca="false">ExportRaw!$H288</f>
        <v/>
      </c>
      <c r="G288" s="132" t="str">
        <f aca="false">ExportRaw!$I288</f>
        <v/>
      </c>
      <c r="H288" s="130" t="str">
        <f aca="false">ExportRaw!$A288</f>
        <v/>
      </c>
      <c r="I288" s="130" t="str">
        <f aca="false">ExportRaw!$B288</f>
        <v/>
      </c>
    </row>
    <row r="289" customFormat="false" ht="15.75" hidden="false" customHeight="false" outlineLevel="0" collapsed="false">
      <c r="A289" s="130" t="n">
        <f aca="false">ExportRaw!$F289</f>
        <v>0</v>
      </c>
      <c r="B289" s="130" t="n">
        <f aca="false">ExportRaw!$C289</f>
        <v>0</v>
      </c>
      <c r="C289" s="130" t="n">
        <f aca="false">ExportRaw!$G289</f>
        <v>0</v>
      </c>
      <c r="D289" s="130" t="str">
        <f aca="false">ExportRaw!$E289</f>
        <v/>
      </c>
      <c r="E289" s="131" t="str">
        <f aca="false">ExportRaw!$D289</f>
        <v/>
      </c>
      <c r="F289" s="130" t="str">
        <f aca="false">ExportRaw!$H289</f>
        <v/>
      </c>
      <c r="G289" s="132" t="str">
        <f aca="false">ExportRaw!$I289</f>
        <v/>
      </c>
      <c r="H289" s="130" t="str">
        <f aca="false">ExportRaw!$A289</f>
        <v/>
      </c>
      <c r="I289" s="130" t="str">
        <f aca="false">ExportRaw!$B289</f>
        <v/>
      </c>
    </row>
    <row r="290" customFormat="false" ht="15.75" hidden="false" customHeight="false" outlineLevel="0" collapsed="false">
      <c r="A290" s="130" t="n">
        <f aca="false">ExportRaw!$F290</f>
        <v>0</v>
      </c>
      <c r="B290" s="130" t="n">
        <f aca="false">ExportRaw!$C290</f>
        <v>0</v>
      </c>
      <c r="C290" s="130" t="n">
        <f aca="false">ExportRaw!$G290</f>
        <v>0</v>
      </c>
      <c r="D290" s="130" t="str">
        <f aca="false">ExportRaw!$E290</f>
        <v/>
      </c>
      <c r="E290" s="131" t="str">
        <f aca="false">ExportRaw!$D290</f>
        <v/>
      </c>
      <c r="F290" s="130" t="str">
        <f aca="false">ExportRaw!$H290</f>
        <v/>
      </c>
      <c r="G290" s="132" t="str">
        <f aca="false">ExportRaw!$I290</f>
        <v/>
      </c>
      <c r="H290" s="130" t="str">
        <f aca="false">ExportRaw!$A290</f>
        <v/>
      </c>
      <c r="I290" s="130" t="str">
        <f aca="false">ExportRaw!$B290</f>
        <v/>
      </c>
    </row>
    <row r="291" customFormat="false" ht="15.75" hidden="false" customHeight="false" outlineLevel="0" collapsed="false">
      <c r="A291" s="130" t="n">
        <f aca="false">ExportRaw!$F291</f>
        <v>0</v>
      </c>
      <c r="B291" s="130" t="n">
        <f aca="false">ExportRaw!$C291</f>
        <v>0</v>
      </c>
      <c r="C291" s="130" t="n">
        <f aca="false">ExportRaw!$G291</f>
        <v>0</v>
      </c>
      <c r="D291" s="130" t="str">
        <f aca="false">ExportRaw!$E291</f>
        <v/>
      </c>
      <c r="E291" s="131" t="str">
        <f aca="false">ExportRaw!$D291</f>
        <v/>
      </c>
      <c r="F291" s="130" t="str">
        <f aca="false">ExportRaw!$H291</f>
        <v/>
      </c>
      <c r="G291" s="132" t="str">
        <f aca="false">ExportRaw!$I291</f>
        <v/>
      </c>
      <c r="H291" s="130" t="str">
        <f aca="false">ExportRaw!$A291</f>
        <v/>
      </c>
      <c r="I291" s="130" t="str">
        <f aca="false">ExportRaw!$B291</f>
        <v/>
      </c>
    </row>
    <row r="292" customFormat="false" ht="15.75" hidden="false" customHeight="false" outlineLevel="0" collapsed="false">
      <c r="A292" s="130" t="n">
        <f aca="false">ExportRaw!$F292</f>
        <v>0</v>
      </c>
      <c r="B292" s="130" t="n">
        <f aca="false">ExportRaw!$C292</f>
        <v>0</v>
      </c>
      <c r="C292" s="130" t="n">
        <f aca="false">ExportRaw!$G292</f>
        <v>0</v>
      </c>
      <c r="D292" s="130" t="str">
        <f aca="false">ExportRaw!$E292</f>
        <v/>
      </c>
      <c r="E292" s="131" t="str">
        <f aca="false">ExportRaw!$D292</f>
        <v/>
      </c>
      <c r="F292" s="130" t="str">
        <f aca="false">ExportRaw!$H292</f>
        <v/>
      </c>
      <c r="G292" s="132" t="str">
        <f aca="false">ExportRaw!$I292</f>
        <v/>
      </c>
      <c r="H292" s="130" t="str">
        <f aca="false">ExportRaw!$A292</f>
        <v/>
      </c>
      <c r="I292" s="130" t="str">
        <f aca="false">ExportRaw!$B292</f>
        <v/>
      </c>
    </row>
    <row r="293" customFormat="false" ht="15.75" hidden="false" customHeight="false" outlineLevel="0" collapsed="false">
      <c r="A293" s="130" t="n">
        <f aca="false">ExportRaw!$F293</f>
        <v>0</v>
      </c>
      <c r="B293" s="130" t="n">
        <f aca="false">ExportRaw!$C293</f>
        <v>0</v>
      </c>
      <c r="C293" s="130" t="n">
        <f aca="false">ExportRaw!$G293</f>
        <v>0</v>
      </c>
      <c r="D293" s="130" t="str">
        <f aca="false">ExportRaw!$E293</f>
        <v/>
      </c>
      <c r="E293" s="131" t="str">
        <f aca="false">ExportRaw!$D293</f>
        <v/>
      </c>
      <c r="F293" s="130" t="str">
        <f aca="false">ExportRaw!$H293</f>
        <v/>
      </c>
      <c r="G293" s="132" t="str">
        <f aca="false">ExportRaw!$I293</f>
        <v/>
      </c>
      <c r="H293" s="130" t="str">
        <f aca="false">ExportRaw!$A293</f>
        <v/>
      </c>
      <c r="I293" s="130" t="str">
        <f aca="false">ExportRaw!$B293</f>
        <v/>
      </c>
    </row>
    <row r="294" customFormat="false" ht="15.75" hidden="false" customHeight="false" outlineLevel="0" collapsed="false">
      <c r="A294" s="130" t="n">
        <f aca="false">ExportRaw!$F294</f>
        <v>0</v>
      </c>
      <c r="B294" s="130" t="n">
        <f aca="false">ExportRaw!$C294</f>
        <v>0</v>
      </c>
      <c r="C294" s="130" t="n">
        <f aca="false">ExportRaw!$G294</f>
        <v>0</v>
      </c>
      <c r="D294" s="130" t="str">
        <f aca="false">ExportRaw!$E294</f>
        <v/>
      </c>
      <c r="E294" s="131" t="str">
        <f aca="false">ExportRaw!$D294</f>
        <v/>
      </c>
      <c r="F294" s="130" t="str">
        <f aca="false">ExportRaw!$H294</f>
        <v/>
      </c>
      <c r="G294" s="132" t="str">
        <f aca="false">ExportRaw!$I294</f>
        <v/>
      </c>
      <c r="H294" s="130" t="str">
        <f aca="false">ExportRaw!$A294</f>
        <v/>
      </c>
      <c r="I294" s="130" t="str">
        <f aca="false">ExportRaw!$B294</f>
        <v/>
      </c>
    </row>
    <row r="295" customFormat="false" ht="15.75" hidden="false" customHeight="false" outlineLevel="0" collapsed="false">
      <c r="A295" s="130" t="n">
        <f aca="false">ExportRaw!$F295</f>
        <v>0</v>
      </c>
      <c r="B295" s="130" t="n">
        <f aca="false">ExportRaw!$C295</f>
        <v>0</v>
      </c>
      <c r="C295" s="130" t="n">
        <f aca="false">ExportRaw!$G295</f>
        <v>0</v>
      </c>
      <c r="D295" s="130" t="str">
        <f aca="false">ExportRaw!$E295</f>
        <v/>
      </c>
      <c r="E295" s="131" t="str">
        <f aca="false">ExportRaw!$D295</f>
        <v/>
      </c>
      <c r="F295" s="130" t="str">
        <f aca="false">ExportRaw!$H295</f>
        <v/>
      </c>
      <c r="G295" s="132" t="str">
        <f aca="false">ExportRaw!$I295</f>
        <v/>
      </c>
      <c r="H295" s="130" t="str">
        <f aca="false">ExportRaw!$A295</f>
        <v/>
      </c>
      <c r="I295" s="130" t="str">
        <f aca="false">ExportRaw!$B295</f>
        <v/>
      </c>
    </row>
    <row r="296" customFormat="false" ht="15.75" hidden="false" customHeight="false" outlineLevel="0" collapsed="false">
      <c r="A296" s="130" t="n">
        <f aca="false">ExportRaw!$F296</f>
        <v>0</v>
      </c>
      <c r="B296" s="130" t="n">
        <f aca="false">ExportRaw!$C296</f>
        <v>0</v>
      </c>
      <c r="C296" s="130" t="n">
        <f aca="false">ExportRaw!$G296</f>
        <v>0</v>
      </c>
      <c r="D296" s="130" t="str">
        <f aca="false">ExportRaw!$E296</f>
        <v/>
      </c>
      <c r="E296" s="131" t="str">
        <f aca="false">ExportRaw!$D296</f>
        <v/>
      </c>
      <c r="F296" s="130" t="str">
        <f aca="false">ExportRaw!$H296</f>
        <v/>
      </c>
      <c r="G296" s="132" t="str">
        <f aca="false">ExportRaw!$I296</f>
        <v/>
      </c>
      <c r="H296" s="130" t="str">
        <f aca="false">ExportRaw!$A296</f>
        <v/>
      </c>
      <c r="I296" s="130" t="str">
        <f aca="false">ExportRaw!$B296</f>
        <v/>
      </c>
    </row>
    <row r="297" customFormat="false" ht="15.75" hidden="false" customHeight="false" outlineLevel="0" collapsed="false">
      <c r="A297" s="130" t="n">
        <f aca="false">ExportRaw!$F297</f>
        <v>0</v>
      </c>
      <c r="B297" s="130" t="n">
        <f aca="false">ExportRaw!$C297</f>
        <v>0</v>
      </c>
      <c r="C297" s="130" t="n">
        <f aca="false">ExportRaw!$G297</f>
        <v>0</v>
      </c>
      <c r="D297" s="130" t="str">
        <f aca="false">ExportRaw!$E297</f>
        <v/>
      </c>
      <c r="E297" s="131" t="str">
        <f aca="false">ExportRaw!$D297</f>
        <v/>
      </c>
      <c r="F297" s="130" t="str">
        <f aca="false">ExportRaw!$H297</f>
        <v/>
      </c>
      <c r="G297" s="132" t="str">
        <f aca="false">ExportRaw!$I297</f>
        <v/>
      </c>
      <c r="H297" s="130" t="str">
        <f aca="false">ExportRaw!$A297</f>
        <v/>
      </c>
      <c r="I297" s="130" t="str">
        <f aca="false">ExportRaw!$B297</f>
        <v/>
      </c>
    </row>
    <row r="298" customFormat="false" ht="15.75" hidden="false" customHeight="false" outlineLevel="0" collapsed="false">
      <c r="A298" s="130" t="n">
        <f aca="false">ExportRaw!$F298</f>
        <v>0</v>
      </c>
      <c r="B298" s="130" t="n">
        <f aca="false">ExportRaw!$C298</f>
        <v>0</v>
      </c>
      <c r="C298" s="130" t="n">
        <f aca="false">ExportRaw!$G298</f>
        <v>0</v>
      </c>
      <c r="D298" s="130" t="str">
        <f aca="false">ExportRaw!$E298</f>
        <v/>
      </c>
      <c r="E298" s="131" t="str">
        <f aca="false">ExportRaw!$D298</f>
        <v/>
      </c>
      <c r="F298" s="130" t="str">
        <f aca="false">ExportRaw!$H298</f>
        <v/>
      </c>
      <c r="G298" s="132" t="str">
        <f aca="false">ExportRaw!$I298</f>
        <v/>
      </c>
      <c r="H298" s="130" t="str">
        <f aca="false">ExportRaw!$A298</f>
        <v/>
      </c>
      <c r="I298" s="130" t="str">
        <f aca="false">ExportRaw!$B298</f>
        <v/>
      </c>
    </row>
    <row r="299" customFormat="false" ht="15.75" hidden="false" customHeight="false" outlineLevel="0" collapsed="false">
      <c r="A299" s="130" t="n">
        <f aca="false">ExportRaw!$F299</f>
        <v>0</v>
      </c>
      <c r="B299" s="130" t="n">
        <f aca="false">ExportRaw!$C299</f>
        <v>0</v>
      </c>
      <c r="C299" s="130" t="n">
        <f aca="false">ExportRaw!$G299</f>
        <v>0</v>
      </c>
      <c r="D299" s="130" t="str">
        <f aca="false">ExportRaw!$E299</f>
        <v/>
      </c>
      <c r="E299" s="131" t="str">
        <f aca="false">ExportRaw!$D299</f>
        <v/>
      </c>
      <c r="F299" s="130" t="str">
        <f aca="false">ExportRaw!$H299</f>
        <v/>
      </c>
      <c r="G299" s="132" t="str">
        <f aca="false">ExportRaw!$I299</f>
        <v/>
      </c>
      <c r="H299" s="130" t="str">
        <f aca="false">ExportRaw!$A299</f>
        <v/>
      </c>
      <c r="I299" s="130" t="str">
        <f aca="false">ExportRaw!$B299</f>
        <v/>
      </c>
    </row>
    <row r="300" customFormat="false" ht="15.75" hidden="false" customHeight="false" outlineLevel="0" collapsed="false">
      <c r="A300" s="130" t="n">
        <f aca="false">ExportRaw!$F300</f>
        <v>0</v>
      </c>
      <c r="B300" s="130" t="n">
        <f aca="false">ExportRaw!$C300</f>
        <v>0</v>
      </c>
      <c r="C300" s="130" t="n">
        <f aca="false">ExportRaw!$G300</f>
        <v>0</v>
      </c>
      <c r="D300" s="130" t="str">
        <f aca="false">ExportRaw!$E300</f>
        <v/>
      </c>
      <c r="E300" s="131" t="str">
        <f aca="false">ExportRaw!$D300</f>
        <v/>
      </c>
      <c r="F300" s="130" t="str">
        <f aca="false">ExportRaw!$H300</f>
        <v/>
      </c>
      <c r="G300" s="132" t="str">
        <f aca="false">ExportRaw!$I300</f>
        <v/>
      </c>
      <c r="H300" s="130" t="str">
        <f aca="false">ExportRaw!$A300</f>
        <v/>
      </c>
      <c r="I300" s="130" t="str">
        <f aca="false">ExportRaw!$B300</f>
        <v/>
      </c>
    </row>
    <row r="301" customFormat="false" ht="15.75" hidden="false" customHeight="false" outlineLevel="0" collapsed="false">
      <c r="A301" s="130" t="n">
        <f aca="false">ExportRaw!$F301</f>
        <v>0</v>
      </c>
      <c r="B301" s="130" t="n">
        <f aca="false">ExportRaw!$C301</f>
        <v>0</v>
      </c>
      <c r="C301" s="130" t="n">
        <f aca="false">ExportRaw!$G301</f>
        <v>0</v>
      </c>
      <c r="D301" s="130" t="str">
        <f aca="false">ExportRaw!$E301</f>
        <v/>
      </c>
      <c r="E301" s="131" t="str">
        <f aca="false">ExportRaw!$D301</f>
        <v/>
      </c>
      <c r="F301" s="130" t="str">
        <f aca="false">ExportRaw!$H301</f>
        <v/>
      </c>
      <c r="G301" s="132" t="str">
        <f aca="false">ExportRaw!$I301</f>
        <v/>
      </c>
      <c r="H301" s="130" t="str">
        <f aca="false">ExportRaw!$A301</f>
        <v/>
      </c>
      <c r="I301" s="130" t="str">
        <f aca="false">ExportRaw!$B301</f>
        <v/>
      </c>
    </row>
    <row r="302" customFormat="false" ht="15.75" hidden="false" customHeight="false" outlineLevel="0" collapsed="false">
      <c r="A302" s="130" t="n">
        <f aca="false">ExportRaw!$F302</f>
        <v>0</v>
      </c>
      <c r="B302" s="130" t="n">
        <f aca="false">ExportRaw!$C302</f>
        <v>0</v>
      </c>
      <c r="C302" s="130" t="n">
        <f aca="false">ExportRaw!$G302</f>
        <v>0</v>
      </c>
      <c r="D302" s="130" t="str">
        <f aca="false">ExportRaw!$E302</f>
        <v/>
      </c>
      <c r="E302" s="131" t="str">
        <f aca="false">ExportRaw!$D302</f>
        <v/>
      </c>
      <c r="F302" s="130" t="str">
        <f aca="false">ExportRaw!$H302</f>
        <v/>
      </c>
      <c r="G302" s="132" t="str">
        <f aca="false">ExportRaw!$I302</f>
        <v/>
      </c>
      <c r="H302" s="130" t="str">
        <f aca="false">ExportRaw!$A302</f>
        <v/>
      </c>
      <c r="I302" s="130" t="str">
        <f aca="false">ExportRaw!$B302</f>
        <v/>
      </c>
    </row>
    <row r="303" customFormat="false" ht="15.75" hidden="false" customHeight="false" outlineLevel="0" collapsed="false">
      <c r="A303" s="130" t="n">
        <f aca="false">ExportRaw!$F303</f>
        <v>0</v>
      </c>
      <c r="B303" s="130" t="n">
        <f aca="false">ExportRaw!$C303</f>
        <v>0</v>
      </c>
      <c r="C303" s="130" t="n">
        <f aca="false">ExportRaw!$G303</f>
        <v>0</v>
      </c>
      <c r="D303" s="130" t="str">
        <f aca="false">ExportRaw!$E303</f>
        <v/>
      </c>
      <c r="E303" s="131" t="str">
        <f aca="false">ExportRaw!$D303</f>
        <v/>
      </c>
      <c r="F303" s="130" t="str">
        <f aca="false">ExportRaw!$H303</f>
        <v/>
      </c>
      <c r="G303" s="132" t="str">
        <f aca="false">ExportRaw!$I303</f>
        <v/>
      </c>
      <c r="H303" s="130" t="str">
        <f aca="false">ExportRaw!$A303</f>
        <v/>
      </c>
      <c r="I303" s="130" t="str">
        <f aca="false">ExportRaw!$B303</f>
        <v/>
      </c>
    </row>
    <row r="304" customFormat="false" ht="15.75" hidden="false" customHeight="false" outlineLevel="0" collapsed="false">
      <c r="A304" s="130" t="n">
        <f aca="false">ExportRaw!$F304</f>
        <v>0</v>
      </c>
      <c r="B304" s="130" t="n">
        <f aca="false">ExportRaw!$C304</f>
        <v>0</v>
      </c>
      <c r="C304" s="130" t="n">
        <f aca="false">ExportRaw!$G304</f>
        <v>0</v>
      </c>
      <c r="D304" s="130" t="str">
        <f aca="false">ExportRaw!$E304</f>
        <v/>
      </c>
      <c r="E304" s="131" t="str">
        <f aca="false">ExportRaw!$D304</f>
        <v/>
      </c>
      <c r="F304" s="130" t="str">
        <f aca="false">ExportRaw!$H304</f>
        <v/>
      </c>
      <c r="G304" s="132" t="str">
        <f aca="false">ExportRaw!$I304</f>
        <v/>
      </c>
      <c r="H304" s="130" t="str">
        <f aca="false">ExportRaw!$A304</f>
        <v/>
      </c>
      <c r="I304" s="130" t="str">
        <f aca="false">ExportRaw!$B304</f>
        <v/>
      </c>
    </row>
    <row r="305" customFormat="false" ht="15.75" hidden="false" customHeight="false" outlineLevel="0" collapsed="false">
      <c r="A305" s="130" t="n">
        <f aca="false">ExportRaw!$F305</f>
        <v>0</v>
      </c>
      <c r="B305" s="130" t="n">
        <f aca="false">ExportRaw!$C305</f>
        <v>0</v>
      </c>
      <c r="C305" s="130" t="n">
        <f aca="false">ExportRaw!$G305</f>
        <v>0</v>
      </c>
      <c r="D305" s="130" t="str">
        <f aca="false">ExportRaw!$E305</f>
        <v/>
      </c>
      <c r="E305" s="131" t="str">
        <f aca="false">ExportRaw!$D305</f>
        <v/>
      </c>
      <c r="F305" s="130" t="str">
        <f aca="false">ExportRaw!$H305</f>
        <v/>
      </c>
      <c r="G305" s="132" t="str">
        <f aca="false">ExportRaw!$I305</f>
        <v/>
      </c>
      <c r="H305" s="130" t="str">
        <f aca="false">ExportRaw!$A305</f>
        <v/>
      </c>
      <c r="I305" s="130" t="str">
        <f aca="false">ExportRaw!$B305</f>
        <v/>
      </c>
    </row>
    <row r="306" customFormat="false" ht="15.75" hidden="false" customHeight="false" outlineLevel="0" collapsed="false">
      <c r="A306" s="130" t="n">
        <f aca="false">ExportRaw!$F306</f>
        <v>0</v>
      </c>
      <c r="B306" s="130" t="n">
        <f aca="false">ExportRaw!$C306</f>
        <v>0</v>
      </c>
      <c r="C306" s="130" t="n">
        <f aca="false">ExportRaw!$G306</f>
        <v>0</v>
      </c>
      <c r="D306" s="130" t="str">
        <f aca="false">ExportRaw!$E306</f>
        <v/>
      </c>
      <c r="E306" s="131" t="str">
        <f aca="false">ExportRaw!$D306</f>
        <v/>
      </c>
      <c r="F306" s="130" t="str">
        <f aca="false">ExportRaw!$H306</f>
        <v/>
      </c>
      <c r="G306" s="132" t="str">
        <f aca="false">ExportRaw!$I306</f>
        <v/>
      </c>
      <c r="H306" s="130" t="str">
        <f aca="false">ExportRaw!$A306</f>
        <v/>
      </c>
      <c r="I306" s="130" t="str">
        <f aca="false">ExportRaw!$B306</f>
        <v/>
      </c>
    </row>
    <row r="307" customFormat="false" ht="15.75" hidden="false" customHeight="false" outlineLevel="0" collapsed="false">
      <c r="A307" s="130" t="n">
        <f aca="false">ExportRaw!$F307</f>
        <v>0</v>
      </c>
      <c r="B307" s="130" t="n">
        <f aca="false">ExportRaw!$C307</f>
        <v>0</v>
      </c>
      <c r="C307" s="130" t="n">
        <f aca="false">ExportRaw!$G307</f>
        <v>0</v>
      </c>
      <c r="D307" s="130" t="str">
        <f aca="false">ExportRaw!$E307</f>
        <v/>
      </c>
      <c r="E307" s="131" t="str">
        <f aca="false">ExportRaw!$D307</f>
        <v/>
      </c>
      <c r="F307" s="130" t="str">
        <f aca="false">ExportRaw!$H307</f>
        <v/>
      </c>
      <c r="G307" s="132" t="str">
        <f aca="false">ExportRaw!$I307</f>
        <v/>
      </c>
      <c r="H307" s="130" t="str">
        <f aca="false">ExportRaw!$A307</f>
        <v/>
      </c>
      <c r="I307" s="130" t="str">
        <f aca="false">ExportRaw!$B307</f>
        <v/>
      </c>
    </row>
    <row r="308" customFormat="false" ht="15.75" hidden="false" customHeight="false" outlineLevel="0" collapsed="false">
      <c r="A308" s="130" t="n">
        <f aca="false">ExportRaw!$F308</f>
        <v>0</v>
      </c>
      <c r="B308" s="130" t="n">
        <f aca="false">ExportRaw!$C308</f>
        <v>0</v>
      </c>
      <c r="C308" s="130" t="n">
        <f aca="false">ExportRaw!$G308</f>
        <v>0</v>
      </c>
      <c r="D308" s="130" t="str">
        <f aca="false">ExportRaw!$E308</f>
        <v/>
      </c>
      <c r="E308" s="131" t="str">
        <f aca="false">ExportRaw!$D308</f>
        <v/>
      </c>
      <c r="F308" s="130" t="str">
        <f aca="false">ExportRaw!$H308</f>
        <v/>
      </c>
      <c r="G308" s="132" t="str">
        <f aca="false">ExportRaw!$I308</f>
        <v/>
      </c>
      <c r="H308" s="130" t="str">
        <f aca="false">ExportRaw!$A308</f>
        <v/>
      </c>
      <c r="I308" s="130" t="str">
        <f aca="false">ExportRaw!$B308</f>
        <v/>
      </c>
    </row>
    <row r="309" customFormat="false" ht="15.75" hidden="false" customHeight="false" outlineLevel="0" collapsed="false">
      <c r="A309" s="130" t="n">
        <f aca="false">ExportRaw!$F309</f>
        <v>0</v>
      </c>
      <c r="B309" s="130" t="n">
        <f aca="false">ExportRaw!$C309</f>
        <v>0</v>
      </c>
      <c r="C309" s="130" t="n">
        <f aca="false">ExportRaw!$G309</f>
        <v>0</v>
      </c>
      <c r="D309" s="130" t="str">
        <f aca="false">ExportRaw!$E309</f>
        <v/>
      </c>
      <c r="E309" s="131" t="str">
        <f aca="false">ExportRaw!$D309</f>
        <v/>
      </c>
      <c r="F309" s="130" t="str">
        <f aca="false">ExportRaw!$H309</f>
        <v/>
      </c>
      <c r="G309" s="132" t="str">
        <f aca="false">ExportRaw!$I309</f>
        <v/>
      </c>
      <c r="H309" s="130" t="str">
        <f aca="false">ExportRaw!$A309</f>
        <v/>
      </c>
      <c r="I309" s="130" t="str">
        <f aca="false">ExportRaw!$B309</f>
        <v/>
      </c>
    </row>
    <row r="310" customFormat="false" ht="15.75" hidden="false" customHeight="false" outlineLevel="0" collapsed="false">
      <c r="A310" s="130" t="n">
        <f aca="false">ExportRaw!$F310</f>
        <v>0</v>
      </c>
      <c r="B310" s="130" t="n">
        <f aca="false">ExportRaw!$C310</f>
        <v>0</v>
      </c>
      <c r="C310" s="130" t="n">
        <f aca="false">ExportRaw!$G310</f>
        <v>0</v>
      </c>
      <c r="D310" s="130" t="str">
        <f aca="false">ExportRaw!$E310</f>
        <v/>
      </c>
      <c r="E310" s="131" t="str">
        <f aca="false">ExportRaw!$D310</f>
        <v/>
      </c>
      <c r="F310" s="130" t="str">
        <f aca="false">ExportRaw!$H310</f>
        <v/>
      </c>
      <c r="G310" s="132" t="str">
        <f aca="false">ExportRaw!$I310</f>
        <v/>
      </c>
      <c r="H310" s="130" t="str">
        <f aca="false">ExportRaw!$A310</f>
        <v/>
      </c>
      <c r="I310" s="130" t="str">
        <f aca="false">ExportRaw!$B310</f>
        <v/>
      </c>
    </row>
    <row r="311" customFormat="false" ht="15.75" hidden="false" customHeight="false" outlineLevel="0" collapsed="false">
      <c r="A311" s="130" t="n">
        <f aca="false">ExportRaw!$F311</f>
        <v>0</v>
      </c>
      <c r="B311" s="130" t="n">
        <f aca="false">ExportRaw!$C311</f>
        <v>0</v>
      </c>
      <c r="C311" s="130" t="n">
        <f aca="false">ExportRaw!$G311</f>
        <v>0</v>
      </c>
      <c r="D311" s="130" t="str">
        <f aca="false">ExportRaw!$E311</f>
        <v/>
      </c>
      <c r="E311" s="131" t="str">
        <f aca="false">ExportRaw!$D311</f>
        <v/>
      </c>
      <c r="F311" s="130" t="str">
        <f aca="false">ExportRaw!$H311</f>
        <v/>
      </c>
      <c r="G311" s="132" t="str">
        <f aca="false">ExportRaw!$I311</f>
        <v/>
      </c>
      <c r="H311" s="130" t="str">
        <f aca="false">ExportRaw!$A311</f>
        <v/>
      </c>
      <c r="I311" s="130" t="str">
        <f aca="false">ExportRaw!$B311</f>
        <v/>
      </c>
    </row>
    <row r="312" customFormat="false" ht="15.75" hidden="false" customHeight="false" outlineLevel="0" collapsed="false">
      <c r="A312" s="130" t="n">
        <f aca="false">ExportRaw!$F312</f>
        <v>0</v>
      </c>
      <c r="B312" s="130" t="n">
        <f aca="false">ExportRaw!$C312</f>
        <v>0</v>
      </c>
      <c r="C312" s="130" t="n">
        <f aca="false">ExportRaw!$G312</f>
        <v>0</v>
      </c>
      <c r="D312" s="130" t="str">
        <f aca="false">ExportRaw!$E312</f>
        <v/>
      </c>
      <c r="E312" s="131" t="str">
        <f aca="false">ExportRaw!$D312</f>
        <v/>
      </c>
      <c r="F312" s="130" t="str">
        <f aca="false">ExportRaw!$H312</f>
        <v/>
      </c>
      <c r="G312" s="132" t="str">
        <f aca="false">ExportRaw!$I312</f>
        <v/>
      </c>
      <c r="H312" s="130" t="str">
        <f aca="false">ExportRaw!$A312</f>
        <v/>
      </c>
      <c r="I312" s="130" t="str">
        <f aca="false">ExportRaw!$B312</f>
        <v/>
      </c>
    </row>
    <row r="313" customFormat="false" ht="15.75" hidden="false" customHeight="false" outlineLevel="0" collapsed="false">
      <c r="A313" s="130" t="n">
        <f aca="false">ExportRaw!$F313</f>
        <v>0</v>
      </c>
      <c r="B313" s="130" t="n">
        <f aca="false">ExportRaw!$C313</f>
        <v>0</v>
      </c>
      <c r="C313" s="130" t="n">
        <f aca="false">ExportRaw!$G313</f>
        <v>0</v>
      </c>
      <c r="D313" s="130" t="str">
        <f aca="false">ExportRaw!$E313</f>
        <v/>
      </c>
      <c r="E313" s="131" t="str">
        <f aca="false">ExportRaw!$D313</f>
        <v/>
      </c>
      <c r="F313" s="130" t="str">
        <f aca="false">ExportRaw!$H313</f>
        <v/>
      </c>
      <c r="G313" s="132" t="str">
        <f aca="false">ExportRaw!$I313</f>
        <v/>
      </c>
      <c r="H313" s="130" t="str">
        <f aca="false">ExportRaw!$A313</f>
        <v/>
      </c>
      <c r="I313" s="130" t="str">
        <f aca="false">ExportRaw!$B313</f>
        <v/>
      </c>
    </row>
    <row r="314" customFormat="false" ht="15.75" hidden="false" customHeight="false" outlineLevel="0" collapsed="false">
      <c r="A314" s="130" t="n">
        <f aca="false">ExportRaw!$F314</f>
        <v>0</v>
      </c>
      <c r="B314" s="130" t="n">
        <f aca="false">ExportRaw!$C314</f>
        <v>0</v>
      </c>
      <c r="C314" s="130" t="n">
        <f aca="false">ExportRaw!$G314</f>
        <v>0</v>
      </c>
      <c r="D314" s="130" t="str">
        <f aca="false">ExportRaw!$E314</f>
        <v/>
      </c>
      <c r="E314" s="131" t="str">
        <f aca="false">ExportRaw!$D314</f>
        <v/>
      </c>
      <c r="F314" s="130" t="str">
        <f aca="false">ExportRaw!$H314</f>
        <v/>
      </c>
      <c r="G314" s="132" t="str">
        <f aca="false">ExportRaw!$I314</f>
        <v/>
      </c>
      <c r="H314" s="130" t="str">
        <f aca="false">ExportRaw!$A314</f>
        <v/>
      </c>
      <c r="I314" s="130" t="str">
        <f aca="false">ExportRaw!$B314</f>
        <v/>
      </c>
    </row>
    <row r="315" customFormat="false" ht="15.75" hidden="false" customHeight="false" outlineLevel="0" collapsed="false">
      <c r="A315" s="130" t="n">
        <f aca="false">ExportRaw!$F315</f>
        <v>0</v>
      </c>
      <c r="B315" s="130" t="n">
        <f aca="false">ExportRaw!$C315</f>
        <v>0</v>
      </c>
      <c r="C315" s="130" t="n">
        <f aca="false">ExportRaw!$G315</f>
        <v>0</v>
      </c>
      <c r="D315" s="130" t="str">
        <f aca="false">ExportRaw!$E315</f>
        <v/>
      </c>
      <c r="E315" s="131" t="str">
        <f aca="false">ExportRaw!$D315</f>
        <v/>
      </c>
      <c r="F315" s="130" t="str">
        <f aca="false">ExportRaw!$H315</f>
        <v/>
      </c>
      <c r="G315" s="132" t="str">
        <f aca="false">ExportRaw!$I315</f>
        <v/>
      </c>
      <c r="H315" s="130" t="str">
        <f aca="false">ExportRaw!$A315</f>
        <v/>
      </c>
      <c r="I315" s="130" t="str">
        <f aca="false">ExportRaw!$B315</f>
        <v/>
      </c>
    </row>
    <row r="316" customFormat="false" ht="15.75" hidden="false" customHeight="false" outlineLevel="0" collapsed="false">
      <c r="A316" s="130" t="n">
        <f aca="false">ExportRaw!$F316</f>
        <v>0</v>
      </c>
      <c r="B316" s="130" t="n">
        <f aca="false">ExportRaw!$C316</f>
        <v>0</v>
      </c>
      <c r="C316" s="130" t="n">
        <f aca="false">ExportRaw!$G316</f>
        <v>0</v>
      </c>
      <c r="D316" s="130" t="str">
        <f aca="false">ExportRaw!$E316</f>
        <v/>
      </c>
      <c r="E316" s="131" t="str">
        <f aca="false">ExportRaw!$D316</f>
        <v/>
      </c>
      <c r="F316" s="130" t="str">
        <f aca="false">ExportRaw!$H316</f>
        <v/>
      </c>
      <c r="G316" s="132" t="str">
        <f aca="false">ExportRaw!$I316</f>
        <v/>
      </c>
      <c r="H316" s="130" t="str">
        <f aca="false">ExportRaw!$A316</f>
        <v/>
      </c>
      <c r="I316" s="130" t="str">
        <f aca="false">ExportRaw!$B316</f>
        <v/>
      </c>
    </row>
    <row r="317" customFormat="false" ht="15.75" hidden="false" customHeight="false" outlineLevel="0" collapsed="false">
      <c r="A317" s="130" t="n">
        <f aca="false">ExportRaw!$F317</f>
        <v>0</v>
      </c>
      <c r="B317" s="130" t="n">
        <f aca="false">ExportRaw!$C317</f>
        <v>0</v>
      </c>
      <c r="C317" s="130" t="n">
        <f aca="false">ExportRaw!$G317</f>
        <v>0</v>
      </c>
      <c r="D317" s="130" t="str">
        <f aca="false">ExportRaw!$E317</f>
        <v/>
      </c>
      <c r="E317" s="131" t="str">
        <f aca="false">ExportRaw!$D317</f>
        <v/>
      </c>
      <c r="F317" s="130" t="str">
        <f aca="false">ExportRaw!$H317</f>
        <v/>
      </c>
      <c r="G317" s="132" t="str">
        <f aca="false">ExportRaw!$I317</f>
        <v/>
      </c>
      <c r="H317" s="130" t="str">
        <f aca="false">ExportRaw!$A317</f>
        <v/>
      </c>
      <c r="I317" s="130" t="str">
        <f aca="false">ExportRaw!$B317</f>
        <v/>
      </c>
    </row>
    <row r="318" customFormat="false" ht="15.75" hidden="false" customHeight="false" outlineLevel="0" collapsed="false">
      <c r="A318" s="130" t="n">
        <f aca="false">ExportRaw!$F318</f>
        <v>0</v>
      </c>
      <c r="B318" s="130" t="n">
        <f aca="false">ExportRaw!$C318</f>
        <v>0</v>
      </c>
      <c r="C318" s="130" t="n">
        <f aca="false">ExportRaw!$G318</f>
        <v>0</v>
      </c>
      <c r="D318" s="130" t="str">
        <f aca="false">ExportRaw!$E318</f>
        <v/>
      </c>
      <c r="E318" s="131" t="str">
        <f aca="false">ExportRaw!$D318</f>
        <v/>
      </c>
      <c r="F318" s="130" t="str">
        <f aca="false">ExportRaw!$H318</f>
        <v/>
      </c>
      <c r="G318" s="132" t="str">
        <f aca="false">ExportRaw!$I318</f>
        <v/>
      </c>
      <c r="H318" s="130" t="str">
        <f aca="false">ExportRaw!$A318</f>
        <v/>
      </c>
      <c r="I318" s="130" t="str">
        <f aca="false">ExportRaw!$B318</f>
        <v/>
      </c>
    </row>
    <row r="319" customFormat="false" ht="15.75" hidden="false" customHeight="false" outlineLevel="0" collapsed="false">
      <c r="A319" s="130" t="n">
        <f aca="false">ExportRaw!$F319</f>
        <v>0</v>
      </c>
      <c r="B319" s="130" t="n">
        <f aca="false">ExportRaw!$C319</f>
        <v>0</v>
      </c>
      <c r="C319" s="130" t="n">
        <f aca="false">ExportRaw!$G319</f>
        <v>0</v>
      </c>
      <c r="D319" s="130" t="str">
        <f aca="false">ExportRaw!$E319</f>
        <v/>
      </c>
      <c r="E319" s="131" t="str">
        <f aca="false">ExportRaw!$D319</f>
        <v/>
      </c>
      <c r="F319" s="130" t="str">
        <f aca="false">ExportRaw!$H319</f>
        <v/>
      </c>
      <c r="G319" s="132" t="str">
        <f aca="false">ExportRaw!$I319</f>
        <v/>
      </c>
      <c r="H319" s="130" t="str">
        <f aca="false">ExportRaw!$A319</f>
        <v/>
      </c>
      <c r="I319" s="130" t="str">
        <f aca="false">ExportRaw!$B319</f>
        <v/>
      </c>
    </row>
    <row r="320" customFormat="false" ht="15.75" hidden="false" customHeight="false" outlineLevel="0" collapsed="false">
      <c r="A320" s="130" t="n">
        <f aca="false">ExportRaw!$F320</f>
        <v>0</v>
      </c>
      <c r="B320" s="130" t="n">
        <f aca="false">ExportRaw!$C320</f>
        <v>0</v>
      </c>
      <c r="C320" s="130" t="n">
        <f aca="false">ExportRaw!$G320</f>
        <v>0</v>
      </c>
      <c r="D320" s="130" t="str">
        <f aca="false">ExportRaw!$E320</f>
        <v/>
      </c>
      <c r="E320" s="131" t="str">
        <f aca="false">ExportRaw!$D320</f>
        <v/>
      </c>
      <c r="F320" s="130" t="str">
        <f aca="false">ExportRaw!$H320</f>
        <v/>
      </c>
      <c r="G320" s="132" t="str">
        <f aca="false">ExportRaw!$I320</f>
        <v/>
      </c>
      <c r="H320" s="130" t="str">
        <f aca="false">ExportRaw!$A320</f>
        <v/>
      </c>
      <c r="I320" s="130" t="str">
        <f aca="false">ExportRaw!$B320</f>
        <v/>
      </c>
    </row>
    <row r="321" customFormat="false" ht="15.75" hidden="false" customHeight="false" outlineLevel="0" collapsed="false">
      <c r="A321" s="130" t="n">
        <f aca="false">ExportRaw!$F321</f>
        <v>0</v>
      </c>
      <c r="B321" s="130" t="n">
        <f aca="false">ExportRaw!$C321</f>
        <v>0</v>
      </c>
      <c r="C321" s="130" t="n">
        <f aca="false">ExportRaw!$G321</f>
        <v>0</v>
      </c>
      <c r="D321" s="130" t="str">
        <f aca="false">ExportRaw!$E321</f>
        <v/>
      </c>
      <c r="E321" s="131" t="str">
        <f aca="false">ExportRaw!$D321</f>
        <v/>
      </c>
      <c r="F321" s="130" t="str">
        <f aca="false">ExportRaw!$H321</f>
        <v/>
      </c>
      <c r="G321" s="132" t="str">
        <f aca="false">ExportRaw!$I321</f>
        <v/>
      </c>
      <c r="H321" s="130" t="str">
        <f aca="false">ExportRaw!$A321</f>
        <v/>
      </c>
      <c r="I321" s="130" t="str">
        <f aca="false">ExportRaw!$B321</f>
        <v/>
      </c>
    </row>
    <row r="322" customFormat="false" ht="15.75" hidden="false" customHeight="false" outlineLevel="0" collapsed="false">
      <c r="A322" s="130" t="n">
        <f aca="false">ExportRaw!$F322</f>
        <v>0</v>
      </c>
      <c r="B322" s="130" t="n">
        <f aca="false">ExportRaw!$C322</f>
        <v>0</v>
      </c>
      <c r="C322" s="130" t="n">
        <f aca="false">ExportRaw!$G322</f>
        <v>0</v>
      </c>
      <c r="D322" s="130" t="str">
        <f aca="false">ExportRaw!$E322</f>
        <v/>
      </c>
      <c r="E322" s="131" t="str">
        <f aca="false">ExportRaw!$D322</f>
        <v/>
      </c>
      <c r="F322" s="130" t="str">
        <f aca="false">ExportRaw!$H322</f>
        <v/>
      </c>
      <c r="G322" s="132" t="str">
        <f aca="false">ExportRaw!$I322</f>
        <v/>
      </c>
      <c r="H322" s="130" t="str">
        <f aca="false">ExportRaw!$A322</f>
        <v/>
      </c>
      <c r="I322" s="130" t="str">
        <f aca="false">ExportRaw!$B322</f>
        <v/>
      </c>
    </row>
    <row r="323" customFormat="false" ht="15.75" hidden="false" customHeight="false" outlineLevel="0" collapsed="false">
      <c r="A323" s="130" t="n">
        <f aca="false">ExportRaw!$F323</f>
        <v>0</v>
      </c>
      <c r="B323" s="130" t="n">
        <f aca="false">ExportRaw!$C323</f>
        <v>0</v>
      </c>
      <c r="C323" s="130" t="n">
        <f aca="false">ExportRaw!$G323</f>
        <v>0</v>
      </c>
      <c r="D323" s="130" t="str">
        <f aca="false">ExportRaw!$E323</f>
        <v/>
      </c>
      <c r="E323" s="131" t="str">
        <f aca="false">ExportRaw!$D323</f>
        <v/>
      </c>
      <c r="F323" s="130" t="str">
        <f aca="false">ExportRaw!$H323</f>
        <v/>
      </c>
      <c r="G323" s="132" t="str">
        <f aca="false">ExportRaw!$I323</f>
        <v/>
      </c>
      <c r="H323" s="130" t="str">
        <f aca="false">ExportRaw!$A323</f>
        <v/>
      </c>
      <c r="I323" s="130" t="str">
        <f aca="false">ExportRaw!$B323</f>
        <v/>
      </c>
    </row>
    <row r="324" customFormat="false" ht="15.75" hidden="false" customHeight="false" outlineLevel="0" collapsed="false">
      <c r="A324" s="130" t="n">
        <f aca="false">ExportRaw!$F324</f>
        <v>0</v>
      </c>
      <c r="B324" s="130" t="n">
        <f aca="false">ExportRaw!$C324</f>
        <v>0</v>
      </c>
      <c r="C324" s="130" t="n">
        <f aca="false">ExportRaw!$G324</f>
        <v>0</v>
      </c>
      <c r="D324" s="130" t="str">
        <f aca="false">ExportRaw!$E324</f>
        <v/>
      </c>
      <c r="E324" s="131" t="str">
        <f aca="false">ExportRaw!$D324</f>
        <v/>
      </c>
      <c r="F324" s="130" t="str">
        <f aca="false">ExportRaw!$H324</f>
        <v/>
      </c>
      <c r="G324" s="132" t="str">
        <f aca="false">ExportRaw!$I324</f>
        <v/>
      </c>
      <c r="H324" s="130" t="str">
        <f aca="false">ExportRaw!$A324</f>
        <v/>
      </c>
      <c r="I324" s="130" t="str">
        <f aca="false">ExportRaw!$B324</f>
        <v/>
      </c>
    </row>
    <row r="325" customFormat="false" ht="15.75" hidden="false" customHeight="false" outlineLevel="0" collapsed="false">
      <c r="A325" s="130" t="n">
        <f aca="false">ExportRaw!$F325</f>
        <v>0</v>
      </c>
      <c r="B325" s="130" t="n">
        <f aca="false">ExportRaw!$C325</f>
        <v>0</v>
      </c>
      <c r="C325" s="130" t="n">
        <f aca="false">ExportRaw!$G325</f>
        <v>0</v>
      </c>
      <c r="D325" s="130" t="str">
        <f aca="false">ExportRaw!$E325</f>
        <v/>
      </c>
      <c r="E325" s="131" t="str">
        <f aca="false">ExportRaw!$D325</f>
        <v/>
      </c>
      <c r="F325" s="130" t="str">
        <f aca="false">ExportRaw!$H325</f>
        <v/>
      </c>
      <c r="G325" s="132" t="str">
        <f aca="false">ExportRaw!$I325</f>
        <v/>
      </c>
      <c r="H325" s="130" t="str">
        <f aca="false">ExportRaw!$A325</f>
        <v/>
      </c>
      <c r="I325" s="130" t="str">
        <f aca="false">ExportRaw!$B325</f>
        <v/>
      </c>
    </row>
    <row r="326" customFormat="false" ht="15.75" hidden="false" customHeight="false" outlineLevel="0" collapsed="false">
      <c r="A326" s="130" t="n">
        <f aca="false">ExportRaw!$F326</f>
        <v>0</v>
      </c>
      <c r="B326" s="130" t="n">
        <f aca="false">ExportRaw!$C326</f>
        <v>0</v>
      </c>
      <c r="C326" s="130" t="n">
        <f aca="false">ExportRaw!$G326</f>
        <v>0</v>
      </c>
      <c r="D326" s="130" t="str">
        <f aca="false">ExportRaw!$E326</f>
        <v/>
      </c>
      <c r="E326" s="131" t="str">
        <f aca="false">ExportRaw!$D326</f>
        <v/>
      </c>
      <c r="F326" s="130" t="str">
        <f aca="false">ExportRaw!$H326</f>
        <v/>
      </c>
      <c r="G326" s="132" t="str">
        <f aca="false">ExportRaw!$I326</f>
        <v/>
      </c>
      <c r="H326" s="130" t="str">
        <f aca="false">ExportRaw!$A326</f>
        <v/>
      </c>
      <c r="I326" s="130" t="str">
        <f aca="false">ExportRaw!$B326</f>
        <v/>
      </c>
    </row>
    <row r="327" customFormat="false" ht="15.75" hidden="false" customHeight="false" outlineLevel="0" collapsed="false">
      <c r="A327" s="130" t="n">
        <f aca="false">ExportRaw!$F327</f>
        <v>0</v>
      </c>
      <c r="B327" s="130" t="n">
        <f aca="false">ExportRaw!$C327</f>
        <v>0</v>
      </c>
      <c r="C327" s="130" t="n">
        <f aca="false">ExportRaw!$G327</f>
        <v>0</v>
      </c>
      <c r="D327" s="130" t="str">
        <f aca="false">ExportRaw!$E327</f>
        <v/>
      </c>
      <c r="E327" s="131" t="str">
        <f aca="false">ExportRaw!$D327</f>
        <v/>
      </c>
      <c r="F327" s="130" t="str">
        <f aca="false">ExportRaw!$H327</f>
        <v/>
      </c>
      <c r="G327" s="132" t="str">
        <f aca="false">ExportRaw!$I327</f>
        <v/>
      </c>
      <c r="H327" s="130" t="str">
        <f aca="false">ExportRaw!$A327</f>
        <v/>
      </c>
      <c r="I327" s="130" t="str">
        <f aca="false">ExportRaw!$B327</f>
        <v/>
      </c>
    </row>
    <row r="328" customFormat="false" ht="15.75" hidden="false" customHeight="false" outlineLevel="0" collapsed="false">
      <c r="A328" s="130" t="n">
        <f aca="false">ExportRaw!$F328</f>
        <v>0</v>
      </c>
      <c r="B328" s="130" t="n">
        <f aca="false">ExportRaw!$C328</f>
        <v>0</v>
      </c>
      <c r="C328" s="130" t="n">
        <f aca="false">ExportRaw!$G328</f>
        <v>0</v>
      </c>
      <c r="D328" s="130" t="str">
        <f aca="false">ExportRaw!$E328</f>
        <v/>
      </c>
      <c r="E328" s="131" t="str">
        <f aca="false">ExportRaw!$D328</f>
        <v/>
      </c>
      <c r="F328" s="130" t="str">
        <f aca="false">ExportRaw!$H328</f>
        <v/>
      </c>
      <c r="G328" s="132" t="str">
        <f aca="false">ExportRaw!$I328</f>
        <v/>
      </c>
      <c r="H328" s="130" t="str">
        <f aca="false">ExportRaw!$A328</f>
        <v/>
      </c>
      <c r="I328" s="130" t="str">
        <f aca="false">ExportRaw!$B328</f>
        <v/>
      </c>
    </row>
    <row r="329" customFormat="false" ht="15.75" hidden="false" customHeight="false" outlineLevel="0" collapsed="false">
      <c r="A329" s="130" t="n">
        <f aca="false">ExportRaw!$F329</f>
        <v>0</v>
      </c>
      <c r="B329" s="130" t="n">
        <f aca="false">ExportRaw!$C329</f>
        <v>0</v>
      </c>
      <c r="C329" s="130" t="n">
        <f aca="false">ExportRaw!$G329</f>
        <v>0</v>
      </c>
      <c r="D329" s="130" t="str">
        <f aca="false">ExportRaw!$E329</f>
        <v/>
      </c>
      <c r="E329" s="131" t="str">
        <f aca="false">ExportRaw!$D329</f>
        <v/>
      </c>
      <c r="F329" s="130" t="str">
        <f aca="false">ExportRaw!$H329</f>
        <v/>
      </c>
      <c r="G329" s="132" t="str">
        <f aca="false">ExportRaw!$I329</f>
        <v/>
      </c>
      <c r="H329" s="130" t="str">
        <f aca="false">ExportRaw!$A329</f>
        <v/>
      </c>
      <c r="I329" s="130" t="str">
        <f aca="false">ExportRaw!$B329</f>
        <v/>
      </c>
    </row>
    <row r="330" customFormat="false" ht="15.75" hidden="false" customHeight="false" outlineLevel="0" collapsed="false">
      <c r="A330" s="130" t="n">
        <f aca="false">ExportRaw!$F330</f>
        <v>0</v>
      </c>
      <c r="B330" s="130" t="n">
        <f aca="false">ExportRaw!$C330</f>
        <v>0</v>
      </c>
      <c r="C330" s="130" t="n">
        <f aca="false">ExportRaw!$G330</f>
        <v>0</v>
      </c>
      <c r="D330" s="130" t="str">
        <f aca="false">ExportRaw!$E330</f>
        <v/>
      </c>
      <c r="E330" s="131" t="str">
        <f aca="false">ExportRaw!$D330</f>
        <v/>
      </c>
      <c r="F330" s="130" t="str">
        <f aca="false">ExportRaw!$H330</f>
        <v/>
      </c>
      <c r="G330" s="132" t="str">
        <f aca="false">ExportRaw!$I330</f>
        <v/>
      </c>
      <c r="H330" s="130" t="str">
        <f aca="false">ExportRaw!$A330</f>
        <v/>
      </c>
      <c r="I330" s="130" t="str">
        <f aca="false">ExportRaw!$B330</f>
        <v/>
      </c>
    </row>
    <row r="331" customFormat="false" ht="15.75" hidden="false" customHeight="false" outlineLevel="0" collapsed="false">
      <c r="A331" s="130" t="n">
        <f aca="false">ExportRaw!$F331</f>
        <v>0</v>
      </c>
      <c r="B331" s="130" t="n">
        <f aca="false">ExportRaw!$C331</f>
        <v>0</v>
      </c>
      <c r="C331" s="130" t="n">
        <f aca="false">ExportRaw!$G331</f>
        <v>0</v>
      </c>
      <c r="D331" s="130" t="str">
        <f aca="false">ExportRaw!$E331</f>
        <v/>
      </c>
      <c r="E331" s="131" t="str">
        <f aca="false">ExportRaw!$D331</f>
        <v/>
      </c>
      <c r="F331" s="130" t="str">
        <f aca="false">ExportRaw!$H331</f>
        <v/>
      </c>
      <c r="G331" s="132" t="str">
        <f aca="false">ExportRaw!$I331</f>
        <v/>
      </c>
      <c r="H331" s="130" t="str">
        <f aca="false">ExportRaw!$A331</f>
        <v/>
      </c>
      <c r="I331" s="130" t="str">
        <f aca="false">ExportRaw!$B331</f>
        <v/>
      </c>
    </row>
    <row r="332" customFormat="false" ht="15.75" hidden="false" customHeight="false" outlineLevel="0" collapsed="false">
      <c r="A332" s="130" t="n">
        <f aca="false">ExportRaw!$F332</f>
        <v>0</v>
      </c>
      <c r="B332" s="130" t="n">
        <f aca="false">ExportRaw!$C332</f>
        <v>0</v>
      </c>
      <c r="C332" s="130" t="n">
        <f aca="false">ExportRaw!$G332</f>
        <v>0</v>
      </c>
      <c r="D332" s="130" t="str">
        <f aca="false">ExportRaw!$E332</f>
        <v/>
      </c>
      <c r="E332" s="131" t="str">
        <f aca="false">ExportRaw!$D332</f>
        <v/>
      </c>
      <c r="F332" s="130" t="str">
        <f aca="false">ExportRaw!$H332</f>
        <v/>
      </c>
      <c r="G332" s="132" t="str">
        <f aca="false">ExportRaw!$I332</f>
        <v/>
      </c>
      <c r="H332" s="130" t="str">
        <f aca="false">ExportRaw!$A332</f>
        <v/>
      </c>
      <c r="I332" s="130" t="str">
        <f aca="false">ExportRaw!$B332</f>
        <v/>
      </c>
    </row>
    <row r="333" customFormat="false" ht="15.75" hidden="false" customHeight="false" outlineLevel="0" collapsed="false">
      <c r="A333" s="130" t="n">
        <f aca="false">ExportRaw!$F333</f>
        <v>0</v>
      </c>
      <c r="B333" s="130" t="n">
        <f aca="false">ExportRaw!$C333</f>
        <v>0</v>
      </c>
      <c r="C333" s="130" t="n">
        <f aca="false">ExportRaw!$G333</f>
        <v>0</v>
      </c>
      <c r="D333" s="130" t="str">
        <f aca="false">ExportRaw!$E333</f>
        <v/>
      </c>
      <c r="E333" s="131" t="str">
        <f aca="false">ExportRaw!$D333</f>
        <v/>
      </c>
      <c r="F333" s="130" t="str">
        <f aca="false">ExportRaw!$H333</f>
        <v/>
      </c>
      <c r="G333" s="132" t="str">
        <f aca="false">ExportRaw!$I333</f>
        <v/>
      </c>
      <c r="H333" s="130" t="str">
        <f aca="false">ExportRaw!$A333</f>
        <v/>
      </c>
      <c r="I333" s="130" t="str">
        <f aca="false">ExportRaw!$B333</f>
        <v/>
      </c>
    </row>
    <row r="334" customFormat="false" ht="15.75" hidden="false" customHeight="false" outlineLevel="0" collapsed="false">
      <c r="A334" s="130" t="n">
        <f aca="false">ExportRaw!$F334</f>
        <v>0</v>
      </c>
      <c r="B334" s="130" t="n">
        <f aca="false">ExportRaw!$C334</f>
        <v>0</v>
      </c>
      <c r="C334" s="130" t="n">
        <f aca="false">ExportRaw!$G334</f>
        <v>0</v>
      </c>
      <c r="D334" s="130" t="str">
        <f aca="false">ExportRaw!$E334</f>
        <v/>
      </c>
      <c r="E334" s="131" t="str">
        <f aca="false">ExportRaw!$D334</f>
        <v/>
      </c>
      <c r="F334" s="130" t="str">
        <f aca="false">ExportRaw!$H334</f>
        <v/>
      </c>
      <c r="G334" s="132" t="str">
        <f aca="false">ExportRaw!$I334</f>
        <v/>
      </c>
      <c r="H334" s="130" t="str">
        <f aca="false">ExportRaw!$A334</f>
        <v/>
      </c>
      <c r="I334" s="130" t="str">
        <f aca="false">ExportRaw!$B334</f>
        <v/>
      </c>
    </row>
    <row r="335" customFormat="false" ht="15.75" hidden="false" customHeight="false" outlineLevel="0" collapsed="false">
      <c r="A335" s="130" t="n">
        <f aca="false">ExportRaw!$F335</f>
        <v>0</v>
      </c>
      <c r="B335" s="130" t="n">
        <f aca="false">ExportRaw!$C335</f>
        <v>0</v>
      </c>
      <c r="C335" s="130" t="n">
        <f aca="false">ExportRaw!$G335</f>
        <v>0</v>
      </c>
      <c r="D335" s="130" t="str">
        <f aca="false">ExportRaw!$E335</f>
        <v/>
      </c>
      <c r="E335" s="131" t="str">
        <f aca="false">ExportRaw!$D335</f>
        <v/>
      </c>
      <c r="F335" s="130" t="str">
        <f aca="false">ExportRaw!$H335</f>
        <v/>
      </c>
      <c r="G335" s="132" t="str">
        <f aca="false">ExportRaw!$I335</f>
        <v/>
      </c>
      <c r="H335" s="130" t="str">
        <f aca="false">ExportRaw!$A335</f>
        <v/>
      </c>
      <c r="I335" s="130" t="str">
        <f aca="false">ExportRaw!$B335</f>
        <v/>
      </c>
    </row>
    <row r="336" customFormat="false" ht="15.75" hidden="false" customHeight="false" outlineLevel="0" collapsed="false">
      <c r="A336" s="130" t="n">
        <f aca="false">ExportRaw!$F336</f>
        <v>0</v>
      </c>
      <c r="B336" s="130" t="n">
        <f aca="false">ExportRaw!$C336</f>
        <v>0</v>
      </c>
      <c r="C336" s="130" t="n">
        <f aca="false">ExportRaw!$G336</f>
        <v>0</v>
      </c>
      <c r="D336" s="130" t="str">
        <f aca="false">ExportRaw!$E336</f>
        <v/>
      </c>
      <c r="E336" s="131" t="str">
        <f aca="false">ExportRaw!$D336</f>
        <v/>
      </c>
      <c r="F336" s="130" t="str">
        <f aca="false">ExportRaw!$H336</f>
        <v/>
      </c>
      <c r="G336" s="132" t="str">
        <f aca="false">ExportRaw!$I336</f>
        <v/>
      </c>
      <c r="H336" s="130" t="str">
        <f aca="false">ExportRaw!$A336</f>
        <v/>
      </c>
      <c r="I336" s="130" t="str">
        <f aca="false">ExportRaw!$B336</f>
        <v/>
      </c>
    </row>
    <row r="337" customFormat="false" ht="15.75" hidden="false" customHeight="false" outlineLevel="0" collapsed="false">
      <c r="A337" s="130" t="n">
        <f aca="false">ExportRaw!$F337</f>
        <v>0</v>
      </c>
      <c r="B337" s="130" t="n">
        <f aca="false">ExportRaw!$C337</f>
        <v>0</v>
      </c>
      <c r="C337" s="130" t="n">
        <f aca="false">ExportRaw!$G337</f>
        <v>0</v>
      </c>
      <c r="D337" s="130" t="str">
        <f aca="false">ExportRaw!$E337</f>
        <v/>
      </c>
      <c r="E337" s="131" t="str">
        <f aca="false">ExportRaw!$D337</f>
        <v/>
      </c>
      <c r="F337" s="130" t="str">
        <f aca="false">ExportRaw!$H337</f>
        <v/>
      </c>
      <c r="G337" s="132" t="str">
        <f aca="false">ExportRaw!$I337</f>
        <v/>
      </c>
      <c r="H337" s="130" t="str">
        <f aca="false">ExportRaw!$A337</f>
        <v/>
      </c>
      <c r="I337" s="130" t="str">
        <f aca="false">ExportRaw!$B337</f>
        <v/>
      </c>
    </row>
    <row r="338" customFormat="false" ht="15.75" hidden="false" customHeight="false" outlineLevel="0" collapsed="false">
      <c r="A338" s="130" t="n">
        <f aca="false">ExportRaw!$F338</f>
        <v>0</v>
      </c>
      <c r="B338" s="130" t="n">
        <f aca="false">ExportRaw!$C338</f>
        <v>0</v>
      </c>
      <c r="C338" s="130" t="n">
        <f aca="false">ExportRaw!$G338</f>
        <v>0</v>
      </c>
      <c r="D338" s="130" t="str">
        <f aca="false">ExportRaw!$E338</f>
        <v/>
      </c>
      <c r="E338" s="131" t="str">
        <f aca="false">ExportRaw!$D338</f>
        <v/>
      </c>
      <c r="F338" s="130" t="str">
        <f aca="false">ExportRaw!$H338</f>
        <v/>
      </c>
      <c r="G338" s="132" t="str">
        <f aca="false">ExportRaw!$I338</f>
        <v/>
      </c>
      <c r="H338" s="130" t="str">
        <f aca="false">ExportRaw!$A338</f>
        <v/>
      </c>
      <c r="I338" s="130" t="str">
        <f aca="false">ExportRaw!$B338</f>
        <v/>
      </c>
    </row>
    <row r="339" customFormat="false" ht="15.75" hidden="false" customHeight="false" outlineLevel="0" collapsed="false">
      <c r="A339" s="130" t="n">
        <f aca="false">ExportRaw!$F339</f>
        <v>0</v>
      </c>
      <c r="B339" s="130" t="n">
        <f aca="false">ExportRaw!$C339</f>
        <v>0</v>
      </c>
      <c r="C339" s="130" t="n">
        <f aca="false">ExportRaw!$G339</f>
        <v>0</v>
      </c>
      <c r="D339" s="130" t="str">
        <f aca="false">ExportRaw!$E339</f>
        <v/>
      </c>
      <c r="E339" s="131" t="str">
        <f aca="false">ExportRaw!$D339</f>
        <v/>
      </c>
      <c r="F339" s="130" t="str">
        <f aca="false">ExportRaw!$H339</f>
        <v/>
      </c>
      <c r="G339" s="132" t="str">
        <f aca="false">ExportRaw!$I339</f>
        <v/>
      </c>
      <c r="H339" s="130" t="str">
        <f aca="false">ExportRaw!$A339</f>
        <v/>
      </c>
      <c r="I339" s="130" t="str">
        <f aca="false">ExportRaw!$B339</f>
        <v/>
      </c>
    </row>
    <row r="340" customFormat="false" ht="15.75" hidden="false" customHeight="false" outlineLevel="0" collapsed="false">
      <c r="A340" s="130" t="n">
        <f aca="false">ExportRaw!$F340</f>
        <v>0</v>
      </c>
      <c r="B340" s="130" t="n">
        <f aca="false">ExportRaw!$C340</f>
        <v>0</v>
      </c>
      <c r="C340" s="130" t="n">
        <f aca="false">ExportRaw!$G340</f>
        <v>0</v>
      </c>
      <c r="D340" s="130" t="str">
        <f aca="false">ExportRaw!$E340</f>
        <v/>
      </c>
      <c r="E340" s="131" t="str">
        <f aca="false">ExportRaw!$D340</f>
        <v/>
      </c>
      <c r="F340" s="130" t="str">
        <f aca="false">ExportRaw!$H340</f>
        <v/>
      </c>
      <c r="G340" s="132" t="str">
        <f aca="false">ExportRaw!$I340</f>
        <v/>
      </c>
      <c r="H340" s="130" t="str">
        <f aca="false">ExportRaw!$A340</f>
        <v/>
      </c>
      <c r="I340" s="130" t="str">
        <f aca="false">ExportRaw!$B340</f>
        <v/>
      </c>
    </row>
    <row r="341" customFormat="false" ht="15.75" hidden="false" customHeight="false" outlineLevel="0" collapsed="false">
      <c r="A341" s="130" t="n">
        <f aca="false">ExportRaw!$F341</f>
        <v>0</v>
      </c>
      <c r="B341" s="130" t="n">
        <f aca="false">ExportRaw!$C341</f>
        <v>0</v>
      </c>
      <c r="C341" s="130" t="n">
        <f aca="false">ExportRaw!$G341</f>
        <v>0</v>
      </c>
      <c r="D341" s="130" t="str">
        <f aca="false">ExportRaw!$E341</f>
        <v/>
      </c>
      <c r="E341" s="131" t="str">
        <f aca="false">ExportRaw!$D341</f>
        <v/>
      </c>
      <c r="F341" s="130" t="str">
        <f aca="false">ExportRaw!$H341</f>
        <v/>
      </c>
      <c r="G341" s="132" t="str">
        <f aca="false">ExportRaw!$I341</f>
        <v/>
      </c>
      <c r="H341" s="130" t="str">
        <f aca="false">ExportRaw!$A341</f>
        <v/>
      </c>
      <c r="I341" s="130" t="str">
        <f aca="false">ExportRaw!$B341</f>
        <v/>
      </c>
    </row>
    <row r="342" customFormat="false" ht="15.75" hidden="false" customHeight="false" outlineLevel="0" collapsed="false">
      <c r="A342" s="130" t="n">
        <f aca="false">ExportRaw!$F342</f>
        <v>0</v>
      </c>
      <c r="B342" s="130" t="n">
        <f aca="false">ExportRaw!$C342</f>
        <v>0</v>
      </c>
      <c r="C342" s="130" t="n">
        <f aca="false">ExportRaw!$G342</f>
        <v>0</v>
      </c>
      <c r="D342" s="130" t="str">
        <f aca="false">ExportRaw!$E342</f>
        <v/>
      </c>
      <c r="E342" s="131" t="str">
        <f aca="false">ExportRaw!$D342</f>
        <v/>
      </c>
      <c r="F342" s="130" t="str">
        <f aca="false">ExportRaw!$H342</f>
        <v/>
      </c>
      <c r="G342" s="132" t="str">
        <f aca="false">ExportRaw!$I342</f>
        <v/>
      </c>
      <c r="H342" s="130" t="str">
        <f aca="false">ExportRaw!$A342</f>
        <v/>
      </c>
      <c r="I342" s="130" t="str">
        <f aca="false">ExportRaw!$B342</f>
        <v/>
      </c>
    </row>
    <row r="343" customFormat="false" ht="15.75" hidden="false" customHeight="false" outlineLevel="0" collapsed="false">
      <c r="A343" s="130" t="n">
        <f aca="false">ExportRaw!$F343</f>
        <v>0</v>
      </c>
      <c r="B343" s="130" t="n">
        <f aca="false">ExportRaw!$C343</f>
        <v>0</v>
      </c>
      <c r="C343" s="130" t="n">
        <f aca="false">ExportRaw!$G343</f>
        <v>0</v>
      </c>
      <c r="D343" s="130" t="str">
        <f aca="false">ExportRaw!$E343</f>
        <v/>
      </c>
      <c r="E343" s="131" t="str">
        <f aca="false">ExportRaw!$D343</f>
        <v/>
      </c>
      <c r="F343" s="130" t="str">
        <f aca="false">ExportRaw!$H343</f>
        <v/>
      </c>
      <c r="G343" s="132" t="str">
        <f aca="false">ExportRaw!$I343</f>
        <v/>
      </c>
      <c r="H343" s="130" t="str">
        <f aca="false">ExportRaw!$A343</f>
        <v/>
      </c>
      <c r="I343" s="130" t="str">
        <f aca="false">ExportRaw!$B343</f>
        <v/>
      </c>
    </row>
    <row r="344" customFormat="false" ht="15.75" hidden="false" customHeight="false" outlineLevel="0" collapsed="false">
      <c r="A344" s="130" t="n">
        <f aca="false">ExportRaw!$F344</f>
        <v>0</v>
      </c>
      <c r="B344" s="130" t="n">
        <f aca="false">ExportRaw!$C344</f>
        <v>0</v>
      </c>
      <c r="C344" s="130" t="n">
        <f aca="false">ExportRaw!$G344</f>
        <v>0</v>
      </c>
      <c r="D344" s="130" t="str">
        <f aca="false">ExportRaw!$E344</f>
        <v/>
      </c>
      <c r="E344" s="131" t="str">
        <f aca="false">ExportRaw!$D344</f>
        <v/>
      </c>
      <c r="F344" s="130" t="str">
        <f aca="false">ExportRaw!$H344</f>
        <v/>
      </c>
      <c r="G344" s="132" t="str">
        <f aca="false">ExportRaw!$I344</f>
        <v/>
      </c>
      <c r="H344" s="130" t="str">
        <f aca="false">ExportRaw!$A344</f>
        <v/>
      </c>
      <c r="I344" s="130" t="str">
        <f aca="false">ExportRaw!$B344</f>
        <v/>
      </c>
    </row>
    <row r="345" customFormat="false" ht="15.75" hidden="false" customHeight="false" outlineLevel="0" collapsed="false">
      <c r="A345" s="130" t="n">
        <f aca="false">ExportRaw!$F345</f>
        <v>0</v>
      </c>
      <c r="B345" s="130" t="n">
        <f aca="false">ExportRaw!$C345</f>
        <v>0</v>
      </c>
      <c r="C345" s="130" t="n">
        <f aca="false">ExportRaw!$G345</f>
        <v>0</v>
      </c>
      <c r="D345" s="130" t="str">
        <f aca="false">ExportRaw!$E345</f>
        <v/>
      </c>
      <c r="E345" s="131" t="str">
        <f aca="false">ExportRaw!$D345</f>
        <v/>
      </c>
      <c r="F345" s="130" t="str">
        <f aca="false">ExportRaw!$H345</f>
        <v/>
      </c>
      <c r="G345" s="132" t="str">
        <f aca="false">ExportRaw!$I345</f>
        <v/>
      </c>
      <c r="H345" s="130" t="str">
        <f aca="false">ExportRaw!$A345</f>
        <v/>
      </c>
      <c r="I345" s="130" t="str">
        <f aca="false">ExportRaw!$B345</f>
        <v/>
      </c>
    </row>
    <row r="346" customFormat="false" ht="15.75" hidden="false" customHeight="false" outlineLevel="0" collapsed="false">
      <c r="A346" s="130" t="n">
        <f aca="false">ExportRaw!$F346</f>
        <v>0</v>
      </c>
      <c r="B346" s="130" t="n">
        <f aca="false">ExportRaw!$C346</f>
        <v>0</v>
      </c>
      <c r="C346" s="130" t="n">
        <f aca="false">ExportRaw!$G346</f>
        <v>0</v>
      </c>
      <c r="D346" s="130" t="str">
        <f aca="false">ExportRaw!$E346</f>
        <v/>
      </c>
      <c r="E346" s="131" t="str">
        <f aca="false">ExportRaw!$D346</f>
        <v/>
      </c>
      <c r="F346" s="130" t="str">
        <f aca="false">ExportRaw!$H346</f>
        <v/>
      </c>
      <c r="G346" s="132" t="str">
        <f aca="false">ExportRaw!$I346</f>
        <v/>
      </c>
      <c r="H346" s="130" t="str">
        <f aca="false">ExportRaw!$A346</f>
        <v/>
      </c>
      <c r="I346" s="130" t="str">
        <f aca="false">ExportRaw!$B346</f>
        <v/>
      </c>
    </row>
    <row r="347" customFormat="false" ht="15.75" hidden="false" customHeight="false" outlineLevel="0" collapsed="false">
      <c r="A347" s="130" t="n">
        <f aca="false">ExportRaw!$F347</f>
        <v>0</v>
      </c>
      <c r="B347" s="130" t="n">
        <f aca="false">ExportRaw!$C347</f>
        <v>0</v>
      </c>
      <c r="C347" s="130" t="n">
        <f aca="false">ExportRaw!$G347</f>
        <v>0</v>
      </c>
      <c r="D347" s="130" t="str">
        <f aca="false">ExportRaw!$E347</f>
        <v/>
      </c>
      <c r="E347" s="131" t="str">
        <f aca="false">ExportRaw!$D347</f>
        <v/>
      </c>
      <c r="F347" s="130" t="str">
        <f aca="false">ExportRaw!$H347</f>
        <v/>
      </c>
      <c r="G347" s="132" t="str">
        <f aca="false">ExportRaw!$I347</f>
        <v/>
      </c>
      <c r="H347" s="130" t="str">
        <f aca="false">ExportRaw!$A347</f>
        <v/>
      </c>
      <c r="I347" s="130" t="str">
        <f aca="false">ExportRaw!$B347</f>
        <v/>
      </c>
    </row>
    <row r="348" customFormat="false" ht="15.75" hidden="false" customHeight="false" outlineLevel="0" collapsed="false">
      <c r="A348" s="130" t="n">
        <f aca="false">ExportRaw!$F348</f>
        <v>0</v>
      </c>
      <c r="B348" s="130" t="n">
        <f aca="false">ExportRaw!$C348</f>
        <v>0</v>
      </c>
      <c r="C348" s="130" t="n">
        <f aca="false">ExportRaw!$G348</f>
        <v>0</v>
      </c>
      <c r="D348" s="130" t="str">
        <f aca="false">ExportRaw!$E348</f>
        <v/>
      </c>
      <c r="E348" s="131" t="str">
        <f aca="false">ExportRaw!$D348</f>
        <v/>
      </c>
      <c r="F348" s="130" t="str">
        <f aca="false">ExportRaw!$H348</f>
        <v/>
      </c>
      <c r="G348" s="132" t="str">
        <f aca="false">ExportRaw!$I348</f>
        <v/>
      </c>
      <c r="H348" s="130" t="str">
        <f aca="false">ExportRaw!$A348</f>
        <v/>
      </c>
      <c r="I348" s="130" t="str">
        <f aca="false">ExportRaw!$B348</f>
        <v/>
      </c>
    </row>
    <row r="349" customFormat="false" ht="15.75" hidden="false" customHeight="false" outlineLevel="0" collapsed="false">
      <c r="A349" s="130" t="n">
        <f aca="false">ExportRaw!$F349</f>
        <v>0</v>
      </c>
      <c r="B349" s="130" t="n">
        <f aca="false">ExportRaw!$C349</f>
        <v>0</v>
      </c>
      <c r="C349" s="130" t="n">
        <f aca="false">ExportRaw!$G349</f>
        <v>0</v>
      </c>
      <c r="D349" s="130" t="str">
        <f aca="false">ExportRaw!$E349</f>
        <v/>
      </c>
      <c r="E349" s="131" t="str">
        <f aca="false">ExportRaw!$D349</f>
        <v/>
      </c>
      <c r="F349" s="130" t="str">
        <f aca="false">ExportRaw!$H349</f>
        <v/>
      </c>
      <c r="G349" s="132" t="str">
        <f aca="false">ExportRaw!$I349</f>
        <v/>
      </c>
      <c r="H349" s="130" t="str">
        <f aca="false">ExportRaw!$A349</f>
        <v/>
      </c>
      <c r="I349" s="130" t="str">
        <f aca="false">ExportRaw!$B349</f>
        <v/>
      </c>
    </row>
    <row r="350" customFormat="false" ht="15.75" hidden="false" customHeight="false" outlineLevel="0" collapsed="false">
      <c r="A350" s="130" t="n">
        <f aca="false">ExportRaw!$F350</f>
        <v>0</v>
      </c>
      <c r="B350" s="130" t="n">
        <f aca="false">ExportRaw!$C350</f>
        <v>0</v>
      </c>
      <c r="C350" s="130" t="n">
        <f aca="false">ExportRaw!$G350</f>
        <v>0</v>
      </c>
      <c r="D350" s="130" t="str">
        <f aca="false">ExportRaw!$E350</f>
        <v/>
      </c>
      <c r="E350" s="131" t="str">
        <f aca="false">ExportRaw!$D350</f>
        <v/>
      </c>
      <c r="F350" s="130" t="str">
        <f aca="false">ExportRaw!$H350</f>
        <v/>
      </c>
      <c r="G350" s="132" t="str">
        <f aca="false">ExportRaw!$I350</f>
        <v/>
      </c>
      <c r="H350" s="130" t="str">
        <f aca="false">ExportRaw!$A350</f>
        <v/>
      </c>
      <c r="I350" s="130" t="str">
        <f aca="false">ExportRaw!$B350</f>
        <v/>
      </c>
    </row>
    <row r="351" customFormat="false" ht="15.75" hidden="false" customHeight="false" outlineLevel="0" collapsed="false">
      <c r="A351" s="130" t="n">
        <f aca="false">ExportRaw!$F351</f>
        <v>0</v>
      </c>
      <c r="B351" s="130" t="n">
        <f aca="false">ExportRaw!$C351</f>
        <v>0</v>
      </c>
      <c r="C351" s="130" t="n">
        <f aca="false">ExportRaw!$G351</f>
        <v>0</v>
      </c>
      <c r="D351" s="130" t="str">
        <f aca="false">ExportRaw!$E351</f>
        <v/>
      </c>
      <c r="E351" s="131" t="str">
        <f aca="false">ExportRaw!$D351</f>
        <v/>
      </c>
      <c r="F351" s="130" t="str">
        <f aca="false">ExportRaw!$H351</f>
        <v/>
      </c>
      <c r="G351" s="132" t="str">
        <f aca="false">ExportRaw!$I351</f>
        <v/>
      </c>
      <c r="H351" s="130" t="str">
        <f aca="false">ExportRaw!$A351</f>
        <v/>
      </c>
      <c r="I351" s="130" t="str">
        <f aca="false">ExportRaw!$B351</f>
        <v/>
      </c>
    </row>
    <row r="352" customFormat="false" ht="15.75" hidden="false" customHeight="false" outlineLevel="0" collapsed="false">
      <c r="A352" s="130" t="n">
        <f aca="false">ExportRaw!$F352</f>
        <v>0</v>
      </c>
      <c r="B352" s="130" t="n">
        <f aca="false">ExportRaw!$C352</f>
        <v>0</v>
      </c>
      <c r="C352" s="130" t="n">
        <f aca="false">ExportRaw!$G352</f>
        <v>0</v>
      </c>
      <c r="D352" s="130" t="str">
        <f aca="false">ExportRaw!$E352</f>
        <v/>
      </c>
      <c r="E352" s="131" t="str">
        <f aca="false">ExportRaw!$D352</f>
        <v/>
      </c>
      <c r="F352" s="130" t="str">
        <f aca="false">ExportRaw!$H352</f>
        <v/>
      </c>
      <c r="G352" s="132" t="str">
        <f aca="false">ExportRaw!$I352</f>
        <v/>
      </c>
      <c r="H352" s="130" t="str">
        <f aca="false">ExportRaw!$A352</f>
        <v/>
      </c>
      <c r="I352" s="130" t="str">
        <f aca="false">ExportRaw!$B352</f>
        <v/>
      </c>
    </row>
    <row r="353" customFormat="false" ht="15.75" hidden="false" customHeight="false" outlineLevel="0" collapsed="false">
      <c r="A353" s="130" t="n">
        <f aca="false">ExportRaw!$F353</f>
        <v>0</v>
      </c>
      <c r="B353" s="130" t="n">
        <f aca="false">ExportRaw!$C353</f>
        <v>0</v>
      </c>
      <c r="C353" s="130" t="n">
        <f aca="false">ExportRaw!$G353</f>
        <v>0</v>
      </c>
      <c r="D353" s="130" t="str">
        <f aca="false">ExportRaw!$E353</f>
        <v/>
      </c>
      <c r="E353" s="131" t="str">
        <f aca="false">ExportRaw!$D353</f>
        <v/>
      </c>
      <c r="F353" s="130" t="str">
        <f aca="false">ExportRaw!$H353</f>
        <v/>
      </c>
      <c r="G353" s="132" t="str">
        <f aca="false">ExportRaw!$I353</f>
        <v/>
      </c>
      <c r="H353" s="130" t="str">
        <f aca="false">ExportRaw!$A353</f>
        <v/>
      </c>
      <c r="I353" s="130" t="str">
        <f aca="false">ExportRaw!$B353</f>
        <v/>
      </c>
    </row>
    <row r="354" customFormat="false" ht="15.75" hidden="false" customHeight="false" outlineLevel="0" collapsed="false">
      <c r="A354" s="130" t="n">
        <f aca="false">ExportRaw!$F354</f>
        <v>0</v>
      </c>
      <c r="B354" s="130" t="n">
        <f aca="false">ExportRaw!$C354</f>
        <v>0</v>
      </c>
      <c r="C354" s="130" t="n">
        <f aca="false">ExportRaw!$G354</f>
        <v>0</v>
      </c>
      <c r="D354" s="130" t="str">
        <f aca="false">ExportRaw!$E354</f>
        <v/>
      </c>
      <c r="E354" s="131" t="str">
        <f aca="false">ExportRaw!$D354</f>
        <v/>
      </c>
      <c r="F354" s="130" t="str">
        <f aca="false">ExportRaw!$H354</f>
        <v/>
      </c>
      <c r="G354" s="132" t="str">
        <f aca="false">ExportRaw!$I354</f>
        <v/>
      </c>
      <c r="H354" s="130" t="str">
        <f aca="false">ExportRaw!$A354</f>
        <v/>
      </c>
      <c r="I354" s="130" t="str">
        <f aca="false">ExportRaw!$B354</f>
        <v/>
      </c>
    </row>
    <row r="355" customFormat="false" ht="15.75" hidden="false" customHeight="false" outlineLevel="0" collapsed="false">
      <c r="A355" s="130" t="n">
        <f aca="false">ExportRaw!$F355</f>
        <v>0</v>
      </c>
      <c r="B355" s="130" t="n">
        <f aca="false">ExportRaw!$C355</f>
        <v>0</v>
      </c>
      <c r="C355" s="130" t="n">
        <f aca="false">ExportRaw!$G355</f>
        <v>0</v>
      </c>
      <c r="D355" s="130" t="str">
        <f aca="false">ExportRaw!$E355</f>
        <v/>
      </c>
      <c r="E355" s="131" t="str">
        <f aca="false">ExportRaw!$D355</f>
        <v/>
      </c>
      <c r="F355" s="130" t="str">
        <f aca="false">ExportRaw!$H355</f>
        <v/>
      </c>
      <c r="G355" s="132" t="str">
        <f aca="false">ExportRaw!$I355</f>
        <v/>
      </c>
      <c r="H355" s="130" t="str">
        <f aca="false">ExportRaw!$A355</f>
        <v/>
      </c>
      <c r="I355" s="130" t="str">
        <f aca="false">ExportRaw!$B355</f>
        <v/>
      </c>
    </row>
    <row r="356" customFormat="false" ht="15.75" hidden="false" customHeight="false" outlineLevel="0" collapsed="false">
      <c r="A356" s="130" t="n">
        <f aca="false">ExportRaw!$F356</f>
        <v>0</v>
      </c>
      <c r="B356" s="130" t="n">
        <f aca="false">ExportRaw!$C356</f>
        <v>0</v>
      </c>
      <c r="C356" s="130" t="n">
        <f aca="false">ExportRaw!$G356</f>
        <v>0</v>
      </c>
      <c r="D356" s="130" t="str">
        <f aca="false">ExportRaw!$E356</f>
        <v/>
      </c>
      <c r="E356" s="131" t="str">
        <f aca="false">ExportRaw!$D356</f>
        <v/>
      </c>
      <c r="F356" s="130" t="str">
        <f aca="false">ExportRaw!$H356</f>
        <v/>
      </c>
      <c r="G356" s="132" t="str">
        <f aca="false">ExportRaw!$I356</f>
        <v/>
      </c>
      <c r="H356" s="130" t="str">
        <f aca="false">ExportRaw!$A356</f>
        <v/>
      </c>
      <c r="I356" s="130" t="str">
        <f aca="false">ExportRaw!$B356</f>
        <v/>
      </c>
    </row>
    <row r="357" customFormat="false" ht="15.75" hidden="false" customHeight="false" outlineLevel="0" collapsed="false">
      <c r="A357" s="130" t="n">
        <f aca="false">ExportRaw!$F357</f>
        <v>0</v>
      </c>
      <c r="B357" s="130" t="n">
        <f aca="false">ExportRaw!$C357</f>
        <v>0</v>
      </c>
      <c r="C357" s="130" t="n">
        <f aca="false">ExportRaw!$G357</f>
        <v>0</v>
      </c>
      <c r="D357" s="130" t="str">
        <f aca="false">ExportRaw!$E357</f>
        <v/>
      </c>
      <c r="E357" s="131" t="str">
        <f aca="false">ExportRaw!$D357</f>
        <v/>
      </c>
      <c r="F357" s="130" t="str">
        <f aca="false">ExportRaw!$H357</f>
        <v/>
      </c>
      <c r="G357" s="132" t="str">
        <f aca="false">ExportRaw!$I357</f>
        <v/>
      </c>
      <c r="H357" s="130" t="str">
        <f aca="false">ExportRaw!$A357</f>
        <v/>
      </c>
      <c r="I357" s="130" t="str">
        <f aca="false">ExportRaw!$B357</f>
        <v/>
      </c>
    </row>
    <row r="358" customFormat="false" ht="15.75" hidden="false" customHeight="false" outlineLevel="0" collapsed="false">
      <c r="A358" s="130" t="n">
        <f aca="false">ExportRaw!$F358</f>
        <v>0</v>
      </c>
      <c r="B358" s="130" t="n">
        <f aca="false">ExportRaw!$C358</f>
        <v>0</v>
      </c>
      <c r="C358" s="130" t="n">
        <f aca="false">ExportRaw!$G358</f>
        <v>0</v>
      </c>
      <c r="D358" s="130" t="str">
        <f aca="false">ExportRaw!$E358</f>
        <v/>
      </c>
      <c r="E358" s="131" t="str">
        <f aca="false">ExportRaw!$D358</f>
        <v/>
      </c>
      <c r="F358" s="130" t="str">
        <f aca="false">ExportRaw!$H358</f>
        <v/>
      </c>
      <c r="G358" s="132" t="str">
        <f aca="false">ExportRaw!$I358</f>
        <v/>
      </c>
      <c r="H358" s="130" t="str">
        <f aca="false">ExportRaw!$A358</f>
        <v/>
      </c>
      <c r="I358" s="130" t="str">
        <f aca="false">ExportRaw!$B358</f>
        <v/>
      </c>
    </row>
    <row r="359" customFormat="false" ht="15.75" hidden="false" customHeight="false" outlineLevel="0" collapsed="false">
      <c r="A359" s="130" t="n">
        <f aca="false">ExportRaw!$F359</f>
        <v>0</v>
      </c>
      <c r="B359" s="130" t="n">
        <f aca="false">ExportRaw!$C359</f>
        <v>0</v>
      </c>
      <c r="C359" s="130" t="n">
        <f aca="false">ExportRaw!$G359</f>
        <v>0</v>
      </c>
      <c r="D359" s="130" t="str">
        <f aca="false">ExportRaw!$E359</f>
        <v/>
      </c>
      <c r="E359" s="131" t="str">
        <f aca="false">ExportRaw!$D359</f>
        <v/>
      </c>
      <c r="F359" s="130" t="str">
        <f aca="false">ExportRaw!$H359</f>
        <v/>
      </c>
      <c r="G359" s="132" t="str">
        <f aca="false">ExportRaw!$I359</f>
        <v/>
      </c>
      <c r="H359" s="130" t="str">
        <f aca="false">ExportRaw!$A359</f>
        <v/>
      </c>
      <c r="I359" s="130" t="str">
        <f aca="false">ExportRaw!$B359</f>
        <v/>
      </c>
    </row>
    <row r="360" customFormat="false" ht="15.75" hidden="false" customHeight="false" outlineLevel="0" collapsed="false">
      <c r="A360" s="130" t="n">
        <f aca="false">ExportRaw!$F360</f>
        <v>0</v>
      </c>
      <c r="B360" s="130" t="n">
        <f aca="false">ExportRaw!$C360</f>
        <v>0</v>
      </c>
      <c r="C360" s="130" t="n">
        <f aca="false">ExportRaw!$G360</f>
        <v>0</v>
      </c>
      <c r="D360" s="130" t="str">
        <f aca="false">ExportRaw!$E360</f>
        <v/>
      </c>
      <c r="E360" s="131" t="str">
        <f aca="false">ExportRaw!$D360</f>
        <v/>
      </c>
      <c r="F360" s="130" t="str">
        <f aca="false">ExportRaw!$H360</f>
        <v/>
      </c>
      <c r="G360" s="132" t="str">
        <f aca="false">ExportRaw!$I360</f>
        <v/>
      </c>
      <c r="H360" s="130" t="str">
        <f aca="false">ExportRaw!$A360</f>
        <v/>
      </c>
      <c r="I360" s="130" t="str">
        <f aca="false">ExportRaw!$B360</f>
        <v/>
      </c>
    </row>
    <row r="361" customFormat="false" ht="15.75" hidden="false" customHeight="false" outlineLevel="0" collapsed="false">
      <c r="A361" s="130" t="n">
        <f aca="false">ExportRaw!$F361</f>
        <v>0</v>
      </c>
      <c r="B361" s="130" t="n">
        <f aca="false">ExportRaw!$C361</f>
        <v>0</v>
      </c>
      <c r="C361" s="130" t="n">
        <f aca="false">ExportRaw!$G361</f>
        <v>0</v>
      </c>
      <c r="D361" s="130" t="str">
        <f aca="false">ExportRaw!$E361</f>
        <v/>
      </c>
      <c r="E361" s="131" t="str">
        <f aca="false">ExportRaw!$D361</f>
        <v/>
      </c>
      <c r="F361" s="130" t="str">
        <f aca="false">ExportRaw!$H361</f>
        <v/>
      </c>
      <c r="G361" s="132" t="str">
        <f aca="false">ExportRaw!$I361</f>
        <v/>
      </c>
      <c r="H361" s="130" t="str">
        <f aca="false">ExportRaw!$A361</f>
        <v/>
      </c>
      <c r="I361" s="130" t="str">
        <f aca="false">ExportRaw!$B361</f>
        <v/>
      </c>
    </row>
    <row r="362" customFormat="false" ht="15.75" hidden="false" customHeight="false" outlineLevel="0" collapsed="false">
      <c r="A362" s="130" t="n">
        <f aca="false">ExportRaw!$F362</f>
        <v>0</v>
      </c>
      <c r="B362" s="130" t="n">
        <f aca="false">ExportRaw!$C362</f>
        <v>0</v>
      </c>
      <c r="C362" s="130" t="n">
        <f aca="false">ExportRaw!$G362</f>
        <v>0</v>
      </c>
      <c r="D362" s="130" t="str">
        <f aca="false">ExportRaw!$E362</f>
        <v/>
      </c>
      <c r="E362" s="131" t="str">
        <f aca="false">ExportRaw!$D362</f>
        <v/>
      </c>
      <c r="F362" s="130" t="str">
        <f aca="false">ExportRaw!$H362</f>
        <v/>
      </c>
      <c r="G362" s="132" t="str">
        <f aca="false">ExportRaw!$I362</f>
        <v/>
      </c>
      <c r="H362" s="130" t="str">
        <f aca="false">ExportRaw!$A362</f>
        <v/>
      </c>
      <c r="I362" s="130" t="str">
        <f aca="false">ExportRaw!$B362</f>
        <v/>
      </c>
    </row>
    <row r="363" customFormat="false" ht="15.75" hidden="false" customHeight="false" outlineLevel="0" collapsed="false">
      <c r="A363" s="130" t="n">
        <f aca="false">ExportRaw!$F363</f>
        <v>0</v>
      </c>
      <c r="B363" s="130" t="n">
        <f aca="false">ExportRaw!$C363</f>
        <v>0</v>
      </c>
      <c r="C363" s="130" t="n">
        <f aca="false">ExportRaw!$G363</f>
        <v>0</v>
      </c>
      <c r="D363" s="130" t="str">
        <f aca="false">ExportRaw!$E363</f>
        <v/>
      </c>
      <c r="E363" s="131" t="str">
        <f aca="false">ExportRaw!$D363</f>
        <v/>
      </c>
      <c r="F363" s="130" t="str">
        <f aca="false">ExportRaw!$H363</f>
        <v/>
      </c>
      <c r="G363" s="132" t="str">
        <f aca="false">ExportRaw!$I363</f>
        <v/>
      </c>
      <c r="H363" s="130" t="str">
        <f aca="false">ExportRaw!$A363</f>
        <v/>
      </c>
      <c r="I363" s="130" t="str">
        <f aca="false">ExportRaw!$B363</f>
        <v/>
      </c>
    </row>
    <row r="364" customFormat="false" ht="15.75" hidden="false" customHeight="false" outlineLevel="0" collapsed="false">
      <c r="A364" s="130" t="n">
        <f aca="false">ExportRaw!$F364</f>
        <v>0</v>
      </c>
      <c r="B364" s="130" t="n">
        <f aca="false">ExportRaw!$C364</f>
        <v>0</v>
      </c>
      <c r="C364" s="130" t="n">
        <f aca="false">ExportRaw!$G364</f>
        <v>0</v>
      </c>
      <c r="D364" s="130" t="str">
        <f aca="false">ExportRaw!$E364</f>
        <v/>
      </c>
      <c r="E364" s="131" t="str">
        <f aca="false">ExportRaw!$D364</f>
        <v/>
      </c>
      <c r="F364" s="130" t="str">
        <f aca="false">ExportRaw!$H364</f>
        <v/>
      </c>
      <c r="G364" s="132" t="str">
        <f aca="false">ExportRaw!$I364</f>
        <v/>
      </c>
      <c r="H364" s="130" t="str">
        <f aca="false">ExportRaw!$A364</f>
        <v/>
      </c>
      <c r="I364" s="130" t="str">
        <f aca="false">ExportRaw!$B364</f>
        <v/>
      </c>
    </row>
    <row r="365" customFormat="false" ht="15.75" hidden="false" customHeight="false" outlineLevel="0" collapsed="false">
      <c r="A365" s="130" t="n">
        <f aca="false">ExportRaw!$F365</f>
        <v>0</v>
      </c>
      <c r="B365" s="130" t="n">
        <f aca="false">ExportRaw!$C365</f>
        <v>0</v>
      </c>
      <c r="C365" s="130" t="n">
        <f aca="false">ExportRaw!$G365</f>
        <v>0</v>
      </c>
      <c r="D365" s="130" t="str">
        <f aca="false">ExportRaw!$E365</f>
        <v/>
      </c>
      <c r="E365" s="131" t="str">
        <f aca="false">ExportRaw!$D365</f>
        <v/>
      </c>
      <c r="F365" s="130" t="str">
        <f aca="false">ExportRaw!$H365</f>
        <v/>
      </c>
      <c r="G365" s="132" t="str">
        <f aca="false">ExportRaw!$I365</f>
        <v/>
      </c>
      <c r="H365" s="130" t="str">
        <f aca="false">ExportRaw!$A365</f>
        <v/>
      </c>
      <c r="I365" s="130" t="str">
        <f aca="false">ExportRaw!$B365</f>
        <v/>
      </c>
    </row>
    <row r="366" customFormat="false" ht="15.75" hidden="false" customHeight="false" outlineLevel="0" collapsed="false">
      <c r="A366" s="130" t="n">
        <f aca="false">ExportRaw!$F366</f>
        <v>0</v>
      </c>
      <c r="B366" s="130" t="n">
        <f aca="false">ExportRaw!$C366</f>
        <v>0</v>
      </c>
      <c r="C366" s="130" t="n">
        <f aca="false">ExportRaw!$G366</f>
        <v>0</v>
      </c>
      <c r="D366" s="130" t="str">
        <f aca="false">ExportRaw!$E366</f>
        <v/>
      </c>
      <c r="E366" s="131" t="str">
        <f aca="false">ExportRaw!$D366</f>
        <v/>
      </c>
      <c r="F366" s="130" t="str">
        <f aca="false">ExportRaw!$H366</f>
        <v/>
      </c>
      <c r="G366" s="132" t="str">
        <f aca="false">ExportRaw!$I366</f>
        <v/>
      </c>
      <c r="H366" s="130" t="str">
        <f aca="false">ExportRaw!$A366</f>
        <v/>
      </c>
      <c r="I366" s="130" t="str">
        <f aca="false">ExportRaw!$B366</f>
        <v/>
      </c>
    </row>
    <row r="367" customFormat="false" ht="15.75" hidden="false" customHeight="false" outlineLevel="0" collapsed="false">
      <c r="A367" s="130" t="n">
        <f aca="false">ExportRaw!$F367</f>
        <v>0</v>
      </c>
      <c r="B367" s="130" t="n">
        <f aca="false">ExportRaw!$C367</f>
        <v>0</v>
      </c>
      <c r="C367" s="130" t="n">
        <f aca="false">ExportRaw!$G367</f>
        <v>0</v>
      </c>
      <c r="D367" s="130" t="str">
        <f aca="false">ExportRaw!$E367</f>
        <v/>
      </c>
      <c r="E367" s="131" t="str">
        <f aca="false">ExportRaw!$D367</f>
        <v/>
      </c>
      <c r="F367" s="130" t="str">
        <f aca="false">ExportRaw!$H367</f>
        <v/>
      </c>
      <c r="G367" s="132" t="str">
        <f aca="false">ExportRaw!$I367</f>
        <v/>
      </c>
      <c r="H367" s="130" t="str">
        <f aca="false">ExportRaw!$A367</f>
        <v/>
      </c>
      <c r="I367" s="130" t="str">
        <f aca="false">ExportRaw!$B367</f>
        <v/>
      </c>
    </row>
    <row r="368" customFormat="false" ht="15.75" hidden="false" customHeight="false" outlineLevel="0" collapsed="false">
      <c r="A368" s="130" t="n">
        <f aca="false">ExportRaw!$F368</f>
        <v>0</v>
      </c>
      <c r="B368" s="130" t="n">
        <f aca="false">ExportRaw!$C368</f>
        <v>0</v>
      </c>
      <c r="C368" s="130" t="n">
        <f aca="false">ExportRaw!$G368</f>
        <v>0</v>
      </c>
      <c r="D368" s="130" t="str">
        <f aca="false">ExportRaw!$E368</f>
        <v/>
      </c>
      <c r="E368" s="131" t="str">
        <f aca="false">ExportRaw!$D368</f>
        <v/>
      </c>
      <c r="F368" s="130" t="str">
        <f aca="false">ExportRaw!$H368</f>
        <v/>
      </c>
      <c r="G368" s="132" t="str">
        <f aca="false">ExportRaw!$I368</f>
        <v/>
      </c>
      <c r="H368" s="130" t="str">
        <f aca="false">ExportRaw!$A368</f>
        <v/>
      </c>
      <c r="I368" s="130" t="str">
        <f aca="false">ExportRaw!$B368</f>
        <v/>
      </c>
    </row>
    <row r="369" customFormat="false" ht="15.75" hidden="false" customHeight="false" outlineLevel="0" collapsed="false">
      <c r="A369" s="130" t="n">
        <f aca="false">ExportRaw!$F369</f>
        <v>0</v>
      </c>
      <c r="B369" s="130" t="n">
        <f aca="false">ExportRaw!$C369</f>
        <v>0</v>
      </c>
      <c r="C369" s="130" t="n">
        <f aca="false">ExportRaw!$G369</f>
        <v>0</v>
      </c>
      <c r="D369" s="130" t="str">
        <f aca="false">ExportRaw!$E369</f>
        <v/>
      </c>
      <c r="E369" s="131" t="str">
        <f aca="false">ExportRaw!$D369</f>
        <v/>
      </c>
      <c r="F369" s="130" t="str">
        <f aca="false">ExportRaw!$H369</f>
        <v/>
      </c>
      <c r="G369" s="132" t="str">
        <f aca="false">ExportRaw!$I369</f>
        <v/>
      </c>
      <c r="H369" s="130" t="str">
        <f aca="false">ExportRaw!$A369</f>
        <v/>
      </c>
      <c r="I369" s="130" t="str">
        <f aca="false">ExportRaw!$B369</f>
        <v/>
      </c>
    </row>
    <row r="370" customFormat="false" ht="15.75" hidden="false" customHeight="false" outlineLevel="0" collapsed="false">
      <c r="A370" s="130" t="n">
        <f aca="false">ExportRaw!$F370</f>
        <v>0</v>
      </c>
      <c r="B370" s="130" t="n">
        <f aca="false">ExportRaw!$C370</f>
        <v>0</v>
      </c>
      <c r="C370" s="130" t="n">
        <f aca="false">ExportRaw!$G370</f>
        <v>0</v>
      </c>
      <c r="D370" s="130" t="str">
        <f aca="false">ExportRaw!$E370</f>
        <v/>
      </c>
      <c r="E370" s="131" t="str">
        <f aca="false">ExportRaw!$D370</f>
        <v/>
      </c>
      <c r="F370" s="130" t="str">
        <f aca="false">ExportRaw!$H370</f>
        <v/>
      </c>
      <c r="G370" s="132" t="str">
        <f aca="false">ExportRaw!$I370</f>
        <v/>
      </c>
      <c r="H370" s="130" t="str">
        <f aca="false">ExportRaw!$A370</f>
        <v/>
      </c>
      <c r="I370" s="130" t="str">
        <f aca="false">ExportRaw!$B370</f>
        <v/>
      </c>
    </row>
    <row r="371" customFormat="false" ht="15.75" hidden="false" customHeight="false" outlineLevel="0" collapsed="false">
      <c r="A371" s="130" t="n">
        <f aca="false">ExportRaw!$F371</f>
        <v>0</v>
      </c>
      <c r="B371" s="130" t="n">
        <f aca="false">ExportRaw!$C371</f>
        <v>0</v>
      </c>
      <c r="C371" s="130" t="n">
        <f aca="false">ExportRaw!$G371</f>
        <v>0</v>
      </c>
      <c r="D371" s="130" t="str">
        <f aca="false">ExportRaw!$E371</f>
        <v/>
      </c>
      <c r="E371" s="131" t="str">
        <f aca="false">ExportRaw!$D371</f>
        <v/>
      </c>
      <c r="F371" s="130" t="str">
        <f aca="false">ExportRaw!$H371</f>
        <v/>
      </c>
      <c r="G371" s="132" t="str">
        <f aca="false">ExportRaw!$I371</f>
        <v/>
      </c>
      <c r="H371" s="130" t="str">
        <f aca="false">ExportRaw!$A371</f>
        <v/>
      </c>
      <c r="I371" s="130" t="str">
        <f aca="false">ExportRaw!$B371</f>
        <v/>
      </c>
    </row>
    <row r="372" customFormat="false" ht="15.75" hidden="false" customHeight="false" outlineLevel="0" collapsed="false">
      <c r="A372" s="130" t="n">
        <f aca="false">ExportRaw!$F372</f>
        <v>0</v>
      </c>
      <c r="B372" s="130" t="n">
        <f aca="false">ExportRaw!$C372</f>
        <v>0</v>
      </c>
      <c r="C372" s="130" t="n">
        <f aca="false">ExportRaw!$G372</f>
        <v>0</v>
      </c>
      <c r="D372" s="130" t="str">
        <f aca="false">ExportRaw!$E372</f>
        <v/>
      </c>
      <c r="E372" s="131" t="str">
        <f aca="false">ExportRaw!$D372</f>
        <v/>
      </c>
      <c r="F372" s="130" t="str">
        <f aca="false">ExportRaw!$H372</f>
        <v/>
      </c>
      <c r="G372" s="132" t="str">
        <f aca="false">ExportRaw!$I372</f>
        <v/>
      </c>
      <c r="H372" s="130" t="str">
        <f aca="false">ExportRaw!$A372</f>
        <v/>
      </c>
      <c r="I372" s="130" t="str">
        <f aca="false">ExportRaw!$B372</f>
        <v/>
      </c>
    </row>
    <row r="373" customFormat="false" ht="15.75" hidden="false" customHeight="false" outlineLevel="0" collapsed="false">
      <c r="A373" s="130" t="n">
        <f aca="false">ExportRaw!$F373</f>
        <v>0</v>
      </c>
      <c r="B373" s="130" t="n">
        <f aca="false">ExportRaw!$C373</f>
        <v>0</v>
      </c>
      <c r="C373" s="130" t="n">
        <f aca="false">ExportRaw!$G373</f>
        <v>0</v>
      </c>
      <c r="D373" s="130" t="str">
        <f aca="false">ExportRaw!$E373</f>
        <v/>
      </c>
      <c r="E373" s="131" t="str">
        <f aca="false">ExportRaw!$D373</f>
        <v/>
      </c>
      <c r="F373" s="130" t="str">
        <f aca="false">ExportRaw!$H373</f>
        <v/>
      </c>
      <c r="G373" s="132" t="str">
        <f aca="false">ExportRaw!$I373</f>
        <v/>
      </c>
      <c r="H373" s="130" t="str">
        <f aca="false">ExportRaw!$A373</f>
        <v/>
      </c>
      <c r="I373" s="130" t="str">
        <f aca="false">ExportRaw!$B373</f>
        <v/>
      </c>
    </row>
    <row r="374" customFormat="false" ht="15.75" hidden="false" customHeight="false" outlineLevel="0" collapsed="false">
      <c r="A374" s="130" t="n">
        <f aca="false">ExportRaw!$F374</f>
        <v>0</v>
      </c>
      <c r="B374" s="130" t="n">
        <f aca="false">ExportRaw!$C374</f>
        <v>0</v>
      </c>
      <c r="C374" s="130" t="n">
        <f aca="false">ExportRaw!$G374</f>
        <v>0</v>
      </c>
      <c r="D374" s="130" t="str">
        <f aca="false">ExportRaw!$E374</f>
        <v/>
      </c>
      <c r="E374" s="131" t="str">
        <f aca="false">ExportRaw!$D374</f>
        <v/>
      </c>
      <c r="F374" s="130" t="str">
        <f aca="false">ExportRaw!$H374</f>
        <v/>
      </c>
      <c r="G374" s="132" t="str">
        <f aca="false">ExportRaw!$I374</f>
        <v/>
      </c>
      <c r="H374" s="130" t="str">
        <f aca="false">ExportRaw!$A374</f>
        <v/>
      </c>
      <c r="I374" s="130" t="str">
        <f aca="false">ExportRaw!$B374</f>
        <v/>
      </c>
    </row>
    <row r="375" customFormat="false" ht="15.75" hidden="false" customHeight="false" outlineLevel="0" collapsed="false">
      <c r="A375" s="130" t="n">
        <f aca="false">ExportRaw!$F375</f>
        <v>0</v>
      </c>
      <c r="B375" s="130" t="n">
        <f aca="false">ExportRaw!$C375</f>
        <v>0</v>
      </c>
      <c r="C375" s="130" t="n">
        <f aca="false">ExportRaw!$G375</f>
        <v>0</v>
      </c>
      <c r="D375" s="130" t="str">
        <f aca="false">ExportRaw!$E375</f>
        <v/>
      </c>
      <c r="E375" s="131" t="str">
        <f aca="false">ExportRaw!$D375</f>
        <v/>
      </c>
      <c r="F375" s="130" t="str">
        <f aca="false">ExportRaw!$H375</f>
        <v/>
      </c>
      <c r="G375" s="132" t="str">
        <f aca="false">ExportRaw!$I375</f>
        <v/>
      </c>
      <c r="H375" s="130" t="str">
        <f aca="false">ExportRaw!$A375</f>
        <v/>
      </c>
      <c r="I375" s="130" t="str">
        <f aca="false">ExportRaw!$B375</f>
        <v/>
      </c>
    </row>
    <row r="376" customFormat="false" ht="15.75" hidden="false" customHeight="false" outlineLevel="0" collapsed="false">
      <c r="A376" s="130" t="n">
        <f aca="false">ExportRaw!$F376</f>
        <v>0</v>
      </c>
      <c r="B376" s="130" t="n">
        <f aca="false">ExportRaw!$C376</f>
        <v>0</v>
      </c>
      <c r="C376" s="130" t="n">
        <f aca="false">ExportRaw!$G376</f>
        <v>0</v>
      </c>
      <c r="D376" s="130" t="str">
        <f aca="false">ExportRaw!$E376</f>
        <v/>
      </c>
      <c r="E376" s="131" t="str">
        <f aca="false">ExportRaw!$D376</f>
        <v/>
      </c>
      <c r="F376" s="130" t="str">
        <f aca="false">ExportRaw!$H376</f>
        <v/>
      </c>
      <c r="G376" s="132" t="str">
        <f aca="false">ExportRaw!$I376</f>
        <v/>
      </c>
      <c r="H376" s="130" t="str">
        <f aca="false">ExportRaw!$A376</f>
        <v/>
      </c>
      <c r="I376" s="130" t="str">
        <f aca="false">ExportRaw!$B376</f>
        <v/>
      </c>
    </row>
    <row r="377" customFormat="false" ht="15.75" hidden="false" customHeight="false" outlineLevel="0" collapsed="false">
      <c r="A377" s="130" t="n">
        <f aca="false">ExportRaw!$F377</f>
        <v>0</v>
      </c>
      <c r="B377" s="130" t="n">
        <f aca="false">ExportRaw!$C377</f>
        <v>0</v>
      </c>
      <c r="C377" s="130" t="n">
        <f aca="false">ExportRaw!$G377</f>
        <v>0</v>
      </c>
      <c r="D377" s="130" t="str">
        <f aca="false">ExportRaw!$E377</f>
        <v/>
      </c>
      <c r="E377" s="131" t="str">
        <f aca="false">ExportRaw!$D377</f>
        <v/>
      </c>
      <c r="F377" s="130" t="str">
        <f aca="false">ExportRaw!$H377</f>
        <v/>
      </c>
      <c r="G377" s="132" t="str">
        <f aca="false">ExportRaw!$I377</f>
        <v/>
      </c>
      <c r="H377" s="130" t="str">
        <f aca="false">ExportRaw!$A377</f>
        <v/>
      </c>
      <c r="I377" s="130" t="str">
        <f aca="false">ExportRaw!$B377</f>
        <v/>
      </c>
    </row>
    <row r="378" customFormat="false" ht="15.75" hidden="false" customHeight="false" outlineLevel="0" collapsed="false">
      <c r="A378" s="130" t="n">
        <f aca="false">ExportRaw!$F378</f>
        <v>0</v>
      </c>
      <c r="B378" s="130" t="n">
        <f aca="false">ExportRaw!$C378</f>
        <v>0</v>
      </c>
      <c r="C378" s="130" t="n">
        <f aca="false">ExportRaw!$G378</f>
        <v>0</v>
      </c>
      <c r="D378" s="130" t="str">
        <f aca="false">ExportRaw!$E378</f>
        <v/>
      </c>
      <c r="E378" s="131" t="str">
        <f aca="false">ExportRaw!$D378</f>
        <v/>
      </c>
      <c r="F378" s="130" t="str">
        <f aca="false">ExportRaw!$H378</f>
        <v/>
      </c>
      <c r="G378" s="132" t="str">
        <f aca="false">ExportRaw!$I378</f>
        <v/>
      </c>
      <c r="H378" s="130" t="str">
        <f aca="false">ExportRaw!$A378</f>
        <v/>
      </c>
      <c r="I378" s="130" t="str">
        <f aca="false">ExportRaw!$B378</f>
        <v/>
      </c>
    </row>
    <row r="379" customFormat="false" ht="15.75" hidden="false" customHeight="false" outlineLevel="0" collapsed="false">
      <c r="A379" s="130" t="n">
        <f aca="false">ExportRaw!$F379</f>
        <v>0</v>
      </c>
      <c r="B379" s="130" t="n">
        <f aca="false">ExportRaw!$C379</f>
        <v>0</v>
      </c>
      <c r="C379" s="130" t="n">
        <f aca="false">ExportRaw!$G379</f>
        <v>0</v>
      </c>
      <c r="D379" s="130" t="str">
        <f aca="false">ExportRaw!$E379</f>
        <v/>
      </c>
      <c r="E379" s="131" t="str">
        <f aca="false">ExportRaw!$D379</f>
        <v/>
      </c>
      <c r="F379" s="130" t="str">
        <f aca="false">ExportRaw!$H379</f>
        <v/>
      </c>
      <c r="G379" s="132" t="str">
        <f aca="false">ExportRaw!$I379</f>
        <v/>
      </c>
      <c r="H379" s="130" t="str">
        <f aca="false">ExportRaw!$A379</f>
        <v/>
      </c>
      <c r="I379" s="130" t="str">
        <f aca="false">ExportRaw!$B379</f>
        <v/>
      </c>
    </row>
    <row r="380" customFormat="false" ht="15.75" hidden="false" customHeight="false" outlineLevel="0" collapsed="false">
      <c r="A380" s="130" t="n">
        <f aca="false">ExportRaw!$F380</f>
        <v>0</v>
      </c>
      <c r="B380" s="130" t="n">
        <f aca="false">ExportRaw!$C380</f>
        <v>0</v>
      </c>
      <c r="C380" s="130" t="n">
        <f aca="false">ExportRaw!$G380</f>
        <v>0</v>
      </c>
      <c r="D380" s="130" t="str">
        <f aca="false">ExportRaw!$E380</f>
        <v/>
      </c>
      <c r="E380" s="131" t="str">
        <f aca="false">ExportRaw!$D380</f>
        <v/>
      </c>
      <c r="F380" s="130" t="str">
        <f aca="false">ExportRaw!$H380</f>
        <v/>
      </c>
      <c r="G380" s="132" t="str">
        <f aca="false">ExportRaw!$I380</f>
        <v/>
      </c>
      <c r="H380" s="130" t="str">
        <f aca="false">ExportRaw!$A380</f>
        <v/>
      </c>
      <c r="I380" s="130" t="str">
        <f aca="false">ExportRaw!$B380</f>
        <v/>
      </c>
    </row>
    <row r="381" customFormat="false" ht="15.75" hidden="false" customHeight="false" outlineLevel="0" collapsed="false">
      <c r="A381" s="130" t="n">
        <f aca="false">ExportRaw!$F381</f>
        <v>0</v>
      </c>
      <c r="B381" s="130" t="n">
        <f aca="false">ExportRaw!$C381</f>
        <v>0</v>
      </c>
      <c r="C381" s="130" t="n">
        <f aca="false">ExportRaw!$G381</f>
        <v>0</v>
      </c>
      <c r="D381" s="130" t="str">
        <f aca="false">ExportRaw!$E381</f>
        <v/>
      </c>
      <c r="E381" s="131" t="str">
        <f aca="false">ExportRaw!$D381</f>
        <v/>
      </c>
      <c r="F381" s="130" t="str">
        <f aca="false">ExportRaw!$H381</f>
        <v/>
      </c>
      <c r="G381" s="132" t="str">
        <f aca="false">ExportRaw!$I381</f>
        <v/>
      </c>
      <c r="H381" s="130" t="str">
        <f aca="false">ExportRaw!$A381</f>
        <v/>
      </c>
      <c r="I381" s="130" t="str">
        <f aca="false">ExportRaw!$B381</f>
        <v/>
      </c>
    </row>
    <row r="382" customFormat="false" ht="15.75" hidden="false" customHeight="false" outlineLevel="0" collapsed="false">
      <c r="A382" s="130" t="n">
        <f aca="false">ExportRaw!$F382</f>
        <v>0</v>
      </c>
      <c r="B382" s="130" t="n">
        <f aca="false">ExportRaw!$C382</f>
        <v>0</v>
      </c>
      <c r="C382" s="130" t="n">
        <f aca="false">ExportRaw!$G382</f>
        <v>0</v>
      </c>
      <c r="D382" s="130" t="str">
        <f aca="false">ExportRaw!$E382</f>
        <v/>
      </c>
      <c r="E382" s="131" t="str">
        <f aca="false">ExportRaw!$D382</f>
        <v/>
      </c>
      <c r="F382" s="130" t="str">
        <f aca="false">ExportRaw!$H382</f>
        <v/>
      </c>
      <c r="G382" s="132" t="str">
        <f aca="false">ExportRaw!$I382</f>
        <v/>
      </c>
      <c r="H382" s="130" t="str">
        <f aca="false">ExportRaw!$A382</f>
        <v/>
      </c>
      <c r="I382" s="130" t="str">
        <f aca="false">ExportRaw!$B382</f>
        <v/>
      </c>
    </row>
    <row r="383" customFormat="false" ht="15.75" hidden="false" customHeight="false" outlineLevel="0" collapsed="false">
      <c r="A383" s="130" t="n">
        <f aca="false">ExportRaw!$F383</f>
        <v>0</v>
      </c>
      <c r="B383" s="130" t="n">
        <f aca="false">ExportRaw!$C383</f>
        <v>0</v>
      </c>
      <c r="C383" s="130" t="n">
        <f aca="false">ExportRaw!$G383</f>
        <v>0</v>
      </c>
      <c r="D383" s="130" t="str">
        <f aca="false">ExportRaw!$E383</f>
        <v/>
      </c>
      <c r="E383" s="131" t="str">
        <f aca="false">ExportRaw!$D383</f>
        <v/>
      </c>
      <c r="F383" s="130" t="str">
        <f aca="false">ExportRaw!$H383</f>
        <v/>
      </c>
      <c r="G383" s="132" t="str">
        <f aca="false">ExportRaw!$I383</f>
        <v/>
      </c>
      <c r="H383" s="130" t="str">
        <f aca="false">ExportRaw!$A383</f>
        <v/>
      </c>
      <c r="I383" s="130" t="str">
        <f aca="false">ExportRaw!$B383</f>
        <v/>
      </c>
    </row>
    <row r="384" customFormat="false" ht="15.75" hidden="false" customHeight="false" outlineLevel="0" collapsed="false">
      <c r="A384" s="130" t="n">
        <f aca="false">ExportRaw!$F384</f>
        <v>0</v>
      </c>
      <c r="B384" s="130" t="n">
        <f aca="false">ExportRaw!$C384</f>
        <v>0</v>
      </c>
      <c r="C384" s="130" t="n">
        <f aca="false">ExportRaw!$G384</f>
        <v>0</v>
      </c>
      <c r="D384" s="130" t="str">
        <f aca="false">ExportRaw!$E384</f>
        <v/>
      </c>
      <c r="E384" s="131" t="str">
        <f aca="false">ExportRaw!$D384</f>
        <v/>
      </c>
      <c r="F384" s="130" t="str">
        <f aca="false">ExportRaw!$H384</f>
        <v/>
      </c>
      <c r="G384" s="132" t="str">
        <f aca="false">ExportRaw!$I384</f>
        <v/>
      </c>
      <c r="H384" s="130" t="str">
        <f aca="false">ExportRaw!$A384</f>
        <v/>
      </c>
      <c r="I384" s="130" t="str">
        <f aca="false">ExportRaw!$B384</f>
        <v/>
      </c>
    </row>
    <row r="385" customFormat="false" ht="15.75" hidden="false" customHeight="false" outlineLevel="0" collapsed="false">
      <c r="A385" s="130" t="n">
        <f aca="false">ExportRaw!$F385</f>
        <v>0</v>
      </c>
      <c r="B385" s="130" t="n">
        <f aca="false">ExportRaw!$C385</f>
        <v>0</v>
      </c>
      <c r="C385" s="130" t="n">
        <f aca="false">ExportRaw!$G385</f>
        <v>0</v>
      </c>
      <c r="D385" s="130" t="str">
        <f aca="false">ExportRaw!$E385</f>
        <v/>
      </c>
      <c r="E385" s="131" t="str">
        <f aca="false">ExportRaw!$D385</f>
        <v/>
      </c>
      <c r="F385" s="130" t="str">
        <f aca="false">ExportRaw!$H385</f>
        <v/>
      </c>
      <c r="G385" s="132" t="str">
        <f aca="false">ExportRaw!$I385</f>
        <v/>
      </c>
      <c r="H385" s="130" t="str">
        <f aca="false">ExportRaw!$A385</f>
        <v/>
      </c>
      <c r="I385" s="130" t="str">
        <f aca="false">ExportRaw!$B385</f>
        <v/>
      </c>
    </row>
    <row r="386" customFormat="false" ht="15.75" hidden="false" customHeight="false" outlineLevel="0" collapsed="false">
      <c r="A386" s="130" t="n">
        <f aca="false">ExportRaw!$F386</f>
        <v>0</v>
      </c>
      <c r="B386" s="130" t="n">
        <f aca="false">ExportRaw!$C386</f>
        <v>0</v>
      </c>
      <c r="C386" s="130" t="n">
        <f aca="false">ExportRaw!$G386</f>
        <v>0</v>
      </c>
      <c r="D386" s="130" t="str">
        <f aca="false">ExportRaw!$E386</f>
        <v/>
      </c>
      <c r="E386" s="131" t="str">
        <f aca="false">ExportRaw!$D386</f>
        <v/>
      </c>
      <c r="F386" s="130" t="str">
        <f aca="false">ExportRaw!$H386</f>
        <v/>
      </c>
      <c r="G386" s="132" t="str">
        <f aca="false">ExportRaw!$I386</f>
        <v/>
      </c>
      <c r="H386" s="130" t="str">
        <f aca="false">ExportRaw!$A386</f>
        <v/>
      </c>
      <c r="I386" s="130" t="str">
        <f aca="false">ExportRaw!$B386</f>
        <v/>
      </c>
    </row>
    <row r="387" customFormat="false" ht="15.75" hidden="false" customHeight="false" outlineLevel="0" collapsed="false">
      <c r="A387" s="130" t="n">
        <f aca="false">ExportRaw!$F387</f>
        <v>0</v>
      </c>
      <c r="B387" s="130" t="n">
        <f aca="false">ExportRaw!$C387</f>
        <v>0</v>
      </c>
      <c r="C387" s="130" t="n">
        <f aca="false">ExportRaw!$G387</f>
        <v>0</v>
      </c>
      <c r="D387" s="130" t="str">
        <f aca="false">ExportRaw!$E387</f>
        <v/>
      </c>
      <c r="E387" s="131" t="str">
        <f aca="false">ExportRaw!$D387</f>
        <v/>
      </c>
      <c r="F387" s="130" t="str">
        <f aca="false">ExportRaw!$H387</f>
        <v/>
      </c>
      <c r="G387" s="132" t="str">
        <f aca="false">ExportRaw!$I387</f>
        <v/>
      </c>
      <c r="H387" s="130" t="str">
        <f aca="false">ExportRaw!$A387</f>
        <v/>
      </c>
      <c r="I387" s="130" t="str">
        <f aca="false">ExportRaw!$B387</f>
        <v/>
      </c>
    </row>
    <row r="388" customFormat="false" ht="15.75" hidden="false" customHeight="false" outlineLevel="0" collapsed="false">
      <c r="A388" s="130" t="n">
        <f aca="false">ExportRaw!$F388</f>
        <v>0</v>
      </c>
      <c r="B388" s="130" t="n">
        <f aca="false">ExportRaw!$C388</f>
        <v>0</v>
      </c>
      <c r="C388" s="130" t="n">
        <f aca="false">ExportRaw!$G388</f>
        <v>0</v>
      </c>
      <c r="D388" s="130" t="str">
        <f aca="false">ExportRaw!$E388</f>
        <v/>
      </c>
      <c r="E388" s="131" t="str">
        <f aca="false">ExportRaw!$D388</f>
        <v/>
      </c>
      <c r="F388" s="130" t="str">
        <f aca="false">ExportRaw!$H388</f>
        <v/>
      </c>
      <c r="G388" s="132" t="str">
        <f aca="false">ExportRaw!$I388</f>
        <v/>
      </c>
      <c r="H388" s="130" t="str">
        <f aca="false">ExportRaw!$A388</f>
        <v/>
      </c>
      <c r="I388" s="130" t="str">
        <f aca="false">ExportRaw!$B388</f>
        <v/>
      </c>
    </row>
    <row r="389" customFormat="false" ht="15.75" hidden="false" customHeight="false" outlineLevel="0" collapsed="false">
      <c r="A389" s="130" t="n">
        <f aca="false">ExportRaw!$F389</f>
        <v>0</v>
      </c>
      <c r="B389" s="130" t="n">
        <f aca="false">ExportRaw!$C389</f>
        <v>0</v>
      </c>
      <c r="C389" s="130" t="n">
        <f aca="false">ExportRaw!$G389</f>
        <v>0</v>
      </c>
      <c r="D389" s="130" t="str">
        <f aca="false">ExportRaw!$E389</f>
        <v/>
      </c>
      <c r="E389" s="131" t="str">
        <f aca="false">ExportRaw!$D389</f>
        <v/>
      </c>
      <c r="F389" s="130" t="str">
        <f aca="false">ExportRaw!$H389</f>
        <v/>
      </c>
      <c r="G389" s="132" t="str">
        <f aca="false">ExportRaw!$I389</f>
        <v/>
      </c>
      <c r="H389" s="130" t="str">
        <f aca="false">ExportRaw!$A389</f>
        <v/>
      </c>
      <c r="I389" s="130" t="str">
        <f aca="false">ExportRaw!$B389</f>
        <v/>
      </c>
    </row>
    <row r="390" customFormat="false" ht="15.75" hidden="false" customHeight="false" outlineLevel="0" collapsed="false">
      <c r="A390" s="130" t="n">
        <f aca="false">ExportRaw!$F390</f>
        <v>0</v>
      </c>
      <c r="B390" s="130" t="n">
        <f aca="false">ExportRaw!$C390</f>
        <v>0</v>
      </c>
      <c r="C390" s="130" t="n">
        <f aca="false">ExportRaw!$G390</f>
        <v>0</v>
      </c>
      <c r="D390" s="130" t="str">
        <f aca="false">ExportRaw!$E390</f>
        <v/>
      </c>
      <c r="E390" s="131" t="str">
        <f aca="false">ExportRaw!$D390</f>
        <v/>
      </c>
      <c r="F390" s="130" t="str">
        <f aca="false">ExportRaw!$H390</f>
        <v/>
      </c>
      <c r="G390" s="132" t="str">
        <f aca="false">ExportRaw!$I390</f>
        <v/>
      </c>
      <c r="H390" s="130" t="str">
        <f aca="false">ExportRaw!$A390</f>
        <v/>
      </c>
      <c r="I390" s="130" t="str">
        <f aca="false">ExportRaw!$B390</f>
        <v/>
      </c>
    </row>
    <row r="391" customFormat="false" ht="15.75" hidden="false" customHeight="false" outlineLevel="0" collapsed="false">
      <c r="A391" s="130" t="n">
        <f aca="false">ExportRaw!$F391</f>
        <v>0</v>
      </c>
      <c r="B391" s="130" t="n">
        <f aca="false">ExportRaw!$C391</f>
        <v>0</v>
      </c>
      <c r="C391" s="130" t="n">
        <f aca="false">ExportRaw!$G391</f>
        <v>0</v>
      </c>
      <c r="D391" s="130" t="str">
        <f aca="false">ExportRaw!$E391</f>
        <v/>
      </c>
      <c r="E391" s="131" t="str">
        <f aca="false">ExportRaw!$D391</f>
        <v/>
      </c>
      <c r="F391" s="130" t="str">
        <f aca="false">ExportRaw!$H391</f>
        <v/>
      </c>
      <c r="G391" s="132" t="str">
        <f aca="false">ExportRaw!$I391</f>
        <v/>
      </c>
      <c r="H391" s="130" t="str">
        <f aca="false">ExportRaw!$A391</f>
        <v/>
      </c>
      <c r="I391" s="130" t="str">
        <f aca="false">ExportRaw!$B391</f>
        <v/>
      </c>
    </row>
    <row r="392" customFormat="false" ht="15.75" hidden="false" customHeight="false" outlineLevel="0" collapsed="false">
      <c r="A392" s="130" t="n">
        <f aca="false">ExportRaw!$F392</f>
        <v>0</v>
      </c>
      <c r="B392" s="130" t="n">
        <f aca="false">ExportRaw!$C392</f>
        <v>0</v>
      </c>
      <c r="C392" s="130" t="n">
        <f aca="false">ExportRaw!$G392</f>
        <v>0</v>
      </c>
      <c r="D392" s="130" t="str">
        <f aca="false">ExportRaw!$E392</f>
        <v/>
      </c>
      <c r="E392" s="131" t="str">
        <f aca="false">ExportRaw!$D392</f>
        <v/>
      </c>
      <c r="F392" s="130" t="str">
        <f aca="false">ExportRaw!$H392</f>
        <v/>
      </c>
      <c r="G392" s="132" t="str">
        <f aca="false">ExportRaw!$I392</f>
        <v/>
      </c>
      <c r="H392" s="130" t="str">
        <f aca="false">ExportRaw!$A392</f>
        <v/>
      </c>
      <c r="I392" s="130" t="str">
        <f aca="false">ExportRaw!$B392</f>
        <v/>
      </c>
    </row>
    <row r="393" customFormat="false" ht="15.75" hidden="false" customHeight="false" outlineLevel="0" collapsed="false">
      <c r="A393" s="130" t="n">
        <f aca="false">ExportRaw!$F393</f>
        <v>0</v>
      </c>
      <c r="B393" s="130" t="n">
        <f aca="false">ExportRaw!$C393</f>
        <v>0</v>
      </c>
      <c r="C393" s="130" t="n">
        <f aca="false">ExportRaw!$G393</f>
        <v>0</v>
      </c>
      <c r="D393" s="130" t="str">
        <f aca="false">ExportRaw!$E393</f>
        <v/>
      </c>
      <c r="E393" s="131" t="str">
        <f aca="false">ExportRaw!$D393</f>
        <v/>
      </c>
      <c r="F393" s="130" t="str">
        <f aca="false">ExportRaw!$H393</f>
        <v/>
      </c>
      <c r="G393" s="132" t="str">
        <f aca="false">ExportRaw!$I393</f>
        <v/>
      </c>
      <c r="H393" s="130" t="str">
        <f aca="false">ExportRaw!$A393</f>
        <v/>
      </c>
      <c r="I393" s="130" t="str">
        <f aca="false">ExportRaw!$B393</f>
        <v/>
      </c>
    </row>
    <row r="394" customFormat="false" ht="15.75" hidden="false" customHeight="false" outlineLevel="0" collapsed="false">
      <c r="A394" s="130" t="n">
        <f aca="false">ExportRaw!$F394</f>
        <v>0</v>
      </c>
      <c r="B394" s="130" t="n">
        <f aca="false">ExportRaw!$C394</f>
        <v>0</v>
      </c>
      <c r="C394" s="130" t="n">
        <f aca="false">ExportRaw!$G394</f>
        <v>0</v>
      </c>
      <c r="D394" s="130" t="str">
        <f aca="false">ExportRaw!$E394</f>
        <v/>
      </c>
      <c r="E394" s="131" t="str">
        <f aca="false">ExportRaw!$D394</f>
        <v/>
      </c>
      <c r="F394" s="130" t="str">
        <f aca="false">ExportRaw!$H394</f>
        <v/>
      </c>
      <c r="G394" s="132" t="str">
        <f aca="false">ExportRaw!$I394</f>
        <v/>
      </c>
      <c r="H394" s="130" t="str">
        <f aca="false">ExportRaw!$A394</f>
        <v/>
      </c>
      <c r="I394" s="130" t="str">
        <f aca="false">ExportRaw!$B394</f>
        <v/>
      </c>
    </row>
    <row r="395" customFormat="false" ht="15.75" hidden="false" customHeight="false" outlineLevel="0" collapsed="false">
      <c r="A395" s="130" t="n">
        <f aca="false">ExportRaw!$F395</f>
        <v>0</v>
      </c>
      <c r="B395" s="130" t="n">
        <f aca="false">ExportRaw!$C395</f>
        <v>0</v>
      </c>
      <c r="C395" s="130" t="n">
        <f aca="false">ExportRaw!$G395</f>
        <v>0</v>
      </c>
      <c r="D395" s="130" t="str">
        <f aca="false">ExportRaw!$E395</f>
        <v/>
      </c>
      <c r="E395" s="131" t="str">
        <f aca="false">ExportRaw!$D395</f>
        <v/>
      </c>
      <c r="F395" s="130" t="str">
        <f aca="false">ExportRaw!$H395</f>
        <v/>
      </c>
      <c r="G395" s="132" t="str">
        <f aca="false">ExportRaw!$I395</f>
        <v/>
      </c>
      <c r="H395" s="130" t="str">
        <f aca="false">ExportRaw!$A395</f>
        <v/>
      </c>
      <c r="I395" s="130" t="str">
        <f aca="false">ExportRaw!$B395</f>
        <v/>
      </c>
    </row>
    <row r="396" customFormat="false" ht="15.75" hidden="false" customHeight="false" outlineLevel="0" collapsed="false">
      <c r="A396" s="130" t="n">
        <f aca="false">ExportRaw!$F396</f>
        <v>0</v>
      </c>
      <c r="B396" s="130" t="n">
        <f aca="false">ExportRaw!$C396</f>
        <v>0</v>
      </c>
      <c r="C396" s="130" t="n">
        <f aca="false">ExportRaw!$G396</f>
        <v>0</v>
      </c>
      <c r="D396" s="130" t="str">
        <f aca="false">ExportRaw!$E396</f>
        <v/>
      </c>
      <c r="E396" s="131" t="str">
        <f aca="false">ExportRaw!$D396</f>
        <v/>
      </c>
      <c r="F396" s="130" t="str">
        <f aca="false">ExportRaw!$H396</f>
        <v/>
      </c>
      <c r="G396" s="132" t="str">
        <f aca="false">ExportRaw!$I396</f>
        <v/>
      </c>
      <c r="H396" s="130" t="str">
        <f aca="false">ExportRaw!$A396</f>
        <v/>
      </c>
      <c r="I396" s="130" t="str">
        <f aca="false">ExportRaw!$B396</f>
        <v/>
      </c>
    </row>
    <row r="397" customFormat="false" ht="15.75" hidden="false" customHeight="false" outlineLevel="0" collapsed="false">
      <c r="A397" s="130" t="n">
        <f aca="false">ExportRaw!$F397</f>
        <v>0</v>
      </c>
      <c r="B397" s="130" t="n">
        <f aca="false">ExportRaw!$C397</f>
        <v>0</v>
      </c>
      <c r="C397" s="130" t="n">
        <f aca="false">ExportRaw!$G397</f>
        <v>0</v>
      </c>
      <c r="D397" s="130" t="str">
        <f aca="false">ExportRaw!$E397</f>
        <v/>
      </c>
      <c r="E397" s="131" t="str">
        <f aca="false">ExportRaw!$D397</f>
        <v/>
      </c>
      <c r="F397" s="130" t="str">
        <f aca="false">ExportRaw!$H397</f>
        <v/>
      </c>
      <c r="G397" s="132" t="str">
        <f aca="false">ExportRaw!$I397</f>
        <v/>
      </c>
      <c r="H397" s="130" t="str">
        <f aca="false">ExportRaw!$A397</f>
        <v/>
      </c>
      <c r="I397" s="130" t="str">
        <f aca="false">ExportRaw!$B397</f>
        <v/>
      </c>
    </row>
    <row r="398" customFormat="false" ht="15.75" hidden="false" customHeight="false" outlineLevel="0" collapsed="false">
      <c r="A398" s="130" t="n">
        <f aca="false">ExportRaw!$F398</f>
        <v>0</v>
      </c>
      <c r="B398" s="130" t="n">
        <f aca="false">ExportRaw!$C398</f>
        <v>0</v>
      </c>
      <c r="C398" s="130" t="n">
        <f aca="false">ExportRaw!$G398</f>
        <v>0</v>
      </c>
      <c r="D398" s="130" t="str">
        <f aca="false">ExportRaw!$E398</f>
        <v/>
      </c>
      <c r="E398" s="131" t="str">
        <f aca="false">ExportRaw!$D398</f>
        <v/>
      </c>
      <c r="F398" s="130" t="str">
        <f aca="false">ExportRaw!$H398</f>
        <v/>
      </c>
      <c r="G398" s="132" t="str">
        <f aca="false">ExportRaw!$I398</f>
        <v/>
      </c>
      <c r="H398" s="130" t="str">
        <f aca="false">ExportRaw!$A398</f>
        <v/>
      </c>
      <c r="I398" s="130" t="str">
        <f aca="false">ExportRaw!$B398</f>
        <v/>
      </c>
    </row>
    <row r="399" customFormat="false" ht="15.75" hidden="false" customHeight="false" outlineLevel="0" collapsed="false">
      <c r="A399" s="130" t="n">
        <f aca="false">ExportRaw!$F399</f>
        <v>0</v>
      </c>
      <c r="B399" s="130" t="n">
        <f aca="false">ExportRaw!$C399</f>
        <v>0</v>
      </c>
      <c r="C399" s="130" t="n">
        <f aca="false">ExportRaw!$G399</f>
        <v>0</v>
      </c>
      <c r="D399" s="130" t="str">
        <f aca="false">ExportRaw!$E399</f>
        <v/>
      </c>
      <c r="E399" s="131" t="str">
        <f aca="false">ExportRaw!$D399</f>
        <v/>
      </c>
      <c r="F399" s="130" t="str">
        <f aca="false">ExportRaw!$H399</f>
        <v/>
      </c>
      <c r="G399" s="132" t="str">
        <f aca="false">ExportRaw!$I399</f>
        <v/>
      </c>
      <c r="H399" s="130" t="str">
        <f aca="false">ExportRaw!$A399</f>
        <v/>
      </c>
      <c r="I399" s="130" t="str">
        <f aca="false">ExportRaw!$B399</f>
        <v/>
      </c>
    </row>
    <row r="400" customFormat="false" ht="15.75" hidden="false" customHeight="false" outlineLevel="0" collapsed="false">
      <c r="A400" s="130" t="n">
        <f aca="false">ExportRaw!$F400</f>
        <v>0</v>
      </c>
      <c r="B400" s="130" t="n">
        <f aca="false">ExportRaw!$C400</f>
        <v>0</v>
      </c>
      <c r="C400" s="130" t="n">
        <f aca="false">ExportRaw!$G400</f>
        <v>0</v>
      </c>
      <c r="D400" s="130" t="str">
        <f aca="false">ExportRaw!$E400</f>
        <v/>
      </c>
      <c r="E400" s="131" t="str">
        <f aca="false">ExportRaw!$D400</f>
        <v/>
      </c>
      <c r="F400" s="130" t="str">
        <f aca="false">ExportRaw!$H400</f>
        <v/>
      </c>
      <c r="G400" s="132" t="str">
        <f aca="false">ExportRaw!$I400</f>
        <v/>
      </c>
      <c r="H400" s="130" t="str">
        <f aca="false">ExportRaw!$A400</f>
        <v/>
      </c>
      <c r="I400" s="130" t="str">
        <f aca="false">ExportRaw!$B400</f>
        <v/>
      </c>
    </row>
    <row r="401" customFormat="false" ht="15.75" hidden="false" customHeight="false" outlineLevel="0" collapsed="false">
      <c r="A401" s="130" t="n">
        <f aca="false">ExportRaw!$F401</f>
        <v>0</v>
      </c>
      <c r="B401" s="130" t="n">
        <f aca="false">ExportRaw!$C401</f>
        <v>0</v>
      </c>
      <c r="C401" s="130" t="n">
        <f aca="false">ExportRaw!$G401</f>
        <v>0</v>
      </c>
      <c r="D401" s="130" t="str">
        <f aca="false">ExportRaw!$E401</f>
        <v/>
      </c>
      <c r="E401" s="131" t="str">
        <f aca="false">ExportRaw!$D401</f>
        <v/>
      </c>
      <c r="F401" s="130" t="str">
        <f aca="false">ExportRaw!$H401</f>
        <v/>
      </c>
      <c r="G401" s="132" t="str">
        <f aca="false">ExportRaw!$I401</f>
        <v/>
      </c>
      <c r="H401" s="130" t="str">
        <f aca="false">ExportRaw!$A401</f>
        <v/>
      </c>
      <c r="I401" s="130" t="str">
        <f aca="false">ExportRaw!$B401</f>
        <v/>
      </c>
    </row>
    <row r="402" customFormat="false" ht="15.75" hidden="false" customHeight="false" outlineLevel="0" collapsed="false">
      <c r="A402" s="130" t="n">
        <f aca="false">ExportRaw!$F402</f>
        <v>0</v>
      </c>
      <c r="B402" s="130" t="n">
        <f aca="false">ExportRaw!$C402</f>
        <v>0</v>
      </c>
      <c r="C402" s="130" t="n">
        <f aca="false">ExportRaw!$G402</f>
        <v>0</v>
      </c>
      <c r="D402" s="130" t="str">
        <f aca="false">ExportRaw!$E402</f>
        <v/>
      </c>
      <c r="E402" s="131" t="str">
        <f aca="false">ExportRaw!$D402</f>
        <v/>
      </c>
      <c r="F402" s="130" t="str">
        <f aca="false">ExportRaw!$H402</f>
        <v/>
      </c>
      <c r="G402" s="132" t="str">
        <f aca="false">ExportRaw!$I402</f>
        <v/>
      </c>
      <c r="H402" s="130" t="str">
        <f aca="false">ExportRaw!$A402</f>
        <v/>
      </c>
      <c r="I402" s="130" t="str">
        <f aca="false">ExportRaw!$B402</f>
        <v/>
      </c>
    </row>
    <row r="403" customFormat="false" ht="15.75" hidden="false" customHeight="false" outlineLevel="0" collapsed="false">
      <c r="A403" s="130" t="n">
        <f aca="false">ExportRaw!$F403</f>
        <v>0</v>
      </c>
      <c r="B403" s="130" t="n">
        <f aca="false">ExportRaw!$C403</f>
        <v>0</v>
      </c>
      <c r="C403" s="130" t="n">
        <f aca="false">ExportRaw!$G403</f>
        <v>0</v>
      </c>
      <c r="D403" s="130" t="str">
        <f aca="false">ExportRaw!$E403</f>
        <v/>
      </c>
      <c r="E403" s="131" t="str">
        <f aca="false">ExportRaw!$D403</f>
        <v/>
      </c>
      <c r="F403" s="130" t="str">
        <f aca="false">ExportRaw!$H403</f>
        <v/>
      </c>
      <c r="G403" s="132" t="str">
        <f aca="false">ExportRaw!$I403</f>
        <v/>
      </c>
      <c r="H403" s="130" t="str">
        <f aca="false">ExportRaw!$A403</f>
        <v/>
      </c>
      <c r="I403" s="130" t="str">
        <f aca="false">ExportRaw!$B403</f>
        <v/>
      </c>
    </row>
    <row r="404" customFormat="false" ht="15.75" hidden="false" customHeight="false" outlineLevel="0" collapsed="false">
      <c r="A404" s="130" t="n">
        <f aca="false">ExportRaw!$F404</f>
        <v>0</v>
      </c>
      <c r="B404" s="130" t="n">
        <f aca="false">ExportRaw!$C404</f>
        <v>0</v>
      </c>
      <c r="C404" s="130" t="n">
        <f aca="false">ExportRaw!$G404</f>
        <v>0</v>
      </c>
      <c r="D404" s="130" t="str">
        <f aca="false">ExportRaw!$E404</f>
        <v/>
      </c>
      <c r="E404" s="131" t="str">
        <f aca="false">ExportRaw!$D404</f>
        <v/>
      </c>
      <c r="F404" s="130" t="str">
        <f aca="false">ExportRaw!$H404</f>
        <v/>
      </c>
      <c r="G404" s="132" t="str">
        <f aca="false">ExportRaw!$I404</f>
        <v/>
      </c>
      <c r="H404" s="130" t="str">
        <f aca="false">ExportRaw!$A404</f>
        <v/>
      </c>
      <c r="I404" s="130" t="str">
        <f aca="false">ExportRaw!$B404</f>
        <v/>
      </c>
    </row>
    <row r="405" customFormat="false" ht="15.75" hidden="false" customHeight="false" outlineLevel="0" collapsed="false">
      <c r="A405" s="130" t="n">
        <f aca="false">ExportRaw!$F405</f>
        <v>0</v>
      </c>
      <c r="B405" s="130" t="n">
        <f aca="false">ExportRaw!$C405</f>
        <v>0</v>
      </c>
      <c r="C405" s="130" t="n">
        <f aca="false">ExportRaw!$G405</f>
        <v>0</v>
      </c>
      <c r="D405" s="130" t="str">
        <f aca="false">ExportRaw!$E405</f>
        <v/>
      </c>
      <c r="E405" s="131" t="str">
        <f aca="false">ExportRaw!$D405</f>
        <v/>
      </c>
      <c r="F405" s="130" t="str">
        <f aca="false">ExportRaw!$H405</f>
        <v/>
      </c>
      <c r="G405" s="132" t="str">
        <f aca="false">ExportRaw!$I405</f>
        <v/>
      </c>
      <c r="H405" s="130" t="str">
        <f aca="false">ExportRaw!$A405</f>
        <v/>
      </c>
      <c r="I405" s="130" t="str">
        <f aca="false">ExportRaw!$B405</f>
        <v/>
      </c>
    </row>
    <row r="406" customFormat="false" ht="15.75" hidden="false" customHeight="false" outlineLevel="0" collapsed="false">
      <c r="A406" s="130" t="n">
        <f aca="false">ExportRaw!$F406</f>
        <v>0</v>
      </c>
      <c r="B406" s="130" t="n">
        <f aca="false">ExportRaw!$C406</f>
        <v>0</v>
      </c>
      <c r="C406" s="130" t="n">
        <f aca="false">ExportRaw!$G406</f>
        <v>0</v>
      </c>
      <c r="D406" s="130" t="str">
        <f aca="false">ExportRaw!$E406</f>
        <v/>
      </c>
      <c r="E406" s="131" t="str">
        <f aca="false">ExportRaw!$D406</f>
        <v/>
      </c>
      <c r="F406" s="130" t="str">
        <f aca="false">ExportRaw!$H406</f>
        <v/>
      </c>
      <c r="G406" s="132" t="str">
        <f aca="false">ExportRaw!$I406</f>
        <v/>
      </c>
      <c r="H406" s="130" t="str">
        <f aca="false">ExportRaw!$A406</f>
        <v/>
      </c>
      <c r="I406" s="130" t="str">
        <f aca="false">ExportRaw!$B406</f>
        <v/>
      </c>
    </row>
    <row r="407" customFormat="false" ht="15.75" hidden="false" customHeight="false" outlineLevel="0" collapsed="false">
      <c r="A407" s="130" t="n">
        <f aca="false">ExportRaw!$F407</f>
        <v>0</v>
      </c>
      <c r="B407" s="130" t="n">
        <f aca="false">ExportRaw!$C407</f>
        <v>0</v>
      </c>
      <c r="C407" s="130" t="n">
        <f aca="false">ExportRaw!$G407</f>
        <v>0</v>
      </c>
      <c r="D407" s="130" t="str">
        <f aca="false">ExportRaw!$E407</f>
        <v/>
      </c>
      <c r="E407" s="131" t="str">
        <f aca="false">ExportRaw!$D407</f>
        <v/>
      </c>
      <c r="F407" s="130" t="str">
        <f aca="false">ExportRaw!$H407</f>
        <v/>
      </c>
      <c r="G407" s="132" t="str">
        <f aca="false">ExportRaw!$I407</f>
        <v/>
      </c>
      <c r="H407" s="130" t="str">
        <f aca="false">ExportRaw!$A407</f>
        <v/>
      </c>
      <c r="I407" s="130" t="str">
        <f aca="false">ExportRaw!$B407</f>
        <v/>
      </c>
    </row>
    <row r="408" customFormat="false" ht="15.75" hidden="false" customHeight="false" outlineLevel="0" collapsed="false">
      <c r="A408" s="130" t="n">
        <f aca="false">ExportRaw!$F408</f>
        <v>0</v>
      </c>
      <c r="B408" s="130" t="n">
        <f aca="false">ExportRaw!$C408</f>
        <v>0</v>
      </c>
      <c r="C408" s="130" t="n">
        <f aca="false">ExportRaw!$G408</f>
        <v>0</v>
      </c>
      <c r="D408" s="130" t="str">
        <f aca="false">ExportRaw!$E408</f>
        <v/>
      </c>
      <c r="E408" s="131" t="str">
        <f aca="false">ExportRaw!$D408</f>
        <v/>
      </c>
      <c r="F408" s="130" t="str">
        <f aca="false">ExportRaw!$H408</f>
        <v/>
      </c>
      <c r="G408" s="132" t="str">
        <f aca="false">ExportRaw!$I408</f>
        <v/>
      </c>
      <c r="H408" s="130" t="str">
        <f aca="false">ExportRaw!$A408</f>
        <v/>
      </c>
      <c r="I408" s="130" t="str">
        <f aca="false">ExportRaw!$B408</f>
        <v/>
      </c>
    </row>
    <row r="409" customFormat="false" ht="15.75" hidden="false" customHeight="false" outlineLevel="0" collapsed="false">
      <c r="A409" s="130" t="n">
        <f aca="false">ExportRaw!$F409</f>
        <v>0</v>
      </c>
      <c r="B409" s="130" t="n">
        <f aca="false">ExportRaw!$C409</f>
        <v>0</v>
      </c>
      <c r="C409" s="130" t="n">
        <f aca="false">ExportRaw!$G409</f>
        <v>0</v>
      </c>
      <c r="D409" s="130" t="str">
        <f aca="false">ExportRaw!$E409</f>
        <v/>
      </c>
      <c r="E409" s="131" t="str">
        <f aca="false">ExportRaw!$D409</f>
        <v/>
      </c>
      <c r="F409" s="130" t="str">
        <f aca="false">ExportRaw!$H409</f>
        <v/>
      </c>
      <c r="G409" s="132" t="str">
        <f aca="false">ExportRaw!$I409</f>
        <v/>
      </c>
      <c r="H409" s="130" t="str">
        <f aca="false">ExportRaw!$A409</f>
        <v/>
      </c>
      <c r="I409" s="130" t="str">
        <f aca="false">ExportRaw!$B409</f>
        <v/>
      </c>
    </row>
    <row r="410" customFormat="false" ht="15.75" hidden="false" customHeight="false" outlineLevel="0" collapsed="false">
      <c r="A410" s="130" t="n">
        <f aca="false">ExportRaw!$F410</f>
        <v>0</v>
      </c>
      <c r="B410" s="130" t="n">
        <f aca="false">ExportRaw!$C410</f>
        <v>0</v>
      </c>
      <c r="C410" s="130" t="n">
        <f aca="false">ExportRaw!$G410</f>
        <v>0</v>
      </c>
      <c r="D410" s="130" t="str">
        <f aca="false">ExportRaw!$E410</f>
        <v/>
      </c>
      <c r="E410" s="131" t="str">
        <f aca="false">ExportRaw!$D410</f>
        <v/>
      </c>
      <c r="F410" s="130" t="str">
        <f aca="false">ExportRaw!$H410</f>
        <v/>
      </c>
      <c r="G410" s="132" t="str">
        <f aca="false">ExportRaw!$I410</f>
        <v/>
      </c>
      <c r="H410" s="130" t="str">
        <f aca="false">ExportRaw!$A410</f>
        <v/>
      </c>
      <c r="I410" s="130" t="str">
        <f aca="false">ExportRaw!$B410</f>
        <v/>
      </c>
    </row>
    <row r="411" customFormat="false" ht="15.75" hidden="false" customHeight="false" outlineLevel="0" collapsed="false">
      <c r="A411" s="130" t="n">
        <f aca="false">ExportRaw!$F411</f>
        <v>0</v>
      </c>
      <c r="B411" s="130" t="n">
        <f aca="false">ExportRaw!$C411</f>
        <v>0</v>
      </c>
      <c r="C411" s="130" t="n">
        <f aca="false">ExportRaw!$G411</f>
        <v>0</v>
      </c>
      <c r="D411" s="130" t="str">
        <f aca="false">ExportRaw!$E411</f>
        <v/>
      </c>
      <c r="E411" s="131" t="str">
        <f aca="false">ExportRaw!$D411</f>
        <v/>
      </c>
      <c r="F411" s="130" t="str">
        <f aca="false">ExportRaw!$H411</f>
        <v/>
      </c>
      <c r="G411" s="132" t="str">
        <f aca="false">ExportRaw!$I411</f>
        <v/>
      </c>
      <c r="H411" s="130" t="str">
        <f aca="false">ExportRaw!$A411</f>
        <v/>
      </c>
      <c r="I411" s="130" t="str">
        <f aca="false">ExportRaw!$B411</f>
        <v/>
      </c>
    </row>
    <row r="412" customFormat="false" ht="15.75" hidden="false" customHeight="false" outlineLevel="0" collapsed="false">
      <c r="A412" s="130" t="n">
        <f aca="false">ExportRaw!$F412</f>
        <v>0</v>
      </c>
      <c r="B412" s="130" t="n">
        <f aca="false">ExportRaw!$C412</f>
        <v>0</v>
      </c>
      <c r="C412" s="130" t="n">
        <f aca="false">ExportRaw!$G412</f>
        <v>0</v>
      </c>
      <c r="D412" s="130" t="str">
        <f aca="false">ExportRaw!$E412</f>
        <v/>
      </c>
      <c r="E412" s="131" t="str">
        <f aca="false">ExportRaw!$D412</f>
        <v/>
      </c>
      <c r="F412" s="130" t="str">
        <f aca="false">ExportRaw!$H412</f>
        <v/>
      </c>
      <c r="G412" s="132" t="str">
        <f aca="false">ExportRaw!$I412</f>
        <v/>
      </c>
      <c r="H412" s="130" t="str">
        <f aca="false">ExportRaw!$A412</f>
        <v/>
      </c>
      <c r="I412" s="130" t="str">
        <f aca="false">ExportRaw!$B412</f>
        <v/>
      </c>
    </row>
    <row r="413" customFormat="false" ht="15.75" hidden="false" customHeight="false" outlineLevel="0" collapsed="false">
      <c r="A413" s="130" t="n">
        <f aca="false">ExportRaw!$F413</f>
        <v>0</v>
      </c>
      <c r="B413" s="130" t="n">
        <f aca="false">ExportRaw!$C413</f>
        <v>0</v>
      </c>
      <c r="C413" s="130" t="n">
        <f aca="false">ExportRaw!$G413</f>
        <v>0</v>
      </c>
      <c r="D413" s="130" t="str">
        <f aca="false">ExportRaw!$E413</f>
        <v/>
      </c>
      <c r="E413" s="131" t="str">
        <f aca="false">ExportRaw!$D413</f>
        <v/>
      </c>
      <c r="F413" s="130" t="str">
        <f aca="false">ExportRaw!$H413</f>
        <v/>
      </c>
      <c r="G413" s="132" t="str">
        <f aca="false">ExportRaw!$I413</f>
        <v/>
      </c>
      <c r="H413" s="130" t="str">
        <f aca="false">ExportRaw!$A413</f>
        <v/>
      </c>
      <c r="I413" s="130" t="str">
        <f aca="false">ExportRaw!$B413</f>
        <v/>
      </c>
    </row>
    <row r="414" customFormat="false" ht="15.75" hidden="false" customHeight="false" outlineLevel="0" collapsed="false">
      <c r="A414" s="130" t="n">
        <f aca="false">ExportRaw!$F414</f>
        <v>0</v>
      </c>
      <c r="B414" s="130" t="n">
        <f aca="false">ExportRaw!$C414</f>
        <v>0</v>
      </c>
      <c r="C414" s="130" t="n">
        <f aca="false">ExportRaw!$G414</f>
        <v>0</v>
      </c>
      <c r="D414" s="130" t="str">
        <f aca="false">ExportRaw!$E414</f>
        <v/>
      </c>
      <c r="E414" s="131" t="str">
        <f aca="false">ExportRaw!$D414</f>
        <v/>
      </c>
      <c r="F414" s="130" t="str">
        <f aca="false">ExportRaw!$H414</f>
        <v/>
      </c>
      <c r="G414" s="132" t="str">
        <f aca="false">ExportRaw!$I414</f>
        <v/>
      </c>
      <c r="H414" s="130" t="str">
        <f aca="false">ExportRaw!$A414</f>
        <v/>
      </c>
      <c r="I414" s="130" t="str">
        <f aca="false">ExportRaw!$B414</f>
        <v/>
      </c>
    </row>
    <row r="415" customFormat="false" ht="15.75" hidden="false" customHeight="false" outlineLevel="0" collapsed="false">
      <c r="A415" s="130" t="n">
        <f aca="false">ExportRaw!$F415</f>
        <v>0</v>
      </c>
      <c r="B415" s="130" t="n">
        <f aca="false">ExportRaw!$C415</f>
        <v>0</v>
      </c>
      <c r="C415" s="130" t="n">
        <f aca="false">ExportRaw!$G415</f>
        <v>0</v>
      </c>
      <c r="D415" s="130" t="str">
        <f aca="false">ExportRaw!$E415</f>
        <v/>
      </c>
      <c r="E415" s="131" t="str">
        <f aca="false">ExportRaw!$D415</f>
        <v/>
      </c>
      <c r="F415" s="130" t="str">
        <f aca="false">ExportRaw!$H415</f>
        <v/>
      </c>
      <c r="G415" s="132" t="str">
        <f aca="false">ExportRaw!$I415</f>
        <v/>
      </c>
      <c r="H415" s="130" t="str">
        <f aca="false">ExportRaw!$A415</f>
        <v/>
      </c>
      <c r="I415" s="130" t="str">
        <f aca="false">ExportRaw!$B415</f>
        <v/>
      </c>
    </row>
    <row r="416" customFormat="false" ht="15.75" hidden="false" customHeight="false" outlineLevel="0" collapsed="false">
      <c r="A416" s="130" t="n">
        <f aca="false">ExportRaw!$F416</f>
        <v>0</v>
      </c>
      <c r="B416" s="130" t="n">
        <f aca="false">ExportRaw!$C416</f>
        <v>0</v>
      </c>
      <c r="C416" s="130" t="n">
        <f aca="false">ExportRaw!$G416</f>
        <v>0</v>
      </c>
      <c r="D416" s="130" t="str">
        <f aca="false">ExportRaw!$E416</f>
        <v/>
      </c>
      <c r="E416" s="131" t="str">
        <f aca="false">ExportRaw!$D416</f>
        <v/>
      </c>
      <c r="F416" s="130" t="str">
        <f aca="false">ExportRaw!$H416</f>
        <v/>
      </c>
      <c r="G416" s="132" t="str">
        <f aca="false">ExportRaw!$I416</f>
        <v/>
      </c>
      <c r="H416" s="130" t="str">
        <f aca="false">ExportRaw!$A416</f>
        <v/>
      </c>
      <c r="I416" s="130" t="str">
        <f aca="false">ExportRaw!$B416</f>
        <v/>
      </c>
    </row>
    <row r="417" customFormat="false" ht="15.75" hidden="false" customHeight="false" outlineLevel="0" collapsed="false">
      <c r="A417" s="130" t="n">
        <f aca="false">ExportRaw!$F417</f>
        <v>0</v>
      </c>
      <c r="B417" s="130" t="n">
        <f aca="false">ExportRaw!$C417</f>
        <v>0</v>
      </c>
      <c r="C417" s="130" t="n">
        <f aca="false">ExportRaw!$G417</f>
        <v>0</v>
      </c>
      <c r="D417" s="130" t="str">
        <f aca="false">ExportRaw!$E417</f>
        <v/>
      </c>
      <c r="E417" s="131" t="str">
        <f aca="false">ExportRaw!$D417</f>
        <v/>
      </c>
      <c r="F417" s="130" t="str">
        <f aca="false">ExportRaw!$H417</f>
        <v/>
      </c>
      <c r="G417" s="132" t="str">
        <f aca="false">ExportRaw!$I417</f>
        <v/>
      </c>
      <c r="H417" s="130" t="str">
        <f aca="false">ExportRaw!$A417</f>
        <v/>
      </c>
      <c r="I417" s="130" t="str">
        <f aca="false">ExportRaw!$B417</f>
        <v/>
      </c>
    </row>
    <row r="418" customFormat="false" ht="15.75" hidden="false" customHeight="false" outlineLevel="0" collapsed="false">
      <c r="A418" s="130" t="n">
        <f aca="false">ExportRaw!$F418</f>
        <v>0</v>
      </c>
      <c r="B418" s="130" t="n">
        <f aca="false">ExportRaw!$C418</f>
        <v>0</v>
      </c>
      <c r="C418" s="130" t="n">
        <f aca="false">ExportRaw!$G418</f>
        <v>0</v>
      </c>
      <c r="D418" s="130" t="str">
        <f aca="false">ExportRaw!$E418</f>
        <v/>
      </c>
      <c r="E418" s="131" t="str">
        <f aca="false">ExportRaw!$D418</f>
        <v/>
      </c>
      <c r="F418" s="130" t="str">
        <f aca="false">ExportRaw!$H418</f>
        <v/>
      </c>
      <c r="G418" s="132" t="str">
        <f aca="false">ExportRaw!$I418</f>
        <v/>
      </c>
      <c r="H418" s="130" t="str">
        <f aca="false">ExportRaw!$A418</f>
        <v/>
      </c>
      <c r="I418" s="130" t="str">
        <f aca="false">ExportRaw!$B418</f>
        <v/>
      </c>
    </row>
    <row r="419" customFormat="false" ht="15.75" hidden="false" customHeight="false" outlineLevel="0" collapsed="false">
      <c r="A419" s="130" t="n">
        <f aca="false">ExportRaw!$F419</f>
        <v>0</v>
      </c>
      <c r="B419" s="130" t="n">
        <f aca="false">ExportRaw!$C419</f>
        <v>0</v>
      </c>
      <c r="C419" s="130" t="n">
        <f aca="false">ExportRaw!$G419</f>
        <v>0</v>
      </c>
      <c r="D419" s="130" t="str">
        <f aca="false">ExportRaw!$E419</f>
        <v/>
      </c>
      <c r="E419" s="131" t="str">
        <f aca="false">ExportRaw!$D419</f>
        <v/>
      </c>
      <c r="F419" s="130" t="str">
        <f aca="false">ExportRaw!$H419</f>
        <v/>
      </c>
      <c r="G419" s="132" t="str">
        <f aca="false">ExportRaw!$I419</f>
        <v/>
      </c>
      <c r="H419" s="130" t="str">
        <f aca="false">ExportRaw!$A419</f>
        <v/>
      </c>
      <c r="I419" s="130" t="str">
        <f aca="false">ExportRaw!$B419</f>
        <v/>
      </c>
    </row>
    <row r="420" customFormat="false" ht="15.75" hidden="false" customHeight="false" outlineLevel="0" collapsed="false">
      <c r="A420" s="130" t="n">
        <f aca="false">ExportRaw!$F420</f>
        <v>0</v>
      </c>
      <c r="B420" s="130" t="n">
        <f aca="false">ExportRaw!$C420</f>
        <v>0</v>
      </c>
      <c r="C420" s="130" t="n">
        <f aca="false">ExportRaw!$G420</f>
        <v>0</v>
      </c>
      <c r="D420" s="130" t="str">
        <f aca="false">ExportRaw!$E420</f>
        <v/>
      </c>
      <c r="E420" s="131" t="str">
        <f aca="false">ExportRaw!$D420</f>
        <v/>
      </c>
      <c r="F420" s="130" t="str">
        <f aca="false">ExportRaw!$H420</f>
        <v/>
      </c>
      <c r="G420" s="132" t="str">
        <f aca="false">ExportRaw!$I420</f>
        <v/>
      </c>
      <c r="H420" s="130" t="str">
        <f aca="false">ExportRaw!$A420</f>
        <v/>
      </c>
      <c r="I420" s="130" t="str">
        <f aca="false">ExportRaw!$B420</f>
        <v/>
      </c>
    </row>
    <row r="421" customFormat="false" ht="15.75" hidden="false" customHeight="false" outlineLevel="0" collapsed="false">
      <c r="A421" s="130" t="n">
        <f aca="false">ExportRaw!$F421</f>
        <v>0</v>
      </c>
      <c r="B421" s="130" t="n">
        <f aca="false">ExportRaw!$C421</f>
        <v>0</v>
      </c>
      <c r="C421" s="130" t="n">
        <f aca="false">ExportRaw!$G421</f>
        <v>0</v>
      </c>
      <c r="D421" s="130" t="str">
        <f aca="false">ExportRaw!$E421</f>
        <v/>
      </c>
      <c r="E421" s="131" t="str">
        <f aca="false">ExportRaw!$D421</f>
        <v/>
      </c>
      <c r="F421" s="130" t="str">
        <f aca="false">ExportRaw!$H421</f>
        <v/>
      </c>
      <c r="G421" s="132" t="str">
        <f aca="false">ExportRaw!$I421</f>
        <v/>
      </c>
      <c r="H421" s="130" t="str">
        <f aca="false">ExportRaw!$A421</f>
        <v/>
      </c>
      <c r="I421" s="130" t="str">
        <f aca="false">ExportRaw!$B421</f>
        <v/>
      </c>
    </row>
    <row r="422" customFormat="false" ht="15.75" hidden="false" customHeight="false" outlineLevel="0" collapsed="false">
      <c r="A422" s="130" t="n">
        <f aca="false">ExportRaw!$F422</f>
        <v>0</v>
      </c>
      <c r="B422" s="130" t="n">
        <f aca="false">ExportRaw!$C422</f>
        <v>0</v>
      </c>
      <c r="C422" s="130" t="n">
        <f aca="false">ExportRaw!$G422</f>
        <v>0</v>
      </c>
      <c r="D422" s="130" t="str">
        <f aca="false">ExportRaw!$E422</f>
        <v/>
      </c>
      <c r="E422" s="131" t="str">
        <f aca="false">ExportRaw!$D422</f>
        <v/>
      </c>
      <c r="F422" s="130" t="str">
        <f aca="false">ExportRaw!$H422</f>
        <v/>
      </c>
      <c r="G422" s="132" t="str">
        <f aca="false">ExportRaw!$I422</f>
        <v/>
      </c>
      <c r="H422" s="130" t="str">
        <f aca="false">ExportRaw!$A422</f>
        <v/>
      </c>
      <c r="I422" s="130" t="str">
        <f aca="false">ExportRaw!$B422</f>
        <v/>
      </c>
    </row>
    <row r="423" customFormat="false" ht="15.75" hidden="false" customHeight="false" outlineLevel="0" collapsed="false">
      <c r="A423" s="130" t="n">
        <f aca="false">ExportRaw!$F423</f>
        <v>0</v>
      </c>
      <c r="B423" s="130" t="n">
        <f aca="false">ExportRaw!$C423</f>
        <v>0</v>
      </c>
      <c r="C423" s="130" t="n">
        <f aca="false">ExportRaw!$G423</f>
        <v>0</v>
      </c>
      <c r="D423" s="130" t="str">
        <f aca="false">ExportRaw!$E423</f>
        <v/>
      </c>
      <c r="E423" s="131" t="str">
        <f aca="false">ExportRaw!$D423</f>
        <v/>
      </c>
      <c r="F423" s="130" t="str">
        <f aca="false">ExportRaw!$H423</f>
        <v/>
      </c>
      <c r="G423" s="132" t="str">
        <f aca="false">ExportRaw!$I423</f>
        <v/>
      </c>
      <c r="H423" s="130" t="str">
        <f aca="false">ExportRaw!$A423</f>
        <v/>
      </c>
      <c r="I423" s="130" t="str">
        <f aca="false">ExportRaw!$B423</f>
        <v/>
      </c>
    </row>
    <row r="424" customFormat="false" ht="15.75" hidden="false" customHeight="false" outlineLevel="0" collapsed="false">
      <c r="A424" s="130" t="n">
        <f aca="false">ExportRaw!$F424</f>
        <v>0</v>
      </c>
      <c r="B424" s="130" t="n">
        <f aca="false">ExportRaw!$C424</f>
        <v>0</v>
      </c>
      <c r="C424" s="130" t="n">
        <f aca="false">ExportRaw!$G424</f>
        <v>0</v>
      </c>
      <c r="D424" s="130" t="str">
        <f aca="false">ExportRaw!$E424</f>
        <v/>
      </c>
      <c r="E424" s="131" t="str">
        <f aca="false">ExportRaw!$D424</f>
        <v/>
      </c>
      <c r="F424" s="130" t="str">
        <f aca="false">ExportRaw!$H424</f>
        <v/>
      </c>
      <c r="G424" s="132" t="str">
        <f aca="false">ExportRaw!$I424</f>
        <v/>
      </c>
      <c r="H424" s="130" t="str">
        <f aca="false">ExportRaw!$A424</f>
        <v/>
      </c>
      <c r="I424" s="130" t="str">
        <f aca="false">ExportRaw!$B424</f>
        <v/>
      </c>
    </row>
    <row r="425" customFormat="false" ht="15.75" hidden="false" customHeight="false" outlineLevel="0" collapsed="false">
      <c r="A425" s="130" t="n">
        <f aca="false">ExportRaw!$F425</f>
        <v>0</v>
      </c>
      <c r="B425" s="130" t="n">
        <f aca="false">ExportRaw!$C425</f>
        <v>0</v>
      </c>
      <c r="C425" s="130" t="n">
        <f aca="false">ExportRaw!$G425</f>
        <v>0</v>
      </c>
      <c r="D425" s="130" t="str">
        <f aca="false">ExportRaw!$E425</f>
        <v/>
      </c>
      <c r="E425" s="131" t="str">
        <f aca="false">ExportRaw!$D425</f>
        <v/>
      </c>
      <c r="F425" s="130" t="str">
        <f aca="false">ExportRaw!$H425</f>
        <v/>
      </c>
      <c r="G425" s="132" t="str">
        <f aca="false">ExportRaw!$I425</f>
        <v/>
      </c>
      <c r="H425" s="130" t="str">
        <f aca="false">ExportRaw!$A425</f>
        <v/>
      </c>
      <c r="I425" s="130" t="str">
        <f aca="false">ExportRaw!$B425</f>
        <v/>
      </c>
    </row>
    <row r="426" customFormat="false" ht="15.75" hidden="false" customHeight="false" outlineLevel="0" collapsed="false">
      <c r="A426" s="130" t="n">
        <f aca="false">ExportRaw!$F426</f>
        <v>0</v>
      </c>
      <c r="B426" s="130" t="n">
        <f aca="false">ExportRaw!$C426</f>
        <v>0</v>
      </c>
      <c r="C426" s="130" t="n">
        <f aca="false">ExportRaw!$G426</f>
        <v>0</v>
      </c>
      <c r="D426" s="130" t="str">
        <f aca="false">ExportRaw!$E426</f>
        <v/>
      </c>
      <c r="E426" s="131" t="str">
        <f aca="false">ExportRaw!$D426</f>
        <v/>
      </c>
      <c r="F426" s="130" t="str">
        <f aca="false">ExportRaw!$H426</f>
        <v/>
      </c>
      <c r="G426" s="132" t="str">
        <f aca="false">ExportRaw!$I426</f>
        <v/>
      </c>
      <c r="H426" s="130" t="str">
        <f aca="false">ExportRaw!$A426</f>
        <v/>
      </c>
      <c r="I426" s="130" t="str">
        <f aca="false">ExportRaw!$B426</f>
        <v/>
      </c>
    </row>
    <row r="427" customFormat="false" ht="15.75" hidden="false" customHeight="false" outlineLevel="0" collapsed="false">
      <c r="A427" s="130" t="n">
        <f aca="false">ExportRaw!$F427</f>
        <v>0</v>
      </c>
      <c r="B427" s="130" t="n">
        <f aca="false">ExportRaw!$C427</f>
        <v>0</v>
      </c>
      <c r="C427" s="130" t="n">
        <f aca="false">ExportRaw!$G427</f>
        <v>0</v>
      </c>
      <c r="D427" s="130" t="str">
        <f aca="false">ExportRaw!$E427</f>
        <v/>
      </c>
      <c r="E427" s="131" t="str">
        <f aca="false">ExportRaw!$D427</f>
        <v/>
      </c>
      <c r="F427" s="130" t="str">
        <f aca="false">ExportRaw!$H427</f>
        <v/>
      </c>
      <c r="G427" s="132" t="str">
        <f aca="false">ExportRaw!$I427</f>
        <v/>
      </c>
      <c r="H427" s="130" t="str">
        <f aca="false">ExportRaw!$A427</f>
        <v/>
      </c>
      <c r="I427" s="130" t="str">
        <f aca="false">ExportRaw!$B427</f>
        <v/>
      </c>
    </row>
    <row r="428" customFormat="false" ht="15.75" hidden="false" customHeight="false" outlineLevel="0" collapsed="false">
      <c r="A428" s="130" t="n">
        <f aca="false">ExportRaw!$F428</f>
        <v>0</v>
      </c>
      <c r="B428" s="130" t="n">
        <f aca="false">ExportRaw!$C428</f>
        <v>0</v>
      </c>
      <c r="C428" s="130" t="n">
        <f aca="false">ExportRaw!$G428</f>
        <v>0</v>
      </c>
      <c r="D428" s="130" t="str">
        <f aca="false">ExportRaw!$E428</f>
        <v/>
      </c>
      <c r="E428" s="131" t="str">
        <f aca="false">ExportRaw!$D428</f>
        <v/>
      </c>
      <c r="F428" s="130" t="str">
        <f aca="false">ExportRaw!$H428</f>
        <v/>
      </c>
      <c r="G428" s="132" t="str">
        <f aca="false">ExportRaw!$I428</f>
        <v/>
      </c>
      <c r="H428" s="130" t="str">
        <f aca="false">ExportRaw!$A428</f>
        <v/>
      </c>
      <c r="I428" s="130" t="str">
        <f aca="false">ExportRaw!$B428</f>
        <v/>
      </c>
    </row>
    <row r="429" customFormat="false" ht="15.75" hidden="false" customHeight="false" outlineLevel="0" collapsed="false">
      <c r="A429" s="130" t="n">
        <f aca="false">ExportRaw!$F429</f>
        <v>0</v>
      </c>
      <c r="B429" s="130" t="n">
        <f aca="false">ExportRaw!$C429</f>
        <v>0</v>
      </c>
      <c r="C429" s="130" t="n">
        <f aca="false">ExportRaw!$G429</f>
        <v>0</v>
      </c>
      <c r="D429" s="130" t="str">
        <f aca="false">ExportRaw!$E429</f>
        <v/>
      </c>
      <c r="E429" s="131" t="str">
        <f aca="false">ExportRaw!$D429</f>
        <v/>
      </c>
      <c r="F429" s="130" t="str">
        <f aca="false">ExportRaw!$H429</f>
        <v/>
      </c>
      <c r="G429" s="132" t="str">
        <f aca="false">ExportRaw!$I429</f>
        <v/>
      </c>
      <c r="H429" s="130" t="str">
        <f aca="false">ExportRaw!$A429</f>
        <v/>
      </c>
      <c r="I429" s="130" t="str">
        <f aca="false">ExportRaw!$B429</f>
        <v/>
      </c>
    </row>
    <row r="430" customFormat="false" ht="15.75" hidden="false" customHeight="false" outlineLevel="0" collapsed="false">
      <c r="A430" s="130" t="n">
        <f aca="false">ExportRaw!$F430</f>
        <v>0</v>
      </c>
      <c r="B430" s="130" t="n">
        <f aca="false">ExportRaw!$C430</f>
        <v>0</v>
      </c>
      <c r="C430" s="130" t="n">
        <f aca="false">ExportRaw!$G430</f>
        <v>0</v>
      </c>
      <c r="D430" s="130" t="str">
        <f aca="false">ExportRaw!$E430</f>
        <v/>
      </c>
      <c r="E430" s="131" t="str">
        <f aca="false">ExportRaw!$D430</f>
        <v/>
      </c>
      <c r="F430" s="130" t="str">
        <f aca="false">ExportRaw!$H430</f>
        <v/>
      </c>
      <c r="G430" s="132" t="str">
        <f aca="false">ExportRaw!$I430</f>
        <v/>
      </c>
      <c r="H430" s="130" t="str">
        <f aca="false">ExportRaw!$A430</f>
        <v/>
      </c>
      <c r="I430" s="130" t="str">
        <f aca="false">ExportRaw!$B430</f>
        <v/>
      </c>
    </row>
    <row r="431" customFormat="false" ht="15.75" hidden="false" customHeight="false" outlineLevel="0" collapsed="false">
      <c r="A431" s="130" t="n">
        <f aca="false">ExportRaw!$F431</f>
        <v>0</v>
      </c>
      <c r="B431" s="130" t="n">
        <f aca="false">ExportRaw!$C431</f>
        <v>0</v>
      </c>
      <c r="C431" s="130" t="n">
        <f aca="false">ExportRaw!$G431</f>
        <v>0</v>
      </c>
      <c r="D431" s="130" t="str">
        <f aca="false">ExportRaw!$E431</f>
        <v/>
      </c>
      <c r="E431" s="131" t="str">
        <f aca="false">ExportRaw!$D431</f>
        <v/>
      </c>
      <c r="F431" s="130" t="str">
        <f aca="false">ExportRaw!$H431</f>
        <v/>
      </c>
      <c r="G431" s="132" t="str">
        <f aca="false">ExportRaw!$I431</f>
        <v/>
      </c>
      <c r="H431" s="130" t="str">
        <f aca="false">ExportRaw!$A431</f>
        <v/>
      </c>
      <c r="I431" s="130" t="str">
        <f aca="false">ExportRaw!$B431</f>
        <v/>
      </c>
    </row>
    <row r="432" customFormat="false" ht="15.75" hidden="false" customHeight="false" outlineLevel="0" collapsed="false">
      <c r="A432" s="130" t="n">
        <f aca="false">ExportRaw!$F432</f>
        <v>0</v>
      </c>
      <c r="B432" s="130" t="n">
        <f aca="false">ExportRaw!$C432</f>
        <v>0</v>
      </c>
      <c r="C432" s="130" t="n">
        <f aca="false">ExportRaw!$G432</f>
        <v>0</v>
      </c>
      <c r="D432" s="130" t="str">
        <f aca="false">ExportRaw!$E432</f>
        <v/>
      </c>
      <c r="E432" s="131" t="str">
        <f aca="false">ExportRaw!$D432</f>
        <v/>
      </c>
      <c r="F432" s="130" t="str">
        <f aca="false">ExportRaw!$H432</f>
        <v/>
      </c>
      <c r="G432" s="132" t="str">
        <f aca="false">ExportRaw!$I432</f>
        <v/>
      </c>
      <c r="H432" s="130" t="str">
        <f aca="false">ExportRaw!$A432</f>
        <v/>
      </c>
      <c r="I432" s="130" t="str">
        <f aca="false">ExportRaw!$B432</f>
        <v/>
      </c>
    </row>
    <row r="433" customFormat="false" ht="15.75" hidden="false" customHeight="false" outlineLevel="0" collapsed="false">
      <c r="A433" s="130" t="n">
        <f aca="false">ExportRaw!$F433</f>
        <v>0</v>
      </c>
      <c r="B433" s="130" t="n">
        <f aca="false">ExportRaw!$C433</f>
        <v>0</v>
      </c>
      <c r="C433" s="130" t="n">
        <f aca="false">ExportRaw!$G433</f>
        <v>0</v>
      </c>
      <c r="D433" s="130" t="str">
        <f aca="false">ExportRaw!$E433</f>
        <v/>
      </c>
      <c r="E433" s="131" t="str">
        <f aca="false">ExportRaw!$D433</f>
        <v/>
      </c>
      <c r="F433" s="130" t="str">
        <f aca="false">ExportRaw!$H433</f>
        <v/>
      </c>
      <c r="G433" s="132" t="str">
        <f aca="false">ExportRaw!$I433</f>
        <v/>
      </c>
      <c r="H433" s="130" t="str">
        <f aca="false">ExportRaw!$A433</f>
        <v/>
      </c>
      <c r="I433" s="130" t="str">
        <f aca="false">ExportRaw!$B433</f>
        <v/>
      </c>
    </row>
    <row r="434" customFormat="false" ht="15.75" hidden="false" customHeight="false" outlineLevel="0" collapsed="false">
      <c r="A434" s="130" t="n">
        <f aca="false">ExportRaw!$F434</f>
        <v>0</v>
      </c>
      <c r="B434" s="130" t="n">
        <f aca="false">ExportRaw!$C434</f>
        <v>0</v>
      </c>
      <c r="C434" s="130" t="n">
        <f aca="false">ExportRaw!$G434</f>
        <v>0</v>
      </c>
      <c r="D434" s="130" t="str">
        <f aca="false">ExportRaw!$E434</f>
        <v/>
      </c>
      <c r="E434" s="131" t="str">
        <f aca="false">ExportRaw!$D434</f>
        <v/>
      </c>
      <c r="F434" s="130" t="str">
        <f aca="false">ExportRaw!$H434</f>
        <v/>
      </c>
      <c r="G434" s="132" t="str">
        <f aca="false">ExportRaw!$I434</f>
        <v/>
      </c>
      <c r="H434" s="130" t="str">
        <f aca="false">ExportRaw!$A434</f>
        <v/>
      </c>
      <c r="I434" s="130" t="str">
        <f aca="false">ExportRaw!$B434</f>
        <v/>
      </c>
    </row>
    <row r="435" customFormat="false" ht="15.75" hidden="false" customHeight="false" outlineLevel="0" collapsed="false">
      <c r="A435" s="130" t="n">
        <f aca="false">ExportRaw!$F435</f>
        <v>0</v>
      </c>
      <c r="B435" s="130" t="n">
        <f aca="false">ExportRaw!$C435</f>
        <v>0</v>
      </c>
      <c r="C435" s="130" t="n">
        <f aca="false">ExportRaw!$G435</f>
        <v>0</v>
      </c>
      <c r="D435" s="130" t="str">
        <f aca="false">ExportRaw!$E435</f>
        <v/>
      </c>
      <c r="E435" s="131" t="str">
        <f aca="false">ExportRaw!$D435</f>
        <v/>
      </c>
      <c r="F435" s="130" t="str">
        <f aca="false">ExportRaw!$H435</f>
        <v/>
      </c>
      <c r="G435" s="132" t="str">
        <f aca="false">ExportRaw!$I435</f>
        <v/>
      </c>
      <c r="H435" s="130" t="str">
        <f aca="false">ExportRaw!$A435</f>
        <v/>
      </c>
      <c r="I435" s="130" t="str">
        <f aca="false">ExportRaw!$B435</f>
        <v/>
      </c>
    </row>
    <row r="436" customFormat="false" ht="15.75" hidden="false" customHeight="false" outlineLevel="0" collapsed="false">
      <c r="A436" s="130" t="n">
        <f aca="false">ExportRaw!$F436</f>
        <v>0</v>
      </c>
      <c r="B436" s="130" t="n">
        <f aca="false">ExportRaw!$C436</f>
        <v>0</v>
      </c>
      <c r="C436" s="130" t="n">
        <f aca="false">ExportRaw!$G436</f>
        <v>0</v>
      </c>
      <c r="D436" s="130" t="str">
        <f aca="false">ExportRaw!$E436</f>
        <v/>
      </c>
      <c r="E436" s="131" t="str">
        <f aca="false">ExportRaw!$D436</f>
        <v/>
      </c>
      <c r="F436" s="130" t="str">
        <f aca="false">ExportRaw!$H436</f>
        <v/>
      </c>
      <c r="G436" s="132" t="str">
        <f aca="false">ExportRaw!$I436</f>
        <v/>
      </c>
      <c r="H436" s="130" t="str">
        <f aca="false">ExportRaw!$A436</f>
        <v/>
      </c>
      <c r="I436" s="130" t="str">
        <f aca="false">ExportRaw!$B436</f>
        <v/>
      </c>
    </row>
    <row r="437" customFormat="false" ht="15.75" hidden="false" customHeight="false" outlineLevel="0" collapsed="false">
      <c r="A437" s="130" t="n">
        <f aca="false">ExportRaw!$F437</f>
        <v>0</v>
      </c>
      <c r="B437" s="130" t="n">
        <f aca="false">ExportRaw!$C437</f>
        <v>0</v>
      </c>
      <c r="C437" s="130" t="n">
        <f aca="false">ExportRaw!$G437</f>
        <v>0</v>
      </c>
      <c r="D437" s="130" t="str">
        <f aca="false">ExportRaw!$E437</f>
        <v/>
      </c>
      <c r="E437" s="131" t="str">
        <f aca="false">ExportRaw!$D437</f>
        <v/>
      </c>
      <c r="F437" s="130" t="str">
        <f aca="false">ExportRaw!$H437</f>
        <v/>
      </c>
      <c r="G437" s="132" t="str">
        <f aca="false">ExportRaw!$I437</f>
        <v/>
      </c>
      <c r="H437" s="130" t="str">
        <f aca="false">ExportRaw!$A437</f>
        <v/>
      </c>
      <c r="I437" s="130" t="str">
        <f aca="false">ExportRaw!$B437</f>
        <v/>
      </c>
    </row>
    <row r="438" customFormat="false" ht="15.75" hidden="false" customHeight="false" outlineLevel="0" collapsed="false">
      <c r="A438" s="130" t="n">
        <f aca="false">ExportRaw!$F438</f>
        <v>0</v>
      </c>
      <c r="B438" s="130" t="n">
        <f aca="false">ExportRaw!$C438</f>
        <v>0</v>
      </c>
      <c r="C438" s="130" t="n">
        <f aca="false">ExportRaw!$G438</f>
        <v>0</v>
      </c>
      <c r="D438" s="130" t="str">
        <f aca="false">ExportRaw!$E438</f>
        <v/>
      </c>
      <c r="E438" s="131" t="str">
        <f aca="false">ExportRaw!$D438</f>
        <v/>
      </c>
      <c r="F438" s="130" t="str">
        <f aca="false">ExportRaw!$H438</f>
        <v/>
      </c>
      <c r="G438" s="132" t="str">
        <f aca="false">ExportRaw!$I438</f>
        <v/>
      </c>
      <c r="H438" s="130" t="str">
        <f aca="false">ExportRaw!$A438</f>
        <v/>
      </c>
      <c r="I438" s="130" t="str">
        <f aca="false">ExportRaw!$B438</f>
        <v/>
      </c>
    </row>
    <row r="439" customFormat="false" ht="15.75" hidden="false" customHeight="false" outlineLevel="0" collapsed="false">
      <c r="A439" s="130" t="n">
        <f aca="false">ExportRaw!$F439</f>
        <v>0</v>
      </c>
      <c r="B439" s="130" t="n">
        <f aca="false">ExportRaw!$C439</f>
        <v>0</v>
      </c>
      <c r="C439" s="130" t="n">
        <f aca="false">ExportRaw!$G439</f>
        <v>0</v>
      </c>
      <c r="D439" s="130" t="str">
        <f aca="false">ExportRaw!$E439</f>
        <v/>
      </c>
      <c r="E439" s="131" t="str">
        <f aca="false">ExportRaw!$D439</f>
        <v/>
      </c>
      <c r="F439" s="130" t="str">
        <f aca="false">ExportRaw!$H439</f>
        <v/>
      </c>
      <c r="G439" s="132" t="str">
        <f aca="false">ExportRaw!$I439</f>
        <v/>
      </c>
      <c r="H439" s="130" t="str">
        <f aca="false">ExportRaw!$A439</f>
        <v/>
      </c>
      <c r="I439" s="130" t="str">
        <f aca="false">ExportRaw!$B439</f>
        <v/>
      </c>
    </row>
    <row r="440" customFormat="false" ht="15.75" hidden="false" customHeight="false" outlineLevel="0" collapsed="false">
      <c r="A440" s="130" t="n">
        <f aca="false">ExportRaw!$F440</f>
        <v>0</v>
      </c>
      <c r="B440" s="130" t="n">
        <f aca="false">ExportRaw!$C440</f>
        <v>0</v>
      </c>
      <c r="C440" s="130" t="n">
        <f aca="false">ExportRaw!$G440</f>
        <v>0</v>
      </c>
      <c r="D440" s="130" t="str">
        <f aca="false">ExportRaw!$E440</f>
        <v/>
      </c>
      <c r="E440" s="131" t="str">
        <f aca="false">ExportRaw!$D440</f>
        <v/>
      </c>
      <c r="F440" s="130" t="str">
        <f aca="false">ExportRaw!$H440</f>
        <v/>
      </c>
      <c r="G440" s="132" t="str">
        <f aca="false">ExportRaw!$I440</f>
        <v/>
      </c>
      <c r="H440" s="130" t="str">
        <f aca="false">ExportRaw!$A440</f>
        <v/>
      </c>
      <c r="I440" s="130" t="str">
        <f aca="false">ExportRaw!$B440</f>
        <v/>
      </c>
    </row>
    <row r="441" customFormat="false" ht="15.75" hidden="false" customHeight="false" outlineLevel="0" collapsed="false">
      <c r="A441" s="130" t="n">
        <f aca="false">ExportRaw!$F441</f>
        <v>0</v>
      </c>
      <c r="B441" s="130" t="n">
        <f aca="false">ExportRaw!$C441</f>
        <v>0</v>
      </c>
      <c r="C441" s="130" t="n">
        <f aca="false">ExportRaw!$G441</f>
        <v>0</v>
      </c>
      <c r="D441" s="130" t="str">
        <f aca="false">ExportRaw!$E441</f>
        <v/>
      </c>
      <c r="E441" s="131" t="str">
        <f aca="false">ExportRaw!$D441</f>
        <v/>
      </c>
      <c r="F441" s="130" t="str">
        <f aca="false">ExportRaw!$H441</f>
        <v/>
      </c>
      <c r="G441" s="132" t="str">
        <f aca="false">ExportRaw!$I441</f>
        <v/>
      </c>
      <c r="H441" s="130" t="str">
        <f aca="false">ExportRaw!$A441</f>
        <v/>
      </c>
      <c r="I441" s="130" t="str">
        <f aca="false">ExportRaw!$B441</f>
        <v/>
      </c>
    </row>
    <row r="442" customFormat="false" ht="15.75" hidden="false" customHeight="false" outlineLevel="0" collapsed="false">
      <c r="A442" s="130" t="n">
        <f aca="false">ExportRaw!$F442</f>
        <v>0</v>
      </c>
      <c r="B442" s="130" t="n">
        <f aca="false">ExportRaw!$C442</f>
        <v>0</v>
      </c>
      <c r="C442" s="130" t="n">
        <f aca="false">ExportRaw!$G442</f>
        <v>0</v>
      </c>
      <c r="D442" s="130" t="str">
        <f aca="false">ExportRaw!$E442</f>
        <v/>
      </c>
      <c r="E442" s="131" t="str">
        <f aca="false">ExportRaw!$D442</f>
        <v/>
      </c>
      <c r="F442" s="130" t="str">
        <f aca="false">ExportRaw!$H442</f>
        <v/>
      </c>
      <c r="G442" s="132" t="str">
        <f aca="false">ExportRaw!$I442</f>
        <v/>
      </c>
      <c r="H442" s="130" t="str">
        <f aca="false">ExportRaw!$A442</f>
        <v/>
      </c>
      <c r="I442" s="130" t="str">
        <f aca="false">ExportRaw!$B442</f>
        <v/>
      </c>
    </row>
    <row r="443" customFormat="false" ht="15.75" hidden="false" customHeight="false" outlineLevel="0" collapsed="false">
      <c r="A443" s="130" t="n">
        <f aca="false">ExportRaw!$F443</f>
        <v>0</v>
      </c>
      <c r="B443" s="130" t="n">
        <f aca="false">ExportRaw!$C443</f>
        <v>0</v>
      </c>
      <c r="C443" s="130" t="n">
        <f aca="false">ExportRaw!$G443</f>
        <v>0</v>
      </c>
      <c r="D443" s="130" t="str">
        <f aca="false">ExportRaw!$E443</f>
        <v/>
      </c>
      <c r="E443" s="131" t="str">
        <f aca="false">ExportRaw!$D443</f>
        <v/>
      </c>
      <c r="F443" s="130" t="str">
        <f aca="false">ExportRaw!$H443</f>
        <v/>
      </c>
      <c r="G443" s="132" t="str">
        <f aca="false">ExportRaw!$I443</f>
        <v/>
      </c>
      <c r="H443" s="130" t="str">
        <f aca="false">ExportRaw!$A443</f>
        <v/>
      </c>
      <c r="I443" s="130" t="str">
        <f aca="false">ExportRaw!$B443</f>
        <v/>
      </c>
    </row>
    <row r="444" customFormat="false" ht="15.75" hidden="false" customHeight="false" outlineLevel="0" collapsed="false">
      <c r="A444" s="130" t="n">
        <f aca="false">ExportRaw!$F444</f>
        <v>0</v>
      </c>
      <c r="B444" s="130" t="n">
        <f aca="false">ExportRaw!$C444</f>
        <v>0</v>
      </c>
      <c r="C444" s="130" t="n">
        <f aca="false">ExportRaw!$G444</f>
        <v>0</v>
      </c>
      <c r="D444" s="130" t="str">
        <f aca="false">ExportRaw!$E444</f>
        <v/>
      </c>
      <c r="E444" s="131" t="str">
        <f aca="false">ExportRaw!$D444</f>
        <v/>
      </c>
      <c r="F444" s="130" t="str">
        <f aca="false">ExportRaw!$H444</f>
        <v/>
      </c>
      <c r="G444" s="132" t="str">
        <f aca="false">ExportRaw!$I444</f>
        <v/>
      </c>
      <c r="H444" s="130" t="str">
        <f aca="false">ExportRaw!$A444</f>
        <v/>
      </c>
      <c r="I444" s="130" t="str">
        <f aca="false">ExportRaw!$B444</f>
        <v/>
      </c>
    </row>
    <row r="445" customFormat="false" ht="15.75" hidden="false" customHeight="false" outlineLevel="0" collapsed="false">
      <c r="A445" s="130" t="n">
        <f aca="false">ExportRaw!$F445</f>
        <v>0</v>
      </c>
      <c r="B445" s="130" t="n">
        <f aca="false">ExportRaw!$C445</f>
        <v>0</v>
      </c>
      <c r="C445" s="130" t="n">
        <f aca="false">ExportRaw!$G445</f>
        <v>0</v>
      </c>
      <c r="D445" s="130" t="str">
        <f aca="false">ExportRaw!$E445</f>
        <v/>
      </c>
      <c r="E445" s="131" t="str">
        <f aca="false">ExportRaw!$D445</f>
        <v/>
      </c>
      <c r="F445" s="130" t="str">
        <f aca="false">ExportRaw!$H445</f>
        <v/>
      </c>
      <c r="G445" s="132" t="str">
        <f aca="false">ExportRaw!$I445</f>
        <v/>
      </c>
      <c r="H445" s="130" t="str">
        <f aca="false">ExportRaw!$A445</f>
        <v/>
      </c>
      <c r="I445" s="130" t="str">
        <f aca="false">ExportRaw!$B445</f>
        <v/>
      </c>
    </row>
    <row r="446" customFormat="false" ht="15.75" hidden="false" customHeight="false" outlineLevel="0" collapsed="false">
      <c r="A446" s="130" t="n">
        <f aca="false">ExportRaw!$F446</f>
        <v>0</v>
      </c>
      <c r="B446" s="130" t="n">
        <f aca="false">ExportRaw!$C446</f>
        <v>0</v>
      </c>
      <c r="C446" s="130" t="n">
        <f aca="false">ExportRaw!$G446</f>
        <v>0</v>
      </c>
      <c r="D446" s="130" t="str">
        <f aca="false">ExportRaw!$E446</f>
        <v/>
      </c>
      <c r="E446" s="131" t="str">
        <f aca="false">ExportRaw!$D446</f>
        <v/>
      </c>
      <c r="F446" s="130" t="str">
        <f aca="false">ExportRaw!$H446</f>
        <v/>
      </c>
      <c r="G446" s="132" t="str">
        <f aca="false">ExportRaw!$I446</f>
        <v/>
      </c>
      <c r="H446" s="130" t="str">
        <f aca="false">ExportRaw!$A446</f>
        <v/>
      </c>
      <c r="I446" s="130" t="str">
        <f aca="false">ExportRaw!$B446</f>
        <v/>
      </c>
    </row>
    <row r="447" customFormat="false" ht="15.75" hidden="false" customHeight="false" outlineLevel="0" collapsed="false">
      <c r="A447" s="130" t="n">
        <f aca="false">ExportRaw!$F447</f>
        <v>0</v>
      </c>
      <c r="B447" s="130" t="n">
        <f aca="false">ExportRaw!$C447</f>
        <v>0</v>
      </c>
      <c r="C447" s="130" t="n">
        <f aca="false">ExportRaw!$G447</f>
        <v>0</v>
      </c>
      <c r="D447" s="130" t="str">
        <f aca="false">ExportRaw!$E447</f>
        <v/>
      </c>
      <c r="E447" s="131" t="str">
        <f aca="false">ExportRaw!$D447</f>
        <v/>
      </c>
      <c r="F447" s="130" t="str">
        <f aca="false">ExportRaw!$H447</f>
        <v/>
      </c>
      <c r="G447" s="132" t="str">
        <f aca="false">ExportRaw!$I447</f>
        <v/>
      </c>
      <c r="H447" s="130" t="str">
        <f aca="false">ExportRaw!$A447</f>
        <v/>
      </c>
      <c r="I447" s="130" t="str">
        <f aca="false">ExportRaw!$B447</f>
        <v/>
      </c>
    </row>
    <row r="448" customFormat="false" ht="15.75" hidden="false" customHeight="false" outlineLevel="0" collapsed="false">
      <c r="A448" s="130" t="n">
        <f aca="false">ExportRaw!$F448</f>
        <v>0</v>
      </c>
      <c r="B448" s="130" t="n">
        <f aca="false">ExportRaw!$C448</f>
        <v>0</v>
      </c>
      <c r="C448" s="130" t="n">
        <f aca="false">ExportRaw!$G448</f>
        <v>0</v>
      </c>
      <c r="D448" s="130" t="str">
        <f aca="false">ExportRaw!$E448</f>
        <v/>
      </c>
      <c r="E448" s="131" t="str">
        <f aca="false">ExportRaw!$D448</f>
        <v/>
      </c>
      <c r="F448" s="130" t="str">
        <f aca="false">ExportRaw!$H448</f>
        <v/>
      </c>
      <c r="G448" s="132" t="str">
        <f aca="false">ExportRaw!$I448</f>
        <v/>
      </c>
      <c r="H448" s="130" t="str">
        <f aca="false">ExportRaw!$A448</f>
        <v/>
      </c>
      <c r="I448" s="130" t="str">
        <f aca="false">ExportRaw!$B448</f>
        <v/>
      </c>
    </row>
    <row r="449" customFormat="false" ht="15.75" hidden="false" customHeight="false" outlineLevel="0" collapsed="false">
      <c r="A449" s="130" t="n">
        <f aca="false">ExportRaw!$F449</f>
        <v>0</v>
      </c>
      <c r="B449" s="130" t="n">
        <f aca="false">ExportRaw!$C449</f>
        <v>0</v>
      </c>
      <c r="C449" s="130" t="n">
        <f aca="false">ExportRaw!$G449</f>
        <v>0</v>
      </c>
      <c r="D449" s="130" t="str">
        <f aca="false">ExportRaw!$E449</f>
        <v/>
      </c>
      <c r="E449" s="131" t="str">
        <f aca="false">ExportRaw!$D449</f>
        <v/>
      </c>
      <c r="F449" s="130" t="str">
        <f aca="false">ExportRaw!$H449</f>
        <v/>
      </c>
      <c r="G449" s="132" t="str">
        <f aca="false">ExportRaw!$I449</f>
        <v/>
      </c>
      <c r="H449" s="130" t="str">
        <f aca="false">ExportRaw!$A449</f>
        <v/>
      </c>
      <c r="I449" s="130" t="str">
        <f aca="false">ExportRaw!$B449</f>
        <v/>
      </c>
    </row>
    <row r="450" customFormat="false" ht="15.75" hidden="false" customHeight="false" outlineLevel="0" collapsed="false">
      <c r="A450" s="130" t="n">
        <f aca="false">ExportRaw!$F450</f>
        <v>0</v>
      </c>
      <c r="B450" s="130" t="n">
        <f aca="false">ExportRaw!$C450</f>
        <v>0</v>
      </c>
      <c r="C450" s="130" t="n">
        <f aca="false">ExportRaw!$G450</f>
        <v>0</v>
      </c>
      <c r="D450" s="130" t="str">
        <f aca="false">ExportRaw!$E450</f>
        <v/>
      </c>
      <c r="E450" s="131" t="str">
        <f aca="false">ExportRaw!$D450</f>
        <v/>
      </c>
      <c r="F450" s="130" t="str">
        <f aca="false">ExportRaw!$H450</f>
        <v/>
      </c>
      <c r="G450" s="132" t="str">
        <f aca="false">ExportRaw!$I450</f>
        <v/>
      </c>
      <c r="H450" s="130" t="str">
        <f aca="false">ExportRaw!$A450</f>
        <v/>
      </c>
      <c r="I450" s="130" t="str">
        <f aca="false">ExportRaw!$B450</f>
        <v/>
      </c>
    </row>
    <row r="451" customFormat="false" ht="15.75" hidden="false" customHeight="false" outlineLevel="0" collapsed="false">
      <c r="A451" s="130" t="n">
        <f aca="false">ExportRaw!$F451</f>
        <v>0</v>
      </c>
      <c r="B451" s="130" t="n">
        <f aca="false">ExportRaw!$C451</f>
        <v>0</v>
      </c>
      <c r="C451" s="130" t="n">
        <f aca="false">ExportRaw!$G451</f>
        <v>0</v>
      </c>
      <c r="D451" s="130" t="str">
        <f aca="false">ExportRaw!$E451</f>
        <v/>
      </c>
      <c r="E451" s="131" t="str">
        <f aca="false">ExportRaw!$D451</f>
        <v/>
      </c>
      <c r="F451" s="130" t="str">
        <f aca="false">ExportRaw!$H451</f>
        <v/>
      </c>
      <c r="G451" s="132" t="str">
        <f aca="false">ExportRaw!$I451</f>
        <v/>
      </c>
      <c r="H451" s="130" t="str">
        <f aca="false">ExportRaw!$A451</f>
        <v/>
      </c>
      <c r="I451" s="130" t="str">
        <f aca="false">ExportRaw!$B451</f>
        <v/>
      </c>
    </row>
    <row r="452" customFormat="false" ht="15.75" hidden="false" customHeight="false" outlineLevel="0" collapsed="false">
      <c r="A452" s="130" t="n">
        <f aca="false">ExportRaw!$F452</f>
        <v>0</v>
      </c>
      <c r="B452" s="130" t="n">
        <f aca="false">ExportRaw!$C452</f>
        <v>0</v>
      </c>
      <c r="C452" s="130" t="n">
        <f aca="false">ExportRaw!$G452</f>
        <v>0</v>
      </c>
      <c r="D452" s="130" t="str">
        <f aca="false">ExportRaw!$E452</f>
        <v/>
      </c>
      <c r="E452" s="131" t="str">
        <f aca="false">ExportRaw!$D452</f>
        <v/>
      </c>
      <c r="F452" s="130" t="str">
        <f aca="false">ExportRaw!$H452</f>
        <v/>
      </c>
      <c r="G452" s="132" t="str">
        <f aca="false">ExportRaw!$I452</f>
        <v/>
      </c>
      <c r="H452" s="130" t="str">
        <f aca="false">ExportRaw!$A452</f>
        <v/>
      </c>
      <c r="I452" s="130" t="str">
        <f aca="false">ExportRaw!$B452</f>
        <v/>
      </c>
    </row>
    <row r="453" customFormat="false" ht="15.75" hidden="false" customHeight="false" outlineLevel="0" collapsed="false">
      <c r="A453" s="130" t="n">
        <f aca="false">ExportRaw!$F453</f>
        <v>0</v>
      </c>
      <c r="B453" s="130" t="n">
        <f aca="false">ExportRaw!$C453</f>
        <v>0</v>
      </c>
      <c r="C453" s="130" t="n">
        <f aca="false">ExportRaw!$G453</f>
        <v>0</v>
      </c>
      <c r="D453" s="130" t="str">
        <f aca="false">ExportRaw!$E453</f>
        <v/>
      </c>
      <c r="E453" s="131" t="str">
        <f aca="false">ExportRaw!$D453</f>
        <v/>
      </c>
      <c r="F453" s="130" t="str">
        <f aca="false">ExportRaw!$H453</f>
        <v/>
      </c>
      <c r="G453" s="132" t="str">
        <f aca="false">ExportRaw!$I453</f>
        <v/>
      </c>
      <c r="H453" s="130" t="str">
        <f aca="false">ExportRaw!$A453</f>
        <v/>
      </c>
      <c r="I453" s="130" t="str">
        <f aca="false">ExportRaw!$B453</f>
        <v/>
      </c>
    </row>
    <row r="454" customFormat="false" ht="15.75" hidden="false" customHeight="false" outlineLevel="0" collapsed="false">
      <c r="A454" s="130" t="n">
        <f aca="false">ExportRaw!$F454</f>
        <v>0</v>
      </c>
      <c r="B454" s="130" t="n">
        <f aca="false">ExportRaw!$C454</f>
        <v>0</v>
      </c>
      <c r="C454" s="130" t="n">
        <f aca="false">ExportRaw!$G454</f>
        <v>0</v>
      </c>
      <c r="D454" s="130" t="str">
        <f aca="false">ExportRaw!$E454</f>
        <v/>
      </c>
      <c r="E454" s="131" t="str">
        <f aca="false">ExportRaw!$D454</f>
        <v/>
      </c>
      <c r="F454" s="130" t="str">
        <f aca="false">ExportRaw!$H454</f>
        <v/>
      </c>
      <c r="G454" s="132" t="str">
        <f aca="false">ExportRaw!$I454</f>
        <v/>
      </c>
      <c r="H454" s="130" t="str">
        <f aca="false">ExportRaw!$A454</f>
        <v/>
      </c>
      <c r="I454" s="130" t="str">
        <f aca="false">ExportRaw!$B454</f>
        <v/>
      </c>
    </row>
    <row r="455" customFormat="false" ht="15.75" hidden="false" customHeight="false" outlineLevel="0" collapsed="false">
      <c r="A455" s="130" t="n">
        <f aca="false">ExportRaw!$F455</f>
        <v>0</v>
      </c>
      <c r="B455" s="130" t="n">
        <f aca="false">ExportRaw!$C455</f>
        <v>0</v>
      </c>
      <c r="C455" s="130" t="n">
        <f aca="false">ExportRaw!$G455</f>
        <v>0</v>
      </c>
      <c r="D455" s="130" t="str">
        <f aca="false">ExportRaw!$E455</f>
        <v/>
      </c>
      <c r="E455" s="131" t="str">
        <f aca="false">ExportRaw!$D455</f>
        <v/>
      </c>
      <c r="F455" s="130" t="str">
        <f aca="false">ExportRaw!$H455</f>
        <v/>
      </c>
      <c r="G455" s="132" t="str">
        <f aca="false">ExportRaw!$I455</f>
        <v/>
      </c>
      <c r="H455" s="130" t="str">
        <f aca="false">ExportRaw!$A455</f>
        <v/>
      </c>
      <c r="I455" s="130" t="str">
        <f aca="false">ExportRaw!$B455</f>
        <v/>
      </c>
    </row>
    <row r="456" customFormat="false" ht="15.75" hidden="false" customHeight="false" outlineLevel="0" collapsed="false">
      <c r="A456" s="130" t="n">
        <f aca="false">ExportRaw!$F456</f>
        <v>0</v>
      </c>
      <c r="B456" s="130" t="n">
        <f aca="false">ExportRaw!$C456</f>
        <v>0</v>
      </c>
      <c r="C456" s="130" t="n">
        <f aca="false">ExportRaw!$G456</f>
        <v>0</v>
      </c>
      <c r="D456" s="130" t="str">
        <f aca="false">ExportRaw!$E456</f>
        <v/>
      </c>
      <c r="E456" s="131" t="str">
        <f aca="false">ExportRaw!$D456</f>
        <v/>
      </c>
      <c r="F456" s="130" t="str">
        <f aca="false">ExportRaw!$H456</f>
        <v/>
      </c>
      <c r="G456" s="132" t="str">
        <f aca="false">ExportRaw!$I456</f>
        <v/>
      </c>
      <c r="H456" s="130" t="str">
        <f aca="false">ExportRaw!$A456</f>
        <v/>
      </c>
      <c r="I456" s="130" t="str">
        <f aca="false">ExportRaw!$B456</f>
        <v/>
      </c>
    </row>
    <row r="457" customFormat="false" ht="15.75" hidden="false" customHeight="false" outlineLevel="0" collapsed="false">
      <c r="A457" s="130" t="n">
        <f aca="false">ExportRaw!$F457</f>
        <v>0</v>
      </c>
      <c r="B457" s="130" t="n">
        <f aca="false">ExportRaw!$C457</f>
        <v>0</v>
      </c>
      <c r="C457" s="130" t="n">
        <f aca="false">ExportRaw!$G457</f>
        <v>0</v>
      </c>
      <c r="D457" s="130" t="str">
        <f aca="false">ExportRaw!$E457</f>
        <v/>
      </c>
      <c r="E457" s="131" t="str">
        <f aca="false">ExportRaw!$D457</f>
        <v/>
      </c>
      <c r="F457" s="130" t="str">
        <f aca="false">ExportRaw!$H457</f>
        <v/>
      </c>
      <c r="G457" s="132" t="str">
        <f aca="false">ExportRaw!$I457</f>
        <v/>
      </c>
      <c r="H457" s="130" t="str">
        <f aca="false">ExportRaw!$A457</f>
        <v/>
      </c>
      <c r="I457" s="130" t="str">
        <f aca="false">ExportRaw!$B457</f>
        <v/>
      </c>
    </row>
    <row r="458" customFormat="false" ht="15.75" hidden="false" customHeight="false" outlineLevel="0" collapsed="false">
      <c r="A458" s="130" t="n">
        <f aca="false">ExportRaw!$F458</f>
        <v>0</v>
      </c>
      <c r="B458" s="130" t="n">
        <f aca="false">ExportRaw!$C458</f>
        <v>0</v>
      </c>
      <c r="C458" s="130" t="n">
        <f aca="false">ExportRaw!$G458</f>
        <v>0</v>
      </c>
      <c r="D458" s="130" t="str">
        <f aca="false">ExportRaw!$E458</f>
        <v/>
      </c>
      <c r="E458" s="131" t="str">
        <f aca="false">ExportRaw!$D458</f>
        <v/>
      </c>
      <c r="F458" s="130" t="str">
        <f aca="false">ExportRaw!$H458</f>
        <v/>
      </c>
      <c r="G458" s="132" t="str">
        <f aca="false">ExportRaw!$I458</f>
        <v/>
      </c>
      <c r="H458" s="130" t="str">
        <f aca="false">ExportRaw!$A458</f>
        <v/>
      </c>
      <c r="I458" s="130" t="str">
        <f aca="false">ExportRaw!$B458</f>
        <v/>
      </c>
    </row>
    <row r="459" customFormat="false" ht="15.75" hidden="false" customHeight="false" outlineLevel="0" collapsed="false">
      <c r="A459" s="130" t="n">
        <f aca="false">ExportRaw!$F459</f>
        <v>0</v>
      </c>
      <c r="B459" s="130" t="n">
        <f aca="false">ExportRaw!$C459</f>
        <v>0</v>
      </c>
      <c r="C459" s="130" t="n">
        <f aca="false">ExportRaw!$G459</f>
        <v>0</v>
      </c>
      <c r="D459" s="130" t="str">
        <f aca="false">ExportRaw!$E459</f>
        <v/>
      </c>
      <c r="E459" s="131" t="str">
        <f aca="false">ExportRaw!$D459</f>
        <v/>
      </c>
      <c r="F459" s="130" t="str">
        <f aca="false">ExportRaw!$H459</f>
        <v/>
      </c>
      <c r="G459" s="132" t="str">
        <f aca="false">ExportRaw!$I459</f>
        <v/>
      </c>
      <c r="H459" s="130" t="str">
        <f aca="false">ExportRaw!$A459</f>
        <v/>
      </c>
      <c r="I459" s="130" t="str">
        <f aca="false">ExportRaw!$B459</f>
        <v/>
      </c>
    </row>
    <row r="460" customFormat="false" ht="15.75" hidden="false" customHeight="false" outlineLevel="0" collapsed="false">
      <c r="A460" s="130" t="n">
        <f aca="false">ExportRaw!$F460</f>
        <v>0</v>
      </c>
      <c r="B460" s="130" t="n">
        <f aca="false">ExportRaw!$C460</f>
        <v>0</v>
      </c>
      <c r="C460" s="130" t="n">
        <f aca="false">ExportRaw!$G460</f>
        <v>0</v>
      </c>
      <c r="D460" s="130" t="str">
        <f aca="false">ExportRaw!$E460</f>
        <v/>
      </c>
      <c r="E460" s="131" t="str">
        <f aca="false">ExportRaw!$D460</f>
        <v/>
      </c>
      <c r="F460" s="130" t="str">
        <f aca="false">ExportRaw!$H460</f>
        <v/>
      </c>
      <c r="G460" s="132" t="str">
        <f aca="false">ExportRaw!$I460</f>
        <v/>
      </c>
      <c r="H460" s="130" t="str">
        <f aca="false">ExportRaw!$A460</f>
        <v/>
      </c>
      <c r="I460" s="130" t="str">
        <f aca="false">ExportRaw!$B460</f>
        <v/>
      </c>
    </row>
    <row r="461" customFormat="false" ht="15.75" hidden="false" customHeight="false" outlineLevel="0" collapsed="false">
      <c r="A461" s="130" t="n">
        <f aca="false">ExportRaw!$F461</f>
        <v>0</v>
      </c>
      <c r="B461" s="130" t="n">
        <f aca="false">ExportRaw!$C461</f>
        <v>0</v>
      </c>
      <c r="C461" s="130" t="n">
        <f aca="false">ExportRaw!$G461</f>
        <v>0</v>
      </c>
      <c r="D461" s="130" t="str">
        <f aca="false">ExportRaw!$E461</f>
        <v/>
      </c>
      <c r="E461" s="131" t="str">
        <f aca="false">ExportRaw!$D461</f>
        <v/>
      </c>
      <c r="F461" s="130" t="str">
        <f aca="false">ExportRaw!$H461</f>
        <v/>
      </c>
      <c r="G461" s="132" t="str">
        <f aca="false">ExportRaw!$I461</f>
        <v/>
      </c>
      <c r="H461" s="130" t="str">
        <f aca="false">ExportRaw!$A461</f>
        <v/>
      </c>
      <c r="I461" s="130" t="str">
        <f aca="false">ExportRaw!$B461</f>
        <v/>
      </c>
    </row>
    <row r="462" customFormat="false" ht="15.75" hidden="false" customHeight="false" outlineLevel="0" collapsed="false">
      <c r="A462" s="130" t="n">
        <f aca="false">ExportRaw!$F462</f>
        <v>0</v>
      </c>
      <c r="B462" s="130" t="n">
        <f aca="false">ExportRaw!$C462</f>
        <v>0</v>
      </c>
      <c r="C462" s="130" t="n">
        <f aca="false">ExportRaw!$G462</f>
        <v>0</v>
      </c>
      <c r="D462" s="130" t="str">
        <f aca="false">ExportRaw!$E462</f>
        <v/>
      </c>
      <c r="E462" s="131" t="str">
        <f aca="false">ExportRaw!$D462</f>
        <v/>
      </c>
      <c r="F462" s="130" t="str">
        <f aca="false">ExportRaw!$H462</f>
        <v/>
      </c>
      <c r="G462" s="132" t="str">
        <f aca="false">ExportRaw!$I462</f>
        <v/>
      </c>
      <c r="H462" s="130" t="str">
        <f aca="false">ExportRaw!$A462</f>
        <v/>
      </c>
      <c r="I462" s="130" t="str">
        <f aca="false">ExportRaw!$B462</f>
        <v/>
      </c>
    </row>
    <row r="463" customFormat="false" ht="15.75" hidden="false" customHeight="false" outlineLevel="0" collapsed="false">
      <c r="A463" s="130" t="n">
        <f aca="false">ExportRaw!$F463</f>
        <v>0</v>
      </c>
      <c r="B463" s="130" t="n">
        <f aca="false">ExportRaw!$C463</f>
        <v>0</v>
      </c>
      <c r="C463" s="130" t="n">
        <f aca="false">ExportRaw!$G463</f>
        <v>0</v>
      </c>
      <c r="D463" s="130" t="str">
        <f aca="false">ExportRaw!$E463</f>
        <v/>
      </c>
      <c r="E463" s="131" t="str">
        <f aca="false">ExportRaw!$D463</f>
        <v/>
      </c>
      <c r="F463" s="130" t="str">
        <f aca="false">ExportRaw!$H463</f>
        <v/>
      </c>
      <c r="G463" s="132" t="str">
        <f aca="false">ExportRaw!$I463</f>
        <v/>
      </c>
      <c r="H463" s="130" t="str">
        <f aca="false">ExportRaw!$A463</f>
        <v/>
      </c>
      <c r="I463" s="130" t="str">
        <f aca="false">ExportRaw!$B463</f>
        <v/>
      </c>
    </row>
    <row r="464" customFormat="false" ht="15.75" hidden="false" customHeight="false" outlineLevel="0" collapsed="false">
      <c r="A464" s="130" t="n">
        <f aca="false">ExportRaw!$F464</f>
        <v>0</v>
      </c>
      <c r="B464" s="130" t="n">
        <f aca="false">ExportRaw!$C464</f>
        <v>0</v>
      </c>
      <c r="C464" s="130" t="n">
        <f aca="false">ExportRaw!$G464</f>
        <v>0</v>
      </c>
      <c r="D464" s="130" t="str">
        <f aca="false">ExportRaw!$E464</f>
        <v/>
      </c>
      <c r="E464" s="131" t="str">
        <f aca="false">ExportRaw!$D464</f>
        <v/>
      </c>
      <c r="F464" s="130" t="str">
        <f aca="false">ExportRaw!$H464</f>
        <v/>
      </c>
      <c r="G464" s="132" t="str">
        <f aca="false">ExportRaw!$I464</f>
        <v/>
      </c>
      <c r="H464" s="130" t="str">
        <f aca="false">ExportRaw!$A464</f>
        <v/>
      </c>
      <c r="I464" s="130" t="str">
        <f aca="false">ExportRaw!$B464</f>
        <v/>
      </c>
    </row>
    <row r="465" customFormat="false" ht="15.75" hidden="false" customHeight="false" outlineLevel="0" collapsed="false">
      <c r="A465" s="130" t="n">
        <f aca="false">ExportRaw!$F465</f>
        <v>0</v>
      </c>
      <c r="B465" s="130" t="n">
        <f aca="false">ExportRaw!$C465</f>
        <v>0</v>
      </c>
      <c r="C465" s="130" t="n">
        <f aca="false">ExportRaw!$G465</f>
        <v>0</v>
      </c>
      <c r="D465" s="130" t="str">
        <f aca="false">ExportRaw!$E465</f>
        <v/>
      </c>
      <c r="E465" s="131" t="str">
        <f aca="false">ExportRaw!$D465</f>
        <v/>
      </c>
      <c r="F465" s="130" t="str">
        <f aca="false">ExportRaw!$H465</f>
        <v/>
      </c>
      <c r="G465" s="132" t="str">
        <f aca="false">ExportRaw!$I465</f>
        <v/>
      </c>
      <c r="H465" s="130" t="str">
        <f aca="false">ExportRaw!$A465</f>
        <v/>
      </c>
      <c r="I465" s="130" t="str">
        <f aca="false">ExportRaw!$B465</f>
        <v/>
      </c>
    </row>
    <row r="466" customFormat="false" ht="15.75" hidden="false" customHeight="false" outlineLevel="0" collapsed="false">
      <c r="A466" s="130" t="n">
        <f aca="false">ExportRaw!$F466</f>
        <v>0</v>
      </c>
      <c r="B466" s="130" t="n">
        <f aca="false">ExportRaw!$C466</f>
        <v>0</v>
      </c>
      <c r="C466" s="130" t="n">
        <f aca="false">ExportRaw!$G466</f>
        <v>0</v>
      </c>
      <c r="D466" s="130" t="str">
        <f aca="false">ExportRaw!$E466</f>
        <v/>
      </c>
      <c r="E466" s="131" t="str">
        <f aca="false">ExportRaw!$D466</f>
        <v/>
      </c>
      <c r="F466" s="130" t="str">
        <f aca="false">ExportRaw!$H466</f>
        <v/>
      </c>
      <c r="G466" s="132" t="str">
        <f aca="false">ExportRaw!$I466</f>
        <v/>
      </c>
      <c r="H466" s="130" t="str">
        <f aca="false">ExportRaw!$A466</f>
        <v/>
      </c>
      <c r="I466" s="130" t="str">
        <f aca="false">ExportRaw!$B466</f>
        <v/>
      </c>
    </row>
    <row r="467" customFormat="false" ht="15.75" hidden="false" customHeight="false" outlineLevel="0" collapsed="false">
      <c r="A467" s="130" t="n">
        <f aca="false">ExportRaw!$F467</f>
        <v>0</v>
      </c>
      <c r="B467" s="130" t="n">
        <f aca="false">ExportRaw!$C467</f>
        <v>0</v>
      </c>
      <c r="C467" s="130" t="n">
        <f aca="false">ExportRaw!$G467</f>
        <v>0</v>
      </c>
      <c r="D467" s="130" t="str">
        <f aca="false">ExportRaw!$E467</f>
        <v/>
      </c>
      <c r="E467" s="131" t="str">
        <f aca="false">ExportRaw!$D467</f>
        <v/>
      </c>
      <c r="F467" s="130" t="str">
        <f aca="false">ExportRaw!$H467</f>
        <v/>
      </c>
      <c r="G467" s="132" t="str">
        <f aca="false">ExportRaw!$I467</f>
        <v/>
      </c>
      <c r="H467" s="130" t="str">
        <f aca="false">ExportRaw!$A467</f>
        <v/>
      </c>
      <c r="I467" s="130" t="str">
        <f aca="false">ExportRaw!$B467</f>
        <v/>
      </c>
    </row>
    <row r="468" customFormat="false" ht="15.75" hidden="false" customHeight="false" outlineLevel="0" collapsed="false">
      <c r="A468" s="130" t="n">
        <f aca="false">ExportRaw!$F468</f>
        <v>0</v>
      </c>
      <c r="B468" s="130" t="n">
        <f aca="false">ExportRaw!$C468</f>
        <v>0</v>
      </c>
      <c r="C468" s="130" t="n">
        <f aca="false">ExportRaw!$G468</f>
        <v>0</v>
      </c>
      <c r="D468" s="130" t="str">
        <f aca="false">ExportRaw!$E468</f>
        <v/>
      </c>
      <c r="E468" s="131" t="str">
        <f aca="false">ExportRaw!$D468</f>
        <v/>
      </c>
      <c r="F468" s="130" t="str">
        <f aca="false">ExportRaw!$H468</f>
        <v/>
      </c>
      <c r="G468" s="132" t="str">
        <f aca="false">ExportRaw!$I468</f>
        <v/>
      </c>
      <c r="H468" s="130" t="str">
        <f aca="false">ExportRaw!$A468</f>
        <v/>
      </c>
      <c r="I468" s="130" t="str">
        <f aca="false">ExportRaw!$B468</f>
        <v/>
      </c>
    </row>
    <row r="469" customFormat="false" ht="15.75" hidden="false" customHeight="false" outlineLevel="0" collapsed="false">
      <c r="A469" s="130" t="n">
        <f aca="false">ExportRaw!$F469</f>
        <v>0</v>
      </c>
      <c r="B469" s="130" t="n">
        <f aca="false">ExportRaw!$C469</f>
        <v>0</v>
      </c>
      <c r="C469" s="130" t="n">
        <f aca="false">ExportRaw!$G469</f>
        <v>0</v>
      </c>
      <c r="D469" s="130" t="str">
        <f aca="false">ExportRaw!$E469</f>
        <v/>
      </c>
      <c r="E469" s="131" t="str">
        <f aca="false">ExportRaw!$D469</f>
        <v/>
      </c>
      <c r="F469" s="130" t="str">
        <f aca="false">ExportRaw!$H469</f>
        <v/>
      </c>
      <c r="G469" s="132" t="str">
        <f aca="false">ExportRaw!$I469</f>
        <v/>
      </c>
      <c r="H469" s="130" t="str">
        <f aca="false">ExportRaw!$A469</f>
        <v/>
      </c>
      <c r="I469" s="130" t="str">
        <f aca="false">ExportRaw!$B469</f>
        <v/>
      </c>
    </row>
    <row r="470" customFormat="false" ht="15.75" hidden="false" customHeight="false" outlineLevel="0" collapsed="false">
      <c r="A470" s="130" t="n">
        <f aca="false">ExportRaw!$F470</f>
        <v>0</v>
      </c>
      <c r="B470" s="130" t="n">
        <f aca="false">ExportRaw!$C470</f>
        <v>0</v>
      </c>
      <c r="C470" s="130" t="n">
        <f aca="false">ExportRaw!$G470</f>
        <v>0</v>
      </c>
      <c r="D470" s="130" t="str">
        <f aca="false">ExportRaw!$E470</f>
        <v/>
      </c>
      <c r="E470" s="131" t="str">
        <f aca="false">ExportRaw!$D470</f>
        <v/>
      </c>
      <c r="F470" s="130" t="str">
        <f aca="false">ExportRaw!$H470</f>
        <v/>
      </c>
      <c r="G470" s="132" t="str">
        <f aca="false">ExportRaw!$I470</f>
        <v/>
      </c>
      <c r="H470" s="130" t="str">
        <f aca="false">ExportRaw!$A470</f>
        <v/>
      </c>
      <c r="I470" s="130" t="str">
        <f aca="false">ExportRaw!$B470</f>
        <v/>
      </c>
    </row>
    <row r="471" customFormat="false" ht="15.75" hidden="false" customHeight="false" outlineLevel="0" collapsed="false">
      <c r="A471" s="130" t="n">
        <f aca="false">ExportRaw!$F471</f>
        <v>0</v>
      </c>
      <c r="B471" s="130" t="n">
        <f aca="false">ExportRaw!$C471</f>
        <v>0</v>
      </c>
      <c r="C471" s="130" t="n">
        <f aca="false">ExportRaw!$G471</f>
        <v>0</v>
      </c>
      <c r="D471" s="130" t="str">
        <f aca="false">ExportRaw!$E471</f>
        <v/>
      </c>
      <c r="E471" s="131" t="str">
        <f aca="false">ExportRaw!$D471</f>
        <v/>
      </c>
      <c r="F471" s="130" t="str">
        <f aca="false">ExportRaw!$H471</f>
        <v/>
      </c>
      <c r="G471" s="132" t="str">
        <f aca="false">ExportRaw!$I471</f>
        <v/>
      </c>
      <c r="H471" s="130" t="str">
        <f aca="false">ExportRaw!$A471</f>
        <v/>
      </c>
      <c r="I471" s="130" t="str">
        <f aca="false">ExportRaw!$B471</f>
        <v/>
      </c>
    </row>
    <row r="472" customFormat="false" ht="15.75" hidden="false" customHeight="false" outlineLevel="0" collapsed="false">
      <c r="A472" s="130" t="n">
        <f aca="false">ExportRaw!$F472</f>
        <v>0</v>
      </c>
      <c r="B472" s="130" t="n">
        <f aca="false">ExportRaw!$C472</f>
        <v>0</v>
      </c>
      <c r="C472" s="130" t="n">
        <f aca="false">ExportRaw!$G472</f>
        <v>0</v>
      </c>
      <c r="D472" s="130" t="str">
        <f aca="false">ExportRaw!$E472</f>
        <v/>
      </c>
      <c r="E472" s="131" t="str">
        <f aca="false">ExportRaw!$D472</f>
        <v/>
      </c>
      <c r="F472" s="130" t="str">
        <f aca="false">ExportRaw!$H472</f>
        <v/>
      </c>
      <c r="G472" s="132" t="str">
        <f aca="false">ExportRaw!$I472</f>
        <v/>
      </c>
      <c r="H472" s="130" t="str">
        <f aca="false">ExportRaw!$A472</f>
        <v/>
      </c>
      <c r="I472" s="130" t="str">
        <f aca="false">ExportRaw!$B472</f>
        <v/>
      </c>
    </row>
    <row r="473" customFormat="false" ht="15.75" hidden="false" customHeight="false" outlineLevel="0" collapsed="false">
      <c r="A473" s="130" t="n">
        <f aca="false">ExportRaw!$F473</f>
        <v>0</v>
      </c>
      <c r="B473" s="130" t="n">
        <f aca="false">ExportRaw!$C473</f>
        <v>0</v>
      </c>
      <c r="C473" s="130" t="n">
        <f aca="false">ExportRaw!$G473</f>
        <v>0</v>
      </c>
      <c r="D473" s="130" t="str">
        <f aca="false">ExportRaw!$E473</f>
        <v/>
      </c>
      <c r="E473" s="131" t="str">
        <f aca="false">ExportRaw!$D473</f>
        <v/>
      </c>
      <c r="F473" s="130" t="str">
        <f aca="false">ExportRaw!$H473</f>
        <v/>
      </c>
      <c r="G473" s="132" t="str">
        <f aca="false">ExportRaw!$I473</f>
        <v/>
      </c>
      <c r="H473" s="130" t="str">
        <f aca="false">ExportRaw!$A473</f>
        <v/>
      </c>
      <c r="I473" s="130" t="str">
        <f aca="false">ExportRaw!$B473</f>
        <v/>
      </c>
    </row>
    <row r="474" customFormat="false" ht="15.75" hidden="false" customHeight="false" outlineLevel="0" collapsed="false">
      <c r="A474" s="130" t="n">
        <f aca="false">ExportRaw!$F474</f>
        <v>0</v>
      </c>
      <c r="B474" s="130" t="n">
        <f aca="false">ExportRaw!$C474</f>
        <v>0</v>
      </c>
      <c r="C474" s="130" t="n">
        <f aca="false">ExportRaw!$G474</f>
        <v>0</v>
      </c>
      <c r="D474" s="130" t="str">
        <f aca="false">ExportRaw!$E474</f>
        <v/>
      </c>
      <c r="E474" s="131" t="str">
        <f aca="false">ExportRaw!$D474</f>
        <v/>
      </c>
      <c r="F474" s="130" t="str">
        <f aca="false">ExportRaw!$H474</f>
        <v/>
      </c>
      <c r="G474" s="132" t="str">
        <f aca="false">ExportRaw!$I474</f>
        <v/>
      </c>
      <c r="H474" s="130" t="str">
        <f aca="false">ExportRaw!$A474</f>
        <v/>
      </c>
      <c r="I474" s="130" t="str">
        <f aca="false">ExportRaw!$B474</f>
        <v/>
      </c>
    </row>
    <row r="475" customFormat="false" ht="15.75" hidden="false" customHeight="false" outlineLevel="0" collapsed="false">
      <c r="A475" s="130" t="n">
        <f aca="false">ExportRaw!$F475</f>
        <v>0</v>
      </c>
      <c r="B475" s="130" t="n">
        <f aca="false">ExportRaw!$C475</f>
        <v>0</v>
      </c>
      <c r="C475" s="130" t="n">
        <f aca="false">ExportRaw!$G475</f>
        <v>0</v>
      </c>
      <c r="D475" s="130" t="str">
        <f aca="false">ExportRaw!$E475</f>
        <v/>
      </c>
      <c r="E475" s="131" t="str">
        <f aca="false">ExportRaw!$D475</f>
        <v/>
      </c>
      <c r="F475" s="130" t="str">
        <f aca="false">ExportRaw!$H475</f>
        <v/>
      </c>
      <c r="G475" s="132" t="str">
        <f aca="false">ExportRaw!$I475</f>
        <v/>
      </c>
      <c r="H475" s="130" t="str">
        <f aca="false">ExportRaw!$A475</f>
        <v/>
      </c>
      <c r="I475" s="130" t="str">
        <f aca="false">ExportRaw!$B475</f>
        <v/>
      </c>
    </row>
    <row r="476" customFormat="false" ht="15.75" hidden="false" customHeight="false" outlineLevel="0" collapsed="false">
      <c r="A476" s="130" t="n">
        <f aca="false">ExportRaw!$F476</f>
        <v>0</v>
      </c>
      <c r="B476" s="130" t="n">
        <f aca="false">ExportRaw!$C476</f>
        <v>0</v>
      </c>
      <c r="C476" s="130" t="n">
        <f aca="false">ExportRaw!$G476</f>
        <v>0</v>
      </c>
      <c r="D476" s="130" t="str">
        <f aca="false">ExportRaw!$E476</f>
        <v/>
      </c>
      <c r="E476" s="131" t="str">
        <f aca="false">ExportRaw!$D476</f>
        <v/>
      </c>
      <c r="F476" s="130" t="str">
        <f aca="false">ExportRaw!$H476</f>
        <v/>
      </c>
      <c r="G476" s="132" t="str">
        <f aca="false">ExportRaw!$I476</f>
        <v/>
      </c>
      <c r="H476" s="130" t="str">
        <f aca="false">ExportRaw!$A476</f>
        <v/>
      </c>
      <c r="I476" s="130" t="str">
        <f aca="false">ExportRaw!$B476</f>
        <v/>
      </c>
    </row>
    <row r="477" customFormat="false" ht="15.75" hidden="false" customHeight="false" outlineLevel="0" collapsed="false">
      <c r="A477" s="130" t="n">
        <f aca="false">ExportRaw!$F477</f>
        <v>0</v>
      </c>
      <c r="B477" s="130" t="n">
        <f aca="false">ExportRaw!$C477</f>
        <v>0</v>
      </c>
      <c r="C477" s="130" t="n">
        <f aca="false">ExportRaw!$G477</f>
        <v>0</v>
      </c>
      <c r="D477" s="130" t="str">
        <f aca="false">ExportRaw!$E477</f>
        <v/>
      </c>
      <c r="E477" s="131" t="str">
        <f aca="false">ExportRaw!$D477</f>
        <v/>
      </c>
      <c r="F477" s="130" t="str">
        <f aca="false">ExportRaw!$H477</f>
        <v/>
      </c>
      <c r="G477" s="132" t="str">
        <f aca="false">ExportRaw!$I477</f>
        <v/>
      </c>
      <c r="H477" s="130" t="str">
        <f aca="false">ExportRaw!$A477</f>
        <v/>
      </c>
      <c r="I477" s="130" t="str">
        <f aca="false">ExportRaw!$B477</f>
        <v/>
      </c>
    </row>
    <row r="478" customFormat="false" ht="15.75" hidden="false" customHeight="false" outlineLevel="0" collapsed="false">
      <c r="A478" s="130" t="n">
        <f aca="false">ExportRaw!$F478</f>
        <v>0</v>
      </c>
      <c r="B478" s="130" t="n">
        <f aca="false">ExportRaw!$C478</f>
        <v>0</v>
      </c>
      <c r="C478" s="130" t="n">
        <f aca="false">ExportRaw!$G478</f>
        <v>0</v>
      </c>
      <c r="D478" s="130" t="str">
        <f aca="false">ExportRaw!$E478</f>
        <v/>
      </c>
      <c r="E478" s="131" t="str">
        <f aca="false">ExportRaw!$D478</f>
        <v/>
      </c>
      <c r="F478" s="130" t="str">
        <f aca="false">ExportRaw!$H478</f>
        <v/>
      </c>
      <c r="G478" s="132" t="str">
        <f aca="false">ExportRaw!$I478</f>
        <v/>
      </c>
      <c r="H478" s="130" t="str">
        <f aca="false">ExportRaw!$A478</f>
        <v/>
      </c>
      <c r="I478" s="130" t="str">
        <f aca="false">ExportRaw!$B478</f>
        <v/>
      </c>
    </row>
    <row r="479" customFormat="false" ht="15.75" hidden="false" customHeight="false" outlineLevel="0" collapsed="false">
      <c r="A479" s="130" t="n">
        <f aca="false">ExportRaw!$F479</f>
        <v>0</v>
      </c>
      <c r="B479" s="130" t="n">
        <f aca="false">ExportRaw!$C479</f>
        <v>0</v>
      </c>
      <c r="C479" s="130" t="n">
        <f aca="false">ExportRaw!$G479</f>
        <v>0</v>
      </c>
      <c r="D479" s="130" t="str">
        <f aca="false">ExportRaw!$E479</f>
        <v/>
      </c>
      <c r="E479" s="131" t="str">
        <f aca="false">ExportRaw!$D479</f>
        <v/>
      </c>
      <c r="F479" s="130" t="str">
        <f aca="false">ExportRaw!$H479</f>
        <v/>
      </c>
      <c r="G479" s="132" t="str">
        <f aca="false">ExportRaw!$I479</f>
        <v/>
      </c>
      <c r="H479" s="130" t="str">
        <f aca="false">ExportRaw!$A479</f>
        <v/>
      </c>
      <c r="I479" s="130" t="str">
        <f aca="false">ExportRaw!$B479</f>
        <v/>
      </c>
    </row>
    <row r="480" customFormat="false" ht="15.75" hidden="false" customHeight="false" outlineLevel="0" collapsed="false">
      <c r="A480" s="130" t="n">
        <f aca="false">ExportRaw!$F480</f>
        <v>0</v>
      </c>
      <c r="B480" s="130" t="n">
        <f aca="false">ExportRaw!$C480</f>
        <v>0</v>
      </c>
      <c r="C480" s="130" t="n">
        <f aca="false">ExportRaw!$G480</f>
        <v>0</v>
      </c>
      <c r="D480" s="130" t="str">
        <f aca="false">ExportRaw!$E480</f>
        <v/>
      </c>
      <c r="E480" s="131" t="str">
        <f aca="false">ExportRaw!$D480</f>
        <v/>
      </c>
      <c r="F480" s="130" t="str">
        <f aca="false">ExportRaw!$H480</f>
        <v/>
      </c>
      <c r="G480" s="132" t="str">
        <f aca="false">ExportRaw!$I480</f>
        <v/>
      </c>
      <c r="H480" s="130" t="str">
        <f aca="false">ExportRaw!$A480</f>
        <v/>
      </c>
      <c r="I480" s="130" t="str">
        <f aca="false">ExportRaw!$B480</f>
        <v/>
      </c>
    </row>
    <row r="481" customFormat="false" ht="15.75" hidden="false" customHeight="false" outlineLevel="0" collapsed="false">
      <c r="A481" s="130" t="n">
        <f aca="false">ExportRaw!$F481</f>
        <v>0</v>
      </c>
      <c r="B481" s="130" t="n">
        <f aca="false">ExportRaw!$C481</f>
        <v>0</v>
      </c>
      <c r="C481" s="130" t="n">
        <f aca="false">ExportRaw!$G481</f>
        <v>0</v>
      </c>
      <c r="D481" s="130" t="str">
        <f aca="false">ExportRaw!$E481</f>
        <v/>
      </c>
      <c r="E481" s="131" t="str">
        <f aca="false">ExportRaw!$D481</f>
        <v/>
      </c>
      <c r="F481" s="130" t="str">
        <f aca="false">ExportRaw!$H481</f>
        <v/>
      </c>
      <c r="G481" s="132" t="str">
        <f aca="false">ExportRaw!$I481</f>
        <v/>
      </c>
      <c r="H481" s="130" t="str">
        <f aca="false">ExportRaw!$A481</f>
        <v/>
      </c>
      <c r="I481" s="130" t="str">
        <f aca="false">ExportRaw!$B481</f>
        <v/>
      </c>
    </row>
    <row r="482" customFormat="false" ht="15.75" hidden="false" customHeight="false" outlineLevel="0" collapsed="false">
      <c r="A482" s="130" t="n">
        <f aca="false">ExportRaw!$F482</f>
        <v>0</v>
      </c>
      <c r="B482" s="130" t="n">
        <f aca="false">ExportRaw!$C482</f>
        <v>0</v>
      </c>
      <c r="C482" s="130" t="n">
        <f aca="false">ExportRaw!$G482</f>
        <v>0</v>
      </c>
      <c r="D482" s="130" t="str">
        <f aca="false">ExportRaw!$E482</f>
        <v/>
      </c>
      <c r="E482" s="131" t="str">
        <f aca="false">ExportRaw!$D482</f>
        <v/>
      </c>
      <c r="F482" s="130" t="str">
        <f aca="false">ExportRaw!$H482</f>
        <v/>
      </c>
      <c r="G482" s="132" t="str">
        <f aca="false">ExportRaw!$I482</f>
        <v/>
      </c>
      <c r="H482" s="130" t="str">
        <f aca="false">ExportRaw!$A482</f>
        <v/>
      </c>
      <c r="I482" s="130" t="str">
        <f aca="false">ExportRaw!$B482</f>
        <v/>
      </c>
    </row>
    <row r="483" customFormat="false" ht="15.75" hidden="false" customHeight="false" outlineLevel="0" collapsed="false">
      <c r="A483" s="130" t="n">
        <f aca="false">ExportRaw!$F483</f>
        <v>0</v>
      </c>
      <c r="B483" s="130" t="n">
        <f aca="false">ExportRaw!$C483</f>
        <v>0</v>
      </c>
      <c r="C483" s="130" t="n">
        <f aca="false">ExportRaw!$G483</f>
        <v>0</v>
      </c>
      <c r="D483" s="130" t="str">
        <f aca="false">ExportRaw!$E483</f>
        <v/>
      </c>
      <c r="E483" s="131" t="str">
        <f aca="false">ExportRaw!$D483</f>
        <v/>
      </c>
      <c r="F483" s="130" t="str">
        <f aca="false">ExportRaw!$H483</f>
        <v/>
      </c>
      <c r="G483" s="132" t="str">
        <f aca="false">ExportRaw!$I483</f>
        <v/>
      </c>
      <c r="H483" s="130" t="str">
        <f aca="false">ExportRaw!$A483</f>
        <v/>
      </c>
      <c r="I483" s="130" t="str">
        <f aca="false">ExportRaw!$B483</f>
        <v/>
      </c>
    </row>
    <row r="484" customFormat="false" ht="15.75" hidden="false" customHeight="false" outlineLevel="0" collapsed="false">
      <c r="A484" s="130" t="n">
        <f aca="false">ExportRaw!$F484</f>
        <v>0</v>
      </c>
      <c r="B484" s="130" t="n">
        <f aca="false">ExportRaw!$C484</f>
        <v>0</v>
      </c>
      <c r="C484" s="130" t="n">
        <f aca="false">ExportRaw!$G484</f>
        <v>0</v>
      </c>
      <c r="D484" s="130" t="str">
        <f aca="false">ExportRaw!$E484</f>
        <v/>
      </c>
      <c r="E484" s="131" t="str">
        <f aca="false">ExportRaw!$D484</f>
        <v/>
      </c>
      <c r="F484" s="130" t="str">
        <f aca="false">ExportRaw!$H484</f>
        <v/>
      </c>
      <c r="G484" s="132" t="str">
        <f aca="false">ExportRaw!$I484</f>
        <v/>
      </c>
      <c r="H484" s="130" t="str">
        <f aca="false">ExportRaw!$A484</f>
        <v/>
      </c>
      <c r="I484" s="130" t="str">
        <f aca="false">ExportRaw!$B484</f>
        <v/>
      </c>
    </row>
    <row r="485" customFormat="false" ht="15.75" hidden="false" customHeight="false" outlineLevel="0" collapsed="false">
      <c r="A485" s="130" t="n">
        <f aca="false">ExportRaw!$F485</f>
        <v>0</v>
      </c>
      <c r="B485" s="130" t="n">
        <f aca="false">ExportRaw!$C485</f>
        <v>0</v>
      </c>
      <c r="C485" s="130" t="n">
        <f aca="false">ExportRaw!$G485</f>
        <v>0</v>
      </c>
      <c r="D485" s="130" t="str">
        <f aca="false">ExportRaw!$E485</f>
        <v/>
      </c>
      <c r="E485" s="131" t="str">
        <f aca="false">ExportRaw!$D485</f>
        <v/>
      </c>
      <c r="F485" s="130" t="str">
        <f aca="false">ExportRaw!$H485</f>
        <v/>
      </c>
      <c r="G485" s="132" t="str">
        <f aca="false">ExportRaw!$I485</f>
        <v/>
      </c>
      <c r="H485" s="130" t="str">
        <f aca="false">ExportRaw!$A485</f>
        <v/>
      </c>
      <c r="I485" s="130" t="str">
        <f aca="false">ExportRaw!$B485</f>
        <v/>
      </c>
    </row>
    <row r="486" customFormat="false" ht="15.75" hidden="false" customHeight="false" outlineLevel="0" collapsed="false">
      <c r="A486" s="130" t="n">
        <f aca="false">ExportRaw!$F486</f>
        <v>0</v>
      </c>
      <c r="B486" s="130" t="n">
        <f aca="false">ExportRaw!$C486</f>
        <v>0</v>
      </c>
      <c r="C486" s="130" t="n">
        <f aca="false">ExportRaw!$G486</f>
        <v>0</v>
      </c>
      <c r="D486" s="130" t="str">
        <f aca="false">ExportRaw!$E486</f>
        <v/>
      </c>
      <c r="E486" s="131" t="str">
        <f aca="false">ExportRaw!$D486</f>
        <v/>
      </c>
      <c r="F486" s="130" t="str">
        <f aca="false">ExportRaw!$H486</f>
        <v/>
      </c>
      <c r="G486" s="132" t="str">
        <f aca="false">ExportRaw!$I486</f>
        <v/>
      </c>
      <c r="H486" s="130" t="str">
        <f aca="false">ExportRaw!$A486</f>
        <v/>
      </c>
      <c r="I486" s="130" t="str">
        <f aca="false">ExportRaw!$B486</f>
        <v/>
      </c>
    </row>
    <row r="487" customFormat="false" ht="15.75" hidden="false" customHeight="false" outlineLevel="0" collapsed="false">
      <c r="A487" s="130" t="n">
        <f aca="false">ExportRaw!$F487</f>
        <v>0</v>
      </c>
      <c r="B487" s="130" t="n">
        <f aca="false">ExportRaw!$C487</f>
        <v>0</v>
      </c>
      <c r="C487" s="130" t="n">
        <f aca="false">ExportRaw!$G487</f>
        <v>0</v>
      </c>
      <c r="D487" s="130" t="str">
        <f aca="false">ExportRaw!$E487</f>
        <v/>
      </c>
      <c r="E487" s="131" t="str">
        <f aca="false">ExportRaw!$D487</f>
        <v/>
      </c>
      <c r="F487" s="130" t="str">
        <f aca="false">ExportRaw!$H487</f>
        <v/>
      </c>
      <c r="G487" s="132" t="str">
        <f aca="false">ExportRaw!$I487</f>
        <v/>
      </c>
      <c r="H487" s="130" t="str">
        <f aca="false">ExportRaw!$A487</f>
        <v/>
      </c>
      <c r="I487" s="130" t="str">
        <f aca="false">ExportRaw!$B487</f>
        <v/>
      </c>
    </row>
    <row r="488" customFormat="false" ht="15.75" hidden="false" customHeight="false" outlineLevel="0" collapsed="false">
      <c r="A488" s="130" t="n">
        <f aca="false">ExportRaw!$F488</f>
        <v>0</v>
      </c>
      <c r="B488" s="130" t="n">
        <f aca="false">ExportRaw!$C488</f>
        <v>0</v>
      </c>
      <c r="C488" s="130" t="n">
        <f aca="false">ExportRaw!$G488</f>
        <v>0</v>
      </c>
      <c r="D488" s="130" t="str">
        <f aca="false">ExportRaw!$E488</f>
        <v/>
      </c>
      <c r="E488" s="131" t="str">
        <f aca="false">ExportRaw!$D488</f>
        <v/>
      </c>
      <c r="F488" s="130" t="str">
        <f aca="false">ExportRaw!$H488</f>
        <v/>
      </c>
      <c r="G488" s="132" t="str">
        <f aca="false">ExportRaw!$I488</f>
        <v/>
      </c>
      <c r="H488" s="130" t="str">
        <f aca="false">ExportRaw!$A488</f>
        <v/>
      </c>
      <c r="I488" s="130" t="str">
        <f aca="false">ExportRaw!$B488</f>
        <v/>
      </c>
    </row>
    <row r="489" customFormat="false" ht="15.75" hidden="false" customHeight="false" outlineLevel="0" collapsed="false">
      <c r="A489" s="130" t="n">
        <f aca="false">ExportRaw!$F489</f>
        <v>0</v>
      </c>
      <c r="B489" s="130" t="n">
        <f aca="false">ExportRaw!$C489</f>
        <v>0</v>
      </c>
      <c r="C489" s="130" t="n">
        <f aca="false">ExportRaw!$G489</f>
        <v>0</v>
      </c>
      <c r="D489" s="130" t="str">
        <f aca="false">ExportRaw!$E489</f>
        <v/>
      </c>
      <c r="E489" s="131" t="str">
        <f aca="false">ExportRaw!$D489</f>
        <v/>
      </c>
      <c r="F489" s="130" t="str">
        <f aca="false">ExportRaw!$H489</f>
        <v/>
      </c>
      <c r="G489" s="132" t="str">
        <f aca="false">ExportRaw!$I489</f>
        <v/>
      </c>
      <c r="H489" s="130" t="str">
        <f aca="false">ExportRaw!$A489</f>
        <v/>
      </c>
      <c r="I489" s="130" t="str">
        <f aca="false">ExportRaw!$B489</f>
        <v/>
      </c>
    </row>
    <row r="490" customFormat="false" ht="15.75" hidden="false" customHeight="false" outlineLevel="0" collapsed="false">
      <c r="A490" s="130" t="n">
        <f aca="false">ExportRaw!$F490</f>
        <v>0</v>
      </c>
      <c r="B490" s="130" t="n">
        <f aca="false">ExportRaw!$C490</f>
        <v>0</v>
      </c>
      <c r="C490" s="130" t="n">
        <f aca="false">ExportRaw!$G490</f>
        <v>0</v>
      </c>
      <c r="D490" s="130" t="str">
        <f aca="false">ExportRaw!$E490</f>
        <v/>
      </c>
      <c r="E490" s="131" t="str">
        <f aca="false">ExportRaw!$D490</f>
        <v/>
      </c>
      <c r="F490" s="130" t="str">
        <f aca="false">ExportRaw!$H490</f>
        <v/>
      </c>
      <c r="G490" s="132" t="str">
        <f aca="false">ExportRaw!$I490</f>
        <v/>
      </c>
      <c r="H490" s="130" t="str">
        <f aca="false">ExportRaw!$A490</f>
        <v/>
      </c>
      <c r="I490" s="130" t="str">
        <f aca="false">ExportRaw!$B490</f>
        <v/>
      </c>
    </row>
    <row r="491" customFormat="false" ht="15.75" hidden="false" customHeight="false" outlineLevel="0" collapsed="false">
      <c r="A491" s="130" t="n">
        <f aca="false">ExportRaw!$F491</f>
        <v>0</v>
      </c>
      <c r="B491" s="130" t="n">
        <f aca="false">ExportRaw!$C491</f>
        <v>0</v>
      </c>
      <c r="C491" s="130" t="n">
        <f aca="false">ExportRaw!$G491</f>
        <v>0</v>
      </c>
      <c r="D491" s="130" t="str">
        <f aca="false">ExportRaw!$E491</f>
        <v/>
      </c>
      <c r="E491" s="131" t="str">
        <f aca="false">ExportRaw!$D491</f>
        <v/>
      </c>
      <c r="F491" s="130" t="str">
        <f aca="false">ExportRaw!$H491</f>
        <v/>
      </c>
      <c r="G491" s="132" t="str">
        <f aca="false">ExportRaw!$I491</f>
        <v/>
      </c>
      <c r="H491" s="130" t="str">
        <f aca="false">ExportRaw!$A491</f>
        <v/>
      </c>
      <c r="I491" s="130" t="str">
        <f aca="false">ExportRaw!$B491</f>
        <v/>
      </c>
    </row>
    <row r="492" customFormat="false" ht="15.75" hidden="false" customHeight="false" outlineLevel="0" collapsed="false">
      <c r="A492" s="130" t="n">
        <f aca="false">ExportRaw!$F492</f>
        <v>0</v>
      </c>
      <c r="B492" s="130" t="n">
        <f aca="false">ExportRaw!$C492</f>
        <v>0</v>
      </c>
      <c r="C492" s="130" t="n">
        <f aca="false">ExportRaw!$G492</f>
        <v>0</v>
      </c>
      <c r="D492" s="130" t="str">
        <f aca="false">ExportRaw!$E492</f>
        <v/>
      </c>
      <c r="E492" s="131" t="str">
        <f aca="false">ExportRaw!$D492</f>
        <v/>
      </c>
      <c r="F492" s="130" t="str">
        <f aca="false">ExportRaw!$H492</f>
        <v/>
      </c>
      <c r="G492" s="132" t="str">
        <f aca="false">ExportRaw!$I492</f>
        <v/>
      </c>
      <c r="H492" s="130" t="str">
        <f aca="false">ExportRaw!$A492</f>
        <v/>
      </c>
      <c r="I492" s="130" t="str">
        <f aca="false">ExportRaw!$B492</f>
        <v/>
      </c>
    </row>
    <row r="493" customFormat="false" ht="15.75" hidden="false" customHeight="false" outlineLevel="0" collapsed="false">
      <c r="A493" s="130" t="n">
        <f aca="false">ExportRaw!$F493</f>
        <v>0</v>
      </c>
      <c r="B493" s="130" t="n">
        <f aca="false">ExportRaw!$C493</f>
        <v>0</v>
      </c>
      <c r="C493" s="130" t="n">
        <f aca="false">ExportRaw!$G493</f>
        <v>0</v>
      </c>
      <c r="D493" s="130" t="str">
        <f aca="false">ExportRaw!$E493</f>
        <v/>
      </c>
      <c r="E493" s="131" t="str">
        <f aca="false">ExportRaw!$D493</f>
        <v/>
      </c>
      <c r="F493" s="130" t="str">
        <f aca="false">ExportRaw!$H493</f>
        <v/>
      </c>
      <c r="G493" s="132" t="str">
        <f aca="false">ExportRaw!$I493</f>
        <v/>
      </c>
      <c r="H493" s="130" t="str">
        <f aca="false">ExportRaw!$A493</f>
        <v/>
      </c>
      <c r="I493" s="130" t="str">
        <f aca="false">ExportRaw!$B493</f>
        <v/>
      </c>
    </row>
    <row r="494" customFormat="false" ht="15.75" hidden="false" customHeight="false" outlineLevel="0" collapsed="false">
      <c r="A494" s="130" t="n">
        <f aca="false">ExportRaw!$F494</f>
        <v>0</v>
      </c>
      <c r="B494" s="130" t="n">
        <f aca="false">ExportRaw!$C494</f>
        <v>0</v>
      </c>
      <c r="C494" s="130" t="n">
        <f aca="false">ExportRaw!$G494</f>
        <v>0</v>
      </c>
      <c r="D494" s="130" t="str">
        <f aca="false">ExportRaw!$E494</f>
        <v/>
      </c>
      <c r="E494" s="131" t="str">
        <f aca="false">ExportRaw!$D494</f>
        <v/>
      </c>
      <c r="F494" s="130" t="str">
        <f aca="false">ExportRaw!$H494</f>
        <v/>
      </c>
      <c r="G494" s="132" t="str">
        <f aca="false">ExportRaw!$I494</f>
        <v/>
      </c>
      <c r="H494" s="130" t="str">
        <f aca="false">ExportRaw!$A494</f>
        <v/>
      </c>
      <c r="I494" s="130" t="str">
        <f aca="false">ExportRaw!$B494</f>
        <v/>
      </c>
    </row>
    <row r="495" customFormat="false" ht="15.75" hidden="false" customHeight="false" outlineLevel="0" collapsed="false">
      <c r="A495" s="130" t="n">
        <f aca="false">ExportRaw!$F495</f>
        <v>0</v>
      </c>
      <c r="B495" s="130" t="n">
        <f aca="false">ExportRaw!$C495</f>
        <v>0</v>
      </c>
      <c r="C495" s="130" t="n">
        <f aca="false">ExportRaw!$G495</f>
        <v>0</v>
      </c>
      <c r="D495" s="130" t="str">
        <f aca="false">ExportRaw!$E495</f>
        <v/>
      </c>
      <c r="E495" s="131" t="str">
        <f aca="false">ExportRaw!$D495</f>
        <v/>
      </c>
      <c r="F495" s="130" t="str">
        <f aca="false">ExportRaw!$H495</f>
        <v/>
      </c>
      <c r="G495" s="132" t="str">
        <f aca="false">ExportRaw!$I495</f>
        <v/>
      </c>
      <c r="H495" s="130" t="str">
        <f aca="false">ExportRaw!$A495</f>
        <v/>
      </c>
      <c r="I495" s="130" t="str">
        <f aca="false">ExportRaw!$B495</f>
        <v/>
      </c>
    </row>
    <row r="496" customFormat="false" ht="15.75" hidden="false" customHeight="false" outlineLevel="0" collapsed="false">
      <c r="A496" s="130" t="n">
        <f aca="false">ExportRaw!$F496</f>
        <v>0</v>
      </c>
      <c r="B496" s="130" t="n">
        <f aca="false">ExportRaw!$C496</f>
        <v>0</v>
      </c>
      <c r="C496" s="130" t="n">
        <f aca="false">ExportRaw!$G496</f>
        <v>0</v>
      </c>
      <c r="D496" s="130" t="str">
        <f aca="false">ExportRaw!$E496</f>
        <v/>
      </c>
      <c r="E496" s="131" t="str">
        <f aca="false">ExportRaw!$D496</f>
        <v/>
      </c>
      <c r="F496" s="130" t="str">
        <f aca="false">ExportRaw!$H496</f>
        <v/>
      </c>
      <c r="G496" s="132" t="str">
        <f aca="false">ExportRaw!$I496</f>
        <v/>
      </c>
      <c r="H496" s="130" t="str">
        <f aca="false">ExportRaw!$A496</f>
        <v/>
      </c>
      <c r="I496" s="130" t="str">
        <f aca="false">ExportRaw!$B496</f>
        <v/>
      </c>
    </row>
    <row r="497" customFormat="false" ht="15.75" hidden="false" customHeight="false" outlineLevel="0" collapsed="false">
      <c r="A497" s="130" t="n">
        <f aca="false">ExportRaw!$F497</f>
        <v>0</v>
      </c>
      <c r="B497" s="130" t="n">
        <f aca="false">ExportRaw!$C497</f>
        <v>0</v>
      </c>
      <c r="C497" s="130" t="n">
        <f aca="false">ExportRaw!$G497</f>
        <v>0</v>
      </c>
      <c r="D497" s="130" t="str">
        <f aca="false">ExportRaw!$E497</f>
        <v/>
      </c>
      <c r="E497" s="131" t="str">
        <f aca="false">ExportRaw!$D497</f>
        <v/>
      </c>
      <c r="F497" s="130" t="str">
        <f aca="false">ExportRaw!$H497</f>
        <v/>
      </c>
      <c r="G497" s="132" t="str">
        <f aca="false">ExportRaw!$I497</f>
        <v/>
      </c>
      <c r="H497" s="130" t="str">
        <f aca="false">ExportRaw!$A497</f>
        <v/>
      </c>
      <c r="I497" s="130" t="str">
        <f aca="false">ExportRaw!$B497</f>
        <v/>
      </c>
    </row>
    <row r="498" customFormat="false" ht="15.75" hidden="false" customHeight="false" outlineLevel="0" collapsed="false">
      <c r="A498" s="130" t="n">
        <f aca="false">ExportRaw!$F498</f>
        <v>0</v>
      </c>
      <c r="B498" s="130" t="n">
        <f aca="false">ExportRaw!$C498</f>
        <v>0</v>
      </c>
      <c r="C498" s="130" t="n">
        <f aca="false">ExportRaw!$G498</f>
        <v>0</v>
      </c>
      <c r="D498" s="130" t="str">
        <f aca="false">ExportRaw!$E498</f>
        <v/>
      </c>
      <c r="E498" s="131" t="str">
        <f aca="false">ExportRaw!$D498</f>
        <v/>
      </c>
      <c r="F498" s="130" t="str">
        <f aca="false">ExportRaw!$H498</f>
        <v/>
      </c>
      <c r="G498" s="132" t="str">
        <f aca="false">ExportRaw!$I498</f>
        <v/>
      </c>
      <c r="H498" s="130" t="str">
        <f aca="false">ExportRaw!$A498</f>
        <v/>
      </c>
      <c r="I498" s="130" t="str">
        <f aca="false">ExportRaw!$B498</f>
        <v/>
      </c>
    </row>
    <row r="499" customFormat="false" ht="15.75" hidden="false" customHeight="false" outlineLevel="0" collapsed="false">
      <c r="A499" s="130" t="n">
        <f aca="false">ExportRaw!$F499</f>
        <v>0</v>
      </c>
      <c r="B499" s="130" t="n">
        <f aca="false">ExportRaw!$C499</f>
        <v>0</v>
      </c>
      <c r="C499" s="130" t="n">
        <f aca="false">ExportRaw!$G499</f>
        <v>0</v>
      </c>
      <c r="D499" s="130" t="str">
        <f aca="false">ExportRaw!$E499</f>
        <v/>
      </c>
      <c r="E499" s="131" t="str">
        <f aca="false">ExportRaw!$D499</f>
        <v/>
      </c>
      <c r="F499" s="130" t="str">
        <f aca="false">ExportRaw!$H499</f>
        <v/>
      </c>
      <c r="G499" s="132" t="str">
        <f aca="false">ExportRaw!$I499</f>
        <v/>
      </c>
      <c r="H499" s="130" t="str">
        <f aca="false">ExportRaw!$A499</f>
        <v/>
      </c>
      <c r="I499" s="130" t="str">
        <f aca="false">ExportRaw!$B499</f>
        <v/>
      </c>
    </row>
    <row r="500" customFormat="false" ht="15.75" hidden="false" customHeight="false" outlineLevel="0" collapsed="false">
      <c r="A500" s="130" t="n">
        <f aca="false">ExportRaw!$F500</f>
        <v>0</v>
      </c>
      <c r="B500" s="130" t="n">
        <f aca="false">ExportRaw!$C500</f>
        <v>0</v>
      </c>
      <c r="C500" s="130" t="n">
        <f aca="false">ExportRaw!$G500</f>
        <v>0</v>
      </c>
      <c r="D500" s="130" t="str">
        <f aca="false">ExportRaw!$E500</f>
        <v/>
      </c>
      <c r="E500" s="131" t="str">
        <f aca="false">ExportRaw!$D500</f>
        <v/>
      </c>
      <c r="F500" s="130" t="str">
        <f aca="false">ExportRaw!$H500</f>
        <v/>
      </c>
      <c r="G500" s="132" t="str">
        <f aca="false">ExportRaw!$I500</f>
        <v/>
      </c>
      <c r="H500" s="130" t="str">
        <f aca="false">ExportRaw!$A500</f>
        <v/>
      </c>
      <c r="I500" s="130" t="str">
        <f aca="false">ExportRaw!$B500</f>
        <v/>
      </c>
    </row>
    <row r="501" customFormat="false" ht="15.75" hidden="false" customHeight="false" outlineLevel="0" collapsed="false">
      <c r="A501" s="130" t="n">
        <f aca="false">ExportRaw!$F501</f>
        <v>0</v>
      </c>
      <c r="B501" s="130" t="n">
        <f aca="false">ExportRaw!$C501</f>
        <v>0</v>
      </c>
      <c r="C501" s="130" t="n">
        <f aca="false">ExportRaw!$G501</f>
        <v>0</v>
      </c>
      <c r="D501" s="130" t="str">
        <f aca="false">ExportRaw!$E501</f>
        <v/>
      </c>
      <c r="E501" s="131" t="str">
        <f aca="false">ExportRaw!$D501</f>
        <v/>
      </c>
      <c r="F501" s="130" t="str">
        <f aca="false">ExportRaw!$H501</f>
        <v/>
      </c>
      <c r="G501" s="132" t="str">
        <f aca="false">ExportRaw!$I501</f>
        <v/>
      </c>
      <c r="H501" s="130" t="str">
        <f aca="false">ExportRaw!$A501</f>
        <v/>
      </c>
      <c r="I501" s="130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27"/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29" t="s">
        <v>87</v>
      </c>
      <c r="B1" s="129" t="s">
        <v>88</v>
      </c>
      <c r="C1" s="129" t="s">
        <v>89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customFormat="false" ht="15.75" hidden="false" customHeight="false" outlineLevel="0" collapsed="false">
      <c r="A2" s="133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customFormat="false" ht="15.75" hidden="false" customHeight="false" outlineLevel="0" collapsed="false">
      <c r="A3" s="133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customFormat="false" ht="15.75" hidden="false" customHeight="false" outlineLevel="0" collapsed="false">
      <c r="A4" s="133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customFormat="false" ht="15.75" hidden="false" customHeight="false" outlineLevel="0" collapsed="false">
      <c r="A5" s="134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customFormat="false" ht="15.75" hidden="false" customHeight="false" outlineLevel="0" collapsed="false">
      <c r="A6" s="134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customFormat="false" ht="15.75" hidden="false" customHeight="false" outlineLevel="0" collapsed="false">
      <c r="A7" s="134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customFormat="false" ht="15.75" hidden="false" customHeight="false" outlineLevel="0" collapsed="false">
      <c r="A8" s="130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customFormat="false" ht="15.75" hidden="false" customHeight="false" outlineLevel="0" collapsed="false">
      <c r="A9" s="130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customFormat="false" ht="15.75" hidden="false" customHeight="false" outlineLevel="0" collapsed="false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customFormat="false" ht="15.75" hidden="false" customHeight="false" outlineLevel="0" collapsed="false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customFormat="false" ht="15.75" hidden="false" customHeight="false" outlineLevel="0" collapsed="false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customFormat="false" ht="15.75" hidden="false" customHeight="false" outlineLevel="0" collapsed="false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customFormat="false" ht="15.75" hidden="false" customHeight="false" outlineLevel="0" collapsed="false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customFormat="false" ht="15.75" hidden="false" customHeight="false" outlineLevel="0" collapsed="false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customFormat="false" ht="15.75" hidden="false" customHeight="false" outlineLevel="0" collapsed="false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customFormat="false" ht="15.75" hidden="false" customHeight="false" outlineLevel="0" collapsed="false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customFormat="false" ht="15.75" hidden="false" customHeight="false" outlineLevel="0" collapsed="false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customFormat="false" ht="15.75" hidden="false" customHeight="false" outlineLevel="0" collapsed="false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customFormat="false" ht="15.75" hidden="false" customHeight="false" outlineLevel="0" collapsed="false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customFormat="false" ht="15.75" hidden="false" customHeight="false" outlineLevel="0" collapsed="false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customFormat="false" ht="15.75" hidden="false" customHeight="false" outlineLevel="0" collapsed="false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customFormat="false" ht="15.75" hidden="false" customHeight="false" outlineLevel="0" collapsed="false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customFormat="false" ht="15.75" hidden="false" customHeight="false" outlineLevel="0" collapsed="false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customFormat="false" ht="15.75" hidden="false" customHeight="false" outlineLevel="0" collapsed="false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customFormat="false" ht="15.75" hidden="false" customHeight="false" outlineLevel="0" collapsed="false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customFormat="false" ht="15.75" hidden="false" customHeight="false" outlineLevel="0" collapsed="false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customFormat="false" ht="15.75" hidden="false" customHeight="false" outlineLevel="0" collapsed="false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customFormat="false" ht="15.75" hidden="false" customHeight="false" outlineLevel="0" collapsed="false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customFormat="false" ht="15.75" hidden="false" customHeight="false" outlineLevel="0" collapsed="false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customFormat="false" ht="15.75" hidden="false" customHeight="false" outlineLevel="0" collapsed="false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customFormat="false" ht="15.75" hidden="false" customHeight="false" outlineLevel="0" collapsed="false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customFormat="false" ht="15.75" hidden="false" customHeight="false" outlineLevel="0" collapsed="false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customFormat="false" ht="15.75" hidden="false" customHeight="false" outlineLevel="0" collapsed="false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customFormat="false" ht="15.75" hidden="false" customHeight="false" outlineLevel="0" collapsed="false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customFormat="false" ht="15.75" hidden="false" customHeight="false" outlineLevel="0" collapsed="false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customFormat="false" ht="15.75" hidden="false" customHeight="false" outlineLevel="0" collapsed="false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customFormat="false" ht="15.75" hidden="false" customHeight="false" outlineLevel="0" collapsed="false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customFormat="false" ht="15.75" hidden="false" customHeight="false" outlineLevel="0" collapsed="false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customFormat="false" ht="15.75" hidden="false" customHeight="false" outlineLevel="0" collapsed="false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customFormat="false" ht="15.75" hidden="false" customHeight="false" outlineLevel="0" collapsed="false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customFormat="false" ht="15.75" hidden="false" customHeight="false" outlineLevel="0" collapsed="false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customFormat="false" ht="15.75" hidden="false" customHeight="false" outlineLevel="0" collapsed="false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customFormat="false" ht="15.75" hidden="false" customHeight="false" outlineLevel="0" collapsed="false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customFormat="false" ht="15.75" hidden="false" customHeight="false" outlineLevel="0" collapsed="false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customFormat="false" ht="15.75" hidden="false" customHeight="false" outlineLevel="0" collapsed="false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customFormat="false" ht="15.75" hidden="false" customHeight="false" outlineLevel="0" collapsed="false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customFormat="false" ht="15.75" hidden="false" customHeight="false" outlineLevel="0" collapsed="false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customFormat="false" ht="15.75" hidden="false" customHeight="false" outlineLevel="0" collapsed="false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customFormat="false" ht="15.75" hidden="false" customHeight="false" outlineLevel="0" collapsed="false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customFormat="false" ht="15.75" hidden="false" customHeight="false" outlineLevel="0" collapsed="false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customFormat="false" ht="15.75" hidden="false" customHeight="false" outlineLevel="0" collapsed="false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customFormat="false" ht="15.75" hidden="false" customHeight="false" outlineLevel="0" collapsed="false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customFormat="false" ht="15.75" hidden="false" customHeight="false" outlineLevel="0" collapsed="false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customFormat="false" ht="15.75" hidden="false" customHeight="false" outlineLevel="0" collapsed="false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customFormat="false" ht="15.75" hidden="false" customHeight="false" outlineLevel="0" collapsed="false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customFormat="false" ht="15.75" hidden="false" customHeight="false" outlineLevel="0" collapsed="false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customFormat="false" ht="15.75" hidden="false" customHeight="false" outlineLevel="0" collapsed="false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customFormat="false" ht="15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customFormat="false" ht="15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customFormat="false" ht="15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customFormat="false" ht="15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customFormat="false" ht="15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customFormat="false" ht="15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customFormat="false" ht="15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customFormat="false" ht="15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customFormat="false" ht="15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customFormat="false" ht="15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customFormat="false" ht="15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customFormat="false" ht="15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customFormat="false" ht="15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customFormat="false" ht="15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customFormat="false" ht="15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customFormat="false" ht="15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customFormat="false" ht="15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customFormat="false" ht="15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customFormat="false" ht="15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customFormat="false" ht="15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customFormat="false" ht="15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customFormat="false" ht="15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customFormat="false" ht="15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customFormat="false" ht="15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customFormat="false" ht="15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customFormat="false" ht="15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customFormat="false" ht="15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customFormat="false" ht="15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customFormat="false" ht="15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customFormat="false" ht="15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customFormat="false" ht="15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customFormat="false" ht="15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customFormat="false" ht="15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customFormat="false" ht="15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customFormat="false" ht="15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customFormat="false" ht="15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customFormat="false" ht="15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customFormat="false" ht="15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customFormat="false" ht="15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customFormat="false" ht="15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customFormat="false" ht="15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customFormat="false" ht="15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customFormat="false" ht="15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customFormat="false" ht="15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customFormat="false" ht="15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customFormat="false" ht="15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customFormat="false" ht="15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customFormat="false" ht="15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customFormat="false" ht="15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customFormat="false" ht="15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customFormat="false" ht="15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customFormat="false" ht="15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customFormat="false" ht="15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customFormat="false" ht="15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customFormat="false" ht="15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customFormat="false" ht="15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customFormat="false" ht="15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customFormat="false" ht="15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customFormat="false" ht="15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customFormat="false" ht="15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customFormat="false" ht="15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customFormat="false" ht="15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customFormat="false" ht="15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customFormat="false" ht="15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customFormat="false" ht="15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customFormat="false" ht="15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customFormat="false" ht="15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customFormat="false" ht="15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customFormat="false" ht="15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customFormat="false" ht="15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customFormat="false" ht="15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customFormat="false" ht="15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customFormat="false" ht="15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customFormat="false" ht="15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customFormat="false" ht="15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customFormat="false" ht="15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customFormat="false" ht="15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customFormat="false" ht="15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customFormat="false" ht="15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customFormat="false" ht="15.75" hidden="false" customHeight="false" outlineLevel="0" collapsed="false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customFormat="false" ht="15.75" hidden="false" customHeight="false" outlineLevel="0" collapsed="false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customFormat="false" ht="15.75" hidden="false" customHeight="false" outlineLevel="0" collapsed="false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customFormat="false" ht="15.75" hidden="false" customHeight="false" outlineLevel="0" collapsed="false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customFormat="false" ht="15.75" hidden="false" customHeight="false" outlineLevel="0" collapsed="false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customFormat="false" ht="15.75" hidden="false" customHeight="false" outlineLevel="0" collapsed="false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customFormat="false" ht="15.75" hidden="false" customHeight="false" outlineLevel="0" collapsed="false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customFormat="false" ht="15.75" hidden="false" customHeight="false" outlineLevel="0" collapsed="false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customFormat="false" ht="15.75" hidden="false" customHeight="false" outlineLevel="0" collapsed="false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customFormat="false" ht="15.75" hidden="false" customHeight="false" outlineLevel="0" collapsed="false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customFormat="false" ht="15.75" hidden="false" customHeight="false" outlineLevel="0" collapsed="false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customFormat="false" ht="15.75" hidden="false" customHeight="false" outlineLevel="0" collapsed="false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customFormat="false" ht="15.75" hidden="false" customHeight="false" outlineLevel="0" collapsed="false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customFormat="false" ht="15.75" hidden="false" customHeight="false" outlineLevel="0" collapsed="false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customFormat="false" ht="15.75" hidden="false" customHeight="false" outlineLevel="0" collapsed="false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customFormat="false" ht="15.75" hidden="false" customHeight="false" outlineLevel="0" collapsed="false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customFormat="false" ht="15.75" hidden="false" customHeight="false" outlineLevel="0" collapsed="false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customFormat="false" ht="15.75" hidden="false" customHeight="false" outlineLevel="0" collapsed="false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customFormat="false" ht="15.75" hidden="false" customHeight="false" outlineLevel="0" collapsed="false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customFormat="false" ht="15.75" hidden="false" customHeight="false" outlineLevel="0" collapsed="false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customFormat="false" ht="15.75" hidden="false" customHeight="false" outlineLevel="0" collapsed="false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customFormat="false" ht="15.75" hidden="false" customHeight="false" outlineLevel="0" collapsed="false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customFormat="false" ht="15.75" hidden="false" customHeight="false" outlineLevel="0" collapsed="false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customFormat="false" ht="15.75" hidden="false" customHeight="false" outlineLevel="0" collapsed="false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customFormat="false" ht="15.75" hidden="false" customHeight="false" outlineLevel="0" collapsed="false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customFormat="false" ht="15.75" hidden="false" customHeight="false" outlineLevel="0" collapsed="false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customFormat="false" ht="15.75" hidden="false" customHeight="false" outlineLevel="0" collapsed="false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customFormat="false" ht="15.75" hidden="false" customHeight="false" outlineLevel="0" collapsed="false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customFormat="false" ht="15.75" hidden="false" customHeight="false" outlineLevel="0" collapsed="false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customFormat="false" ht="15.75" hidden="false" customHeight="false" outlineLevel="0" collapsed="false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customFormat="false" ht="15.75" hidden="false" customHeight="false" outlineLevel="0" collapsed="false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customFormat="false" ht="15.75" hidden="false" customHeight="false" outlineLevel="0" collapsed="false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customFormat="false" ht="15.75" hidden="false" customHeight="false" outlineLevel="0" collapsed="false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customFormat="false" ht="15.75" hidden="false" customHeight="false" outlineLevel="0" collapsed="false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customFormat="false" ht="15.75" hidden="false" customHeight="false" outlineLevel="0" collapsed="false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customFormat="false" ht="15.75" hidden="false" customHeight="false" outlineLevel="0" collapsed="false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customFormat="false" ht="15.75" hidden="false" customHeight="false" outlineLevel="0" collapsed="false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customFormat="false" ht="15.75" hidden="false" customHeight="false" outlineLevel="0" collapsed="false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customFormat="false" ht="15.75" hidden="false" customHeight="false" outlineLevel="0" collapsed="false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customFormat="false" ht="15.75" hidden="false" customHeight="false" outlineLevel="0" collapsed="false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customFormat="false" ht="15.75" hidden="false" customHeight="false" outlineLevel="0" collapsed="false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customFormat="false" ht="15.75" hidden="false" customHeight="false" outlineLevel="0" collapsed="false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customFormat="false" ht="15.75" hidden="false" customHeight="false" outlineLevel="0" collapsed="false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customFormat="false" ht="15.75" hidden="false" customHeight="false" outlineLevel="0" collapsed="false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customFormat="false" ht="15.75" hidden="false" customHeight="false" outlineLevel="0" collapsed="false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customFormat="false" ht="15.75" hidden="false" customHeight="false" outlineLevel="0" collapsed="false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customFormat="false" ht="15.75" hidden="false" customHeight="false" outlineLevel="0" collapsed="false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customFormat="false" ht="15.75" hidden="false" customHeight="false" outlineLevel="0" collapsed="false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customFormat="false" ht="15.75" hidden="false" customHeight="false" outlineLevel="0" collapsed="false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customFormat="false" ht="15.75" hidden="false" customHeight="false" outlineLevel="0" collapsed="false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customFormat="false" ht="15.75" hidden="false" customHeight="false" outlineLevel="0" collapsed="false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customFormat="false" ht="15.75" hidden="false" customHeight="false" outlineLevel="0" collapsed="false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customFormat="false" ht="15.75" hidden="false" customHeight="false" outlineLevel="0" collapsed="false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customFormat="false" ht="15.75" hidden="false" customHeight="false" outlineLevel="0" collapsed="false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customFormat="false" ht="15.75" hidden="false" customHeight="false" outlineLevel="0" collapsed="false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customFormat="false" ht="15.75" hidden="false" customHeight="false" outlineLevel="0" collapsed="false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customFormat="false" ht="15.75" hidden="false" customHeight="false" outlineLevel="0" collapsed="false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customFormat="false" ht="15.75" hidden="false" customHeight="false" outlineLevel="0" collapsed="false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customFormat="false" ht="15.75" hidden="false" customHeight="false" outlineLevel="0" collapsed="false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customFormat="false" ht="15.75" hidden="false" customHeight="false" outlineLevel="0" collapsed="false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customFormat="false" ht="15.75" hidden="false" customHeight="false" outlineLevel="0" collapsed="false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customFormat="false" ht="15.75" hidden="false" customHeight="false" outlineLevel="0" collapsed="false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customFormat="false" ht="15.75" hidden="false" customHeight="false" outlineLevel="0" collapsed="false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customFormat="false" ht="15.75" hidden="false" customHeight="false" outlineLevel="0" collapsed="false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customFormat="false" ht="15.75" hidden="false" customHeight="false" outlineLevel="0" collapsed="false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customFormat="false" ht="15.75" hidden="false" customHeight="false" outlineLevel="0" collapsed="false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customFormat="false" ht="15.75" hidden="false" customHeight="false" outlineLevel="0" collapsed="false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customFormat="false" ht="15.75" hidden="false" customHeight="false" outlineLevel="0" collapsed="false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customFormat="false" ht="15.75" hidden="false" customHeight="false" outlineLevel="0" collapsed="false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customFormat="false" ht="15.75" hidden="false" customHeight="false" outlineLevel="0" collapsed="false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customFormat="false" ht="15.75" hidden="false" customHeight="false" outlineLevel="0" collapsed="false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customFormat="false" ht="15.75" hidden="false" customHeight="false" outlineLevel="0" collapsed="false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customFormat="false" ht="15.75" hidden="false" customHeight="false" outlineLevel="0" collapsed="false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customFormat="false" ht="15.75" hidden="false" customHeight="false" outlineLevel="0" collapsed="false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customFormat="false" ht="15.75" hidden="false" customHeight="false" outlineLevel="0" collapsed="false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customFormat="false" ht="15.75" hidden="false" customHeight="false" outlineLevel="0" collapsed="false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customFormat="false" ht="15.75" hidden="false" customHeight="false" outlineLevel="0" collapsed="false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customFormat="false" ht="15.75" hidden="false" customHeight="false" outlineLevel="0" collapsed="false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customFormat="false" ht="15.75" hidden="false" customHeight="false" outlineLevel="0" collapsed="false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customFormat="false" ht="15.75" hidden="false" customHeight="false" outlineLevel="0" collapsed="false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customFormat="false" ht="15.75" hidden="false" customHeight="false" outlineLevel="0" collapsed="false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customFormat="false" ht="15.75" hidden="false" customHeight="false" outlineLevel="0" collapsed="false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customFormat="false" ht="15.75" hidden="false" customHeight="false" outlineLevel="0" collapsed="false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customFormat="false" ht="15.75" hidden="false" customHeight="false" outlineLevel="0" collapsed="false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customFormat="false" ht="15.75" hidden="false" customHeight="false" outlineLevel="0" collapsed="false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customFormat="false" ht="15.75" hidden="false" customHeight="false" outlineLevel="0" collapsed="false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customFormat="false" ht="15.75" hidden="false" customHeight="false" outlineLevel="0" collapsed="false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customFormat="false" ht="15.75" hidden="false" customHeight="false" outlineLevel="0" collapsed="false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customFormat="false" ht="15.75" hidden="false" customHeight="false" outlineLevel="0" collapsed="false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customFormat="false" ht="15.75" hidden="false" customHeight="false" outlineLevel="0" collapsed="false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customFormat="false" ht="15.75" hidden="false" customHeight="false" outlineLevel="0" collapsed="false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customFormat="false" ht="15.75" hidden="false" customHeight="false" outlineLevel="0" collapsed="false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customFormat="false" ht="15.75" hidden="false" customHeight="false" outlineLevel="0" collapsed="false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customFormat="false" ht="15.75" hidden="false" customHeight="false" outlineLevel="0" collapsed="false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customFormat="false" ht="15.75" hidden="false" customHeight="false" outlineLevel="0" collapsed="false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customFormat="false" ht="15.75" hidden="false" customHeight="false" outlineLevel="0" collapsed="false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customFormat="false" ht="15.75" hidden="false" customHeight="false" outlineLevel="0" collapsed="false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customFormat="false" ht="15.75" hidden="false" customHeight="false" outlineLevel="0" collapsed="false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customFormat="false" ht="15.75" hidden="false" customHeight="false" outlineLevel="0" collapsed="false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customFormat="false" ht="15.75" hidden="false" customHeight="false" outlineLevel="0" collapsed="false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customFormat="false" ht="15.75" hidden="false" customHeight="false" outlineLevel="0" collapsed="false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customFormat="false" ht="15.75" hidden="false" customHeight="false" outlineLevel="0" collapsed="false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customFormat="false" ht="15.75" hidden="false" customHeight="false" outlineLevel="0" collapsed="false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customFormat="false" ht="15.75" hidden="false" customHeight="false" outlineLevel="0" collapsed="false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customFormat="false" ht="15.75" hidden="false" customHeight="false" outlineLevel="0" collapsed="false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customFormat="false" ht="15.75" hidden="false" customHeight="false" outlineLevel="0" collapsed="false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customFormat="false" ht="15.75" hidden="false" customHeight="false" outlineLevel="0" collapsed="false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customFormat="false" ht="15.75" hidden="false" customHeight="false" outlineLevel="0" collapsed="false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customFormat="false" ht="15.75" hidden="false" customHeight="false" outlineLevel="0" collapsed="false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customFormat="false" ht="15.75" hidden="false" customHeight="false" outlineLevel="0" collapsed="false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customFormat="false" ht="15.75" hidden="false" customHeight="false" outlineLevel="0" collapsed="false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customFormat="false" ht="15.75" hidden="false" customHeight="false" outlineLevel="0" collapsed="false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customFormat="false" ht="15.75" hidden="false" customHeight="false" outlineLevel="0" collapsed="false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customFormat="false" ht="15.75" hidden="false" customHeight="false" outlineLevel="0" collapsed="false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customFormat="false" ht="15.75" hidden="false" customHeight="false" outlineLevel="0" collapsed="false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customFormat="false" ht="15.75" hidden="false" customHeight="false" outlineLevel="0" collapsed="false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customFormat="false" ht="15.75" hidden="false" customHeight="false" outlineLevel="0" collapsed="false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customFormat="false" ht="15.75" hidden="false" customHeight="false" outlineLevel="0" collapsed="false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customFormat="false" ht="15.75" hidden="false" customHeight="false" outlineLevel="0" collapsed="false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customFormat="false" ht="15.75" hidden="false" customHeight="false" outlineLevel="0" collapsed="false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customFormat="false" ht="15.75" hidden="false" customHeight="false" outlineLevel="0" collapsed="false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customFormat="false" ht="15.75" hidden="false" customHeight="false" outlineLevel="0" collapsed="false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customFormat="false" ht="15.75" hidden="false" customHeight="false" outlineLevel="0" collapsed="false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customFormat="false" ht="15.75" hidden="false" customHeight="false" outlineLevel="0" collapsed="false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customFormat="false" ht="15.75" hidden="false" customHeight="false" outlineLevel="0" collapsed="false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customFormat="false" ht="15.75" hidden="false" customHeight="false" outlineLevel="0" collapsed="false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customFormat="false" ht="15.75" hidden="false" customHeight="false" outlineLevel="0" collapsed="false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customFormat="false" ht="15.75" hidden="false" customHeight="false" outlineLevel="0" collapsed="false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customFormat="false" ht="15.75" hidden="false" customHeight="false" outlineLevel="0" collapsed="false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customFormat="false" ht="15.75" hidden="false" customHeight="false" outlineLevel="0" collapsed="false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customFormat="false" ht="15.75" hidden="false" customHeight="false" outlineLevel="0" collapsed="false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customFormat="false" ht="15.75" hidden="false" customHeight="false" outlineLevel="0" collapsed="false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customFormat="false" ht="15.75" hidden="false" customHeight="false" outlineLevel="0" collapsed="false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customFormat="false" ht="15.75" hidden="false" customHeight="false" outlineLevel="0" collapsed="false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customFormat="false" ht="15.75" hidden="false" customHeight="false" outlineLevel="0" collapsed="false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customFormat="false" ht="15.75" hidden="false" customHeight="false" outlineLevel="0" collapsed="false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customFormat="false" ht="15.75" hidden="false" customHeight="false" outlineLevel="0" collapsed="false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customFormat="false" ht="15.75" hidden="false" customHeight="false" outlineLevel="0" collapsed="false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customFormat="false" ht="15.75" hidden="false" customHeight="false" outlineLevel="0" collapsed="false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customFormat="false" ht="15.75" hidden="false" customHeight="false" outlineLevel="0" collapsed="false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customFormat="false" ht="15.75" hidden="false" customHeight="false" outlineLevel="0" collapsed="false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customFormat="false" ht="15.75" hidden="false" customHeight="false" outlineLevel="0" collapsed="false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customFormat="false" ht="15.75" hidden="false" customHeight="false" outlineLevel="0" collapsed="false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customFormat="false" ht="15.75" hidden="false" customHeight="false" outlineLevel="0" collapsed="false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customFormat="false" ht="15.75" hidden="false" customHeight="false" outlineLevel="0" collapsed="false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customFormat="false" ht="15.75" hidden="false" customHeight="false" outlineLevel="0" collapsed="false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customFormat="false" ht="15.75" hidden="false" customHeight="false" outlineLevel="0" collapsed="false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customFormat="false" ht="15.75" hidden="false" customHeight="false" outlineLevel="0" collapsed="false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customFormat="false" ht="15.75" hidden="false" customHeight="false" outlineLevel="0" collapsed="false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customFormat="false" ht="15.75" hidden="false" customHeight="false" outlineLevel="0" collapsed="false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customFormat="false" ht="15.75" hidden="false" customHeight="false" outlineLevel="0" collapsed="false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customFormat="false" ht="15.75" hidden="false" customHeight="false" outlineLevel="0" collapsed="false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customFormat="false" ht="15.75" hidden="false" customHeight="false" outlineLevel="0" collapsed="false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customFormat="false" ht="15.75" hidden="false" customHeight="false" outlineLevel="0" collapsed="false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customFormat="false" ht="15.75" hidden="false" customHeight="false" outlineLevel="0" collapsed="false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customFormat="false" ht="15.75" hidden="false" customHeight="false" outlineLevel="0" collapsed="false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customFormat="false" ht="15.75" hidden="false" customHeight="false" outlineLevel="0" collapsed="false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customFormat="false" ht="15.75" hidden="false" customHeight="false" outlineLevel="0" collapsed="false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customFormat="false" ht="15.75" hidden="false" customHeight="false" outlineLevel="0" collapsed="false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customFormat="false" ht="15.75" hidden="false" customHeight="false" outlineLevel="0" collapsed="false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customFormat="false" ht="15.75" hidden="false" customHeight="false" outlineLevel="0" collapsed="false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customFormat="false" ht="15.75" hidden="false" customHeight="false" outlineLevel="0" collapsed="false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customFormat="false" ht="15.75" hidden="false" customHeight="false" outlineLevel="0" collapsed="false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customFormat="false" ht="15.75" hidden="false" customHeight="false" outlineLevel="0" collapsed="false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customFormat="false" ht="15.75" hidden="false" customHeight="false" outlineLevel="0" collapsed="false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customFormat="false" ht="15.75" hidden="false" customHeight="false" outlineLevel="0" collapsed="false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customFormat="false" ht="15.75" hidden="false" customHeight="false" outlineLevel="0" collapsed="false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customFormat="false" ht="15.75" hidden="false" customHeight="false" outlineLevel="0" collapsed="false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customFormat="false" ht="15.75" hidden="false" customHeight="false" outlineLevel="0" collapsed="false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customFormat="false" ht="15.75" hidden="false" customHeight="false" outlineLevel="0" collapsed="false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customFormat="false" ht="15.75" hidden="false" customHeight="false" outlineLevel="0" collapsed="false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customFormat="false" ht="15.75" hidden="false" customHeight="false" outlineLevel="0" collapsed="false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customFormat="false" ht="15.75" hidden="false" customHeight="false" outlineLevel="0" collapsed="false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customFormat="false" ht="15.75" hidden="false" customHeight="false" outlineLevel="0" collapsed="false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customFormat="false" ht="15.75" hidden="false" customHeight="false" outlineLevel="0" collapsed="false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customFormat="false" ht="15.75" hidden="false" customHeight="false" outlineLevel="0" collapsed="false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customFormat="false" ht="15.75" hidden="false" customHeight="false" outlineLevel="0" collapsed="false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customFormat="false" ht="15.75" hidden="false" customHeight="false" outlineLevel="0" collapsed="false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customFormat="false" ht="15.75" hidden="false" customHeight="false" outlineLevel="0" collapsed="false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customFormat="false" ht="15.75" hidden="false" customHeight="false" outlineLevel="0" collapsed="false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customFormat="false" ht="15.75" hidden="false" customHeight="false" outlineLevel="0" collapsed="false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customFormat="false" ht="15.75" hidden="false" customHeight="false" outlineLevel="0" collapsed="false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customFormat="false" ht="15.75" hidden="false" customHeight="false" outlineLevel="0" collapsed="false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customFormat="false" ht="15.75" hidden="false" customHeight="false" outlineLevel="0" collapsed="false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customFormat="false" ht="15.75" hidden="false" customHeight="false" outlineLevel="0" collapsed="false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customFormat="false" ht="15.75" hidden="false" customHeight="false" outlineLevel="0" collapsed="false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customFormat="false" ht="15.75" hidden="false" customHeight="false" outlineLevel="0" collapsed="false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customFormat="false" ht="15.75" hidden="false" customHeight="false" outlineLevel="0" collapsed="false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customFormat="false" ht="15.75" hidden="false" customHeight="false" outlineLevel="0" collapsed="false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customFormat="false" ht="15.75" hidden="false" customHeight="false" outlineLevel="0" collapsed="false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customFormat="false" ht="15.75" hidden="false" customHeight="false" outlineLevel="0" collapsed="false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customFormat="false" ht="15.75" hidden="false" customHeight="false" outlineLevel="0" collapsed="false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customFormat="false" ht="15.75" hidden="false" customHeight="false" outlineLevel="0" collapsed="false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customFormat="false" ht="15.75" hidden="false" customHeight="false" outlineLevel="0" collapsed="false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customFormat="false" ht="15.75" hidden="false" customHeight="false" outlineLevel="0" collapsed="false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customFormat="false" ht="15.75" hidden="false" customHeight="false" outlineLevel="0" collapsed="false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customFormat="false" ht="15.75" hidden="false" customHeight="false" outlineLevel="0" collapsed="false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customFormat="false" ht="15.75" hidden="false" customHeight="false" outlineLevel="0" collapsed="false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customFormat="false" ht="15.75" hidden="false" customHeight="false" outlineLevel="0" collapsed="false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customFormat="false" ht="15.75" hidden="false" customHeight="false" outlineLevel="0" collapsed="false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customFormat="false" ht="15.75" hidden="false" customHeight="false" outlineLevel="0" collapsed="false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customFormat="false" ht="15.75" hidden="false" customHeight="false" outlineLevel="0" collapsed="false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customFormat="false" ht="15.75" hidden="false" customHeight="false" outlineLevel="0" collapsed="false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customFormat="false" ht="15.75" hidden="false" customHeight="false" outlineLevel="0" collapsed="false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customFormat="false" ht="15.75" hidden="false" customHeight="false" outlineLevel="0" collapsed="false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customFormat="false" ht="15.75" hidden="false" customHeight="false" outlineLevel="0" collapsed="false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customFormat="false" ht="15.75" hidden="false" customHeight="false" outlineLevel="0" collapsed="false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customFormat="false" ht="15.75" hidden="false" customHeight="false" outlineLevel="0" collapsed="false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customFormat="false" ht="15.75" hidden="false" customHeight="false" outlineLevel="0" collapsed="false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customFormat="false" ht="15.75" hidden="false" customHeight="false" outlineLevel="0" collapsed="false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customFormat="false" ht="15.75" hidden="false" customHeight="false" outlineLevel="0" collapsed="false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customFormat="false" ht="15.75" hidden="false" customHeight="false" outlineLevel="0" collapsed="false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customFormat="false" ht="15.75" hidden="false" customHeight="false" outlineLevel="0" collapsed="false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customFormat="false" ht="15.75" hidden="false" customHeight="false" outlineLevel="0" collapsed="false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customFormat="false" ht="15.75" hidden="false" customHeight="false" outlineLevel="0" collapsed="false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customFormat="false" ht="15.75" hidden="false" customHeight="false" outlineLevel="0" collapsed="false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customFormat="false" ht="15.75" hidden="false" customHeight="false" outlineLevel="0" collapsed="false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customFormat="false" ht="15.75" hidden="false" customHeight="false" outlineLevel="0" collapsed="false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customFormat="false" ht="15.75" hidden="false" customHeight="false" outlineLevel="0" collapsed="false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customFormat="false" ht="15.75" hidden="false" customHeight="false" outlineLevel="0" collapsed="false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customFormat="false" ht="15.75" hidden="false" customHeight="false" outlineLevel="0" collapsed="false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customFormat="false" ht="15.75" hidden="false" customHeight="false" outlineLevel="0" collapsed="false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customFormat="false" ht="15.75" hidden="false" customHeight="false" outlineLevel="0" collapsed="false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customFormat="false" ht="15.75" hidden="false" customHeight="false" outlineLevel="0" collapsed="false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customFormat="false" ht="15.75" hidden="false" customHeight="false" outlineLevel="0" collapsed="false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customFormat="false" ht="15.75" hidden="false" customHeight="false" outlineLevel="0" collapsed="false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customFormat="false" ht="15.75" hidden="false" customHeight="false" outlineLevel="0" collapsed="false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customFormat="false" ht="15.75" hidden="false" customHeight="false" outlineLevel="0" collapsed="false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customFormat="false" ht="15.75" hidden="false" customHeight="false" outlineLevel="0" collapsed="false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customFormat="false" ht="15.75" hidden="false" customHeight="false" outlineLevel="0" collapsed="false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customFormat="false" ht="15.75" hidden="false" customHeight="false" outlineLevel="0" collapsed="false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customFormat="false" ht="15.75" hidden="false" customHeight="false" outlineLevel="0" collapsed="false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customFormat="false" ht="15.75" hidden="false" customHeight="false" outlineLevel="0" collapsed="false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customFormat="false" ht="15.75" hidden="false" customHeight="false" outlineLevel="0" collapsed="false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customFormat="false" ht="15.75" hidden="false" customHeight="false" outlineLevel="0" collapsed="false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customFormat="false" ht="15.75" hidden="false" customHeight="false" outlineLevel="0" collapsed="false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customFormat="false" ht="15.75" hidden="false" customHeight="false" outlineLevel="0" collapsed="false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customFormat="false" ht="15.75" hidden="false" customHeight="false" outlineLevel="0" collapsed="false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customFormat="false" ht="15.75" hidden="false" customHeight="false" outlineLevel="0" collapsed="false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customFormat="false" ht="15.75" hidden="false" customHeight="false" outlineLevel="0" collapsed="false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customFormat="false" ht="15.75" hidden="false" customHeight="false" outlineLevel="0" collapsed="false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customFormat="false" ht="15.75" hidden="false" customHeight="false" outlineLevel="0" collapsed="false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customFormat="false" ht="15.75" hidden="false" customHeight="false" outlineLevel="0" collapsed="false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customFormat="false" ht="15.75" hidden="false" customHeight="false" outlineLevel="0" collapsed="false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customFormat="false" ht="15.75" hidden="false" customHeight="false" outlineLevel="0" collapsed="false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customFormat="false" ht="15.75" hidden="false" customHeight="false" outlineLevel="0" collapsed="false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customFormat="false" ht="15.75" hidden="false" customHeight="false" outlineLevel="0" collapsed="false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customFormat="false" ht="15.75" hidden="false" customHeight="false" outlineLevel="0" collapsed="false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customFormat="false" ht="15.75" hidden="false" customHeight="false" outlineLevel="0" collapsed="false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customFormat="false" ht="15.75" hidden="false" customHeight="false" outlineLevel="0" collapsed="false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customFormat="false" ht="15.75" hidden="false" customHeight="false" outlineLevel="0" collapsed="false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customFormat="false" ht="15.75" hidden="false" customHeight="false" outlineLevel="0" collapsed="false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customFormat="false" ht="15.75" hidden="false" customHeight="false" outlineLevel="0" collapsed="false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customFormat="false" ht="15.75" hidden="false" customHeight="false" outlineLevel="0" collapsed="false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customFormat="false" ht="15.75" hidden="false" customHeight="false" outlineLevel="0" collapsed="false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customFormat="false" ht="15.75" hidden="false" customHeight="false" outlineLevel="0" collapsed="false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customFormat="false" ht="15.75" hidden="false" customHeight="false" outlineLevel="0" collapsed="false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customFormat="false" ht="15.75" hidden="false" customHeight="false" outlineLevel="0" collapsed="false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customFormat="false" ht="15.75" hidden="false" customHeight="false" outlineLevel="0" collapsed="false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customFormat="false" ht="15.75" hidden="false" customHeight="false" outlineLevel="0" collapsed="false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customFormat="false" ht="15.75" hidden="false" customHeight="false" outlineLevel="0" collapsed="false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customFormat="false" ht="15.75" hidden="false" customHeight="false" outlineLevel="0" collapsed="false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customFormat="false" ht="15.75" hidden="false" customHeight="false" outlineLevel="0" collapsed="false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customFormat="false" ht="15.75" hidden="false" customHeight="false" outlineLevel="0" collapsed="false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customFormat="false" ht="15.75" hidden="false" customHeight="false" outlineLevel="0" collapsed="false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customFormat="false" ht="15.75" hidden="false" customHeight="false" outlineLevel="0" collapsed="false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customFormat="false" ht="15.75" hidden="false" customHeight="false" outlineLevel="0" collapsed="false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customFormat="false" ht="15.75" hidden="false" customHeight="false" outlineLevel="0" collapsed="false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customFormat="false" ht="15.75" hidden="false" customHeight="false" outlineLevel="0" collapsed="false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customFormat="false" ht="15.75" hidden="false" customHeight="false" outlineLevel="0" collapsed="false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customFormat="false" ht="15.75" hidden="false" customHeight="false" outlineLevel="0" collapsed="false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customFormat="false" ht="15.75" hidden="false" customHeight="false" outlineLevel="0" collapsed="false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customFormat="false" ht="15.75" hidden="false" customHeight="false" outlineLevel="0" collapsed="false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customFormat="false" ht="15.75" hidden="false" customHeight="false" outlineLevel="0" collapsed="false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customFormat="false" ht="15.75" hidden="false" customHeight="false" outlineLevel="0" collapsed="false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customFormat="false" ht="15.75" hidden="false" customHeight="false" outlineLevel="0" collapsed="false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customFormat="false" ht="15.75" hidden="false" customHeight="false" outlineLevel="0" collapsed="false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customFormat="false" ht="15.75" hidden="false" customHeight="false" outlineLevel="0" collapsed="false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customFormat="false" ht="15.75" hidden="false" customHeight="false" outlineLevel="0" collapsed="false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customFormat="false" ht="15.75" hidden="false" customHeight="false" outlineLevel="0" collapsed="false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customFormat="false" ht="15.75" hidden="false" customHeight="false" outlineLevel="0" collapsed="false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customFormat="false" ht="15.75" hidden="false" customHeight="false" outlineLevel="0" collapsed="false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customFormat="false" ht="15.75" hidden="false" customHeight="false" outlineLevel="0" collapsed="false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customFormat="false" ht="15.75" hidden="false" customHeight="false" outlineLevel="0" collapsed="false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customFormat="false" ht="15.75" hidden="false" customHeight="false" outlineLevel="0" collapsed="false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customFormat="false" ht="15.75" hidden="false" customHeight="false" outlineLevel="0" collapsed="false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customFormat="false" ht="15.75" hidden="false" customHeight="false" outlineLevel="0" collapsed="false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customFormat="false" ht="15.75" hidden="false" customHeight="false" outlineLevel="0" collapsed="false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customFormat="false" ht="15.75" hidden="false" customHeight="false" outlineLevel="0" collapsed="false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customFormat="false" ht="15.75" hidden="false" customHeight="false" outlineLevel="0" collapsed="false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customFormat="false" ht="15.75" hidden="false" customHeight="false" outlineLevel="0" collapsed="false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customFormat="false" ht="15.75" hidden="false" customHeight="false" outlineLevel="0" collapsed="false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customFormat="false" ht="15.75" hidden="false" customHeight="false" outlineLevel="0" collapsed="false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customFormat="false" ht="15.75" hidden="false" customHeight="false" outlineLevel="0" collapsed="false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customFormat="false" ht="15.75" hidden="false" customHeight="false" outlineLevel="0" collapsed="false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customFormat="false" ht="15.75" hidden="false" customHeight="false" outlineLevel="0" collapsed="false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customFormat="false" ht="15.75" hidden="false" customHeight="false" outlineLevel="0" collapsed="false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customFormat="false" ht="15.75" hidden="false" customHeight="false" outlineLevel="0" collapsed="false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customFormat="false" ht="15.75" hidden="false" customHeight="false" outlineLevel="0" collapsed="false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customFormat="false" ht="15.75" hidden="false" customHeight="false" outlineLevel="0" collapsed="false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customFormat="false" ht="15.75" hidden="false" customHeight="false" outlineLevel="0" collapsed="false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customFormat="false" ht="15.75" hidden="false" customHeight="false" outlineLevel="0" collapsed="false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customFormat="false" ht="15.75" hidden="false" customHeight="false" outlineLevel="0" collapsed="false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customFormat="false" ht="15.75" hidden="false" customHeight="false" outlineLevel="0" collapsed="false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customFormat="false" ht="15.75" hidden="false" customHeight="false" outlineLevel="0" collapsed="false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customFormat="false" ht="15.75" hidden="false" customHeight="false" outlineLevel="0" collapsed="false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customFormat="false" ht="15.75" hidden="false" customHeight="false" outlineLevel="0" collapsed="false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customFormat="false" ht="15.75" hidden="false" customHeight="false" outlineLevel="0" collapsed="false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customFormat="false" ht="15.75" hidden="false" customHeight="false" outlineLevel="0" collapsed="false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customFormat="false" ht="15.75" hidden="false" customHeight="false" outlineLevel="0" collapsed="false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customFormat="false" ht="15.75" hidden="false" customHeight="false" outlineLevel="0" collapsed="false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customFormat="false" ht="15.75" hidden="false" customHeight="false" outlineLevel="0" collapsed="false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customFormat="false" ht="15.75" hidden="false" customHeight="false" outlineLevel="0" collapsed="false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customFormat="false" ht="15.75" hidden="false" customHeight="false" outlineLevel="0" collapsed="false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customFormat="false" ht="15.75" hidden="false" customHeight="false" outlineLevel="0" collapsed="false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customFormat="false" ht="15.75" hidden="false" customHeight="false" outlineLevel="0" collapsed="false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customFormat="false" ht="15.75" hidden="false" customHeight="false" outlineLevel="0" collapsed="false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customFormat="false" ht="15.75" hidden="false" customHeight="false" outlineLevel="0" collapsed="false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customFormat="false" ht="15.75" hidden="false" customHeight="false" outlineLevel="0" collapsed="false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customFormat="false" ht="15.75" hidden="false" customHeight="false" outlineLevel="0" collapsed="false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customFormat="false" ht="15.75" hidden="false" customHeight="false" outlineLevel="0" collapsed="false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customFormat="false" ht="15.75" hidden="false" customHeight="false" outlineLevel="0" collapsed="false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customFormat="false" ht="15.75" hidden="false" customHeight="false" outlineLevel="0" collapsed="false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customFormat="false" ht="15.75" hidden="false" customHeight="false" outlineLevel="0" collapsed="false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customFormat="false" ht="15.75" hidden="false" customHeight="false" outlineLevel="0" collapsed="false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customFormat="false" ht="15.75" hidden="false" customHeight="false" outlineLevel="0" collapsed="false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customFormat="false" ht="15.75" hidden="false" customHeight="false" outlineLevel="0" collapsed="false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customFormat="false" ht="15.75" hidden="false" customHeight="false" outlineLevel="0" collapsed="false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customFormat="false" ht="15.75" hidden="false" customHeight="false" outlineLevel="0" collapsed="false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customFormat="false" ht="15.75" hidden="false" customHeight="false" outlineLevel="0" collapsed="false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customFormat="false" ht="15.75" hidden="false" customHeight="false" outlineLevel="0" collapsed="false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customFormat="false" ht="15.75" hidden="false" customHeight="false" outlineLevel="0" collapsed="false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customFormat="false" ht="15.75" hidden="false" customHeight="false" outlineLevel="0" collapsed="false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customFormat="false" ht="15.75" hidden="false" customHeight="false" outlineLevel="0" collapsed="false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customFormat="false" ht="15.75" hidden="false" customHeight="false" outlineLevel="0" collapsed="false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customFormat="false" ht="15.75" hidden="false" customHeight="false" outlineLevel="0" collapsed="false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customFormat="false" ht="15.75" hidden="false" customHeight="false" outlineLevel="0" collapsed="false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customFormat="false" ht="15.75" hidden="false" customHeight="false" outlineLevel="0" collapsed="false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customFormat="false" ht="15.75" hidden="false" customHeight="false" outlineLevel="0" collapsed="false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customFormat="false" ht="15.75" hidden="false" customHeight="false" outlineLevel="0" collapsed="false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customFormat="false" ht="15.75" hidden="false" customHeight="false" outlineLevel="0" collapsed="false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customFormat="false" ht="15.75" hidden="false" customHeight="false" outlineLevel="0" collapsed="false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customFormat="false" ht="15.75" hidden="false" customHeight="false" outlineLevel="0" collapsed="false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customFormat="false" ht="15.75" hidden="false" customHeight="false" outlineLevel="0" collapsed="false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customFormat="false" ht="15.75" hidden="false" customHeight="false" outlineLevel="0" collapsed="false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customFormat="false" ht="15.75" hidden="false" customHeight="false" outlineLevel="0" collapsed="false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customFormat="false" ht="15.75" hidden="false" customHeight="false" outlineLevel="0" collapsed="false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customFormat="false" ht="15.75" hidden="false" customHeight="false" outlineLevel="0" collapsed="false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customFormat="false" ht="15.75" hidden="false" customHeight="false" outlineLevel="0" collapsed="false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customFormat="false" ht="15.75" hidden="false" customHeight="false" outlineLevel="0" collapsed="false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customFormat="false" ht="15.75" hidden="false" customHeight="false" outlineLevel="0" collapsed="false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customFormat="false" ht="15.75" hidden="false" customHeight="false" outlineLevel="0" collapsed="false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customFormat="false" ht="15.75" hidden="false" customHeight="false" outlineLevel="0" collapsed="false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customFormat="false" ht="15.75" hidden="false" customHeight="false" outlineLevel="0" collapsed="false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customFormat="false" ht="15.75" hidden="false" customHeight="false" outlineLevel="0" collapsed="false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customFormat="false" ht="15.75" hidden="false" customHeight="false" outlineLevel="0" collapsed="false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customFormat="false" ht="15.75" hidden="false" customHeight="false" outlineLevel="0" collapsed="false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customFormat="false" ht="15.75" hidden="false" customHeight="false" outlineLevel="0" collapsed="false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customFormat="false" ht="15.75" hidden="false" customHeight="false" outlineLevel="0" collapsed="false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customFormat="false" ht="15.75" hidden="false" customHeight="false" outlineLevel="0" collapsed="false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customFormat="false" ht="15.75" hidden="false" customHeight="false" outlineLevel="0" collapsed="false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customFormat="false" ht="15.75" hidden="false" customHeight="false" outlineLevel="0" collapsed="false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customFormat="false" ht="15.75" hidden="false" customHeight="false" outlineLevel="0" collapsed="false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customFormat="false" ht="15.75" hidden="false" customHeight="false" outlineLevel="0" collapsed="false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customFormat="false" ht="15.75" hidden="false" customHeight="false" outlineLevel="0" collapsed="false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customFormat="false" ht="15.75" hidden="false" customHeight="false" outlineLevel="0" collapsed="false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customFormat="false" ht="15.75" hidden="false" customHeight="false" outlineLevel="0" collapsed="false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customFormat="false" ht="15.75" hidden="false" customHeight="false" outlineLevel="0" collapsed="false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customFormat="false" ht="15.75" hidden="false" customHeight="false" outlineLevel="0" collapsed="false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customFormat="false" ht="15.75" hidden="false" customHeight="false" outlineLevel="0" collapsed="false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customFormat="false" ht="15.75" hidden="false" customHeight="false" outlineLevel="0" collapsed="false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customFormat="false" ht="15.75" hidden="false" customHeight="false" outlineLevel="0" collapsed="false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customFormat="false" ht="15.75" hidden="false" customHeight="false" outlineLevel="0" collapsed="false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customFormat="false" ht="15.75" hidden="false" customHeight="false" outlineLevel="0" collapsed="false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customFormat="false" ht="15.75" hidden="false" customHeight="false" outlineLevel="0" collapsed="false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customFormat="false" ht="15.75" hidden="false" customHeight="false" outlineLevel="0" collapsed="false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customFormat="false" ht="15.75" hidden="false" customHeight="false" outlineLevel="0" collapsed="false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customFormat="false" ht="15.75" hidden="false" customHeight="false" outlineLevel="0" collapsed="false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customFormat="false" ht="15.75" hidden="false" customHeight="false" outlineLevel="0" collapsed="false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customFormat="false" ht="15.75" hidden="false" customHeight="false" outlineLevel="0" collapsed="false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customFormat="false" ht="15.75" hidden="false" customHeight="false" outlineLevel="0" collapsed="false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customFormat="false" ht="15.75" hidden="false" customHeight="false" outlineLevel="0" collapsed="false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customFormat="false" ht="15.75" hidden="false" customHeight="false" outlineLevel="0" collapsed="false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customFormat="false" ht="15.75" hidden="false" customHeight="false" outlineLevel="0" collapsed="false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customFormat="false" ht="15.75" hidden="false" customHeight="false" outlineLevel="0" collapsed="false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customFormat="false" ht="15.75" hidden="false" customHeight="false" outlineLevel="0" collapsed="false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customFormat="false" ht="15.75" hidden="false" customHeight="false" outlineLevel="0" collapsed="false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customFormat="false" ht="15.75" hidden="false" customHeight="false" outlineLevel="0" collapsed="false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customFormat="false" ht="15.75" hidden="false" customHeight="false" outlineLevel="0" collapsed="false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customFormat="false" ht="15.75" hidden="false" customHeight="false" outlineLevel="0" collapsed="false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customFormat="false" ht="15.75" hidden="false" customHeight="false" outlineLevel="0" collapsed="false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customFormat="false" ht="15.75" hidden="false" customHeight="false" outlineLevel="0" collapsed="false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customFormat="false" ht="15.75" hidden="false" customHeight="false" outlineLevel="0" collapsed="false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customFormat="false" ht="15.75" hidden="false" customHeight="false" outlineLevel="0" collapsed="false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customFormat="false" ht="15.75" hidden="false" customHeight="false" outlineLevel="0" collapsed="false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customFormat="false" ht="15.75" hidden="false" customHeight="false" outlineLevel="0" collapsed="false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customFormat="false" ht="15.75" hidden="false" customHeight="false" outlineLevel="0" collapsed="false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customFormat="false" ht="15.75" hidden="false" customHeight="false" outlineLevel="0" collapsed="false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customFormat="false" ht="15.75" hidden="false" customHeight="false" outlineLevel="0" collapsed="false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customFormat="false" ht="15.75" hidden="false" customHeight="false" outlineLevel="0" collapsed="false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customFormat="false" ht="15.75" hidden="false" customHeight="false" outlineLevel="0" collapsed="false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customFormat="false" ht="15.75" hidden="false" customHeight="false" outlineLevel="0" collapsed="false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customFormat="false" ht="15.75" hidden="false" customHeight="false" outlineLevel="0" collapsed="false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customFormat="false" ht="15.75" hidden="false" customHeight="false" outlineLevel="0" collapsed="false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customFormat="false" ht="15.75" hidden="false" customHeight="false" outlineLevel="0" collapsed="false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customFormat="false" ht="15.75" hidden="false" customHeight="false" outlineLevel="0" collapsed="false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customFormat="false" ht="15.75" hidden="false" customHeight="false" outlineLevel="0" collapsed="false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customFormat="false" ht="15.75" hidden="false" customHeight="false" outlineLevel="0" collapsed="false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customFormat="false" ht="15.75" hidden="false" customHeight="false" outlineLevel="0" collapsed="false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customFormat="false" ht="15.75" hidden="false" customHeight="false" outlineLevel="0" collapsed="false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customFormat="false" ht="15.75" hidden="false" customHeight="false" outlineLevel="0" collapsed="false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customFormat="false" ht="15.75" hidden="false" customHeight="false" outlineLevel="0" collapsed="false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customFormat="false" ht="15.75" hidden="false" customHeight="false" outlineLevel="0" collapsed="false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customFormat="false" ht="15.75" hidden="false" customHeight="false" outlineLevel="0" collapsed="false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customFormat="false" ht="15.75" hidden="false" customHeight="false" outlineLevel="0" collapsed="false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customFormat="false" ht="15.75" hidden="false" customHeight="false" outlineLevel="0" collapsed="false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customFormat="false" ht="15.75" hidden="false" customHeight="false" outlineLevel="0" collapsed="false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customFormat="false" ht="15.75" hidden="false" customHeight="false" outlineLevel="0" collapsed="false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customFormat="false" ht="15.75" hidden="false" customHeight="false" outlineLevel="0" collapsed="false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customFormat="false" ht="15.75" hidden="false" customHeight="false" outlineLevel="0" collapsed="false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customFormat="false" ht="15.75" hidden="false" customHeight="false" outlineLevel="0" collapsed="false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customFormat="false" ht="15.75" hidden="false" customHeight="false" outlineLevel="0" collapsed="false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customFormat="false" ht="15.75" hidden="false" customHeight="false" outlineLevel="0" collapsed="false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customFormat="false" ht="15.75" hidden="false" customHeight="false" outlineLevel="0" collapsed="false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customFormat="false" ht="15.75" hidden="false" customHeight="false" outlineLevel="0" collapsed="false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customFormat="false" ht="15.75" hidden="false" customHeight="false" outlineLevel="0" collapsed="false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customFormat="false" ht="15.75" hidden="false" customHeight="false" outlineLevel="0" collapsed="false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customFormat="false" ht="15.75" hidden="false" customHeight="false" outlineLevel="0" collapsed="false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customFormat="false" ht="15.75" hidden="false" customHeight="false" outlineLevel="0" collapsed="false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customFormat="false" ht="15.75" hidden="false" customHeight="false" outlineLevel="0" collapsed="false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customFormat="false" ht="15.75" hidden="false" customHeight="false" outlineLevel="0" collapsed="false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customFormat="false" ht="15.75" hidden="false" customHeight="false" outlineLevel="0" collapsed="false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customFormat="false" ht="15.75" hidden="false" customHeight="false" outlineLevel="0" collapsed="false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customFormat="false" ht="15.75" hidden="false" customHeight="false" outlineLevel="0" collapsed="false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customFormat="false" ht="15.75" hidden="false" customHeight="false" outlineLevel="0" collapsed="false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customFormat="false" ht="15.75" hidden="false" customHeight="false" outlineLevel="0" collapsed="false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customFormat="false" ht="15.75" hidden="false" customHeight="false" outlineLevel="0" collapsed="false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customFormat="false" ht="15.75" hidden="false" customHeight="false" outlineLevel="0" collapsed="false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customFormat="false" ht="15.75" hidden="false" customHeight="false" outlineLevel="0" collapsed="false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customFormat="false" ht="15.75" hidden="false" customHeight="false" outlineLevel="0" collapsed="false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customFormat="false" ht="15.75" hidden="false" customHeight="false" outlineLevel="0" collapsed="false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customFormat="false" ht="15.75" hidden="false" customHeight="false" outlineLevel="0" collapsed="false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customFormat="false" ht="15.75" hidden="false" customHeight="false" outlineLevel="0" collapsed="false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customFormat="false" ht="15.75" hidden="false" customHeight="false" outlineLevel="0" collapsed="false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customFormat="false" ht="15.75" hidden="false" customHeight="false" outlineLevel="0" collapsed="false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customFormat="false" ht="15.75" hidden="false" customHeight="false" outlineLevel="0" collapsed="false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customFormat="false" ht="15.75" hidden="false" customHeight="false" outlineLevel="0" collapsed="false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customFormat="false" ht="15.75" hidden="false" customHeight="false" outlineLevel="0" collapsed="false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customFormat="false" ht="15.75" hidden="false" customHeight="false" outlineLevel="0" collapsed="false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customFormat="false" ht="15.75" hidden="false" customHeight="false" outlineLevel="0" collapsed="false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customFormat="false" ht="15.75" hidden="false" customHeight="false" outlineLevel="0" collapsed="false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customFormat="false" ht="15.75" hidden="false" customHeight="false" outlineLevel="0" collapsed="false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customFormat="false" ht="15.75" hidden="false" customHeight="false" outlineLevel="0" collapsed="false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customFormat="false" ht="15.75" hidden="false" customHeight="false" outlineLevel="0" collapsed="false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customFormat="false" ht="15.75" hidden="false" customHeight="false" outlineLevel="0" collapsed="false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customFormat="false" ht="15.75" hidden="false" customHeight="false" outlineLevel="0" collapsed="false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customFormat="false" ht="15.75" hidden="false" customHeight="false" outlineLevel="0" collapsed="false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customFormat="false" ht="15.75" hidden="false" customHeight="false" outlineLevel="0" collapsed="false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customFormat="false" ht="15.75" hidden="false" customHeight="false" outlineLevel="0" collapsed="false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customFormat="false" ht="15.75" hidden="false" customHeight="false" outlineLevel="0" collapsed="false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customFormat="false" ht="15.75" hidden="false" customHeight="false" outlineLevel="0" collapsed="false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customFormat="false" ht="15.75" hidden="false" customHeight="false" outlineLevel="0" collapsed="false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customFormat="false" ht="15.75" hidden="false" customHeight="false" outlineLevel="0" collapsed="false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customFormat="false" ht="15.75" hidden="false" customHeight="false" outlineLevel="0" collapsed="false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customFormat="false" ht="15.75" hidden="false" customHeight="false" outlineLevel="0" collapsed="false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customFormat="false" ht="15.75" hidden="false" customHeight="false" outlineLevel="0" collapsed="false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customFormat="false" ht="15.75" hidden="false" customHeight="false" outlineLevel="0" collapsed="false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customFormat="false" ht="15.75" hidden="false" customHeight="false" outlineLevel="0" collapsed="false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customFormat="false" ht="15.75" hidden="false" customHeight="false" outlineLevel="0" collapsed="false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customFormat="false" ht="15.75" hidden="false" customHeight="false" outlineLevel="0" collapsed="false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customFormat="false" ht="15.75" hidden="false" customHeight="false" outlineLevel="0" collapsed="false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customFormat="false" ht="15.75" hidden="false" customHeight="false" outlineLevel="0" collapsed="false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customFormat="false" ht="15.75" hidden="false" customHeight="false" outlineLevel="0" collapsed="false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customFormat="false" ht="15.75" hidden="false" customHeight="false" outlineLevel="0" collapsed="false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customFormat="false" ht="15.75" hidden="false" customHeight="false" outlineLevel="0" collapsed="false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customFormat="false" ht="15.75" hidden="false" customHeight="false" outlineLevel="0" collapsed="false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customFormat="false" ht="15.75" hidden="false" customHeight="false" outlineLevel="0" collapsed="false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customFormat="false" ht="15.75" hidden="false" customHeight="false" outlineLevel="0" collapsed="false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customFormat="false" ht="15.75" hidden="false" customHeight="false" outlineLevel="0" collapsed="false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customFormat="false" ht="15.75" hidden="false" customHeight="false" outlineLevel="0" collapsed="false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customFormat="false" ht="15.75" hidden="false" customHeight="false" outlineLevel="0" collapsed="false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customFormat="false" ht="15.75" hidden="false" customHeight="false" outlineLevel="0" collapsed="false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customFormat="false" ht="15.75" hidden="false" customHeight="false" outlineLevel="0" collapsed="false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customFormat="false" ht="15.75" hidden="false" customHeight="false" outlineLevel="0" collapsed="false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customFormat="false" ht="15.75" hidden="false" customHeight="false" outlineLevel="0" collapsed="false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customFormat="false" ht="15.75" hidden="false" customHeight="false" outlineLevel="0" collapsed="false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customFormat="false" ht="15.75" hidden="false" customHeight="false" outlineLevel="0" collapsed="false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customFormat="false" ht="15.75" hidden="false" customHeight="false" outlineLevel="0" collapsed="false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customFormat="false" ht="15.75" hidden="false" customHeight="false" outlineLevel="0" collapsed="false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customFormat="false" ht="15.75" hidden="false" customHeight="false" outlineLevel="0" collapsed="false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customFormat="false" ht="15.75" hidden="false" customHeight="false" outlineLevel="0" collapsed="false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customFormat="false" ht="15.75" hidden="false" customHeight="false" outlineLevel="0" collapsed="false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customFormat="false" ht="15.75" hidden="false" customHeight="false" outlineLevel="0" collapsed="false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customFormat="false" ht="15.75" hidden="false" customHeight="false" outlineLevel="0" collapsed="false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customFormat="false" ht="15.75" hidden="false" customHeight="false" outlineLevel="0" collapsed="false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customFormat="false" ht="15.75" hidden="false" customHeight="false" outlineLevel="0" collapsed="false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customFormat="false" ht="15.75" hidden="false" customHeight="false" outlineLevel="0" collapsed="false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customFormat="false" ht="15.75" hidden="false" customHeight="false" outlineLevel="0" collapsed="false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customFormat="false" ht="15.75" hidden="false" customHeight="false" outlineLevel="0" collapsed="false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customFormat="false" ht="15.75" hidden="false" customHeight="false" outlineLevel="0" collapsed="false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customFormat="false" ht="15.75" hidden="false" customHeight="false" outlineLevel="0" collapsed="false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customFormat="false" ht="15.75" hidden="false" customHeight="false" outlineLevel="0" collapsed="false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customFormat="false" ht="15.75" hidden="false" customHeight="false" outlineLevel="0" collapsed="false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customFormat="false" ht="15.75" hidden="false" customHeight="false" outlineLevel="0" collapsed="false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customFormat="false" ht="15.75" hidden="false" customHeight="false" outlineLevel="0" collapsed="false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customFormat="false" ht="15.75" hidden="false" customHeight="false" outlineLevel="0" collapsed="false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customFormat="false" ht="15.75" hidden="false" customHeight="false" outlineLevel="0" collapsed="false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customFormat="false" ht="15.75" hidden="false" customHeight="false" outlineLevel="0" collapsed="false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customFormat="false" ht="15.75" hidden="false" customHeight="false" outlineLevel="0" collapsed="false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customFormat="false" ht="15.75" hidden="false" customHeight="false" outlineLevel="0" collapsed="false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customFormat="false" ht="15.75" hidden="false" customHeight="false" outlineLevel="0" collapsed="false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customFormat="false" ht="15.75" hidden="false" customHeight="false" outlineLevel="0" collapsed="false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customFormat="false" ht="15.75" hidden="false" customHeight="false" outlineLevel="0" collapsed="false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customFormat="false" ht="15.75" hidden="false" customHeight="false" outlineLevel="0" collapsed="false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customFormat="false" ht="15.75" hidden="false" customHeight="false" outlineLevel="0" collapsed="false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customFormat="false" ht="15.75" hidden="false" customHeight="false" outlineLevel="0" collapsed="false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customFormat="false" ht="15.75" hidden="false" customHeight="false" outlineLevel="0" collapsed="false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customFormat="false" ht="15.75" hidden="false" customHeight="false" outlineLevel="0" collapsed="false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customFormat="false" ht="15.75" hidden="false" customHeight="false" outlineLevel="0" collapsed="false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customFormat="false" ht="15.75" hidden="false" customHeight="false" outlineLevel="0" collapsed="false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customFormat="false" ht="15.75" hidden="false" customHeight="false" outlineLevel="0" collapsed="false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customFormat="false" ht="15.75" hidden="false" customHeight="false" outlineLevel="0" collapsed="false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customFormat="false" ht="15.75" hidden="false" customHeight="false" outlineLevel="0" collapsed="false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customFormat="false" ht="15.75" hidden="false" customHeight="false" outlineLevel="0" collapsed="false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customFormat="false" ht="15.75" hidden="false" customHeight="false" outlineLevel="0" collapsed="false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customFormat="false" ht="15.75" hidden="false" customHeight="false" outlineLevel="0" collapsed="false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customFormat="false" ht="15.75" hidden="false" customHeight="false" outlineLevel="0" collapsed="false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customFormat="false" ht="15.75" hidden="false" customHeight="false" outlineLevel="0" collapsed="false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customFormat="false" ht="15.75" hidden="false" customHeight="false" outlineLevel="0" collapsed="false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customFormat="false" ht="15.75" hidden="false" customHeight="false" outlineLevel="0" collapsed="false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customFormat="false" ht="15.75" hidden="false" customHeight="false" outlineLevel="0" collapsed="false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customFormat="false" ht="15.75" hidden="false" customHeight="false" outlineLevel="0" collapsed="false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customFormat="false" ht="15.75" hidden="false" customHeight="false" outlineLevel="0" collapsed="false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customFormat="false" ht="15.75" hidden="false" customHeight="false" outlineLevel="0" collapsed="false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customFormat="false" ht="15.75" hidden="false" customHeight="false" outlineLevel="0" collapsed="false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customFormat="false" ht="15.75" hidden="false" customHeight="false" outlineLevel="0" collapsed="false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customFormat="false" ht="15.75" hidden="false" customHeight="false" outlineLevel="0" collapsed="false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customFormat="false" ht="15.75" hidden="false" customHeight="false" outlineLevel="0" collapsed="false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customFormat="false" ht="15.75" hidden="false" customHeight="false" outlineLevel="0" collapsed="false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customFormat="false" ht="15.75" hidden="false" customHeight="false" outlineLevel="0" collapsed="false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customFormat="false" ht="15.75" hidden="false" customHeight="false" outlineLevel="0" collapsed="false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customFormat="false" ht="15.75" hidden="false" customHeight="false" outlineLevel="0" collapsed="false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customFormat="false" ht="15.75" hidden="false" customHeight="false" outlineLevel="0" collapsed="false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customFormat="false" ht="15.75" hidden="false" customHeight="false" outlineLevel="0" collapsed="false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customFormat="false" ht="15.75" hidden="false" customHeight="false" outlineLevel="0" collapsed="false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customFormat="false" ht="15.75" hidden="false" customHeight="false" outlineLevel="0" collapsed="false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customFormat="false" ht="15.75" hidden="false" customHeight="false" outlineLevel="0" collapsed="false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customFormat="false" ht="15.75" hidden="false" customHeight="false" outlineLevel="0" collapsed="false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customFormat="false" ht="15.75" hidden="false" customHeight="false" outlineLevel="0" collapsed="false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customFormat="false" ht="15.75" hidden="false" customHeight="false" outlineLevel="0" collapsed="false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customFormat="false" ht="15.75" hidden="false" customHeight="false" outlineLevel="0" collapsed="false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customFormat="false" ht="15.75" hidden="false" customHeight="false" outlineLevel="0" collapsed="false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customFormat="false" ht="15.75" hidden="false" customHeight="false" outlineLevel="0" collapsed="false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customFormat="false" ht="15.75" hidden="false" customHeight="false" outlineLevel="0" collapsed="false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customFormat="false" ht="15.75" hidden="false" customHeight="false" outlineLevel="0" collapsed="false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customFormat="false" ht="15.75" hidden="false" customHeight="false" outlineLevel="0" collapsed="false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customFormat="false" ht="15.75" hidden="false" customHeight="false" outlineLevel="0" collapsed="false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customFormat="false" ht="15.75" hidden="false" customHeight="false" outlineLevel="0" collapsed="false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customFormat="false" ht="15.75" hidden="false" customHeight="false" outlineLevel="0" collapsed="false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customFormat="false" ht="15.75" hidden="false" customHeight="false" outlineLevel="0" collapsed="false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customFormat="false" ht="15.75" hidden="false" customHeight="false" outlineLevel="0" collapsed="false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customFormat="false" ht="15.75" hidden="false" customHeight="false" outlineLevel="0" collapsed="false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customFormat="false" ht="15.75" hidden="false" customHeight="false" outlineLevel="0" collapsed="false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customFormat="false" ht="15.75" hidden="false" customHeight="false" outlineLevel="0" collapsed="false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customFormat="false" ht="15.75" hidden="false" customHeight="false" outlineLevel="0" collapsed="false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customFormat="false" ht="15.75" hidden="false" customHeight="false" outlineLevel="0" collapsed="false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customFormat="false" ht="15.75" hidden="false" customHeight="false" outlineLevel="0" collapsed="false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customFormat="false" ht="15.75" hidden="false" customHeight="false" outlineLevel="0" collapsed="false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customFormat="false" ht="15.75" hidden="false" customHeight="false" outlineLevel="0" collapsed="false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customFormat="false" ht="15.75" hidden="false" customHeight="false" outlineLevel="0" collapsed="false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customFormat="false" ht="15.75" hidden="false" customHeight="false" outlineLevel="0" collapsed="false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customFormat="false" ht="15.75" hidden="false" customHeight="false" outlineLevel="0" collapsed="false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customFormat="false" ht="15.75" hidden="false" customHeight="false" outlineLevel="0" collapsed="false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customFormat="false" ht="15.75" hidden="false" customHeight="false" outlineLevel="0" collapsed="false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customFormat="false" ht="15.75" hidden="false" customHeight="false" outlineLevel="0" collapsed="false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customFormat="false" ht="15.75" hidden="false" customHeight="false" outlineLevel="0" collapsed="false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customFormat="false" ht="15.75" hidden="false" customHeight="false" outlineLevel="0" collapsed="false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customFormat="false" ht="15.75" hidden="false" customHeight="false" outlineLevel="0" collapsed="false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customFormat="false" ht="15.75" hidden="false" customHeight="false" outlineLevel="0" collapsed="false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customFormat="false" ht="15.75" hidden="false" customHeight="false" outlineLevel="0" collapsed="false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customFormat="false" ht="15.75" hidden="false" customHeight="false" outlineLevel="0" collapsed="false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customFormat="false" ht="15.75" hidden="false" customHeight="false" outlineLevel="0" collapsed="false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customFormat="false" ht="15.75" hidden="false" customHeight="false" outlineLevel="0" collapsed="false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customFormat="false" ht="15.75" hidden="false" customHeight="false" outlineLevel="0" collapsed="false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customFormat="false" ht="15.75" hidden="false" customHeight="false" outlineLevel="0" collapsed="false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customFormat="false" ht="15.75" hidden="false" customHeight="false" outlineLevel="0" collapsed="false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customFormat="false" ht="15.75" hidden="false" customHeight="false" outlineLevel="0" collapsed="false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customFormat="false" ht="15.75" hidden="false" customHeight="false" outlineLevel="0" collapsed="false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customFormat="false" ht="15.75" hidden="false" customHeight="false" outlineLevel="0" collapsed="false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customFormat="false" ht="15.75" hidden="false" customHeight="false" outlineLevel="0" collapsed="false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customFormat="false" ht="15.75" hidden="false" customHeight="false" outlineLevel="0" collapsed="false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customFormat="false" ht="15.75" hidden="false" customHeight="false" outlineLevel="0" collapsed="false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customFormat="false" ht="15.75" hidden="false" customHeight="false" outlineLevel="0" collapsed="false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customFormat="false" ht="15.75" hidden="false" customHeight="false" outlineLevel="0" collapsed="false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customFormat="false" ht="15.75" hidden="false" customHeight="false" outlineLevel="0" collapsed="false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customFormat="false" ht="15.75" hidden="false" customHeight="false" outlineLevel="0" collapsed="false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customFormat="false" ht="15.75" hidden="false" customHeight="false" outlineLevel="0" collapsed="false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customFormat="false" ht="15.75" hidden="false" customHeight="false" outlineLevel="0" collapsed="false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customFormat="false" ht="15.75" hidden="false" customHeight="false" outlineLevel="0" collapsed="false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customFormat="false" ht="15.75" hidden="false" customHeight="false" outlineLevel="0" collapsed="false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customFormat="false" ht="15.75" hidden="false" customHeight="false" outlineLevel="0" collapsed="false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customFormat="false" ht="15.75" hidden="false" customHeight="false" outlineLevel="0" collapsed="false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customFormat="false" ht="15.75" hidden="false" customHeight="false" outlineLevel="0" collapsed="false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customFormat="false" ht="15.75" hidden="false" customHeight="false" outlineLevel="0" collapsed="false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customFormat="false" ht="15.75" hidden="false" customHeight="false" outlineLevel="0" collapsed="false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customFormat="false" ht="15.75" hidden="false" customHeight="false" outlineLevel="0" collapsed="false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customFormat="false" ht="15.75" hidden="false" customHeight="false" outlineLevel="0" collapsed="false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customFormat="false" ht="15.75" hidden="false" customHeight="false" outlineLevel="0" collapsed="false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customFormat="false" ht="15.75" hidden="false" customHeight="false" outlineLevel="0" collapsed="false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customFormat="false" ht="15.75" hidden="false" customHeight="false" outlineLevel="0" collapsed="false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customFormat="false" ht="15.75" hidden="false" customHeight="false" outlineLevel="0" collapsed="false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customFormat="false" ht="15.75" hidden="false" customHeight="false" outlineLevel="0" collapsed="false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customFormat="false" ht="15.75" hidden="false" customHeight="false" outlineLevel="0" collapsed="false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customFormat="false" ht="15.75" hidden="false" customHeight="false" outlineLevel="0" collapsed="false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customFormat="false" ht="15.75" hidden="false" customHeight="false" outlineLevel="0" collapsed="false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customFormat="false" ht="15.75" hidden="false" customHeight="false" outlineLevel="0" collapsed="false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customFormat="false" ht="15.75" hidden="false" customHeight="false" outlineLevel="0" collapsed="false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customFormat="false" ht="15.75" hidden="false" customHeight="false" outlineLevel="0" collapsed="false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customFormat="false" ht="15.75" hidden="false" customHeight="false" outlineLevel="0" collapsed="false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customFormat="false" ht="15.75" hidden="false" customHeight="false" outlineLevel="0" collapsed="false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customFormat="false" ht="15.75" hidden="false" customHeight="false" outlineLevel="0" collapsed="false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customFormat="false" ht="15.75" hidden="false" customHeight="false" outlineLevel="0" collapsed="false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customFormat="false" ht="15.75" hidden="false" customHeight="false" outlineLevel="0" collapsed="false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customFormat="false" ht="15.75" hidden="false" customHeight="false" outlineLevel="0" collapsed="false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customFormat="false" ht="15.75" hidden="false" customHeight="false" outlineLevel="0" collapsed="false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customFormat="false" ht="15.75" hidden="false" customHeight="false" outlineLevel="0" collapsed="false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customFormat="false" ht="15.75" hidden="false" customHeight="false" outlineLevel="0" collapsed="false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customFormat="false" ht="15.75" hidden="false" customHeight="false" outlineLevel="0" collapsed="false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customFormat="false" ht="15.75" hidden="false" customHeight="false" outlineLevel="0" collapsed="false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customFormat="false" ht="15.75" hidden="false" customHeight="false" outlineLevel="0" collapsed="false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customFormat="false" ht="15.75" hidden="false" customHeight="false" outlineLevel="0" collapsed="false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customFormat="false" ht="15.75" hidden="false" customHeight="false" outlineLevel="0" collapsed="false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customFormat="false" ht="15.75" hidden="false" customHeight="false" outlineLevel="0" collapsed="false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customFormat="false" ht="15.75" hidden="false" customHeight="false" outlineLevel="0" collapsed="false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customFormat="false" ht="15.75" hidden="false" customHeight="false" outlineLevel="0" collapsed="false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customFormat="false" ht="15.75" hidden="false" customHeight="false" outlineLevel="0" collapsed="false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customFormat="false" ht="15.75" hidden="false" customHeight="false" outlineLevel="0" collapsed="false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customFormat="false" ht="15.75" hidden="false" customHeight="false" outlineLevel="0" collapsed="false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customFormat="false" ht="15.75" hidden="false" customHeight="false" outlineLevel="0" collapsed="false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customFormat="false" ht="15.75" hidden="false" customHeight="false" outlineLevel="0" collapsed="false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customFormat="false" ht="15.75" hidden="false" customHeight="false" outlineLevel="0" collapsed="false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customFormat="false" ht="15.75" hidden="false" customHeight="false" outlineLevel="0" collapsed="false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customFormat="false" ht="15.75" hidden="false" customHeight="false" outlineLevel="0" collapsed="false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customFormat="false" ht="15.75" hidden="false" customHeight="false" outlineLevel="0" collapsed="false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customFormat="false" ht="15.75" hidden="false" customHeight="false" outlineLevel="0" collapsed="false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customFormat="false" ht="15.75" hidden="false" customHeight="false" outlineLevel="0" collapsed="false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customFormat="false" ht="15.75" hidden="false" customHeight="false" outlineLevel="0" collapsed="false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customFormat="false" ht="15.75" hidden="false" customHeight="false" outlineLevel="0" collapsed="false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customFormat="false" ht="15.75" hidden="false" customHeight="false" outlineLevel="0" collapsed="false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customFormat="false" ht="15.75" hidden="false" customHeight="false" outlineLevel="0" collapsed="false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customFormat="false" ht="15.75" hidden="false" customHeight="false" outlineLevel="0" collapsed="false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customFormat="false" ht="15.75" hidden="false" customHeight="false" outlineLevel="0" collapsed="false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customFormat="false" ht="15.75" hidden="false" customHeight="false" outlineLevel="0" collapsed="false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customFormat="false" ht="15.75" hidden="false" customHeight="false" outlineLevel="0" collapsed="false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customFormat="false" ht="15.75" hidden="false" customHeight="false" outlineLevel="0" collapsed="false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customFormat="false" ht="15.75" hidden="false" customHeight="false" outlineLevel="0" collapsed="false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customFormat="false" ht="15.75" hidden="false" customHeight="false" outlineLevel="0" collapsed="false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customFormat="false" ht="15.75" hidden="false" customHeight="false" outlineLevel="0" collapsed="false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customFormat="false" ht="15.75" hidden="false" customHeight="false" outlineLevel="0" collapsed="false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customFormat="false" ht="15.75" hidden="false" customHeight="false" outlineLevel="0" collapsed="false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customFormat="false" ht="15.75" hidden="false" customHeight="false" outlineLevel="0" collapsed="false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customFormat="false" ht="15.75" hidden="false" customHeight="false" outlineLevel="0" collapsed="false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customFormat="false" ht="15.75" hidden="false" customHeight="false" outlineLevel="0" collapsed="false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customFormat="false" ht="15.75" hidden="false" customHeight="false" outlineLevel="0" collapsed="false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customFormat="false" ht="15.75" hidden="false" customHeight="false" outlineLevel="0" collapsed="false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customFormat="false" ht="15.75" hidden="false" customHeight="false" outlineLevel="0" collapsed="false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customFormat="false" ht="15.75" hidden="false" customHeight="false" outlineLevel="0" collapsed="false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customFormat="false" ht="15.75" hidden="false" customHeight="false" outlineLevel="0" collapsed="false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customFormat="false" ht="15.75" hidden="false" customHeight="false" outlineLevel="0" collapsed="false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customFormat="false" ht="15.75" hidden="false" customHeight="false" outlineLevel="0" collapsed="false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customFormat="false" ht="15.75" hidden="false" customHeight="false" outlineLevel="0" collapsed="false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customFormat="false" ht="15.75" hidden="false" customHeight="false" outlineLevel="0" collapsed="false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customFormat="false" ht="15.75" hidden="false" customHeight="false" outlineLevel="0" collapsed="false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customFormat="false" ht="15.75" hidden="false" customHeight="false" outlineLevel="0" collapsed="false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customFormat="false" ht="15.75" hidden="false" customHeight="false" outlineLevel="0" collapsed="false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customFormat="false" ht="15.75" hidden="false" customHeight="false" outlineLevel="0" collapsed="false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customFormat="false" ht="15.75" hidden="false" customHeight="false" outlineLevel="0" collapsed="false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customFormat="false" ht="15.75" hidden="false" customHeight="false" outlineLevel="0" collapsed="false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customFormat="false" ht="15.75" hidden="false" customHeight="false" outlineLevel="0" collapsed="false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customFormat="false" ht="15.75" hidden="false" customHeight="false" outlineLevel="0" collapsed="false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customFormat="false" ht="15.75" hidden="false" customHeight="false" outlineLevel="0" collapsed="false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customFormat="false" ht="15.75" hidden="false" customHeight="false" outlineLevel="0" collapsed="false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customFormat="false" ht="15.75" hidden="false" customHeight="false" outlineLevel="0" collapsed="false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customFormat="false" ht="15.75" hidden="false" customHeight="false" outlineLevel="0" collapsed="false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customFormat="false" ht="15.75" hidden="false" customHeight="false" outlineLevel="0" collapsed="false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customFormat="false" ht="15.75" hidden="false" customHeight="false" outlineLevel="0" collapsed="false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customFormat="false" ht="15.75" hidden="false" customHeight="false" outlineLevel="0" collapsed="false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customFormat="false" ht="15.75" hidden="false" customHeight="false" outlineLevel="0" collapsed="false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customFormat="false" ht="15.75" hidden="false" customHeight="false" outlineLevel="0" collapsed="false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customFormat="false" ht="15.75" hidden="false" customHeight="false" outlineLevel="0" collapsed="false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customFormat="false" ht="15.75" hidden="false" customHeight="false" outlineLevel="0" collapsed="false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customFormat="false" ht="15.75" hidden="false" customHeight="false" outlineLevel="0" collapsed="false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customFormat="false" ht="15.75" hidden="false" customHeight="false" outlineLevel="0" collapsed="false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customFormat="false" ht="15.75" hidden="false" customHeight="false" outlineLevel="0" collapsed="false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customFormat="false" ht="15.75" hidden="false" customHeight="false" outlineLevel="0" collapsed="false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customFormat="false" ht="15.75" hidden="false" customHeight="false" outlineLevel="0" collapsed="false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customFormat="false" ht="15.75" hidden="false" customHeight="false" outlineLevel="0" collapsed="false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customFormat="false" ht="15.75" hidden="false" customHeight="false" outlineLevel="0" collapsed="false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customFormat="false" ht="15.75" hidden="false" customHeight="false" outlineLevel="0" collapsed="false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customFormat="false" ht="15.75" hidden="false" customHeight="false" outlineLevel="0" collapsed="false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customFormat="false" ht="15.75" hidden="false" customHeight="false" outlineLevel="0" collapsed="false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customFormat="false" ht="15.75" hidden="false" customHeight="false" outlineLevel="0" collapsed="false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customFormat="false" ht="15.75" hidden="false" customHeight="false" outlineLevel="0" collapsed="false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customFormat="false" ht="15.75" hidden="false" customHeight="false" outlineLevel="0" collapsed="false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customFormat="false" ht="15.75" hidden="false" customHeight="false" outlineLevel="0" collapsed="false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customFormat="false" ht="15.75" hidden="false" customHeight="false" outlineLevel="0" collapsed="false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customFormat="false" ht="15.75" hidden="false" customHeight="false" outlineLevel="0" collapsed="false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customFormat="false" ht="15.75" hidden="false" customHeight="false" outlineLevel="0" collapsed="false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customFormat="false" ht="15.75" hidden="false" customHeight="false" outlineLevel="0" collapsed="false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customFormat="false" ht="15.75" hidden="false" customHeight="false" outlineLevel="0" collapsed="false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customFormat="false" ht="15.75" hidden="false" customHeight="false" outlineLevel="0" collapsed="false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customFormat="false" ht="15.75" hidden="false" customHeight="false" outlineLevel="0" collapsed="false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customFormat="false" ht="15.75" hidden="false" customHeight="false" outlineLevel="0" collapsed="false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customFormat="false" ht="15.75" hidden="false" customHeight="false" outlineLevel="0" collapsed="false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customFormat="false" ht="15.75" hidden="false" customHeight="false" outlineLevel="0" collapsed="false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customFormat="false" ht="15.75" hidden="false" customHeight="false" outlineLevel="0" collapsed="false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customFormat="false" ht="15.75" hidden="false" customHeight="false" outlineLevel="0" collapsed="false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customFormat="false" ht="15.75" hidden="false" customHeight="false" outlineLevel="0" collapsed="false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customFormat="false" ht="15.75" hidden="false" customHeight="false" outlineLevel="0" collapsed="false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customFormat="false" ht="15.75" hidden="false" customHeight="false" outlineLevel="0" collapsed="false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customFormat="false" ht="15.75" hidden="false" customHeight="false" outlineLevel="0" collapsed="false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customFormat="false" ht="15.75" hidden="false" customHeight="false" outlineLevel="0" collapsed="false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customFormat="false" ht="15.75" hidden="false" customHeight="false" outlineLevel="0" collapsed="false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customFormat="false" ht="15.75" hidden="false" customHeight="false" outlineLevel="0" collapsed="false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customFormat="false" ht="15.75" hidden="false" customHeight="false" outlineLevel="0" collapsed="false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customFormat="false" ht="15.75" hidden="false" customHeight="false" outlineLevel="0" collapsed="false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customFormat="false" ht="15.75" hidden="false" customHeight="false" outlineLevel="0" collapsed="false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customFormat="false" ht="15.75" hidden="false" customHeight="false" outlineLevel="0" collapsed="false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customFormat="false" ht="15.75" hidden="false" customHeight="false" outlineLevel="0" collapsed="false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customFormat="false" ht="15.75" hidden="false" customHeight="false" outlineLevel="0" collapsed="false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customFormat="false" ht="15.75" hidden="false" customHeight="false" outlineLevel="0" collapsed="false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customFormat="false" ht="15.75" hidden="false" customHeight="false" outlineLevel="0" collapsed="false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customFormat="false" ht="15.75" hidden="false" customHeight="false" outlineLevel="0" collapsed="false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customFormat="false" ht="15.75" hidden="false" customHeight="false" outlineLevel="0" collapsed="false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customFormat="false" ht="15.75" hidden="false" customHeight="false" outlineLevel="0" collapsed="false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customFormat="false" ht="15.75" hidden="false" customHeight="false" outlineLevel="0" collapsed="false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customFormat="false" ht="15.75" hidden="false" customHeight="false" outlineLevel="0" collapsed="false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customFormat="false" ht="15.75" hidden="false" customHeight="false" outlineLevel="0" collapsed="false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customFormat="false" ht="15.75" hidden="false" customHeight="false" outlineLevel="0" collapsed="false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customFormat="false" ht="15.75" hidden="false" customHeight="false" outlineLevel="0" collapsed="false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customFormat="false" ht="15.75" hidden="false" customHeight="false" outlineLevel="0" collapsed="false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customFormat="false" ht="15.75" hidden="false" customHeight="false" outlineLevel="0" collapsed="false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customFormat="false" ht="15.75" hidden="false" customHeight="false" outlineLevel="0" collapsed="false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customFormat="false" ht="15.75" hidden="false" customHeight="false" outlineLevel="0" collapsed="false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customFormat="false" ht="15.75" hidden="false" customHeight="false" outlineLevel="0" collapsed="false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customFormat="false" ht="15.75" hidden="false" customHeight="false" outlineLevel="0" collapsed="false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customFormat="false" ht="15.75" hidden="false" customHeight="false" outlineLevel="0" collapsed="false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customFormat="false" ht="15.75" hidden="false" customHeight="false" outlineLevel="0" collapsed="false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customFormat="false" ht="15.75" hidden="false" customHeight="false" outlineLevel="0" collapsed="false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customFormat="false" ht="15.75" hidden="false" customHeight="false" outlineLevel="0" collapsed="false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customFormat="false" ht="15.75" hidden="false" customHeight="false" outlineLevel="0" collapsed="false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customFormat="false" ht="15.75" hidden="false" customHeight="false" outlineLevel="0" collapsed="false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customFormat="false" ht="15.75" hidden="false" customHeight="false" outlineLevel="0" collapsed="false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customFormat="false" ht="15.75" hidden="false" customHeight="false" outlineLevel="0" collapsed="false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customFormat="false" ht="15.75" hidden="false" customHeight="false" outlineLevel="0" collapsed="false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customFormat="false" ht="15.75" hidden="false" customHeight="false" outlineLevel="0" collapsed="false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customFormat="false" ht="15.75" hidden="false" customHeight="false" outlineLevel="0" collapsed="false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customFormat="false" ht="15.75" hidden="false" customHeight="false" outlineLevel="0" collapsed="false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customFormat="false" ht="15.75" hidden="false" customHeight="false" outlineLevel="0" collapsed="false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customFormat="false" ht="15.75" hidden="false" customHeight="false" outlineLevel="0" collapsed="false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customFormat="false" ht="15.75" hidden="false" customHeight="false" outlineLevel="0" collapsed="false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customFormat="false" ht="15.75" hidden="false" customHeight="false" outlineLevel="0" collapsed="false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customFormat="false" ht="15.75" hidden="false" customHeight="false" outlineLevel="0" collapsed="false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customFormat="false" ht="15.75" hidden="false" customHeight="false" outlineLevel="0" collapsed="false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customFormat="false" ht="15.75" hidden="false" customHeight="false" outlineLevel="0" collapsed="false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customFormat="false" ht="15.75" hidden="false" customHeight="false" outlineLevel="0" collapsed="false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customFormat="false" ht="15.75" hidden="false" customHeight="false" outlineLevel="0" collapsed="false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customFormat="false" ht="15.75" hidden="false" customHeight="false" outlineLevel="0" collapsed="false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customFormat="false" ht="15.75" hidden="false" customHeight="false" outlineLevel="0" collapsed="false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customFormat="false" ht="15.75" hidden="false" customHeight="false" outlineLevel="0" collapsed="false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customFormat="false" ht="15.75" hidden="false" customHeight="false" outlineLevel="0" collapsed="false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customFormat="false" ht="15.75" hidden="false" customHeight="false" outlineLevel="0" collapsed="false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customFormat="false" ht="15.75" hidden="false" customHeight="false" outlineLevel="0" collapsed="false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customFormat="false" ht="15.75" hidden="false" customHeight="false" outlineLevel="0" collapsed="false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customFormat="false" ht="15.75" hidden="false" customHeight="false" outlineLevel="0" collapsed="false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customFormat="false" ht="15.75" hidden="false" customHeight="false" outlineLevel="0" collapsed="false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customFormat="false" ht="15.75" hidden="false" customHeight="false" outlineLevel="0" collapsed="false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customFormat="false" ht="15.75" hidden="false" customHeight="false" outlineLevel="0" collapsed="false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customFormat="false" ht="15.75" hidden="false" customHeight="false" outlineLevel="0" collapsed="false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customFormat="false" ht="15.75" hidden="false" customHeight="false" outlineLevel="0" collapsed="false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customFormat="false" ht="15.75" hidden="false" customHeight="false" outlineLevel="0" collapsed="false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customFormat="false" ht="15.75" hidden="false" customHeight="false" outlineLevel="0" collapsed="false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customFormat="false" ht="15.75" hidden="false" customHeight="false" outlineLevel="0" collapsed="false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customFormat="false" ht="15.75" hidden="false" customHeight="false" outlineLevel="0" collapsed="false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customFormat="false" ht="15.75" hidden="false" customHeight="false" outlineLevel="0" collapsed="false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customFormat="false" ht="15.75" hidden="false" customHeight="false" outlineLevel="0" collapsed="false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customFormat="false" ht="15.75" hidden="false" customHeight="false" outlineLevel="0" collapsed="false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customFormat="false" ht="15.75" hidden="false" customHeight="false" outlineLevel="0" collapsed="false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customFormat="false" ht="15.75" hidden="false" customHeight="false" outlineLevel="0" collapsed="false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customFormat="false" ht="15.75" hidden="false" customHeight="false" outlineLevel="0" collapsed="false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customFormat="false" ht="15.75" hidden="false" customHeight="false" outlineLevel="0" collapsed="false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customFormat="false" ht="15.75" hidden="false" customHeight="false" outlineLevel="0" collapsed="false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customFormat="false" ht="15.75" hidden="false" customHeight="false" outlineLevel="0" collapsed="false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customFormat="false" ht="15.75" hidden="false" customHeight="false" outlineLevel="0" collapsed="false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customFormat="false" ht="15.75" hidden="false" customHeight="false" outlineLevel="0" collapsed="false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customFormat="false" ht="15.75" hidden="false" customHeight="false" outlineLevel="0" collapsed="false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customFormat="false" ht="15.75" hidden="false" customHeight="false" outlineLevel="0" collapsed="false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customFormat="false" ht="15.75" hidden="false" customHeight="false" outlineLevel="0" collapsed="false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customFormat="false" ht="15.75" hidden="false" customHeight="false" outlineLevel="0" collapsed="false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customFormat="false" ht="15.75" hidden="false" customHeight="false" outlineLevel="0" collapsed="false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customFormat="false" ht="15.75" hidden="false" customHeight="false" outlineLevel="0" collapsed="false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customFormat="false" ht="15.75" hidden="false" customHeight="false" outlineLevel="0" collapsed="false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customFormat="false" ht="15.75" hidden="false" customHeight="false" outlineLevel="0" collapsed="false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customFormat="false" ht="15.75" hidden="false" customHeight="false" outlineLevel="0" collapsed="false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customFormat="false" ht="15.75" hidden="false" customHeight="false" outlineLevel="0" collapsed="false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customFormat="false" ht="15.75" hidden="false" customHeight="false" outlineLevel="0" collapsed="false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customFormat="false" ht="15.75" hidden="false" customHeight="false" outlineLevel="0" collapsed="false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customFormat="false" ht="15.75" hidden="false" customHeight="false" outlineLevel="0" collapsed="false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customFormat="false" ht="15.75" hidden="false" customHeight="false" outlineLevel="0" collapsed="false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customFormat="false" ht="15.75" hidden="false" customHeight="false" outlineLevel="0" collapsed="false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customFormat="false" ht="15.75" hidden="false" customHeight="false" outlineLevel="0" collapsed="false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customFormat="false" ht="15.75" hidden="false" customHeight="false" outlineLevel="0" collapsed="false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customFormat="false" ht="15.75" hidden="false" customHeight="false" outlineLevel="0" collapsed="false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customFormat="false" ht="15.75" hidden="false" customHeight="false" outlineLevel="0" collapsed="false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customFormat="false" ht="15.75" hidden="false" customHeight="false" outlineLevel="0" collapsed="false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customFormat="false" ht="15.75" hidden="false" customHeight="false" outlineLevel="0" collapsed="false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customFormat="false" ht="15.75" hidden="false" customHeight="false" outlineLevel="0" collapsed="false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customFormat="false" ht="15.75" hidden="false" customHeight="false" outlineLevel="0" collapsed="false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customFormat="false" ht="15.75" hidden="false" customHeight="false" outlineLevel="0" collapsed="false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customFormat="false" ht="15.75" hidden="false" customHeight="false" outlineLevel="0" collapsed="false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customFormat="false" ht="15.75" hidden="false" customHeight="false" outlineLevel="0" collapsed="false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customFormat="false" ht="15.75" hidden="false" customHeight="false" outlineLevel="0" collapsed="false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customFormat="false" ht="15.75" hidden="false" customHeight="false" outlineLevel="0" collapsed="false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customFormat="false" ht="15.75" hidden="false" customHeight="false" outlineLevel="0" collapsed="false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customFormat="false" ht="15.75" hidden="false" customHeight="false" outlineLevel="0" collapsed="false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customFormat="false" ht="15.75" hidden="false" customHeight="false" outlineLevel="0" collapsed="false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customFormat="false" ht="15.75" hidden="false" customHeight="false" outlineLevel="0" collapsed="false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customFormat="false" ht="15.75" hidden="false" customHeight="false" outlineLevel="0" collapsed="false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customFormat="false" ht="15.75" hidden="false" customHeight="false" outlineLevel="0" collapsed="false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customFormat="false" ht="15.75" hidden="false" customHeight="false" outlineLevel="0" collapsed="false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customFormat="false" ht="15.75" hidden="false" customHeight="false" outlineLevel="0" collapsed="false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customFormat="false" ht="15.75" hidden="false" customHeight="false" outlineLevel="0" collapsed="false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customFormat="false" ht="15.75" hidden="false" customHeight="false" outlineLevel="0" collapsed="false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customFormat="false" ht="15.75" hidden="false" customHeight="false" outlineLevel="0" collapsed="false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customFormat="false" ht="15.75" hidden="false" customHeight="false" outlineLevel="0" collapsed="false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customFormat="false" ht="15.75" hidden="false" customHeight="false" outlineLevel="0" collapsed="false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customFormat="false" ht="15.75" hidden="false" customHeight="false" outlineLevel="0" collapsed="false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customFormat="false" ht="15.75" hidden="false" customHeight="false" outlineLevel="0" collapsed="false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customFormat="false" ht="15.75" hidden="false" customHeight="false" outlineLevel="0" collapsed="false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customFormat="false" ht="15.75" hidden="false" customHeight="false" outlineLevel="0" collapsed="false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customFormat="false" ht="15.75" hidden="false" customHeight="false" outlineLevel="0" collapsed="false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customFormat="false" ht="15.75" hidden="false" customHeight="false" outlineLevel="0" collapsed="false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customFormat="false" ht="15.75" hidden="false" customHeight="false" outlineLevel="0" collapsed="false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customFormat="false" ht="15.75" hidden="false" customHeight="false" outlineLevel="0" collapsed="false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customFormat="false" ht="15.75" hidden="false" customHeight="false" outlineLevel="0" collapsed="false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customFormat="false" ht="15.75" hidden="false" customHeight="false" outlineLevel="0" collapsed="false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customFormat="false" ht="15.75" hidden="false" customHeight="false" outlineLevel="0" collapsed="false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customFormat="false" ht="15.75" hidden="false" customHeight="false" outlineLevel="0" collapsed="false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customFormat="false" ht="15.75" hidden="false" customHeight="false" outlineLevel="0" collapsed="false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customFormat="false" ht="15.75" hidden="false" customHeight="false" outlineLevel="0" collapsed="false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customFormat="false" ht="15.75" hidden="false" customHeight="false" outlineLevel="0" collapsed="false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customFormat="false" ht="15.75" hidden="false" customHeight="false" outlineLevel="0" collapsed="false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customFormat="false" ht="15.75" hidden="false" customHeight="false" outlineLevel="0" collapsed="false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customFormat="false" ht="15.75" hidden="false" customHeight="false" outlineLevel="0" collapsed="false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customFormat="false" ht="15.75" hidden="false" customHeight="false" outlineLevel="0" collapsed="false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customFormat="false" ht="15.75" hidden="false" customHeight="false" outlineLevel="0" collapsed="false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customFormat="false" ht="15.75" hidden="false" customHeight="false" outlineLevel="0" collapsed="false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customFormat="false" ht="15.75" hidden="false" customHeight="false" outlineLevel="0" collapsed="false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customFormat="false" ht="15.75" hidden="false" customHeight="false" outlineLevel="0" collapsed="false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customFormat="false" ht="15.75" hidden="false" customHeight="false" outlineLevel="0" collapsed="false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customFormat="false" ht="15.75" hidden="false" customHeight="false" outlineLevel="0" collapsed="false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customFormat="false" ht="15.75" hidden="false" customHeight="false" outlineLevel="0" collapsed="false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30"/>
      <c r="B1" s="135"/>
      <c r="C1" s="130"/>
      <c r="D1" s="130"/>
      <c r="E1" s="136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</row>
    <row r="2" customFormat="false" ht="15.75" hidden="false" customHeight="false" outlineLevel="0" collapsed="false">
      <c r="A2" s="130"/>
      <c r="B2" s="130"/>
      <c r="C2" s="130"/>
      <c r="D2" s="130"/>
      <c r="E2" s="136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</row>
    <row r="3" customFormat="false" ht="15.75" hidden="false" customHeight="false" outlineLevel="0" collapsed="false">
      <c r="A3" s="130"/>
      <c r="B3" s="130"/>
      <c r="C3" s="130"/>
      <c r="D3" s="130"/>
      <c r="E3" s="136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customFormat="false" ht="15.75" hidden="false" customHeight="false" outlineLevel="0" collapsed="false">
      <c r="A4" s="130"/>
      <c r="B4" s="130"/>
      <c r="C4" s="130"/>
      <c r="D4" s="130"/>
      <c r="E4" s="136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</row>
    <row r="5" customFormat="false" ht="15.75" hidden="false" customHeight="false" outlineLevel="0" collapsed="false">
      <c r="A5" s="130"/>
      <c r="B5" s="130"/>
      <c r="C5" s="130"/>
      <c r="D5" s="130"/>
      <c r="E5" s="136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</row>
    <row r="6" customFormat="false" ht="15.75" hidden="false" customHeight="false" outlineLevel="0" collapsed="false">
      <c r="A6" s="130"/>
      <c r="B6" s="130"/>
      <c r="C6" s="130"/>
      <c r="D6" s="130"/>
      <c r="E6" s="136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</row>
    <row r="7" customFormat="false" ht="15.75" hidden="false" customHeight="false" outlineLevel="0" collapsed="false">
      <c r="A7" s="130"/>
      <c r="B7" s="130"/>
      <c r="C7" s="130"/>
      <c r="D7" s="130"/>
      <c r="E7" s="136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</row>
    <row r="8" customFormat="false" ht="15.75" hidden="false" customHeight="false" outlineLevel="0" collapsed="false">
      <c r="A8" s="130"/>
      <c r="B8" s="130"/>
      <c r="C8" s="130"/>
      <c r="D8" s="130"/>
      <c r="E8" s="136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</row>
    <row r="9" customFormat="false" ht="15.75" hidden="false" customHeight="false" outlineLevel="0" collapsed="false">
      <c r="A9" s="130"/>
      <c r="B9" s="130"/>
      <c r="C9" s="130"/>
      <c r="D9" s="130"/>
      <c r="E9" s="136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</row>
    <row r="10" customFormat="false" ht="15.75" hidden="false" customHeight="false" outlineLevel="0" collapsed="false">
      <c r="A10" s="130"/>
      <c r="B10" s="130"/>
      <c r="C10" s="130"/>
      <c r="D10" s="130"/>
      <c r="E10" s="136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</row>
    <row r="11" customFormat="false" ht="15.75" hidden="false" customHeight="false" outlineLevel="0" collapsed="false">
      <c r="A11" s="130"/>
      <c r="B11" s="130"/>
      <c r="C11" s="130"/>
      <c r="D11" s="130"/>
      <c r="E11" s="136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</row>
    <row r="12" customFormat="false" ht="15.75" hidden="false" customHeight="false" outlineLevel="0" collapsed="false">
      <c r="A12" s="130"/>
      <c r="B12" s="130"/>
      <c r="C12" s="130"/>
      <c r="D12" s="130"/>
      <c r="E12" s="136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</row>
    <row r="13" customFormat="false" ht="15.75" hidden="false" customHeight="false" outlineLevel="0" collapsed="false">
      <c r="A13" s="130"/>
      <c r="B13" s="130"/>
      <c r="C13" s="130"/>
      <c r="D13" s="130"/>
      <c r="E13" s="13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</row>
    <row r="14" customFormat="false" ht="15.75" hidden="false" customHeight="false" outlineLevel="0" collapsed="false">
      <c r="A14" s="130"/>
      <c r="B14" s="130"/>
      <c r="C14" s="130"/>
      <c r="D14" s="130"/>
      <c r="E14" s="136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</row>
    <row r="15" customFormat="false" ht="15.75" hidden="false" customHeight="false" outlineLevel="0" collapsed="false">
      <c r="A15" s="130"/>
      <c r="B15" s="130"/>
      <c r="C15" s="130"/>
      <c r="D15" s="130"/>
      <c r="E15" s="136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</row>
    <row r="16" customFormat="false" ht="15.75" hidden="false" customHeight="false" outlineLevel="0" collapsed="false">
      <c r="A16" s="130"/>
      <c r="B16" s="130"/>
      <c r="C16" s="130"/>
      <c r="D16" s="130"/>
      <c r="E16" s="136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</row>
    <row r="17" customFormat="false" ht="15.75" hidden="false" customHeight="false" outlineLevel="0" collapsed="false">
      <c r="A17" s="130"/>
      <c r="B17" s="130"/>
      <c r="C17" s="130"/>
      <c r="D17" s="130"/>
      <c r="E17" s="136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</row>
    <row r="18" customFormat="false" ht="15.75" hidden="false" customHeight="false" outlineLevel="0" collapsed="false">
      <c r="A18" s="130"/>
      <c r="B18" s="130"/>
      <c r="C18" s="130"/>
      <c r="D18" s="130"/>
      <c r="E18" s="136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</row>
    <row r="19" customFormat="false" ht="15.75" hidden="false" customHeight="false" outlineLevel="0" collapsed="false">
      <c r="A19" s="130"/>
      <c r="B19" s="130"/>
      <c r="C19" s="130"/>
      <c r="D19" s="130"/>
      <c r="E19" s="136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</row>
    <row r="20" customFormat="false" ht="15.75" hidden="false" customHeight="false" outlineLevel="0" collapsed="false">
      <c r="A20" s="130"/>
      <c r="B20" s="130"/>
      <c r="C20" s="130"/>
      <c r="D20" s="130"/>
      <c r="E20" s="136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</row>
    <row r="21" customFormat="false" ht="15.75" hidden="false" customHeight="false" outlineLevel="0" collapsed="false">
      <c r="A21" s="130" t="str">
        <f aca="false">IF(ISBLANK(B21),"",B21&amp;"|"&amp;C21)</f>
        <v/>
      </c>
      <c r="B21" s="130"/>
      <c r="C21" s="130"/>
      <c r="D21" s="130"/>
      <c r="E21" s="136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</row>
    <row r="22" customFormat="false" ht="15.75" hidden="false" customHeight="false" outlineLevel="0" collapsed="false">
      <c r="A22" s="130" t="str">
        <f aca="false">IF(ISBLANK(B22),"",B22&amp;"|"&amp;C22)</f>
        <v/>
      </c>
      <c r="B22" s="130"/>
      <c r="C22" s="130"/>
      <c r="D22" s="130"/>
      <c r="E22" s="136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</row>
    <row r="23" customFormat="false" ht="15.75" hidden="false" customHeight="false" outlineLevel="0" collapsed="false">
      <c r="A23" s="130" t="str">
        <f aca="false">IF(ISBLANK(B23),"",B23&amp;"|"&amp;C23)</f>
        <v/>
      </c>
      <c r="B23" s="130"/>
      <c r="C23" s="130"/>
      <c r="D23" s="130"/>
      <c r="E23" s="136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</row>
    <row r="24" customFormat="false" ht="15.75" hidden="false" customHeight="false" outlineLevel="0" collapsed="false">
      <c r="A24" s="130" t="str">
        <f aca="false">IF(ISBLANK(B24),"",B24&amp;"|"&amp;C24)</f>
        <v/>
      </c>
      <c r="B24" s="130"/>
      <c r="C24" s="130"/>
      <c r="D24" s="130"/>
      <c r="E24" s="136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</row>
    <row r="25" customFormat="false" ht="15.75" hidden="false" customHeight="false" outlineLevel="0" collapsed="false">
      <c r="A25" s="130" t="str">
        <f aca="false">IF(ISBLANK(B25),"",B25&amp;"|"&amp;C25)</f>
        <v/>
      </c>
      <c r="B25" s="130"/>
      <c r="C25" s="130"/>
      <c r="D25" s="130"/>
      <c r="E25" s="136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</row>
    <row r="26" customFormat="false" ht="15.75" hidden="false" customHeight="false" outlineLevel="0" collapsed="false">
      <c r="A26" s="130" t="str">
        <f aca="false">IF(ISBLANK(B26),"",B26&amp;"|"&amp;C26)</f>
        <v/>
      </c>
      <c r="B26" s="130"/>
      <c r="C26" s="130"/>
      <c r="D26" s="130"/>
      <c r="E26" s="136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</row>
    <row r="27" customFormat="false" ht="15.75" hidden="false" customHeight="false" outlineLevel="0" collapsed="false">
      <c r="A27" s="130" t="str">
        <f aca="false">IF(ISBLANK(B27),"",B27&amp;"|"&amp;C27)</f>
        <v/>
      </c>
      <c r="B27" s="130"/>
      <c r="C27" s="130"/>
      <c r="D27" s="130"/>
      <c r="E27" s="136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</row>
    <row r="28" customFormat="false" ht="15.75" hidden="false" customHeight="false" outlineLevel="0" collapsed="false">
      <c r="A28" s="130" t="str">
        <f aca="false">IF(ISBLANK(B28),"",B28&amp;"|"&amp;C28)</f>
        <v/>
      </c>
      <c r="B28" s="130"/>
      <c r="C28" s="130"/>
      <c r="D28" s="130"/>
      <c r="E28" s="136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</row>
    <row r="29" customFormat="false" ht="15.75" hidden="false" customHeight="false" outlineLevel="0" collapsed="false">
      <c r="A29" s="130" t="str">
        <f aca="false">IF(ISBLANK(B29),"",B29&amp;"|"&amp;C29)</f>
        <v/>
      </c>
      <c r="B29" s="130"/>
      <c r="C29" s="130"/>
      <c r="D29" s="130"/>
      <c r="E29" s="136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</row>
    <row r="30" customFormat="false" ht="15.75" hidden="false" customHeight="false" outlineLevel="0" collapsed="false">
      <c r="A30" s="130" t="str">
        <f aca="false">IF(ISBLANK(B30),"",B30&amp;"|"&amp;C30)</f>
        <v/>
      </c>
      <c r="B30" s="130"/>
      <c r="C30" s="130"/>
      <c r="D30" s="130"/>
      <c r="E30" s="136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</row>
    <row r="31" customFormat="false" ht="15.75" hidden="false" customHeight="false" outlineLevel="0" collapsed="false">
      <c r="A31" s="130" t="str">
        <f aca="false">IF(ISBLANK(B31),"",B31&amp;"|"&amp;C31)</f>
        <v/>
      </c>
      <c r="B31" s="130"/>
      <c r="C31" s="130"/>
      <c r="D31" s="130"/>
      <c r="E31" s="136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</row>
    <row r="32" customFormat="false" ht="15.75" hidden="false" customHeight="false" outlineLevel="0" collapsed="false">
      <c r="A32" s="130" t="str">
        <f aca="false">IF(ISBLANK(B32),"",B32&amp;"|"&amp;C32)</f>
        <v/>
      </c>
      <c r="B32" s="130"/>
      <c r="C32" s="130"/>
      <c r="D32" s="130"/>
      <c r="E32" s="136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</row>
    <row r="33" customFormat="false" ht="15.75" hidden="false" customHeight="false" outlineLevel="0" collapsed="false">
      <c r="A33" s="130" t="str">
        <f aca="false">IF(ISBLANK(B33),"",B33&amp;"|"&amp;C33)</f>
        <v/>
      </c>
      <c r="B33" s="130"/>
      <c r="C33" s="130"/>
      <c r="D33" s="130"/>
      <c r="E33" s="136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</row>
    <row r="34" customFormat="false" ht="15.75" hidden="false" customHeight="false" outlineLevel="0" collapsed="false">
      <c r="A34" s="130" t="str">
        <f aca="false">IF(ISBLANK(B34),"",B34&amp;"|"&amp;C34)</f>
        <v/>
      </c>
      <c r="B34" s="130"/>
      <c r="C34" s="130"/>
      <c r="D34" s="130"/>
      <c r="E34" s="136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</row>
    <row r="35" customFormat="false" ht="15.75" hidden="false" customHeight="false" outlineLevel="0" collapsed="false">
      <c r="A35" s="130" t="str">
        <f aca="false">IF(ISBLANK(B35),"",B35&amp;"|"&amp;C35)</f>
        <v/>
      </c>
      <c r="B35" s="130"/>
      <c r="C35" s="130"/>
      <c r="D35" s="130"/>
      <c r="E35" s="136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</row>
    <row r="36" customFormat="false" ht="15.75" hidden="false" customHeight="false" outlineLevel="0" collapsed="false">
      <c r="A36" s="130" t="str">
        <f aca="false">IF(ISBLANK(B36),"",B36&amp;"|"&amp;C36)</f>
        <v/>
      </c>
      <c r="B36" s="130"/>
      <c r="C36" s="130"/>
      <c r="D36" s="130"/>
      <c r="E36" s="136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</row>
    <row r="37" customFormat="false" ht="15.75" hidden="false" customHeight="false" outlineLevel="0" collapsed="false">
      <c r="A37" s="130" t="str">
        <f aca="false">IF(ISBLANK(B37),"",B37&amp;"|"&amp;C37)</f>
        <v/>
      </c>
      <c r="B37" s="130"/>
      <c r="C37" s="130"/>
      <c r="D37" s="130"/>
      <c r="E37" s="136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</row>
    <row r="38" customFormat="false" ht="15.75" hidden="false" customHeight="false" outlineLevel="0" collapsed="false">
      <c r="A38" s="130" t="str">
        <f aca="false">IF(ISBLANK(B38),"",B38&amp;"|"&amp;C38)</f>
        <v/>
      </c>
      <c r="B38" s="130"/>
      <c r="C38" s="130"/>
      <c r="D38" s="130"/>
      <c r="E38" s="136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</row>
    <row r="39" customFormat="false" ht="15.75" hidden="false" customHeight="false" outlineLevel="0" collapsed="false">
      <c r="A39" s="130" t="str">
        <f aca="false">IF(ISBLANK(B39),"",B39&amp;"|"&amp;C39)</f>
        <v/>
      </c>
      <c r="B39" s="130"/>
      <c r="C39" s="130"/>
      <c r="D39" s="130"/>
      <c r="E39" s="136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</row>
    <row r="40" customFormat="false" ht="15.75" hidden="false" customHeight="false" outlineLevel="0" collapsed="false">
      <c r="A40" s="130" t="str">
        <f aca="false">IF(ISBLANK(B40),"",B40&amp;"|"&amp;C40)</f>
        <v/>
      </c>
      <c r="B40" s="130"/>
      <c r="C40" s="130"/>
      <c r="D40" s="130"/>
      <c r="E40" s="136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</row>
    <row r="41" customFormat="false" ht="15.75" hidden="false" customHeight="false" outlineLevel="0" collapsed="false">
      <c r="A41" s="130" t="str">
        <f aca="false">IF(ISBLANK(B41),"",B41&amp;"|"&amp;C41)</f>
        <v/>
      </c>
      <c r="B41" s="130"/>
      <c r="C41" s="130"/>
      <c r="D41" s="130"/>
      <c r="E41" s="136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</row>
    <row r="42" customFormat="false" ht="15.75" hidden="false" customHeight="false" outlineLevel="0" collapsed="false">
      <c r="A42" s="130" t="str">
        <f aca="false">IF(ISBLANK(B42),"",B42&amp;"|"&amp;C42)</f>
        <v/>
      </c>
      <c r="B42" s="130"/>
      <c r="C42" s="130"/>
      <c r="D42" s="130"/>
      <c r="E42" s="136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</row>
    <row r="43" customFormat="false" ht="15.75" hidden="false" customHeight="false" outlineLevel="0" collapsed="false">
      <c r="A43" s="130" t="str">
        <f aca="false">IF(ISBLANK(B43),"",B43&amp;"|"&amp;C43)</f>
        <v/>
      </c>
      <c r="B43" s="130"/>
      <c r="C43" s="130"/>
      <c r="D43" s="130"/>
      <c r="E43" s="136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</row>
    <row r="44" customFormat="false" ht="15.75" hidden="false" customHeight="false" outlineLevel="0" collapsed="false">
      <c r="A44" s="130" t="str">
        <f aca="false">IF(ISBLANK(B44),"",B44&amp;"|"&amp;C44)</f>
        <v/>
      </c>
      <c r="B44" s="130"/>
      <c r="C44" s="130"/>
      <c r="D44" s="130"/>
      <c r="E44" s="136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</row>
    <row r="45" customFormat="false" ht="15.75" hidden="false" customHeight="false" outlineLevel="0" collapsed="false">
      <c r="A45" s="130" t="str">
        <f aca="false">IF(ISBLANK(B45),"",B45&amp;"|"&amp;C45)</f>
        <v/>
      </c>
      <c r="B45" s="130"/>
      <c r="C45" s="130"/>
      <c r="D45" s="130"/>
      <c r="E45" s="136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</row>
    <row r="46" customFormat="false" ht="15.75" hidden="false" customHeight="false" outlineLevel="0" collapsed="false">
      <c r="A46" s="130" t="str">
        <f aca="false">IF(ISBLANK(B46),"",B46&amp;"|"&amp;C46)</f>
        <v/>
      </c>
      <c r="B46" s="130"/>
      <c r="C46" s="130"/>
      <c r="D46" s="130"/>
      <c r="E46" s="136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</row>
    <row r="47" customFormat="false" ht="15.75" hidden="false" customHeight="false" outlineLevel="0" collapsed="false">
      <c r="A47" s="130" t="str">
        <f aca="false">IF(ISBLANK(B47),"",B47&amp;"|"&amp;C47)</f>
        <v/>
      </c>
      <c r="B47" s="130"/>
      <c r="C47" s="130"/>
      <c r="D47" s="130"/>
      <c r="E47" s="136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</row>
    <row r="48" customFormat="false" ht="15.75" hidden="false" customHeight="false" outlineLevel="0" collapsed="false">
      <c r="A48" s="130" t="str">
        <f aca="false">IF(ISBLANK(B48),"",B48&amp;"|"&amp;C48)</f>
        <v/>
      </c>
      <c r="B48" s="130"/>
      <c r="C48" s="130"/>
      <c r="D48" s="130"/>
      <c r="E48" s="136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</row>
    <row r="49" customFormat="false" ht="15.75" hidden="false" customHeight="false" outlineLevel="0" collapsed="false">
      <c r="A49" s="130" t="str">
        <f aca="false">IF(ISBLANK(B49),"",B49&amp;"|"&amp;C49)</f>
        <v/>
      </c>
      <c r="B49" s="130"/>
      <c r="C49" s="130"/>
      <c r="D49" s="130"/>
      <c r="E49" s="136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</row>
    <row r="50" customFormat="false" ht="15.75" hidden="false" customHeight="false" outlineLevel="0" collapsed="false">
      <c r="A50" s="130" t="str">
        <f aca="false">IF(ISBLANK(B50),"",B50&amp;"|"&amp;C50)</f>
        <v/>
      </c>
      <c r="B50" s="130"/>
      <c r="C50" s="130"/>
      <c r="D50" s="130"/>
      <c r="E50" s="136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</row>
    <row r="51" customFormat="false" ht="15.75" hidden="false" customHeight="false" outlineLevel="0" collapsed="false">
      <c r="A51" s="130" t="str">
        <f aca="false">IF(ISBLANK(B51),"",B51&amp;"|"&amp;C51)</f>
        <v/>
      </c>
      <c r="B51" s="130"/>
      <c r="C51" s="130"/>
      <c r="D51" s="130"/>
      <c r="E51" s="136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</row>
    <row r="52" customFormat="false" ht="15.75" hidden="false" customHeight="false" outlineLevel="0" collapsed="false">
      <c r="A52" s="130" t="str">
        <f aca="false">IF(ISBLANK(B52),"",B52&amp;"|"&amp;C52)</f>
        <v/>
      </c>
      <c r="B52" s="130"/>
      <c r="C52" s="130"/>
      <c r="D52" s="130"/>
      <c r="E52" s="136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</row>
    <row r="53" customFormat="false" ht="15.75" hidden="false" customHeight="false" outlineLevel="0" collapsed="false">
      <c r="A53" s="130" t="str">
        <f aca="false">IF(ISBLANK(B53),"",B53&amp;"|"&amp;C53)</f>
        <v/>
      </c>
      <c r="B53" s="130"/>
      <c r="C53" s="130"/>
      <c r="D53" s="130"/>
      <c r="E53" s="136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</row>
    <row r="54" customFormat="false" ht="15.75" hidden="false" customHeight="false" outlineLevel="0" collapsed="false">
      <c r="A54" s="130" t="str">
        <f aca="false">IF(ISBLANK(B54),"",B54&amp;"|"&amp;C54)</f>
        <v/>
      </c>
      <c r="B54" s="130"/>
      <c r="C54" s="130"/>
      <c r="D54" s="130"/>
      <c r="E54" s="136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</row>
    <row r="55" customFormat="false" ht="15.75" hidden="false" customHeight="false" outlineLevel="0" collapsed="false">
      <c r="A55" s="130" t="str">
        <f aca="false">IF(ISBLANK(B55),"",B55&amp;"|"&amp;C55)</f>
        <v/>
      </c>
      <c r="B55" s="130"/>
      <c r="C55" s="130"/>
      <c r="D55" s="130"/>
      <c r="E55" s="136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</row>
    <row r="56" customFormat="false" ht="15.75" hidden="false" customHeight="false" outlineLevel="0" collapsed="false">
      <c r="A56" s="130" t="str">
        <f aca="false">IF(ISBLANK(B56),"",B56&amp;"|"&amp;C56)</f>
        <v/>
      </c>
      <c r="B56" s="130"/>
      <c r="C56" s="130"/>
      <c r="D56" s="130"/>
      <c r="E56" s="136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</row>
    <row r="57" customFormat="false" ht="15.75" hidden="false" customHeight="false" outlineLevel="0" collapsed="false">
      <c r="A57" s="130" t="str">
        <f aca="false">IF(ISBLANK(B57),"",B57&amp;"|"&amp;C57)</f>
        <v/>
      </c>
      <c r="B57" s="130"/>
      <c r="C57" s="130"/>
      <c r="D57" s="130"/>
      <c r="E57" s="136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</row>
    <row r="58" customFormat="false" ht="15.75" hidden="false" customHeight="false" outlineLevel="0" collapsed="false">
      <c r="A58" s="130" t="str">
        <f aca="false">IF(ISBLANK(B58),"",B58&amp;"|"&amp;C58)</f>
        <v/>
      </c>
      <c r="B58" s="130"/>
      <c r="C58" s="130"/>
      <c r="D58" s="130"/>
      <c r="E58" s="136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</row>
    <row r="59" customFormat="false" ht="15.75" hidden="false" customHeight="false" outlineLevel="0" collapsed="false">
      <c r="A59" s="130" t="str">
        <f aca="false">IF(ISBLANK(B59),"",B59&amp;"|"&amp;C59)</f>
        <v/>
      </c>
      <c r="B59" s="130"/>
      <c r="C59" s="130"/>
      <c r="D59" s="130"/>
      <c r="E59" s="136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</row>
    <row r="60" customFormat="false" ht="15.75" hidden="false" customHeight="false" outlineLevel="0" collapsed="false">
      <c r="A60" s="130" t="str">
        <f aca="false">IF(ISBLANK(B60),"",B60&amp;"|"&amp;C60)</f>
        <v/>
      </c>
      <c r="B60" s="130"/>
      <c r="C60" s="130"/>
      <c r="D60" s="130"/>
      <c r="E60" s="136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</row>
    <row r="61" customFormat="false" ht="15.75" hidden="false" customHeight="false" outlineLevel="0" collapsed="false">
      <c r="A61" s="130" t="str">
        <f aca="false">IF(ISBLANK(B61),"",B61&amp;"|"&amp;C61)</f>
        <v/>
      </c>
      <c r="B61" s="130"/>
      <c r="C61" s="130"/>
      <c r="D61" s="130"/>
      <c r="E61" s="136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</row>
    <row r="62" customFormat="false" ht="15.75" hidden="false" customHeight="false" outlineLevel="0" collapsed="false">
      <c r="A62" s="130" t="str">
        <f aca="false">IF(ISBLANK(B62),"",B62&amp;"|"&amp;C62)</f>
        <v/>
      </c>
      <c r="B62" s="130"/>
      <c r="C62" s="130"/>
      <c r="D62" s="130"/>
      <c r="E62" s="136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</row>
    <row r="63" customFormat="false" ht="15.75" hidden="false" customHeight="false" outlineLevel="0" collapsed="false">
      <c r="A63" s="130" t="str">
        <f aca="false">IF(ISBLANK(B63),"",B63&amp;"|"&amp;C63)</f>
        <v/>
      </c>
      <c r="B63" s="130"/>
      <c r="C63" s="130"/>
      <c r="D63" s="130"/>
      <c r="E63" s="136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</row>
    <row r="64" customFormat="false" ht="15.75" hidden="false" customHeight="false" outlineLevel="0" collapsed="false">
      <c r="A64" s="130" t="str">
        <f aca="false">IF(ISBLANK(B64),"",B64&amp;"|"&amp;C64)</f>
        <v/>
      </c>
      <c r="B64" s="130"/>
      <c r="C64" s="130"/>
      <c r="D64" s="130"/>
      <c r="E64" s="136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</row>
    <row r="65" customFormat="false" ht="15.75" hidden="false" customHeight="false" outlineLevel="0" collapsed="false">
      <c r="A65" s="130" t="str">
        <f aca="false">IF(ISBLANK(B65),"",B65&amp;"|"&amp;C65)</f>
        <v/>
      </c>
      <c r="B65" s="130"/>
      <c r="C65" s="130"/>
      <c r="D65" s="130"/>
      <c r="E65" s="136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</row>
    <row r="66" customFormat="false" ht="15.75" hidden="false" customHeight="false" outlineLevel="0" collapsed="false">
      <c r="A66" s="130" t="str">
        <f aca="false">IF(ISBLANK(B66),"",B66&amp;"|"&amp;C66)</f>
        <v/>
      </c>
      <c r="B66" s="130"/>
      <c r="C66" s="130"/>
      <c r="D66" s="130"/>
      <c r="E66" s="136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</row>
    <row r="67" customFormat="false" ht="15.75" hidden="false" customHeight="false" outlineLevel="0" collapsed="false">
      <c r="A67" s="130" t="str">
        <f aca="false">IF(ISBLANK(B67),"",B67&amp;"|"&amp;C67)</f>
        <v/>
      </c>
      <c r="B67" s="130"/>
      <c r="C67" s="130"/>
      <c r="D67" s="130"/>
      <c r="E67" s="136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</row>
    <row r="68" customFormat="false" ht="15.75" hidden="false" customHeight="false" outlineLevel="0" collapsed="false">
      <c r="A68" s="130" t="str">
        <f aca="false">IF(ISBLANK(B68),"",B68&amp;"|"&amp;C68)</f>
        <v/>
      </c>
      <c r="B68" s="130"/>
      <c r="C68" s="130"/>
      <c r="D68" s="130"/>
      <c r="E68" s="136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</row>
    <row r="69" customFormat="false" ht="15.75" hidden="false" customHeight="false" outlineLevel="0" collapsed="false">
      <c r="A69" s="130" t="str">
        <f aca="false">IF(ISBLANK(B69),"",B69&amp;"|"&amp;C69)</f>
        <v/>
      </c>
      <c r="B69" s="130"/>
      <c r="C69" s="130"/>
      <c r="D69" s="130"/>
      <c r="E69" s="136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</row>
    <row r="70" customFormat="false" ht="15.75" hidden="false" customHeight="false" outlineLevel="0" collapsed="false">
      <c r="A70" s="130" t="str">
        <f aca="false">IF(ISBLANK(B70),"",B70&amp;"|"&amp;C70)</f>
        <v/>
      </c>
      <c r="B70" s="130"/>
      <c r="C70" s="130"/>
      <c r="D70" s="130"/>
      <c r="E70" s="136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</row>
    <row r="71" customFormat="false" ht="15.75" hidden="false" customHeight="false" outlineLevel="0" collapsed="false">
      <c r="A71" s="130" t="str">
        <f aca="false">IF(ISBLANK(B71),"",B71&amp;"|"&amp;C71)</f>
        <v/>
      </c>
      <c r="B71" s="130"/>
      <c r="C71" s="130"/>
      <c r="D71" s="130"/>
      <c r="E71" s="136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</row>
    <row r="72" customFormat="false" ht="15.75" hidden="false" customHeight="false" outlineLevel="0" collapsed="false">
      <c r="A72" s="130" t="str">
        <f aca="false">IF(ISBLANK(B72),"",B72&amp;"|"&amp;C72)</f>
        <v/>
      </c>
      <c r="B72" s="130"/>
      <c r="C72" s="130"/>
      <c r="D72" s="130"/>
      <c r="E72" s="136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</row>
    <row r="73" customFormat="false" ht="15.75" hidden="false" customHeight="false" outlineLevel="0" collapsed="false">
      <c r="A73" s="130" t="str">
        <f aca="false">IF(ISBLANK(B73),"",B73&amp;"|"&amp;C73)</f>
        <v/>
      </c>
      <c r="B73" s="130"/>
      <c r="C73" s="130"/>
      <c r="D73" s="130"/>
      <c r="E73" s="136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</row>
    <row r="74" customFormat="false" ht="15.75" hidden="false" customHeight="false" outlineLevel="0" collapsed="false">
      <c r="A74" s="130" t="str">
        <f aca="false">IF(ISBLANK(B74),"",B74&amp;"|"&amp;C74)</f>
        <v/>
      </c>
      <c r="B74" s="130"/>
      <c r="C74" s="130"/>
      <c r="D74" s="130"/>
      <c r="E74" s="136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</row>
    <row r="75" customFormat="false" ht="15.75" hidden="false" customHeight="false" outlineLevel="0" collapsed="false">
      <c r="A75" s="130" t="str">
        <f aca="false">IF(ISBLANK(B75),"",B75&amp;"|"&amp;C75)</f>
        <v/>
      </c>
      <c r="B75" s="130"/>
      <c r="C75" s="130"/>
      <c r="D75" s="130"/>
      <c r="E75" s="136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</row>
    <row r="76" customFormat="false" ht="15.75" hidden="false" customHeight="false" outlineLevel="0" collapsed="false">
      <c r="A76" s="130" t="str">
        <f aca="false">IF(ISBLANK(B76),"",B76&amp;"|"&amp;C76)</f>
        <v/>
      </c>
      <c r="B76" s="130"/>
      <c r="C76" s="130"/>
      <c r="D76" s="130"/>
      <c r="E76" s="136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</row>
    <row r="77" customFormat="false" ht="15.75" hidden="false" customHeight="false" outlineLevel="0" collapsed="false">
      <c r="A77" s="130" t="str">
        <f aca="false">IF(ISBLANK(B77),"",B77&amp;"|"&amp;C77)</f>
        <v/>
      </c>
      <c r="B77" s="130"/>
      <c r="C77" s="130"/>
      <c r="D77" s="130"/>
      <c r="E77" s="136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</row>
    <row r="78" customFormat="false" ht="15.75" hidden="false" customHeight="false" outlineLevel="0" collapsed="false">
      <c r="A78" s="130" t="str">
        <f aca="false">IF(ISBLANK(B78),"",B78&amp;"|"&amp;C78)</f>
        <v/>
      </c>
      <c r="B78" s="130"/>
      <c r="C78" s="130"/>
      <c r="D78" s="130"/>
      <c r="E78" s="136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</row>
    <row r="79" customFormat="false" ht="15.75" hidden="false" customHeight="false" outlineLevel="0" collapsed="false">
      <c r="A79" s="130" t="str">
        <f aca="false">IF(ISBLANK(B79),"",B79&amp;"|"&amp;C79)</f>
        <v/>
      </c>
      <c r="B79" s="130"/>
      <c r="C79" s="130"/>
      <c r="D79" s="130"/>
      <c r="E79" s="136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</row>
    <row r="80" customFormat="false" ht="15.75" hidden="false" customHeight="false" outlineLevel="0" collapsed="false">
      <c r="A80" s="130" t="str">
        <f aca="false">IF(ISBLANK(B80),"",B80&amp;"|"&amp;C80)</f>
        <v/>
      </c>
      <c r="B80" s="130"/>
      <c r="C80" s="130"/>
      <c r="D80" s="130"/>
      <c r="E80" s="136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</row>
    <row r="81" customFormat="false" ht="15.75" hidden="false" customHeight="false" outlineLevel="0" collapsed="false">
      <c r="A81" s="130" t="str">
        <f aca="false">IF(ISBLANK(B81),"",B81&amp;"|"&amp;C81)</f>
        <v/>
      </c>
      <c r="B81" s="130"/>
      <c r="C81" s="130"/>
      <c r="D81" s="130"/>
      <c r="E81" s="136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</row>
    <row r="82" customFormat="false" ht="15.75" hidden="false" customHeight="false" outlineLevel="0" collapsed="false">
      <c r="A82" s="130" t="str">
        <f aca="false">IF(ISBLANK(B82),"",B82&amp;"|"&amp;C82)</f>
        <v/>
      </c>
      <c r="B82" s="130"/>
      <c r="C82" s="130"/>
      <c r="D82" s="130"/>
      <c r="E82" s="136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</row>
    <row r="83" customFormat="false" ht="15.75" hidden="false" customHeight="false" outlineLevel="0" collapsed="false">
      <c r="A83" s="130" t="str">
        <f aca="false">IF(ISBLANK(B83),"",B83&amp;"|"&amp;C83)</f>
        <v/>
      </c>
      <c r="B83" s="130"/>
      <c r="C83" s="130"/>
      <c r="D83" s="130"/>
      <c r="E83" s="136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</row>
    <row r="84" customFormat="false" ht="15.75" hidden="false" customHeight="false" outlineLevel="0" collapsed="false">
      <c r="A84" s="130" t="str">
        <f aca="false">IF(ISBLANK(B84),"",B84&amp;"|"&amp;C84)</f>
        <v/>
      </c>
      <c r="B84" s="130"/>
      <c r="C84" s="130"/>
      <c r="D84" s="130"/>
      <c r="E84" s="136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</row>
    <row r="85" customFormat="false" ht="15.75" hidden="false" customHeight="false" outlineLevel="0" collapsed="false">
      <c r="A85" s="130" t="str">
        <f aca="false">IF(ISBLANK(B85),"",B85&amp;"|"&amp;C85)</f>
        <v/>
      </c>
      <c r="B85" s="130"/>
      <c r="C85" s="130"/>
      <c r="D85" s="130"/>
      <c r="E85" s="136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</row>
    <row r="86" customFormat="false" ht="15.75" hidden="false" customHeight="false" outlineLevel="0" collapsed="false">
      <c r="A86" s="130" t="str">
        <f aca="false">IF(ISBLANK(B86),"",B86&amp;"|"&amp;C86)</f>
        <v/>
      </c>
      <c r="B86" s="130"/>
      <c r="C86" s="130"/>
      <c r="D86" s="130"/>
      <c r="E86" s="136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</row>
    <row r="87" customFormat="false" ht="15.75" hidden="false" customHeight="false" outlineLevel="0" collapsed="false">
      <c r="A87" s="130" t="str">
        <f aca="false">IF(ISBLANK(B87),"",B87&amp;"|"&amp;C87)</f>
        <v/>
      </c>
      <c r="B87" s="130"/>
      <c r="C87" s="130"/>
      <c r="D87" s="130"/>
      <c r="E87" s="136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</row>
    <row r="88" customFormat="false" ht="15.75" hidden="false" customHeight="false" outlineLevel="0" collapsed="false">
      <c r="A88" s="130" t="str">
        <f aca="false">IF(ISBLANK(B88),"",B88&amp;"|"&amp;C88)</f>
        <v/>
      </c>
      <c r="B88" s="130"/>
      <c r="C88" s="130"/>
      <c r="D88" s="130"/>
      <c r="E88" s="136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</row>
    <row r="89" customFormat="false" ht="15.75" hidden="false" customHeight="false" outlineLevel="0" collapsed="false">
      <c r="A89" s="130" t="str">
        <f aca="false">IF(ISBLANK(B89),"",B89&amp;"|"&amp;C89)</f>
        <v/>
      </c>
      <c r="B89" s="130"/>
      <c r="C89" s="130"/>
      <c r="D89" s="130"/>
      <c r="E89" s="136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</row>
    <row r="90" customFormat="false" ht="15.75" hidden="false" customHeight="false" outlineLevel="0" collapsed="false">
      <c r="A90" s="130" t="str">
        <f aca="false">IF(ISBLANK(B90),"",B90&amp;"|"&amp;C90)</f>
        <v/>
      </c>
      <c r="B90" s="130"/>
      <c r="C90" s="130"/>
      <c r="D90" s="130"/>
      <c r="E90" s="136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</row>
    <row r="91" customFormat="false" ht="15.75" hidden="false" customHeight="false" outlineLevel="0" collapsed="false">
      <c r="A91" s="130" t="str">
        <f aca="false">IF(ISBLANK(B91),"",B91&amp;"|"&amp;C91)</f>
        <v/>
      </c>
      <c r="B91" s="130"/>
      <c r="C91" s="130"/>
      <c r="D91" s="130"/>
      <c r="E91" s="136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</row>
    <row r="92" customFormat="false" ht="15.75" hidden="false" customHeight="false" outlineLevel="0" collapsed="false">
      <c r="A92" s="130" t="str">
        <f aca="false">IF(ISBLANK(B92),"",B92&amp;"|"&amp;C92)</f>
        <v/>
      </c>
      <c r="B92" s="130"/>
      <c r="C92" s="130"/>
      <c r="D92" s="130"/>
      <c r="E92" s="136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</row>
    <row r="93" customFormat="false" ht="15.75" hidden="false" customHeight="false" outlineLevel="0" collapsed="false">
      <c r="A93" s="130" t="str">
        <f aca="false">IF(ISBLANK(B93),"",B93&amp;"|"&amp;C93)</f>
        <v/>
      </c>
      <c r="B93" s="130"/>
      <c r="C93" s="130"/>
      <c r="D93" s="130"/>
      <c r="E93" s="136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</row>
    <row r="94" customFormat="false" ht="15.75" hidden="false" customHeight="false" outlineLevel="0" collapsed="false">
      <c r="A94" s="130" t="str">
        <f aca="false">IF(ISBLANK(B94),"",B94&amp;"|"&amp;C94)</f>
        <v/>
      </c>
      <c r="B94" s="130"/>
      <c r="C94" s="130"/>
      <c r="D94" s="130"/>
      <c r="E94" s="136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</row>
    <row r="95" customFormat="false" ht="15.75" hidden="false" customHeight="false" outlineLevel="0" collapsed="false">
      <c r="A95" s="130" t="str">
        <f aca="false">IF(ISBLANK(B95),"",B95&amp;"|"&amp;C95)</f>
        <v/>
      </c>
      <c r="B95" s="130"/>
      <c r="C95" s="130"/>
      <c r="D95" s="130"/>
      <c r="E95" s="136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</row>
    <row r="96" customFormat="false" ht="15.75" hidden="false" customHeight="false" outlineLevel="0" collapsed="false">
      <c r="A96" s="130" t="str">
        <f aca="false">IF(ISBLANK(B96),"",B96&amp;"|"&amp;C96)</f>
        <v/>
      </c>
      <c r="B96" s="130"/>
      <c r="C96" s="130"/>
      <c r="D96" s="130"/>
      <c r="E96" s="136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</row>
    <row r="97" customFormat="false" ht="15.75" hidden="false" customHeight="false" outlineLevel="0" collapsed="false">
      <c r="A97" s="130" t="str">
        <f aca="false">IF(ISBLANK(B97),"",B97&amp;"|"&amp;C97)</f>
        <v/>
      </c>
      <c r="B97" s="130"/>
      <c r="C97" s="130"/>
      <c r="D97" s="130"/>
      <c r="E97" s="136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</row>
    <row r="98" customFormat="false" ht="15.75" hidden="false" customHeight="false" outlineLevel="0" collapsed="false">
      <c r="A98" s="130" t="str">
        <f aca="false">IF(ISBLANK(B98),"",B98&amp;"|"&amp;C98)</f>
        <v/>
      </c>
      <c r="B98" s="130"/>
      <c r="C98" s="130"/>
      <c r="D98" s="130"/>
      <c r="E98" s="136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</row>
    <row r="99" customFormat="false" ht="15.75" hidden="false" customHeight="false" outlineLevel="0" collapsed="false">
      <c r="A99" s="130" t="str">
        <f aca="false">IF(ISBLANK(B99),"",B99&amp;"|"&amp;C99)</f>
        <v/>
      </c>
      <c r="B99" s="130"/>
      <c r="C99" s="130"/>
      <c r="D99" s="130"/>
      <c r="E99" s="136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</row>
    <row r="100" customFormat="false" ht="15.75" hidden="false" customHeight="false" outlineLevel="0" collapsed="false">
      <c r="A100" s="130" t="str">
        <f aca="false">IF(ISBLANK(B100),"",B100&amp;"|"&amp;C100)</f>
        <v/>
      </c>
      <c r="B100" s="130"/>
      <c r="C100" s="130"/>
      <c r="D100" s="130"/>
      <c r="E100" s="136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</row>
    <row r="101" customFormat="false" ht="15.75" hidden="false" customHeight="false" outlineLevel="0" collapsed="false">
      <c r="A101" s="130" t="str">
        <f aca="false">IF(ISBLANK(B101),"",B101&amp;"|"&amp;C101)</f>
        <v/>
      </c>
      <c r="B101" s="130"/>
      <c r="C101" s="130"/>
      <c r="D101" s="130"/>
      <c r="E101" s="136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</row>
    <row r="102" customFormat="false" ht="15.75" hidden="false" customHeight="false" outlineLevel="0" collapsed="false">
      <c r="A102" s="130" t="str">
        <f aca="false">IF(ISBLANK(B102),"",B102&amp;"|"&amp;C102)</f>
        <v/>
      </c>
      <c r="B102" s="130"/>
      <c r="C102" s="130"/>
      <c r="D102" s="130"/>
      <c r="E102" s="136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</row>
    <row r="103" customFormat="false" ht="15.75" hidden="false" customHeight="false" outlineLevel="0" collapsed="false">
      <c r="A103" s="130" t="str">
        <f aca="false">IF(ISBLANK(B103),"",B103&amp;"|"&amp;C103)</f>
        <v/>
      </c>
      <c r="B103" s="130"/>
      <c r="C103" s="130"/>
      <c r="D103" s="130"/>
      <c r="E103" s="136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</row>
    <row r="104" customFormat="false" ht="15.75" hidden="false" customHeight="false" outlineLevel="0" collapsed="false">
      <c r="A104" s="130" t="str">
        <f aca="false">IF(ISBLANK(B104),"",B104&amp;"|"&amp;C104)</f>
        <v/>
      </c>
      <c r="B104" s="130"/>
      <c r="C104" s="130"/>
      <c r="D104" s="130"/>
      <c r="E104" s="136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</row>
    <row r="105" customFormat="false" ht="15.75" hidden="false" customHeight="false" outlineLevel="0" collapsed="false">
      <c r="A105" s="130" t="str">
        <f aca="false">IF(ISBLANK(B105),"",B105&amp;"|"&amp;C105)</f>
        <v/>
      </c>
      <c r="B105" s="130"/>
      <c r="C105" s="130"/>
      <c r="D105" s="130"/>
      <c r="E105" s="136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</row>
    <row r="106" customFormat="false" ht="15.75" hidden="false" customHeight="false" outlineLevel="0" collapsed="false">
      <c r="A106" s="130" t="str">
        <f aca="false">IF(ISBLANK(B106),"",B106&amp;"|"&amp;C106)</f>
        <v/>
      </c>
      <c r="B106" s="130"/>
      <c r="C106" s="130"/>
      <c r="D106" s="130"/>
      <c r="E106" s="136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</row>
    <row r="107" customFormat="false" ht="15.75" hidden="false" customHeight="false" outlineLevel="0" collapsed="false">
      <c r="A107" s="130" t="str">
        <f aca="false">IF(ISBLANK(B107),"",B107&amp;"|"&amp;C107)</f>
        <v/>
      </c>
      <c r="B107" s="130"/>
      <c r="C107" s="130"/>
      <c r="D107" s="130"/>
      <c r="E107" s="136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</row>
    <row r="108" customFormat="false" ht="15.75" hidden="false" customHeight="false" outlineLevel="0" collapsed="false">
      <c r="A108" s="130" t="str">
        <f aca="false">IF(ISBLANK(B108),"",B108&amp;"|"&amp;C108)</f>
        <v/>
      </c>
      <c r="B108" s="130"/>
      <c r="C108" s="130"/>
      <c r="D108" s="130"/>
      <c r="E108" s="136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</row>
    <row r="109" customFormat="false" ht="15.75" hidden="false" customHeight="false" outlineLevel="0" collapsed="false">
      <c r="A109" s="130" t="str">
        <f aca="false">IF(ISBLANK(B109),"",B109&amp;"|"&amp;C109)</f>
        <v/>
      </c>
      <c r="B109" s="130"/>
      <c r="C109" s="130"/>
      <c r="D109" s="130"/>
      <c r="E109" s="136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</row>
    <row r="110" customFormat="false" ht="15.75" hidden="false" customHeight="false" outlineLevel="0" collapsed="false">
      <c r="A110" s="130" t="str">
        <f aca="false">IF(ISBLANK(B110),"",B110&amp;"|"&amp;C110)</f>
        <v/>
      </c>
      <c r="B110" s="130"/>
      <c r="C110" s="130"/>
      <c r="D110" s="130"/>
      <c r="E110" s="136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</row>
    <row r="111" customFormat="false" ht="15.75" hidden="false" customHeight="false" outlineLevel="0" collapsed="false">
      <c r="A111" s="130" t="str">
        <f aca="false">IF(ISBLANK(B111),"",B111&amp;"|"&amp;C111)</f>
        <v/>
      </c>
      <c r="B111" s="130"/>
      <c r="C111" s="130"/>
      <c r="D111" s="130"/>
      <c r="E111" s="136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</row>
    <row r="112" customFormat="false" ht="15.75" hidden="false" customHeight="false" outlineLevel="0" collapsed="false">
      <c r="A112" s="130" t="str">
        <f aca="false">IF(ISBLANK(B112),"",B112&amp;"|"&amp;C112)</f>
        <v/>
      </c>
      <c r="B112" s="130"/>
      <c r="C112" s="130"/>
      <c r="D112" s="130"/>
      <c r="E112" s="136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</row>
    <row r="113" customFormat="false" ht="15.75" hidden="false" customHeight="false" outlineLevel="0" collapsed="false">
      <c r="A113" s="130" t="str">
        <f aca="false">IF(ISBLANK(B113),"",B113&amp;"|"&amp;C113)</f>
        <v/>
      </c>
      <c r="B113" s="130"/>
      <c r="C113" s="130"/>
      <c r="D113" s="130"/>
      <c r="E113" s="136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</row>
    <row r="114" customFormat="false" ht="15.75" hidden="false" customHeight="false" outlineLevel="0" collapsed="false">
      <c r="A114" s="130" t="str">
        <f aca="false">IF(ISBLANK(B114),"",B114&amp;"|"&amp;C114)</f>
        <v/>
      </c>
      <c r="B114" s="130"/>
      <c r="C114" s="130"/>
      <c r="D114" s="130"/>
      <c r="E114" s="136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</row>
    <row r="115" customFormat="false" ht="15.75" hidden="false" customHeight="false" outlineLevel="0" collapsed="false">
      <c r="A115" s="130" t="str">
        <f aca="false">IF(ISBLANK(B115),"",B115&amp;"|"&amp;C115)</f>
        <v/>
      </c>
      <c r="B115" s="130"/>
      <c r="C115" s="130"/>
      <c r="D115" s="130"/>
      <c r="E115" s="136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</row>
    <row r="116" customFormat="false" ht="15.75" hidden="false" customHeight="false" outlineLevel="0" collapsed="false">
      <c r="A116" s="130" t="str">
        <f aca="false">IF(ISBLANK(B116),"",B116&amp;"|"&amp;C116)</f>
        <v/>
      </c>
      <c r="B116" s="130"/>
      <c r="C116" s="130"/>
      <c r="D116" s="130"/>
      <c r="E116" s="136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</row>
    <row r="117" customFormat="false" ht="15.75" hidden="false" customHeight="false" outlineLevel="0" collapsed="false">
      <c r="A117" s="130" t="str">
        <f aca="false">IF(ISBLANK(B117),"",B117&amp;"|"&amp;C117)</f>
        <v/>
      </c>
      <c r="B117" s="130"/>
      <c r="C117" s="130"/>
      <c r="D117" s="130"/>
      <c r="E117" s="136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</row>
    <row r="118" customFormat="false" ht="15.75" hidden="false" customHeight="false" outlineLevel="0" collapsed="false">
      <c r="A118" s="130" t="str">
        <f aca="false">IF(ISBLANK(B118),"",B118&amp;"|"&amp;C118)</f>
        <v/>
      </c>
      <c r="B118" s="130"/>
      <c r="C118" s="130"/>
      <c r="D118" s="130"/>
      <c r="E118" s="136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</row>
    <row r="119" customFormat="false" ht="15.75" hidden="false" customHeight="false" outlineLevel="0" collapsed="false">
      <c r="A119" s="130" t="str">
        <f aca="false">IF(ISBLANK(B119),"",B119&amp;"|"&amp;C119)</f>
        <v/>
      </c>
      <c r="B119" s="130"/>
      <c r="C119" s="130"/>
      <c r="D119" s="130"/>
      <c r="E119" s="136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</row>
    <row r="120" customFormat="false" ht="15.75" hidden="false" customHeight="false" outlineLevel="0" collapsed="false">
      <c r="A120" s="130" t="str">
        <f aca="false">IF(ISBLANK(B120),"",B120&amp;"|"&amp;C120)</f>
        <v/>
      </c>
      <c r="B120" s="130"/>
      <c r="C120" s="130"/>
      <c r="D120" s="130"/>
      <c r="E120" s="136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</row>
    <row r="121" customFormat="false" ht="15.75" hidden="false" customHeight="false" outlineLevel="0" collapsed="false">
      <c r="A121" s="130" t="str">
        <f aca="false">IF(ISBLANK(B121),"",B121&amp;"|"&amp;C121)</f>
        <v/>
      </c>
      <c r="B121" s="130"/>
      <c r="C121" s="130"/>
      <c r="D121" s="130"/>
      <c r="E121" s="136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</row>
    <row r="122" customFormat="false" ht="15.75" hidden="false" customHeight="false" outlineLevel="0" collapsed="false">
      <c r="A122" s="130" t="str">
        <f aca="false">IF(ISBLANK(B122),"",B122&amp;"|"&amp;C122)</f>
        <v/>
      </c>
      <c r="B122" s="130"/>
      <c r="C122" s="130"/>
      <c r="D122" s="130"/>
      <c r="E122" s="136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</row>
    <row r="123" customFormat="false" ht="15.75" hidden="false" customHeight="false" outlineLevel="0" collapsed="false">
      <c r="A123" s="130" t="str">
        <f aca="false">IF(ISBLANK(B123),"",B123&amp;"|"&amp;C123)</f>
        <v/>
      </c>
      <c r="B123" s="130"/>
      <c r="C123" s="130"/>
      <c r="D123" s="130"/>
      <c r="E123" s="136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</row>
    <row r="124" customFormat="false" ht="15.75" hidden="false" customHeight="false" outlineLevel="0" collapsed="false">
      <c r="A124" s="130" t="str">
        <f aca="false">IF(ISBLANK(B124),"",B124&amp;"|"&amp;C124)</f>
        <v/>
      </c>
      <c r="B124" s="130"/>
      <c r="C124" s="130"/>
      <c r="D124" s="130"/>
      <c r="E124" s="136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</row>
    <row r="125" customFormat="false" ht="15.75" hidden="false" customHeight="false" outlineLevel="0" collapsed="false">
      <c r="A125" s="130" t="str">
        <f aca="false">IF(ISBLANK(B125),"",B125&amp;"|"&amp;C125)</f>
        <v/>
      </c>
      <c r="B125" s="130"/>
      <c r="C125" s="130"/>
      <c r="D125" s="130"/>
      <c r="E125" s="136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</row>
    <row r="126" customFormat="false" ht="15.75" hidden="false" customHeight="false" outlineLevel="0" collapsed="false">
      <c r="A126" s="130" t="str">
        <f aca="false">IF(ISBLANK(B126),"",B126&amp;"|"&amp;C126)</f>
        <v/>
      </c>
      <c r="B126" s="130"/>
      <c r="C126" s="130"/>
      <c r="D126" s="130"/>
      <c r="E126" s="136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</row>
    <row r="127" customFormat="false" ht="15.75" hidden="false" customHeight="false" outlineLevel="0" collapsed="false">
      <c r="A127" s="130" t="str">
        <f aca="false">IF(ISBLANK(B127),"",B127&amp;"|"&amp;C127)</f>
        <v/>
      </c>
      <c r="B127" s="130"/>
      <c r="C127" s="130"/>
      <c r="D127" s="130"/>
      <c r="E127" s="136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</row>
    <row r="128" customFormat="false" ht="15.75" hidden="false" customHeight="false" outlineLevel="0" collapsed="false">
      <c r="A128" s="130" t="str">
        <f aca="false">IF(ISBLANK(B128),"",B128&amp;"|"&amp;C128)</f>
        <v/>
      </c>
      <c r="B128" s="130"/>
      <c r="C128" s="130"/>
      <c r="D128" s="130"/>
      <c r="E128" s="136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</row>
    <row r="129" customFormat="false" ht="15.75" hidden="false" customHeight="false" outlineLevel="0" collapsed="false">
      <c r="A129" s="130" t="str">
        <f aca="false">IF(ISBLANK(B129),"",B129&amp;"|"&amp;C129)</f>
        <v/>
      </c>
      <c r="B129" s="130"/>
      <c r="C129" s="130"/>
      <c r="D129" s="130"/>
      <c r="E129" s="136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</row>
    <row r="130" customFormat="false" ht="15.75" hidden="false" customHeight="false" outlineLevel="0" collapsed="false">
      <c r="A130" s="130" t="str">
        <f aca="false">IF(ISBLANK(B130),"",B130&amp;"|"&amp;C130)</f>
        <v/>
      </c>
      <c r="B130" s="130"/>
      <c r="C130" s="130"/>
      <c r="D130" s="130"/>
      <c r="E130" s="136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</row>
    <row r="131" customFormat="false" ht="15.75" hidden="false" customHeight="false" outlineLevel="0" collapsed="false">
      <c r="A131" s="130" t="str">
        <f aca="false">IF(ISBLANK(B131),"",B131&amp;"|"&amp;C131)</f>
        <v/>
      </c>
      <c r="B131" s="130"/>
      <c r="C131" s="130"/>
      <c r="D131" s="130"/>
      <c r="E131" s="136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</row>
    <row r="132" customFormat="false" ht="15.75" hidden="false" customHeight="false" outlineLevel="0" collapsed="false">
      <c r="A132" s="130" t="str">
        <f aca="false">IF(ISBLANK(B132),"",B132&amp;"|"&amp;C132)</f>
        <v/>
      </c>
      <c r="B132" s="130"/>
      <c r="C132" s="130"/>
      <c r="D132" s="130"/>
      <c r="E132" s="136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</row>
    <row r="133" customFormat="false" ht="15.75" hidden="false" customHeight="false" outlineLevel="0" collapsed="false">
      <c r="A133" s="130" t="str">
        <f aca="false">IF(ISBLANK(B133),"",B133&amp;"|"&amp;C133)</f>
        <v/>
      </c>
      <c r="B133" s="130"/>
      <c r="C133" s="130"/>
      <c r="D133" s="130"/>
      <c r="E133" s="136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</row>
    <row r="134" customFormat="false" ht="15.75" hidden="false" customHeight="false" outlineLevel="0" collapsed="false">
      <c r="A134" s="130" t="str">
        <f aca="false">IF(ISBLANK(B134),"",B134&amp;"|"&amp;C134)</f>
        <v/>
      </c>
      <c r="B134" s="130"/>
      <c r="C134" s="130"/>
      <c r="D134" s="130"/>
      <c r="E134" s="136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</row>
    <row r="135" customFormat="false" ht="15.75" hidden="false" customHeight="false" outlineLevel="0" collapsed="false">
      <c r="A135" s="130" t="str">
        <f aca="false">IF(ISBLANK(B135),"",B135&amp;"|"&amp;C135)</f>
        <v/>
      </c>
      <c r="B135" s="130"/>
      <c r="C135" s="130"/>
      <c r="D135" s="130"/>
      <c r="E135" s="136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</row>
    <row r="136" customFormat="false" ht="15.75" hidden="false" customHeight="false" outlineLevel="0" collapsed="false">
      <c r="A136" s="130" t="str">
        <f aca="false">IF(ISBLANK(B136),"",B136&amp;"|"&amp;C136)</f>
        <v/>
      </c>
      <c r="B136" s="130"/>
      <c r="C136" s="130"/>
      <c r="D136" s="130"/>
      <c r="E136" s="136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</row>
    <row r="137" customFormat="false" ht="15.75" hidden="false" customHeight="false" outlineLevel="0" collapsed="false">
      <c r="A137" s="130" t="str">
        <f aca="false">IF(ISBLANK(B137),"",B137&amp;"|"&amp;C137)</f>
        <v/>
      </c>
      <c r="B137" s="130"/>
      <c r="C137" s="130"/>
      <c r="D137" s="130"/>
      <c r="E137" s="136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</row>
    <row r="138" customFormat="false" ht="15.75" hidden="false" customHeight="false" outlineLevel="0" collapsed="false">
      <c r="A138" s="130" t="str">
        <f aca="false">IF(ISBLANK(B138),"",B138&amp;"|"&amp;C138)</f>
        <v/>
      </c>
      <c r="B138" s="130"/>
      <c r="C138" s="130"/>
      <c r="D138" s="130"/>
      <c r="E138" s="136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</row>
    <row r="139" customFormat="false" ht="15.75" hidden="false" customHeight="false" outlineLevel="0" collapsed="false">
      <c r="A139" s="130" t="str">
        <f aca="false">IF(ISBLANK(B139),"",B139&amp;"|"&amp;C139)</f>
        <v/>
      </c>
      <c r="B139" s="130"/>
      <c r="C139" s="130"/>
      <c r="D139" s="130"/>
      <c r="E139" s="136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</row>
    <row r="140" customFormat="false" ht="15.75" hidden="false" customHeight="false" outlineLevel="0" collapsed="false">
      <c r="A140" s="130" t="str">
        <f aca="false">IF(ISBLANK(B140),"",B140&amp;"|"&amp;C140)</f>
        <v/>
      </c>
      <c r="B140" s="130"/>
      <c r="C140" s="130"/>
      <c r="D140" s="130"/>
      <c r="E140" s="136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</row>
    <row r="141" customFormat="false" ht="15.75" hidden="false" customHeight="false" outlineLevel="0" collapsed="false">
      <c r="A141" s="130" t="str">
        <f aca="false">IF(ISBLANK(B141),"",B141&amp;"|"&amp;C141)</f>
        <v/>
      </c>
      <c r="B141" s="130"/>
      <c r="C141" s="130"/>
      <c r="D141" s="130"/>
      <c r="E141" s="136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</row>
    <row r="142" customFormat="false" ht="15.75" hidden="false" customHeight="false" outlineLevel="0" collapsed="false">
      <c r="A142" s="130" t="str">
        <f aca="false">IF(ISBLANK(B142),"",B142&amp;"|"&amp;C142)</f>
        <v/>
      </c>
      <c r="B142" s="130"/>
      <c r="C142" s="130"/>
      <c r="D142" s="130"/>
      <c r="E142" s="136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</row>
    <row r="143" customFormat="false" ht="15.75" hidden="false" customHeight="false" outlineLevel="0" collapsed="false">
      <c r="A143" s="130" t="str">
        <f aca="false">IF(ISBLANK(B143),"",B143&amp;"|"&amp;C143)</f>
        <v/>
      </c>
      <c r="B143" s="130"/>
      <c r="C143" s="130"/>
      <c r="D143" s="130"/>
      <c r="E143" s="136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</row>
    <row r="144" customFormat="false" ht="15.75" hidden="false" customHeight="false" outlineLevel="0" collapsed="false">
      <c r="A144" s="130" t="str">
        <f aca="false">IF(ISBLANK(B144),"",B144&amp;"|"&amp;C144)</f>
        <v/>
      </c>
      <c r="B144" s="130"/>
      <c r="C144" s="130"/>
      <c r="D144" s="130"/>
      <c r="E144" s="136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</row>
    <row r="145" customFormat="false" ht="15.75" hidden="false" customHeight="false" outlineLevel="0" collapsed="false">
      <c r="A145" s="130" t="str">
        <f aca="false">IF(ISBLANK(B145),"",B145&amp;"|"&amp;C145)</f>
        <v/>
      </c>
      <c r="B145" s="130"/>
      <c r="C145" s="130"/>
      <c r="D145" s="130"/>
      <c r="E145" s="136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</row>
    <row r="146" customFormat="false" ht="15.75" hidden="false" customHeight="false" outlineLevel="0" collapsed="false">
      <c r="A146" s="130" t="str">
        <f aca="false">IF(ISBLANK(B146),"",B146&amp;"|"&amp;C146)</f>
        <v/>
      </c>
      <c r="B146" s="130"/>
      <c r="C146" s="130"/>
      <c r="D146" s="130"/>
      <c r="E146" s="136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</row>
    <row r="147" customFormat="false" ht="15.75" hidden="false" customHeight="false" outlineLevel="0" collapsed="false">
      <c r="A147" s="130" t="str">
        <f aca="false">IF(ISBLANK(B147),"",B147&amp;"|"&amp;C147)</f>
        <v/>
      </c>
      <c r="B147" s="130"/>
      <c r="C147" s="130"/>
      <c r="D147" s="130"/>
      <c r="E147" s="136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</row>
    <row r="148" customFormat="false" ht="15.75" hidden="false" customHeight="false" outlineLevel="0" collapsed="false">
      <c r="A148" s="130" t="str">
        <f aca="false">IF(ISBLANK(B148),"",B148&amp;"|"&amp;C148)</f>
        <v/>
      </c>
      <c r="B148" s="130"/>
      <c r="C148" s="130"/>
      <c r="D148" s="130"/>
      <c r="E148" s="136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</row>
    <row r="149" customFormat="false" ht="15.75" hidden="false" customHeight="false" outlineLevel="0" collapsed="false">
      <c r="A149" s="130" t="str">
        <f aca="false">IF(ISBLANK(B149),"",B149&amp;"|"&amp;C149)</f>
        <v/>
      </c>
      <c r="B149" s="130"/>
      <c r="C149" s="130"/>
      <c r="D149" s="130"/>
      <c r="E149" s="136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</row>
    <row r="150" customFormat="false" ht="15.75" hidden="false" customHeight="false" outlineLevel="0" collapsed="false">
      <c r="A150" s="130" t="str">
        <f aca="false">IF(ISBLANK(B150),"",B150&amp;"|"&amp;C150)</f>
        <v/>
      </c>
      <c r="B150" s="130"/>
      <c r="C150" s="130"/>
      <c r="D150" s="130"/>
      <c r="E150" s="136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</row>
    <row r="151" customFormat="false" ht="15.75" hidden="false" customHeight="false" outlineLevel="0" collapsed="false">
      <c r="A151" s="130" t="str">
        <f aca="false">IF(ISBLANK(B151),"",B151&amp;"|"&amp;C151)</f>
        <v/>
      </c>
      <c r="B151" s="130"/>
      <c r="C151" s="130"/>
      <c r="D151" s="130"/>
      <c r="E151" s="136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</row>
    <row r="152" customFormat="false" ht="15.75" hidden="false" customHeight="false" outlineLevel="0" collapsed="false">
      <c r="A152" s="130" t="str">
        <f aca="false">IF(ISBLANK(B152),"",B152&amp;"|"&amp;C152)</f>
        <v/>
      </c>
      <c r="B152" s="130"/>
      <c r="C152" s="130"/>
      <c r="D152" s="130"/>
      <c r="E152" s="136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</row>
    <row r="153" customFormat="false" ht="15.75" hidden="false" customHeight="false" outlineLevel="0" collapsed="false">
      <c r="A153" s="130" t="str">
        <f aca="false">IF(ISBLANK(B153),"",B153&amp;"|"&amp;C153)</f>
        <v/>
      </c>
      <c r="B153" s="130"/>
      <c r="C153" s="130"/>
      <c r="D153" s="130"/>
      <c r="E153" s="136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</row>
    <row r="154" customFormat="false" ht="15.75" hidden="false" customHeight="false" outlineLevel="0" collapsed="false">
      <c r="A154" s="130" t="str">
        <f aca="false">IF(ISBLANK(B154),"",B154&amp;"|"&amp;C154)</f>
        <v/>
      </c>
      <c r="B154" s="130"/>
      <c r="C154" s="130"/>
      <c r="D154" s="130"/>
      <c r="E154" s="136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</row>
    <row r="155" customFormat="false" ht="15.75" hidden="false" customHeight="false" outlineLevel="0" collapsed="false">
      <c r="A155" s="130" t="str">
        <f aca="false">IF(ISBLANK(B155),"",B155&amp;"|"&amp;C155)</f>
        <v/>
      </c>
      <c r="B155" s="130"/>
      <c r="C155" s="130"/>
      <c r="D155" s="130"/>
      <c r="E155" s="136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</row>
    <row r="156" customFormat="false" ht="15.75" hidden="false" customHeight="false" outlineLevel="0" collapsed="false">
      <c r="A156" s="130" t="str">
        <f aca="false">IF(ISBLANK(B156),"",B156&amp;"|"&amp;C156)</f>
        <v/>
      </c>
      <c r="B156" s="130"/>
      <c r="C156" s="130"/>
      <c r="D156" s="130"/>
      <c r="E156" s="136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</row>
    <row r="157" customFormat="false" ht="15.75" hidden="false" customHeight="false" outlineLevel="0" collapsed="false">
      <c r="A157" s="130" t="str">
        <f aca="false">IF(ISBLANK(B157),"",B157&amp;"|"&amp;C157)</f>
        <v/>
      </c>
      <c r="B157" s="130"/>
      <c r="C157" s="130"/>
      <c r="D157" s="130"/>
      <c r="E157" s="136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</row>
    <row r="158" customFormat="false" ht="15.75" hidden="false" customHeight="false" outlineLevel="0" collapsed="false">
      <c r="A158" s="130" t="str">
        <f aca="false">IF(ISBLANK(B158),"",B158&amp;"|"&amp;C158)</f>
        <v/>
      </c>
      <c r="B158" s="130"/>
      <c r="C158" s="130"/>
      <c r="D158" s="130"/>
      <c r="E158" s="136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</row>
    <row r="159" customFormat="false" ht="15.75" hidden="false" customHeight="false" outlineLevel="0" collapsed="false">
      <c r="A159" s="130" t="str">
        <f aca="false">IF(ISBLANK(B159),"",B159&amp;"|"&amp;C159)</f>
        <v/>
      </c>
      <c r="B159" s="130"/>
      <c r="C159" s="130"/>
      <c r="D159" s="130"/>
      <c r="E159" s="136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</row>
    <row r="160" customFormat="false" ht="15.75" hidden="false" customHeight="false" outlineLevel="0" collapsed="false">
      <c r="A160" s="130" t="str">
        <f aca="false">IF(ISBLANK(B160),"",B160&amp;"|"&amp;C160)</f>
        <v/>
      </c>
      <c r="B160" s="130"/>
      <c r="C160" s="130"/>
      <c r="D160" s="130"/>
      <c r="E160" s="136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</row>
    <row r="161" customFormat="false" ht="15.75" hidden="false" customHeight="false" outlineLevel="0" collapsed="false">
      <c r="A161" s="130" t="str">
        <f aca="false">IF(ISBLANK(B161),"",B161&amp;"|"&amp;C161)</f>
        <v/>
      </c>
      <c r="B161" s="130"/>
      <c r="C161" s="130"/>
      <c r="D161" s="130"/>
      <c r="E161" s="136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</row>
    <row r="162" customFormat="false" ht="15.75" hidden="false" customHeight="false" outlineLevel="0" collapsed="false">
      <c r="A162" s="130" t="str">
        <f aca="false">IF(ISBLANK(B162),"",B162&amp;"|"&amp;C162)</f>
        <v/>
      </c>
      <c r="B162" s="130"/>
      <c r="C162" s="130"/>
      <c r="D162" s="130"/>
      <c r="E162" s="136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</row>
    <row r="163" customFormat="false" ht="15.75" hidden="false" customHeight="false" outlineLevel="0" collapsed="false">
      <c r="A163" s="130" t="str">
        <f aca="false">IF(ISBLANK(B163),"",B163&amp;"|"&amp;C163)</f>
        <v/>
      </c>
      <c r="B163" s="130"/>
      <c r="C163" s="130"/>
      <c r="D163" s="130"/>
      <c r="E163" s="136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</row>
    <row r="164" customFormat="false" ht="15.75" hidden="false" customHeight="false" outlineLevel="0" collapsed="false">
      <c r="A164" s="130" t="str">
        <f aca="false">IF(ISBLANK(B164),"",B164&amp;"|"&amp;C164)</f>
        <v/>
      </c>
      <c r="B164" s="130"/>
      <c r="C164" s="130"/>
      <c r="D164" s="130"/>
      <c r="E164" s="136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</row>
    <row r="165" customFormat="false" ht="15.75" hidden="false" customHeight="false" outlineLevel="0" collapsed="false">
      <c r="A165" s="130" t="str">
        <f aca="false">IF(ISBLANK(B165),"",B165&amp;"|"&amp;C165)</f>
        <v/>
      </c>
      <c r="B165" s="130"/>
      <c r="C165" s="130"/>
      <c r="D165" s="130"/>
      <c r="E165" s="136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</row>
    <row r="166" customFormat="false" ht="15.75" hidden="false" customHeight="false" outlineLevel="0" collapsed="false">
      <c r="A166" s="130" t="str">
        <f aca="false">IF(ISBLANK(B166),"",B166&amp;"|"&amp;C166)</f>
        <v/>
      </c>
      <c r="B166" s="130"/>
      <c r="C166" s="130"/>
      <c r="D166" s="130"/>
      <c r="E166" s="136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</row>
    <row r="167" customFormat="false" ht="15.75" hidden="false" customHeight="false" outlineLevel="0" collapsed="false">
      <c r="A167" s="130" t="str">
        <f aca="false">IF(ISBLANK(B167),"",B167&amp;"|"&amp;C167)</f>
        <v/>
      </c>
      <c r="B167" s="130"/>
      <c r="C167" s="130"/>
      <c r="D167" s="130"/>
      <c r="E167" s="136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</row>
    <row r="168" customFormat="false" ht="15.75" hidden="false" customHeight="false" outlineLevel="0" collapsed="false">
      <c r="A168" s="130" t="str">
        <f aca="false">IF(ISBLANK(B168),"",B168&amp;"|"&amp;C168)</f>
        <v/>
      </c>
      <c r="B168" s="130"/>
      <c r="C168" s="130"/>
      <c r="D168" s="130"/>
      <c r="E168" s="136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</row>
    <row r="169" customFormat="false" ht="15.75" hidden="false" customHeight="false" outlineLevel="0" collapsed="false">
      <c r="A169" s="130" t="str">
        <f aca="false">IF(ISBLANK(B169),"",B169&amp;"|"&amp;C169)</f>
        <v/>
      </c>
      <c r="B169" s="130"/>
      <c r="C169" s="130"/>
      <c r="D169" s="130"/>
      <c r="E169" s="136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</row>
    <row r="170" customFormat="false" ht="15.75" hidden="false" customHeight="false" outlineLevel="0" collapsed="false">
      <c r="A170" s="130" t="str">
        <f aca="false">IF(ISBLANK(B170),"",B170&amp;"|"&amp;C170)</f>
        <v/>
      </c>
      <c r="B170" s="130"/>
      <c r="C170" s="130"/>
      <c r="D170" s="130"/>
      <c r="E170" s="136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</row>
    <row r="171" customFormat="false" ht="15.75" hidden="false" customHeight="false" outlineLevel="0" collapsed="false">
      <c r="A171" s="130" t="str">
        <f aca="false">IF(ISBLANK(B171),"",B171&amp;"|"&amp;C171)</f>
        <v/>
      </c>
      <c r="B171" s="130"/>
      <c r="C171" s="130"/>
      <c r="D171" s="130"/>
      <c r="E171" s="136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</row>
    <row r="172" customFormat="false" ht="15.75" hidden="false" customHeight="false" outlineLevel="0" collapsed="false">
      <c r="A172" s="130" t="str">
        <f aca="false">IF(ISBLANK(B172),"",B172&amp;"|"&amp;C172)</f>
        <v/>
      </c>
      <c r="B172" s="130"/>
      <c r="C172" s="130"/>
      <c r="D172" s="130"/>
      <c r="E172" s="136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</row>
    <row r="173" customFormat="false" ht="15.75" hidden="false" customHeight="false" outlineLevel="0" collapsed="false">
      <c r="A173" s="130" t="str">
        <f aca="false">IF(ISBLANK(B173),"",B173&amp;"|"&amp;C173)</f>
        <v/>
      </c>
      <c r="B173" s="130"/>
      <c r="C173" s="130"/>
      <c r="D173" s="130"/>
      <c r="E173" s="136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</row>
    <row r="174" customFormat="false" ht="15.75" hidden="false" customHeight="false" outlineLevel="0" collapsed="false">
      <c r="A174" s="130" t="str">
        <f aca="false">IF(ISBLANK(B174),"",B174&amp;"|"&amp;C174)</f>
        <v/>
      </c>
      <c r="B174" s="130"/>
      <c r="C174" s="130"/>
      <c r="D174" s="130"/>
      <c r="E174" s="136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</row>
    <row r="175" customFormat="false" ht="15.75" hidden="false" customHeight="false" outlineLevel="0" collapsed="false">
      <c r="A175" s="130" t="str">
        <f aca="false">IF(ISBLANK(B175),"",B175&amp;"|"&amp;C175)</f>
        <v/>
      </c>
      <c r="B175" s="130"/>
      <c r="C175" s="130"/>
      <c r="D175" s="130"/>
      <c r="E175" s="136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</row>
    <row r="176" customFormat="false" ht="15.75" hidden="false" customHeight="false" outlineLevel="0" collapsed="false">
      <c r="A176" s="130" t="str">
        <f aca="false">IF(ISBLANK(B176),"",B176&amp;"|"&amp;C176)</f>
        <v/>
      </c>
      <c r="B176" s="130"/>
      <c r="C176" s="130"/>
      <c r="D176" s="130"/>
      <c r="E176" s="136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</row>
    <row r="177" customFormat="false" ht="15.75" hidden="false" customHeight="false" outlineLevel="0" collapsed="false">
      <c r="A177" s="130" t="str">
        <f aca="false">IF(ISBLANK(B177),"",B177&amp;"|"&amp;C177)</f>
        <v/>
      </c>
      <c r="B177" s="130"/>
      <c r="C177" s="130"/>
      <c r="D177" s="130"/>
      <c r="E177" s="136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</row>
    <row r="178" customFormat="false" ht="15.75" hidden="false" customHeight="false" outlineLevel="0" collapsed="false">
      <c r="A178" s="130" t="str">
        <f aca="false">IF(ISBLANK(B178),"",B178&amp;"|"&amp;C178)</f>
        <v/>
      </c>
      <c r="B178" s="130"/>
      <c r="C178" s="130"/>
      <c r="D178" s="130"/>
      <c r="E178" s="136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</row>
    <row r="179" customFormat="false" ht="15.75" hidden="false" customHeight="false" outlineLevel="0" collapsed="false">
      <c r="A179" s="130" t="str">
        <f aca="false">IF(ISBLANK(B179),"",B179&amp;"|"&amp;C179)</f>
        <v/>
      </c>
      <c r="B179" s="130"/>
      <c r="C179" s="130"/>
      <c r="D179" s="130"/>
      <c r="E179" s="136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</row>
    <row r="180" customFormat="false" ht="15.75" hidden="false" customHeight="false" outlineLevel="0" collapsed="false">
      <c r="A180" s="130" t="str">
        <f aca="false">IF(ISBLANK(B180),"",B180&amp;"|"&amp;C180)</f>
        <v/>
      </c>
      <c r="B180" s="130"/>
      <c r="C180" s="130"/>
      <c r="D180" s="130"/>
      <c r="E180" s="136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</row>
    <row r="181" customFormat="false" ht="15.75" hidden="false" customHeight="false" outlineLevel="0" collapsed="false">
      <c r="A181" s="130" t="str">
        <f aca="false">IF(ISBLANK(B181),"",B181&amp;"|"&amp;C181)</f>
        <v/>
      </c>
      <c r="B181" s="130"/>
      <c r="C181" s="130"/>
      <c r="D181" s="130"/>
      <c r="E181" s="136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</row>
    <row r="182" customFormat="false" ht="15.75" hidden="false" customHeight="false" outlineLevel="0" collapsed="false">
      <c r="A182" s="130" t="str">
        <f aca="false">IF(ISBLANK(B182),"",B182&amp;"|"&amp;C182)</f>
        <v/>
      </c>
      <c r="B182" s="130"/>
      <c r="C182" s="130"/>
      <c r="D182" s="130"/>
      <c r="E182" s="136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</row>
    <row r="183" customFormat="false" ht="15.75" hidden="false" customHeight="false" outlineLevel="0" collapsed="false">
      <c r="A183" s="130" t="str">
        <f aca="false">IF(ISBLANK(B183),"",B183&amp;"|"&amp;C183)</f>
        <v/>
      </c>
      <c r="B183" s="130"/>
      <c r="C183" s="130"/>
      <c r="D183" s="130"/>
      <c r="E183" s="136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</row>
    <row r="184" customFormat="false" ht="15.75" hidden="false" customHeight="false" outlineLevel="0" collapsed="false">
      <c r="A184" s="130" t="str">
        <f aca="false">IF(ISBLANK(B184),"",B184&amp;"|"&amp;C184)</f>
        <v/>
      </c>
      <c r="B184" s="130"/>
      <c r="C184" s="130"/>
      <c r="D184" s="130"/>
      <c r="E184" s="136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</row>
    <row r="185" customFormat="false" ht="15.75" hidden="false" customHeight="false" outlineLevel="0" collapsed="false">
      <c r="A185" s="130" t="str">
        <f aca="false">IF(ISBLANK(B185),"",B185&amp;"|"&amp;C185)</f>
        <v/>
      </c>
      <c r="B185" s="130"/>
      <c r="C185" s="130"/>
      <c r="D185" s="130"/>
      <c r="E185" s="136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</row>
    <row r="186" customFormat="false" ht="15.75" hidden="false" customHeight="false" outlineLevel="0" collapsed="false">
      <c r="A186" s="130" t="str">
        <f aca="false">IF(ISBLANK(B186),"",B186&amp;"|"&amp;C186)</f>
        <v/>
      </c>
      <c r="B186" s="130"/>
      <c r="C186" s="130"/>
      <c r="D186" s="130"/>
      <c r="E186" s="136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</row>
    <row r="187" customFormat="false" ht="15.75" hidden="false" customHeight="false" outlineLevel="0" collapsed="false">
      <c r="A187" s="130" t="str">
        <f aca="false">IF(ISBLANK(B187),"",B187&amp;"|"&amp;C187)</f>
        <v/>
      </c>
      <c r="B187" s="130"/>
      <c r="C187" s="130"/>
      <c r="D187" s="130"/>
      <c r="E187" s="136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</row>
    <row r="188" customFormat="false" ht="15.75" hidden="false" customHeight="false" outlineLevel="0" collapsed="false">
      <c r="A188" s="130" t="str">
        <f aca="false">IF(ISBLANK(B188),"",B188&amp;"|"&amp;C188)</f>
        <v/>
      </c>
      <c r="B188" s="130"/>
      <c r="C188" s="130"/>
      <c r="D188" s="130"/>
      <c r="E188" s="136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</row>
    <row r="189" customFormat="false" ht="15.75" hidden="false" customHeight="false" outlineLevel="0" collapsed="false">
      <c r="A189" s="130" t="str">
        <f aca="false">IF(ISBLANK(B189),"",B189&amp;"|"&amp;C189)</f>
        <v/>
      </c>
      <c r="B189" s="130"/>
      <c r="C189" s="130"/>
      <c r="D189" s="130"/>
      <c r="E189" s="136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</row>
    <row r="190" customFormat="false" ht="15.75" hidden="false" customHeight="false" outlineLevel="0" collapsed="false">
      <c r="A190" s="130" t="str">
        <f aca="false">IF(ISBLANK(B190),"",B190&amp;"|"&amp;C190)</f>
        <v/>
      </c>
      <c r="B190" s="130"/>
      <c r="C190" s="130"/>
      <c r="D190" s="130"/>
      <c r="E190" s="136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</row>
    <row r="191" customFormat="false" ht="15.75" hidden="false" customHeight="false" outlineLevel="0" collapsed="false">
      <c r="A191" s="130" t="str">
        <f aca="false">IF(ISBLANK(B191),"",B191&amp;"|"&amp;C191)</f>
        <v/>
      </c>
      <c r="B191" s="130"/>
      <c r="C191" s="130"/>
      <c r="D191" s="130"/>
      <c r="E191" s="136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</row>
    <row r="192" customFormat="false" ht="15.75" hidden="false" customHeight="false" outlineLevel="0" collapsed="false">
      <c r="A192" s="130" t="str">
        <f aca="false">IF(ISBLANK(B192),"",B192&amp;"|"&amp;C192)</f>
        <v/>
      </c>
      <c r="B192" s="130"/>
      <c r="C192" s="130"/>
      <c r="D192" s="130"/>
      <c r="E192" s="136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</row>
    <row r="193" customFormat="false" ht="15.75" hidden="false" customHeight="false" outlineLevel="0" collapsed="false">
      <c r="A193" s="130" t="str">
        <f aca="false">IF(ISBLANK(B193),"",B193&amp;"|"&amp;C193)</f>
        <v/>
      </c>
      <c r="B193" s="130"/>
      <c r="C193" s="130"/>
      <c r="D193" s="130"/>
      <c r="E193" s="136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</row>
    <row r="194" customFormat="false" ht="15.75" hidden="false" customHeight="false" outlineLevel="0" collapsed="false">
      <c r="A194" s="130" t="str">
        <f aca="false">IF(ISBLANK(B194),"",B194&amp;"|"&amp;C194)</f>
        <v/>
      </c>
      <c r="B194" s="130"/>
      <c r="C194" s="130"/>
      <c r="D194" s="130"/>
      <c r="E194" s="136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</row>
    <row r="195" customFormat="false" ht="15.75" hidden="false" customHeight="false" outlineLevel="0" collapsed="false">
      <c r="A195" s="130" t="str">
        <f aca="false">IF(ISBLANK(B195),"",B195&amp;"|"&amp;C195)</f>
        <v/>
      </c>
      <c r="B195" s="130"/>
      <c r="C195" s="130"/>
      <c r="D195" s="130"/>
      <c r="E195" s="136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</row>
    <row r="196" customFormat="false" ht="15.75" hidden="false" customHeight="false" outlineLevel="0" collapsed="false">
      <c r="A196" s="130" t="str">
        <f aca="false">IF(ISBLANK(B196),"",B196&amp;"|"&amp;C196)</f>
        <v/>
      </c>
      <c r="B196" s="130"/>
      <c r="C196" s="130"/>
      <c r="D196" s="130"/>
      <c r="E196" s="136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</row>
    <row r="197" customFormat="false" ht="15.75" hidden="false" customHeight="false" outlineLevel="0" collapsed="false">
      <c r="A197" s="130" t="str">
        <f aca="false">IF(ISBLANK(B197),"",B197&amp;"|"&amp;C197)</f>
        <v/>
      </c>
      <c r="B197" s="130"/>
      <c r="C197" s="130"/>
      <c r="D197" s="130"/>
      <c r="E197" s="136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</row>
    <row r="198" customFormat="false" ht="15.75" hidden="false" customHeight="false" outlineLevel="0" collapsed="false">
      <c r="A198" s="130" t="str">
        <f aca="false">IF(ISBLANK(B198),"",B198&amp;"|"&amp;C198)</f>
        <v/>
      </c>
      <c r="B198" s="130"/>
      <c r="C198" s="130"/>
      <c r="D198" s="130"/>
      <c r="E198" s="136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</row>
    <row r="199" customFormat="false" ht="15.75" hidden="false" customHeight="false" outlineLevel="0" collapsed="false">
      <c r="A199" s="130" t="str">
        <f aca="false">IF(ISBLANK(B199),"",B199&amp;"|"&amp;C199)</f>
        <v/>
      </c>
      <c r="B199" s="130"/>
      <c r="C199" s="130"/>
      <c r="D199" s="130"/>
      <c r="E199" s="136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</row>
    <row r="200" customFormat="false" ht="15.75" hidden="false" customHeight="false" outlineLevel="0" collapsed="false">
      <c r="A200" s="130" t="str">
        <f aca="false">IF(ISBLANK(B200),"",B200&amp;"|"&amp;C200)</f>
        <v/>
      </c>
      <c r="B200" s="130"/>
      <c r="C200" s="130"/>
      <c r="D200" s="130"/>
      <c r="E200" s="136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</row>
    <row r="201" customFormat="false" ht="15.75" hidden="false" customHeight="false" outlineLevel="0" collapsed="false">
      <c r="A201" s="130" t="str">
        <f aca="false">IF(ISBLANK(B201),"",B201&amp;"|"&amp;C201)</f>
        <v/>
      </c>
      <c r="B201" s="130"/>
      <c r="C201" s="130"/>
      <c r="D201" s="130"/>
      <c r="E201" s="136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</row>
    <row r="202" customFormat="false" ht="15.75" hidden="false" customHeight="false" outlineLevel="0" collapsed="false">
      <c r="A202" s="130" t="str">
        <f aca="false">IF(ISBLANK(B202),"",B202&amp;"|"&amp;C202)</f>
        <v/>
      </c>
      <c r="B202" s="130"/>
      <c r="C202" s="130"/>
      <c r="D202" s="130"/>
      <c r="E202" s="136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</row>
    <row r="203" customFormat="false" ht="15.75" hidden="false" customHeight="false" outlineLevel="0" collapsed="false">
      <c r="A203" s="130" t="str">
        <f aca="false">IF(ISBLANK(B203),"",B203&amp;"|"&amp;C203)</f>
        <v/>
      </c>
      <c r="B203" s="130"/>
      <c r="C203" s="130"/>
      <c r="D203" s="130"/>
      <c r="E203" s="136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</row>
    <row r="204" customFormat="false" ht="15.75" hidden="false" customHeight="false" outlineLevel="0" collapsed="false">
      <c r="A204" s="130" t="str">
        <f aca="false">IF(ISBLANK(B204),"",B204&amp;"|"&amp;C204)</f>
        <v/>
      </c>
      <c r="B204" s="130"/>
      <c r="C204" s="130"/>
      <c r="D204" s="130"/>
      <c r="E204" s="136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</row>
    <row r="205" customFormat="false" ht="15.75" hidden="false" customHeight="false" outlineLevel="0" collapsed="false">
      <c r="A205" s="130" t="str">
        <f aca="false">IF(ISBLANK(B205),"",B205&amp;"|"&amp;C205)</f>
        <v/>
      </c>
      <c r="B205" s="130"/>
      <c r="C205" s="130"/>
      <c r="D205" s="130"/>
      <c r="E205" s="136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</row>
    <row r="206" customFormat="false" ht="15.75" hidden="false" customHeight="false" outlineLevel="0" collapsed="false">
      <c r="A206" s="130" t="str">
        <f aca="false">IF(ISBLANK(B206),"",B206&amp;"|"&amp;C206)</f>
        <v/>
      </c>
      <c r="B206" s="130"/>
      <c r="C206" s="130"/>
      <c r="D206" s="130"/>
      <c r="E206" s="136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</row>
    <row r="207" customFormat="false" ht="15.75" hidden="false" customHeight="false" outlineLevel="0" collapsed="false">
      <c r="A207" s="130" t="str">
        <f aca="false">IF(ISBLANK(B207),"",B207&amp;"|"&amp;C207)</f>
        <v/>
      </c>
      <c r="B207" s="130"/>
      <c r="C207" s="130"/>
      <c r="D207" s="130"/>
      <c r="E207" s="136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</row>
    <row r="208" customFormat="false" ht="15.75" hidden="false" customHeight="false" outlineLevel="0" collapsed="false">
      <c r="A208" s="130" t="str">
        <f aca="false">IF(ISBLANK(B208),"",B208&amp;"|"&amp;C208)</f>
        <v/>
      </c>
      <c r="B208" s="130"/>
      <c r="C208" s="130"/>
      <c r="D208" s="130"/>
      <c r="E208" s="136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</row>
    <row r="209" customFormat="false" ht="15.75" hidden="false" customHeight="false" outlineLevel="0" collapsed="false">
      <c r="A209" s="130" t="str">
        <f aca="false">IF(ISBLANK(B209),"",B209&amp;"|"&amp;C209)</f>
        <v/>
      </c>
      <c r="B209" s="130"/>
      <c r="C209" s="130"/>
      <c r="D209" s="130"/>
      <c r="E209" s="136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</row>
    <row r="210" customFormat="false" ht="15.75" hidden="false" customHeight="false" outlineLevel="0" collapsed="false">
      <c r="A210" s="130" t="str">
        <f aca="false">IF(ISBLANK(B210),"",B210&amp;"|"&amp;C210)</f>
        <v/>
      </c>
      <c r="B210" s="130"/>
      <c r="C210" s="130"/>
      <c r="D210" s="130"/>
      <c r="E210" s="136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</row>
    <row r="211" customFormat="false" ht="15.75" hidden="false" customHeight="false" outlineLevel="0" collapsed="false">
      <c r="A211" s="130" t="str">
        <f aca="false">IF(ISBLANK(B211),"",B211&amp;"|"&amp;C211)</f>
        <v/>
      </c>
      <c r="B211" s="130"/>
      <c r="C211" s="130"/>
      <c r="D211" s="130"/>
      <c r="E211" s="136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</row>
    <row r="212" customFormat="false" ht="15.75" hidden="false" customHeight="false" outlineLevel="0" collapsed="false">
      <c r="A212" s="130" t="str">
        <f aca="false">IF(ISBLANK(B212),"",B212&amp;"|"&amp;C212)</f>
        <v/>
      </c>
      <c r="B212" s="130"/>
      <c r="C212" s="130"/>
      <c r="D212" s="130"/>
      <c r="E212" s="136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</row>
    <row r="213" customFormat="false" ht="15.75" hidden="false" customHeight="false" outlineLevel="0" collapsed="false">
      <c r="A213" s="130" t="str">
        <f aca="false">IF(ISBLANK(B213),"",B213&amp;"|"&amp;C213)</f>
        <v/>
      </c>
      <c r="B213" s="130"/>
      <c r="C213" s="130"/>
      <c r="D213" s="130"/>
      <c r="E213" s="136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</row>
    <row r="214" customFormat="false" ht="15.75" hidden="false" customHeight="false" outlineLevel="0" collapsed="false">
      <c r="A214" s="130" t="str">
        <f aca="false">IF(ISBLANK(B214),"",B214&amp;"|"&amp;C214)</f>
        <v/>
      </c>
      <c r="B214" s="130"/>
      <c r="C214" s="130"/>
      <c r="D214" s="130"/>
      <c r="E214" s="136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</row>
    <row r="215" customFormat="false" ht="15.75" hidden="false" customHeight="false" outlineLevel="0" collapsed="false">
      <c r="A215" s="130" t="str">
        <f aca="false">IF(ISBLANK(B215),"",B215&amp;"|"&amp;C215)</f>
        <v/>
      </c>
      <c r="B215" s="130"/>
      <c r="C215" s="130"/>
      <c r="D215" s="130"/>
      <c r="E215" s="136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</row>
    <row r="216" customFormat="false" ht="15.75" hidden="false" customHeight="false" outlineLevel="0" collapsed="false">
      <c r="A216" s="130" t="str">
        <f aca="false">IF(ISBLANK(B216),"",B216&amp;"|"&amp;C216)</f>
        <v/>
      </c>
      <c r="B216" s="130"/>
      <c r="C216" s="130"/>
      <c r="D216" s="130"/>
      <c r="E216" s="136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</row>
    <row r="217" customFormat="false" ht="15.75" hidden="false" customHeight="false" outlineLevel="0" collapsed="false">
      <c r="A217" s="130" t="str">
        <f aca="false">IF(ISBLANK(B217),"",B217&amp;"|"&amp;C217)</f>
        <v/>
      </c>
      <c r="B217" s="130"/>
      <c r="C217" s="130"/>
      <c r="D217" s="130"/>
      <c r="E217" s="136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</row>
    <row r="218" customFormat="false" ht="15.75" hidden="false" customHeight="false" outlineLevel="0" collapsed="false">
      <c r="A218" s="130" t="str">
        <f aca="false">IF(ISBLANK(B218),"",B218&amp;"|"&amp;C218)</f>
        <v/>
      </c>
      <c r="B218" s="130"/>
      <c r="C218" s="130"/>
      <c r="D218" s="130"/>
      <c r="E218" s="136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</row>
    <row r="219" customFormat="false" ht="15.75" hidden="false" customHeight="false" outlineLevel="0" collapsed="false">
      <c r="A219" s="130" t="str">
        <f aca="false">IF(ISBLANK(B219),"",B219&amp;"|"&amp;C219)</f>
        <v/>
      </c>
      <c r="B219" s="130"/>
      <c r="C219" s="130"/>
      <c r="D219" s="130"/>
      <c r="E219" s="136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</row>
    <row r="220" customFormat="false" ht="15.75" hidden="false" customHeight="false" outlineLevel="0" collapsed="false">
      <c r="A220" s="130" t="str">
        <f aca="false">IF(ISBLANK(B220),"",B220&amp;"|"&amp;C220)</f>
        <v/>
      </c>
      <c r="B220" s="130"/>
      <c r="C220" s="130"/>
      <c r="D220" s="130"/>
      <c r="E220" s="136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</row>
    <row r="221" customFormat="false" ht="15.75" hidden="false" customHeight="false" outlineLevel="0" collapsed="false">
      <c r="A221" s="130" t="str">
        <f aca="false">IF(ISBLANK(B221),"",B221&amp;"|"&amp;C221)</f>
        <v/>
      </c>
      <c r="B221" s="130"/>
      <c r="C221" s="130"/>
      <c r="D221" s="130"/>
      <c r="E221" s="136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</row>
    <row r="222" customFormat="false" ht="15.75" hidden="false" customHeight="false" outlineLevel="0" collapsed="false">
      <c r="A222" s="130" t="str">
        <f aca="false">IF(ISBLANK(B222),"",B222&amp;"|"&amp;C222)</f>
        <v/>
      </c>
      <c r="B222" s="130"/>
      <c r="C222" s="130"/>
      <c r="D222" s="130"/>
      <c r="E222" s="136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</row>
    <row r="223" customFormat="false" ht="15.75" hidden="false" customHeight="false" outlineLevel="0" collapsed="false">
      <c r="A223" s="130" t="str">
        <f aca="false">IF(ISBLANK(B223),"",B223&amp;"|"&amp;C223)</f>
        <v/>
      </c>
      <c r="B223" s="130"/>
      <c r="C223" s="130"/>
      <c r="D223" s="130"/>
      <c r="E223" s="136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</row>
    <row r="224" customFormat="false" ht="15.75" hidden="false" customHeight="false" outlineLevel="0" collapsed="false">
      <c r="A224" s="130" t="str">
        <f aca="false">IF(ISBLANK(B224),"",B224&amp;"|"&amp;C224)</f>
        <v/>
      </c>
      <c r="B224" s="130"/>
      <c r="C224" s="130"/>
      <c r="D224" s="130"/>
      <c r="E224" s="136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</row>
    <row r="225" customFormat="false" ht="15.75" hidden="false" customHeight="false" outlineLevel="0" collapsed="false">
      <c r="A225" s="130" t="str">
        <f aca="false">IF(ISBLANK(B225),"",B225&amp;"|"&amp;C225)</f>
        <v/>
      </c>
      <c r="B225" s="130"/>
      <c r="C225" s="130"/>
      <c r="D225" s="130"/>
      <c r="E225" s="136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</row>
    <row r="226" customFormat="false" ht="15.75" hidden="false" customHeight="false" outlineLevel="0" collapsed="false">
      <c r="A226" s="130" t="str">
        <f aca="false">IF(ISBLANK(B226),"",B226&amp;"|"&amp;C226)</f>
        <v/>
      </c>
      <c r="B226" s="130"/>
      <c r="C226" s="130"/>
      <c r="D226" s="130"/>
      <c r="E226" s="136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</row>
    <row r="227" customFormat="false" ht="15.75" hidden="false" customHeight="false" outlineLevel="0" collapsed="false">
      <c r="A227" s="130" t="str">
        <f aca="false">IF(ISBLANK(B227),"",B227&amp;"|"&amp;C227)</f>
        <v/>
      </c>
      <c r="B227" s="130"/>
      <c r="C227" s="130"/>
      <c r="D227" s="130"/>
      <c r="E227" s="136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</row>
    <row r="228" customFormat="false" ht="15.75" hidden="false" customHeight="false" outlineLevel="0" collapsed="false">
      <c r="A228" s="130" t="str">
        <f aca="false">IF(ISBLANK(B228),"",B228&amp;"|"&amp;C228)</f>
        <v/>
      </c>
      <c r="B228" s="130"/>
      <c r="C228" s="130"/>
      <c r="D228" s="130"/>
      <c r="E228" s="136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</row>
    <row r="229" customFormat="false" ht="15.75" hidden="false" customHeight="false" outlineLevel="0" collapsed="false">
      <c r="A229" s="130" t="str">
        <f aca="false">IF(ISBLANK(B229),"",B229&amp;"|"&amp;C229)</f>
        <v/>
      </c>
      <c r="B229" s="130"/>
      <c r="C229" s="130"/>
      <c r="D229" s="130"/>
      <c r="E229" s="136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</row>
    <row r="230" customFormat="false" ht="15.75" hidden="false" customHeight="false" outlineLevel="0" collapsed="false">
      <c r="A230" s="130" t="str">
        <f aca="false">IF(ISBLANK(B230),"",B230&amp;"|"&amp;C230)</f>
        <v/>
      </c>
      <c r="B230" s="130"/>
      <c r="C230" s="130"/>
      <c r="D230" s="130"/>
      <c r="E230" s="136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</row>
    <row r="231" customFormat="false" ht="15.75" hidden="false" customHeight="false" outlineLevel="0" collapsed="false">
      <c r="A231" s="130" t="str">
        <f aca="false">IF(ISBLANK(B231),"",B231&amp;"|"&amp;C231)</f>
        <v/>
      </c>
      <c r="B231" s="130"/>
      <c r="C231" s="130"/>
      <c r="D231" s="130"/>
      <c r="E231" s="136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</row>
    <row r="232" customFormat="false" ht="15.75" hidden="false" customHeight="false" outlineLevel="0" collapsed="false">
      <c r="A232" s="130" t="str">
        <f aca="false">IF(ISBLANK(B232),"",B232&amp;"|"&amp;C232)</f>
        <v/>
      </c>
      <c r="B232" s="130"/>
      <c r="C232" s="130"/>
      <c r="D232" s="130"/>
      <c r="E232" s="136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</row>
    <row r="233" customFormat="false" ht="15.75" hidden="false" customHeight="false" outlineLevel="0" collapsed="false">
      <c r="A233" s="130" t="str">
        <f aca="false">IF(ISBLANK(B233),"",B233&amp;"|"&amp;C233)</f>
        <v/>
      </c>
      <c r="B233" s="130"/>
      <c r="C233" s="130"/>
      <c r="D233" s="130"/>
      <c r="E233" s="136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</row>
    <row r="234" customFormat="false" ht="15.75" hidden="false" customHeight="false" outlineLevel="0" collapsed="false">
      <c r="A234" s="130" t="str">
        <f aca="false">IF(ISBLANK(B234),"",B234&amp;"|"&amp;C234)</f>
        <v/>
      </c>
      <c r="B234" s="130"/>
      <c r="C234" s="130"/>
      <c r="D234" s="130"/>
      <c r="E234" s="136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</row>
    <row r="235" customFormat="false" ht="15.75" hidden="false" customHeight="false" outlineLevel="0" collapsed="false">
      <c r="A235" s="130" t="str">
        <f aca="false">IF(ISBLANK(B235),"",B235&amp;"|"&amp;C235)</f>
        <v/>
      </c>
      <c r="B235" s="130"/>
      <c r="C235" s="130"/>
      <c r="D235" s="130"/>
      <c r="E235" s="136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</row>
    <row r="236" customFormat="false" ht="15.75" hidden="false" customHeight="false" outlineLevel="0" collapsed="false">
      <c r="A236" s="130" t="str">
        <f aca="false">IF(ISBLANK(B236),"",B236&amp;"|"&amp;C236)</f>
        <v/>
      </c>
      <c r="B236" s="130"/>
      <c r="C236" s="130"/>
      <c r="D236" s="130"/>
      <c r="E236" s="136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</row>
    <row r="237" customFormat="false" ht="15.75" hidden="false" customHeight="false" outlineLevel="0" collapsed="false">
      <c r="A237" s="130" t="str">
        <f aca="false">IF(ISBLANK(B237),"",B237&amp;"|"&amp;C237)</f>
        <v/>
      </c>
      <c r="B237" s="130"/>
      <c r="C237" s="130"/>
      <c r="D237" s="130"/>
      <c r="E237" s="136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</row>
    <row r="238" customFormat="false" ht="15.75" hidden="false" customHeight="false" outlineLevel="0" collapsed="false">
      <c r="A238" s="130" t="str">
        <f aca="false">IF(ISBLANK(B238),"",B238&amp;"|"&amp;C238)</f>
        <v/>
      </c>
      <c r="B238" s="130"/>
      <c r="C238" s="130"/>
      <c r="D238" s="130"/>
      <c r="E238" s="136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</row>
    <row r="239" customFormat="false" ht="15.75" hidden="false" customHeight="false" outlineLevel="0" collapsed="false">
      <c r="A239" s="130" t="str">
        <f aca="false">IF(ISBLANK(B239),"",B239&amp;"|"&amp;C239)</f>
        <v/>
      </c>
      <c r="B239" s="130"/>
      <c r="C239" s="130"/>
      <c r="D239" s="130"/>
      <c r="E239" s="136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</row>
    <row r="240" customFormat="false" ht="15.75" hidden="false" customHeight="false" outlineLevel="0" collapsed="false">
      <c r="A240" s="130" t="str">
        <f aca="false">IF(ISBLANK(B240),"",B240&amp;"|"&amp;C240)</f>
        <v/>
      </c>
      <c r="B240" s="130"/>
      <c r="C240" s="130"/>
      <c r="D240" s="130"/>
      <c r="E240" s="136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</row>
    <row r="241" customFormat="false" ht="15.75" hidden="false" customHeight="false" outlineLevel="0" collapsed="false">
      <c r="A241" s="130" t="str">
        <f aca="false">IF(ISBLANK(B241),"",B241&amp;"|"&amp;C241)</f>
        <v/>
      </c>
      <c r="B241" s="130"/>
      <c r="C241" s="130"/>
      <c r="D241" s="130"/>
      <c r="E241" s="136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</row>
    <row r="242" customFormat="false" ht="15.75" hidden="false" customHeight="false" outlineLevel="0" collapsed="false">
      <c r="A242" s="130" t="str">
        <f aca="false">IF(ISBLANK(B242),"",B242&amp;"|"&amp;C242)</f>
        <v/>
      </c>
      <c r="B242" s="130"/>
      <c r="C242" s="130"/>
      <c r="D242" s="130"/>
      <c r="E242" s="136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</row>
    <row r="243" customFormat="false" ht="15.75" hidden="false" customHeight="false" outlineLevel="0" collapsed="false">
      <c r="A243" s="130" t="str">
        <f aca="false">IF(ISBLANK(B243),"",B243&amp;"|"&amp;C243)</f>
        <v/>
      </c>
      <c r="B243" s="130"/>
      <c r="C243" s="130"/>
      <c r="D243" s="130"/>
      <c r="E243" s="136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</row>
    <row r="244" customFormat="false" ht="15.75" hidden="false" customHeight="false" outlineLevel="0" collapsed="false">
      <c r="A244" s="130" t="str">
        <f aca="false">IF(ISBLANK(B244),"",B244&amp;"|"&amp;C244)</f>
        <v/>
      </c>
      <c r="B244" s="130"/>
      <c r="C244" s="130"/>
      <c r="D244" s="130"/>
      <c r="E244" s="136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</row>
    <row r="245" customFormat="false" ht="15.75" hidden="false" customHeight="false" outlineLevel="0" collapsed="false">
      <c r="A245" s="130" t="str">
        <f aca="false">IF(ISBLANK(B245),"",B245&amp;"|"&amp;C245)</f>
        <v/>
      </c>
      <c r="B245" s="130"/>
      <c r="C245" s="130"/>
      <c r="D245" s="130"/>
      <c r="E245" s="136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</row>
    <row r="246" customFormat="false" ht="15.75" hidden="false" customHeight="false" outlineLevel="0" collapsed="false">
      <c r="A246" s="130" t="str">
        <f aca="false">IF(ISBLANK(B246),"",B246&amp;"|"&amp;C246)</f>
        <v/>
      </c>
      <c r="B246" s="130"/>
      <c r="C246" s="130"/>
      <c r="D246" s="130"/>
      <c r="E246" s="136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</row>
    <row r="247" customFormat="false" ht="15.75" hidden="false" customHeight="false" outlineLevel="0" collapsed="false">
      <c r="A247" s="130" t="str">
        <f aca="false">IF(ISBLANK(B247),"",B247&amp;"|"&amp;C247)</f>
        <v/>
      </c>
      <c r="B247" s="130"/>
      <c r="C247" s="130"/>
      <c r="D247" s="130"/>
      <c r="E247" s="136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</row>
    <row r="248" customFormat="false" ht="15.75" hidden="false" customHeight="false" outlineLevel="0" collapsed="false">
      <c r="A248" s="130" t="str">
        <f aca="false">IF(ISBLANK(B248),"",B248&amp;"|"&amp;C248)</f>
        <v/>
      </c>
      <c r="B248" s="130"/>
      <c r="C248" s="130"/>
      <c r="D248" s="130"/>
      <c r="E248" s="136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</row>
    <row r="249" customFormat="false" ht="15.75" hidden="false" customHeight="false" outlineLevel="0" collapsed="false">
      <c r="A249" s="130" t="str">
        <f aca="false">IF(ISBLANK(B249),"",B249&amp;"|"&amp;C249)</f>
        <v/>
      </c>
      <c r="B249" s="130"/>
      <c r="C249" s="130"/>
      <c r="D249" s="130"/>
      <c r="E249" s="136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</row>
    <row r="250" customFormat="false" ht="15.75" hidden="false" customHeight="false" outlineLevel="0" collapsed="false">
      <c r="A250" s="130" t="str">
        <f aca="false">IF(ISBLANK(B250),"",B250&amp;"|"&amp;C250)</f>
        <v/>
      </c>
      <c r="B250" s="130"/>
      <c r="C250" s="130"/>
      <c r="D250" s="130"/>
      <c r="E250" s="136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</row>
    <row r="251" customFormat="false" ht="15.75" hidden="false" customHeight="false" outlineLevel="0" collapsed="false">
      <c r="A251" s="130" t="str">
        <f aca="false">IF(ISBLANK(B251),"",B251&amp;"|"&amp;C251)</f>
        <v/>
      </c>
      <c r="B251" s="130"/>
      <c r="C251" s="130"/>
      <c r="D251" s="130"/>
      <c r="E251" s="136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</row>
    <row r="252" customFormat="false" ht="15.75" hidden="false" customHeight="false" outlineLevel="0" collapsed="false">
      <c r="A252" s="130" t="str">
        <f aca="false">IF(ISBLANK(B252),"",B252&amp;"|"&amp;C252)</f>
        <v/>
      </c>
      <c r="B252" s="130"/>
      <c r="C252" s="130"/>
      <c r="D252" s="130"/>
      <c r="E252" s="136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</row>
    <row r="253" customFormat="false" ht="15.75" hidden="false" customHeight="false" outlineLevel="0" collapsed="false">
      <c r="A253" s="130" t="str">
        <f aca="false">IF(ISBLANK(B253),"",B253&amp;"|"&amp;C253)</f>
        <v/>
      </c>
      <c r="B253" s="130"/>
      <c r="C253" s="130"/>
      <c r="D253" s="130"/>
      <c r="E253" s="136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</row>
    <row r="254" customFormat="false" ht="15.75" hidden="false" customHeight="false" outlineLevel="0" collapsed="false">
      <c r="A254" s="130" t="str">
        <f aca="false">IF(ISBLANK(B254),"",B254&amp;"|"&amp;C254)</f>
        <v/>
      </c>
      <c r="B254" s="130"/>
      <c r="C254" s="130"/>
      <c r="D254" s="130"/>
      <c r="E254" s="136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</row>
    <row r="255" customFormat="false" ht="15.75" hidden="false" customHeight="false" outlineLevel="0" collapsed="false">
      <c r="A255" s="130" t="str">
        <f aca="false">IF(ISBLANK(B255),"",B255&amp;"|"&amp;C255)</f>
        <v/>
      </c>
      <c r="B255" s="130"/>
      <c r="C255" s="130"/>
      <c r="D255" s="130"/>
      <c r="E255" s="136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</row>
    <row r="256" customFormat="false" ht="15.75" hidden="false" customHeight="false" outlineLevel="0" collapsed="false">
      <c r="A256" s="130" t="str">
        <f aca="false">IF(ISBLANK(B256),"",B256&amp;"|"&amp;C256)</f>
        <v/>
      </c>
      <c r="B256" s="130"/>
      <c r="C256" s="130"/>
      <c r="D256" s="130"/>
      <c r="E256" s="136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</row>
    <row r="257" customFormat="false" ht="15.75" hidden="false" customHeight="false" outlineLevel="0" collapsed="false">
      <c r="A257" s="130" t="str">
        <f aca="false">IF(ISBLANK(B257),"",B257&amp;"|"&amp;C257)</f>
        <v/>
      </c>
      <c r="B257" s="130"/>
      <c r="C257" s="130"/>
      <c r="D257" s="130"/>
      <c r="E257" s="136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</row>
    <row r="258" customFormat="false" ht="15.75" hidden="false" customHeight="false" outlineLevel="0" collapsed="false">
      <c r="A258" s="130" t="str">
        <f aca="false">IF(ISBLANK(B258),"",B258&amp;"|"&amp;C258)</f>
        <v/>
      </c>
      <c r="B258" s="130"/>
      <c r="C258" s="130"/>
      <c r="D258" s="130"/>
      <c r="E258" s="136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</row>
    <row r="259" customFormat="false" ht="15.75" hidden="false" customHeight="false" outlineLevel="0" collapsed="false">
      <c r="A259" s="130" t="str">
        <f aca="false">IF(ISBLANK(B259),"",B259&amp;"|"&amp;C259)</f>
        <v/>
      </c>
      <c r="B259" s="130"/>
      <c r="C259" s="130"/>
      <c r="D259" s="130"/>
      <c r="E259" s="136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</row>
    <row r="260" customFormat="false" ht="15.75" hidden="false" customHeight="false" outlineLevel="0" collapsed="false">
      <c r="A260" s="130" t="str">
        <f aca="false">IF(ISBLANK(B260),"",B260&amp;"|"&amp;C260)</f>
        <v/>
      </c>
      <c r="B260" s="130"/>
      <c r="C260" s="130"/>
      <c r="D260" s="130"/>
      <c r="E260" s="136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</row>
    <row r="261" customFormat="false" ht="15.75" hidden="false" customHeight="false" outlineLevel="0" collapsed="false">
      <c r="A261" s="130" t="str">
        <f aca="false">IF(ISBLANK(B261),"",B261&amp;"|"&amp;C261)</f>
        <v/>
      </c>
      <c r="B261" s="130"/>
      <c r="C261" s="130"/>
      <c r="D261" s="130"/>
      <c r="E261" s="136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</row>
    <row r="262" customFormat="false" ht="15.75" hidden="false" customHeight="false" outlineLevel="0" collapsed="false">
      <c r="A262" s="130" t="str">
        <f aca="false">IF(ISBLANK(B262),"",B262&amp;"|"&amp;C262)</f>
        <v/>
      </c>
      <c r="B262" s="130"/>
      <c r="C262" s="130"/>
      <c r="D262" s="130"/>
      <c r="E262" s="136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</row>
    <row r="263" customFormat="false" ht="15.75" hidden="false" customHeight="false" outlineLevel="0" collapsed="false">
      <c r="A263" s="130" t="str">
        <f aca="false">IF(ISBLANK(B263),"",B263&amp;"|"&amp;C263)</f>
        <v/>
      </c>
      <c r="B263" s="130"/>
      <c r="C263" s="130"/>
      <c r="D263" s="130"/>
      <c r="E263" s="136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</row>
    <row r="264" customFormat="false" ht="15.75" hidden="false" customHeight="false" outlineLevel="0" collapsed="false">
      <c r="A264" s="130" t="str">
        <f aca="false">IF(ISBLANK(B264),"",B264&amp;"|"&amp;C264)</f>
        <v/>
      </c>
      <c r="B264" s="130"/>
      <c r="C264" s="130"/>
      <c r="D264" s="130"/>
      <c r="E264" s="136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</row>
    <row r="265" customFormat="false" ht="15.75" hidden="false" customHeight="false" outlineLevel="0" collapsed="false">
      <c r="A265" s="130" t="str">
        <f aca="false">IF(ISBLANK(B265),"",B265&amp;"|"&amp;C265)</f>
        <v/>
      </c>
      <c r="B265" s="130"/>
      <c r="C265" s="130"/>
      <c r="D265" s="130"/>
      <c r="E265" s="136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</row>
    <row r="266" customFormat="false" ht="15.75" hidden="false" customHeight="false" outlineLevel="0" collapsed="false">
      <c r="A266" s="130" t="str">
        <f aca="false">IF(ISBLANK(B266),"",B266&amp;"|"&amp;C266)</f>
        <v/>
      </c>
      <c r="B266" s="130"/>
      <c r="C266" s="130"/>
      <c r="D266" s="130"/>
      <c r="E266" s="136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</row>
    <row r="267" customFormat="false" ht="15.75" hidden="false" customHeight="false" outlineLevel="0" collapsed="false">
      <c r="A267" s="130" t="str">
        <f aca="false">IF(ISBLANK(B267),"",B267&amp;"|"&amp;C267)</f>
        <v/>
      </c>
      <c r="B267" s="130"/>
      <c r="C267" s="130"/>
      <c r="D267" s="130"/>
      <c r="E267" s="136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</row>
    <row r="268" customFormat="false" ht="15.75" hidden="false" customHeight="false" outlineLevel="0" collapsed="false">
      <c r="A268" s="130" t="str">
        <f aca="false">IF(ISBLANK(B268),"",B268&amp;"|"&amp;C268)</f>
        <v/>
      </c>
      <c r="B268" s="130"/>
      <c r="C268" s="130"/>
      <c r="D268" s="130"/>
      <c r="E268" s="136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</row>
    <row r="269" customFormat="false" ht="15.75" hidden="false" customHeight="false" outlineLevel="0" collapsed="false">
      <c r="A269" s="130" t="str">
        <f aca="false">IF(ISBLANK(B269),"",B269&amp;"|"&amp;C269)</f>
        <v/>
      </c>
      <c r="B269" s="130"/>
      <c r="C269" s="130"/>
      <c r="D269" s="130"/>
      <c r="E269" s="136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</row>
    <row r="270" customFormat="false" ht="15.75" hidden="false" customHeight="false" outlineLevel="0" collapsed="false">
      <c r="A270" s="130" t="str">
        <f aca="false">IF(ISBLANK(B270),"",B270&amp;"|"&amp;C270)</f>
        <v/>
      </c>
      <c r="B270" s="130"/>
      <c r="C270" s="130"/>
      <c r="D270" s="130"/>
      <c r="E270" s="136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</row>
    <row r="271" customFormat="false" ht="15.75" hidden="false" customHeight="false" outlineLevel="0" collapsed="false">
      <c r="A271" s="130" t="str">
        <f aca="false">IF(ISBLANK(B271),"",B271&amp;"|"&amp;C271)</f>
        <v/>
      </c>
      <c r="B271" s="130"/>
      <c r="C271" s="130"/>
      <c r="D271" s="130"/>
      <c r="E271" s="136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</row>
    <row r="272" customFormat="false" ht="15.75" hidden="false" customHeight="false" outlineLevel="0" collapsed="false">
      <c r="A272" s="130" t="str">
        <f aca="false">IF(ISBLANK(B272),"",B272&amp;"|"&amp;C272)</f>
        <v/>
      </c>
      <c r="B272" s="130"/>
      <c r="C272" s="130"/>
      <c r="D272" s="130"/>
      <c r="E272" s="136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</row>
    <row r="273" customFormat="false" ht="15.75" hidden="false" customHeight="false" outlineLevel="0" collapsed="false">
      <c r="A273" s="130" t="str">
        <f aca="false">IF(ISBLANK(B273),"",B273&amp;"|"&amp;C273)</f>
        <v/>
      </c>
      <c r="B273" s="130"/>
      <c r="C273" s="130"/>
      <c r="D273" s="130"/>
      <c r="E273" s="136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</row>
    <row r="274" customFormat="false" ht="15.75" hidden="false" customHeight="false" outlineLevel="0" collapsed="false">
      <c r="A274" s="130" t="str">
        <f aca="false">IF(ISBLANK(B274),"",B274&amp;"|"&amp;C274)</f>
        <v/>
      </c>
      <c r="B274" s="130"/>
      <c r="C274" s="130"/>
      <c r="D274" s="130"/>
      <c r="E274" s="136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</row>
    <row r="275" customFormat="false" ht="15.75" hidden="false" customHeight="false" outlineLevel="0" collapsed="false">
      <c r="A275" s="130" t="str">
        <f aca="false">IF(ISBLANK(B275),"",B275&amp;"|"&amp;C275)</f>
        <v/>
      </c>
      <c r="B275" s="130"/>
      <c r="C275" s="130"/>
      <c r="D275" s="130"/>
      <c r="E275" s="136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</row>
    <row r="276" customFormat="false" ht="15.75" hidden="false" customHeight="false" outlineLevel="0" collapsed="false">
      <c r="A276" s="130" t="str">
        <f aca="false">IF(ISBLANK(B276),"",B276&amp;"|"&amp;C276)</f>
        <v/>
      </c>
      <c r="B276" s="130"/>
      <c r="C276" s="130"/>
      <c r="D276" s="130"/>
      <c r="E276" s="136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</row>
    <row r="277" customFormat="false" ht="15.75" hidden="false" customHeight="false" outlineLevel="0" collapsed="false">
      <c r="A277" s="130" t="str">
        <f aca="false">IF(ISBLANK(B277),"",B277&amp;"|"&amp;C277)</f>
        <v/>
      </c>
      <c r="B277" s="130"/>
      <c r="C277" s="130"/>
      <c r="D277" s="130"/>
      <c r="E277" s="136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</row>
    <row r="278" customFormat="false" ht="15.75" hidden="false" customHeight="false" outlineLevel="0" collapsed="false">
      <c r="A278" s="130" t="str">
        <f aca="false">IF(ISBLANK(B278),"",B278&amp;"|"&amp;C278)</f>
        <v/>
      </c>
      <c r="B278" s="130"/>
      <c r="C278" s="130"/>
      <c r="D278" s="130"/>
      <c r="E278" s="136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</row>
    <row r="279" customFormat="false" ht="15.75" hidden="false" customHeight="false" outlineLevel="0" collapsed="false">
      <c r="A279" s="130" t="str">
        <f aca="false">IF(ISBLANK(B279),"",B279&amp;"|"&amp;C279)</f>
        <v/>
      </c>
      <c r="B279" s="130"/>
      <c r="C279" s="130"/>
      <c r="D279" s="130"/>
      <c r="E279" s="136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</row>
    <row r="280" customFormat="false" ht="15.75" hidden="false" customHeight="false" outlineLevel="0" collapsed="false">
      <c r="A280" s="130" t="str">
        <f aca="false">IF(ISBLANK(B280),"",B280&amp;"|"&amp;C280)</f>
        <v/>
      </c>
      <c r="B280" s="130"/>
      <c r="C280" s="130"/>
      <c r="D280" s="130"/>
      <c r="E280" s="136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</row>
    <row r="281" customFormat="false" ht="15.75" hidden="false" customHeight="false" outlineLevel="0" collapsed="false">
      <c r="A281" s="130" t="str">
        <f aca="false">IF(ISBLANK(B281),"",B281&amp;"|"&amp;C281)</f>
        <v/>
      </c>
      <c r="B281" s="130"/>
      <c r="C281" s="130"/>
      <c r="D281" s="130"/>
      <c r="E281" s="136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</row>
    <row r="282" customFormat="false" ht="15.75" hidden="false" customHeight="false" outlineLevel="0" collapsed="false">
      <c r="A282" s="130" t="str">
        <f aca="false">IF(ISBLANK(B282),"",B282&amp;"|"&amp;C282)</f>
        <v/>
      </c>
      <c r="B282" s="130"/>
      <c r="C282" s="130"/>
      <c r="D282" s="130"/>
      <c r="E282" s="136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</row>
    <row r="283" customFormat="false" ht="15.75" hidden="false" customHeight="false" outlineLevel="0" collapsed="false">
      <c r="A283" s="130" t="str">
        <f aca="false">IF(ISBLANK(B283),"",B283&amp;"|"&amp;C283)</f>
        <v/>
      </c>
      <c r="B283" s="130"/>
      <c r="C283" s="130"/>
      <c r="D283" s="130"/>
      <c r="E283" s="136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</row>
    <row r="284" customFormat="false" ht="15.75" hidden="false" customHeight="false" outlineLevel="0" collapsed="false">
      <c r="A284" s="130" t="str">
        <f aca="false">IF(ISBLANK(B284),"",B284&amp;"|"&amp;C284)</f>
        <v/>
      </c>
      <c r="B284" s="130"/>
      <c r="C284" s="130"/>
      <c r="D284" s="130"/>
      <c r="E284" s="136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</row>
    <row r="285" customFormat="false" ht="15.75" hidden="false" customHeight="false" outlineLevel="0" collapsed="false">
      <c r="A285" s="130" t="str">
        <f aca="false">IF(ISBLANK(B285),"",B285&amp;"|"&amp;C285)</f>
        <v/>
      </c>
      <c r="B285" s="130"/>
      <c r="C285" s="130"/>
      <c r="D285" s="130"/>
      <c r="E285" s="136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</row>
    <row r="286" customFormat="false" ht="15.75" hidden="false" customHeight="false" outlineLevel="0" collapsed="false">
      <c r="A286" s="130" t="str">
        <f aca="false">IF(ISBLANK(B286),"",B286&amp;"|"&amp;C286)</f>
        <v/>
      </c>
      <c r="B286" s="130"/>
      <c r="C286" s="130"/>
      <c r="D286" s="130"/>
      <c r="E286" s="136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</row>
    <row r="287" customFormat="false" ht="15.75" hidden="false" customHeight="false" outlineLevel="0" collapsed="false">
      <c r="A287" s="130" t="str">
        <f aca="false">IF(ISBLANK(B287),"",B287&amp;"|"&amp;C287)</f>
        <v/>
      </c>
      <c r="B287" s="130"/>
      <c r="C287" s="130"/>
      <c r="D287" s="130"/>
      <c r="E287" s="136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</row>
    <row r="288" customFormat="false" ht="15.75" hidden="false" customHeight="false" outlineLevel="0" collapsed="false">
      <c r="A288" s="130" t="str">
        <f aca="false">IF(ISBLANK(B288),"",B288&amp;"|"&amp;C288)</f>
        <v/>
      </c>
      <c r="B288" s="130"/>
      <c r="C288" s="130"/>
      <c r="D288" s="130"/>
      <c r="E288" s="136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</row>
    <row r="289" customFormat="false" ht="15.75" hidden="false" customHeight="false" outlineLevel="0" collapsed="false">
      <c r="A289" s="130" t="str">
        <f aca="false">IF(ISBLANK(B289),"",B289&amp;"|"&amp;C289)</f>
        <v/>
      </c>
      <c r="B289" s="130"/>
      <c r="C289" s="130"/>
      <c r="D289" s="130"/>
      <c r="E289" s="136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</row>
    <row r="290" customFormat="false" ht="15.75" hidden="false" customHeight="false" outlineLevel="0" collapsed="false">
      <c r="A290" s="130" t="str">
        <f aca="false">IF(ISBLANK(B290),"",B290&amp;"|"&amp;C290)</f>
        <v/>
      </c>
      <c r="B290" s="130"/>
      <c r="C290" s="130"/>
      <c r="D290" s="130"/>
      <c r="E290" s="136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</row>
    <row r="291" customFormat="false" ht="15.75" hidden="false" customHeight="false" outlineLevel="0" collapsed="false">
      <c r="A291" s="130" t="str">
        <f aca="false">IF(ISBLANK(B291),"",B291&amp;"|"&amp;C291)</f>
        <v/>
      </c>
      <c r="B291" s="130"/>
      <c r="C291" s="130"/>
      <c r="D291" s="130"/>
      <c r="E291" s="136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</row>
    <row r="292" customFormat="false" ht="15.75" hidden="false" customHeight="false" outlineLevel="0" collapsed="false">
      <c r="A292" s="130" t="str">
        <f aca="false">IF(ISBLANK(B292),"",B292&amp;"|"&amp;C292)</f>
        <v/>
      </c>
      <c r="B292" s="130"/>
      <c r="C292" s="130"/>
      <c r="D292" s="130"/>
      <c r="E292" s="136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</row>
    <row r="293" customFormat="false" ht="15.75" hidden="false" customHeight="false" outlineLevel="0" collapsed="false">
      <c r="A293" s="130" t="str">
        <f aca="false">IF(ISBLANK(B293),"",B293&amp;"|"&amp;C293)</f>
        <v/>
      </c>
      <c r="B293" s="130"/>
      <c r="C293" s="130"/>
      <c r="D293" s="130"/>
      <c r="E293" s="136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</row>
    <row r="294" customFormat="false" ht="15.75" hidden="false" customHeight="false" outlineLevel="0" collapsed="false">
      <c r="A294" s="130" t="str">
        <f aca="false">IF(ISBLANK(B294),"",B294&amp;"|"&amp;C294)</f>
        <v/>
      </c>
      <c r="B294" s="130"/>
      <c r="C294" s="130"/>
      <c r="D294" s="130"/>
      <c r="E294" s="136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</row>
    <row r="295" customFormat="false" ht="15.75" hidden="false" customHeight="false" outlineLevel="0" collapsed="false">
      <c r="A295" s="130" t="str">
        <f aca="false">IF(ISBLANK(B295),"",B295&amp;"|"&amp;C295)</f>
        <v/>
      </c>
      <c r="B295" s="130"/>
      <c r="C295" s="130"/>
      <c r="D295" s="130"/>
      <c r="E295" s="136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</row>
    <row r="296" customFormat="false" ht="15.75" hidden="false" customHeight="false" outlineLevel="0" collapsed="false">
      <c r="A296" s="130" t="str">
        <f aca="false">IF(ISBLANK(B296),"",B296&amp;"|"&amp;C296)</f>
        <v/>
      </c>
      <c r="B296" s="130"/>
      <c r="C296" s="130"/>
      <c r="D296" s="130"/>
      <c r="E296" s="136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</row>
    <row r="297" customFormat="false" ht="15.75" hidden="false" customHeight="false" outlineLevel="0" collapsed="false">
      <c r="A297" s="130" t="str">
        <f aca="false">IF(ISBLANK(B297),"",B297&amp;"|"&amp;C297)</f>
        <v/>
      </c>
      <c r="B297" s="130"/>
      <c r="C297" s="130"/>
      <c r="D297" s="130"/>
      <c r="E297" s="136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</row>
    <row r="298" customFormat="false" ht="15.75" hidden="false" customHeight="false" outlineLevel="0" collapsed="false">
      <c r="A298" s="130" t="str">
        <f aca="false">IF(ISBLANK(B298),"",B298&amp;"|"&amp;C298)</f>
        <v/>
      </c>
      <c r="B298" s="130"/>
      <c r="C298" s="130"/>
      <c r="D298" s="130"/>
      <c r="E298" s="136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</row>
    <row r="299" customFormat="false" ht="15.75" hidden="false" customHeight="false" outlineLevel="0" collapsed="false">
      <c r="A299" s="130" t="str">
        <f aca="false">IF(ISBLANK(B299),"",B299&amp;"|"&amp;C299)</f>
        <v/>
      </c>
      <c r="B299" s="130"/>
      <c r="C299" s="130"/>
      <c r="D299" s="130"/>
      <c r="E299" s="136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</row>
    <row r="300" customFormat="false" ht="15.75" hidden="false" customHeight="false" outlineLevel="0" collapsed="false">
      <c r="A300" s="130" t="str">
        <f aca="false">IF(ISBLANK(B300),"",B300&amp;"|"&amp;C300)</f>
        <v/>
      </c>
      <c r="B300" s="130"/>
      <c r="C300" s="130"/>
      <c r="D300" s="130"/>
      <c r="E300" s="136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</row>
    <row r="301" customFormat="false" ht="15.75" hidden="false" customHeight="false" outlineLevel="0" collapsed="false">
      <c r="A301" s="130" t="str">
        <f aca="false">IF(ISBLANK(B301),"",B301&amp;"|"&amp;C301)</f>
        <v/>
      </c>
      <c r="B301" s="130"/>
      <c r="C301" s="130"/>
      <c r="D301" s="130"/>
      <c r="E301" s="136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</row>
    <row r="302" customFormat="false" ht="15.75" hidden="false" customHeight="false" outlineLevel="0" collapsed="false">
      <c r="A302" s="130" t="str">
        <f aca="false">IF(ISBLANK(B302),"",B302&amp;"|"&amp;C302)</f>
        <v/>
      </c>
      <c r="B302" s="130"/>
      <c r="C302" s="130"/>
      <c r="D302" s="130"/>
      <c r="E302" s="136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</row>
    <row r="303" customFormat="false" ht="15.75" hidden="false" customHeight="false" outlineLevel="0" collapsed="false">
      <c r="A303" s="130" t="str">
        <f aca="false">IF(ISBLANK(B303),"",B303&amp;"|"&amp;C303)</f>
        <v/>
      </c>
      <c r="B303" s="130"/>
      <c r="C303" s="130"/>
      <c r="D303" s="130"/>
      <c r="E303" s="136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</row>
    <row r="304" customFormat="false" ht="15.75" hidden="false" customHeight="false" outlineLevel="0" collapsed="false">
      <c r="A304" s="130" t="str">
        <f aca="false">IF(ISBLANK(B304),"",B304&amp;"|"&amp;C304)</f>
        <v/>
      </c>
      <c r="B304" s="130"/>
      <c r="C304" s="130"/>
      <c r="D304" s="130"/>
      <c r="E304" s="136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</row>
    <row r="305" customFormat="false" ht="15.75" hidden="false" customHeight="false" outlineLevel="0" collapsed="false">
      <c r="A305" s="130" t="str">
        <f aca="false">IF(ISBLANK(B305),"",B305&amp;"|"&amp;C305)</f>
        <v/>
      </c>
      <c r="B305" s="130"/>
      <c r="C305" s="130"/>
      <c r="D305" s="130"/>
      <c r="E305" s="136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</row>
    <row r="306" customFormat="false" ht="15.75" hidden="false" customHeight="false" outlineLevel="0" collapsed="false">
      <c r="A306" s="130" t="str">
        <f aca="false">IF(ISBLANK(B306),"",B306&amp;"|"&amp;C306)</f>
        <v/>
      </c>
      <c r="B306" s="130"/>
      <c r="C306" s="130"/>
      <c r="D306" s="130"/>
      <c r="E306" s="136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</row>
    <row r="307" customFormat="false" ht="15.75" hidden="false" customHeight="false" outlineLevel="0" collapsed="false">
      <c r="A307" s="130" t="str">
        <f aca="false">IF(ISBLANK(B307),"",B307&amp;"|"&amp;C307)</f>
        <v/>
      </c>
      <c r="B307" s="130"/>
      <c r="C307" s="130"/>
      <c r="D307" s="130"/>
      <c r="E307" s="136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</row>
    <row r="308" customFormat="false" ht="15.75" hidden="false" customHeight="false" outlineLevel="0" collapsed="false">
      <c r="A308" s="130" t="str">
        <f aca="false">IF(ISBLANK(B308),"",B308&amp;"|"&amp;C308)</f>
        <v/>
      </c>
      <c r="B308" s="130"/>
      <c r="C308" s="130"/>
      <c r="D308" s="130"/>
      <c r="E308" s="136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</row>
    <row r="309" customFormat="false" ht="15.75" hidden="false" customHeight="false" outlineLevel="0" collapsed="false">
      <c r="A309" s="130" t="str">
        <f aca="false">IF(ISBLANK(B309),"",B309&amp;"|"&amp;C309)</f>
        <v/>
      </c>
      <c r="B309" s="130"/>
      <c r="C309" s="130"/>
      <c r="D309" s="130"/>
      <c r="E309" s="136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</row>
    <row r="310" customFormat="false" ht="15.75" hidden="false" customHeight="false" outlineLevel="0" collapsed="false">
      <c r="A310" s="130" t="str">
        <f aca="false">IF(ISBLANK(B310),"",B310&amp;"|"&amp;C310)</f>
        <v/>
      </c>
      <c r="B310" s="130"/>
      <c r="C310" s="130"/>
      <c r="D310" s="130"/>
      <c r="E310" s="136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</row>
    <row r="311" customFormat="false" ht="15.75" hidden="false" customHeight="false" outlineLevel="0" collapsed="false">
      <c r="A311" s="130" t="str">
        <f aca="false">IF(ISBLANK(B311),"",B311&amp;"|"&amp;C311)</f>
        <v/>
      </c>
      <c r="B311" s="130"/>
      <c r="C311" s="130"/>
      <c r="D311" s="130"/>
      <c r="E311" s="136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</row>
    <row r="312" customFormat="false" ht="15.75" hidden="false" customHeight="false" outlineLevel="0" collapsed="false">
      <c r="A312" s="130" t="str">
        <f aca="false">IF(ISBLANK(B312),"",B312&amp;"|"&amp;C312)</f>
        <v/>
      </c>
      <c r="B312" s="130"/>
      <c r="C312" s="130"/>
      <c r="D312" s="130"/>
      <c r="E312" s="136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</row>
    <row r="313" customFormat="false" ht="15.75" hidden="false" customHeight="false" outlineLevel="0" collapsed="false">
      <c r="A313" s="130" t="str">
        <f aca="false">IF(ISBLANK(B313),"",B313&amp;"|"&amp;C313)</f>
        <v/>
      </c>
      <c r="B313" s="130"/>
      <c r="C313" s="130"/>
      <c r="D313" s="130"/>
      <c r="E313" s="136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</row>
    <row r="314" customFormat="false" ht="15.75" hidden="false" customHeight="false" outlineLevel="0" collapsed="false">
      <c r="A314" s="130" t="str">
        <f aca="false">IF(ISBLANK(B314),"",B314&amp;"|"&amp;C314)</f>
        <v/>
      </c>
      <c r="B314" s="130"/>
      <c r="C314" s="130"/>
      <c r="D314" s="130"/>
      <c r="E314" s="136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</row>
    <row r="315" customFormat="false" ht="15.75" hidden="false" customHeight="false" outlineLevel="0" collapsed="false">
      <c r="A315" s="130" t="str">
        <f aca="false">IF(ISBLANK(B315),"",B315&amp;"|"&amp;C315)</f>
        <v/>
      </c>
      <c r="B315" s="130"/>
      <c r="C315" s="130"/>
      <c r="D315" s="130"/>
      <c r="E315" s="136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</row>
    <row r="316" customFormat="false" ht="15.75" hidden="false" customHeight="false" outlineLevel="0" collapsed="false">
      <c r="A316" s="130" t="str">
        <f aca="false">IF(ISBLANK(B316),"",B316&amp;"|"&amp;C316)</f>
        <v/>
      </c>
      <c r="B316" s="130"/>
      <c r="C316" s="130"/>
      <c r="D316" s="130"/>
      <c r="E316" s="136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</row>
    <row r="317" customFormat="false" ht="15.75" hidden="false" customHeight="false" outlineLevel="0" collapsed="false">
      <c r="A317" s="130" t="str">
        <f aca="false">IF(ISBLANK(B317),"",B317&amp;"|"&amp;C317)</f>
        <v/>
      </c>
      <c r="B317" s="130"/>
      <c r="C317" s="130"/>
      <c r="D317" s="130"/>
      <c r="E317" s="136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</row>
    <row r="318" customFormat="false" ht="15.75" hidden="false" customHeight="false" outlineLevel="0" collapsed="false">
      <c r="A318" s="130" t="str">
        <f aca="false">IF(ISBLANK(B318),"",B318&amp;"|"&amp;C318)</f>
        <v/>
      </c>
      <c r="B318" s="130"/>
      <c r="C318" s="130"/>
      <c r="D318" s="130"/>
      <c r="E318" s="136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</row>
    <row r="319" customFormat="false" ht="15.75" hidden="false" customHeight="false" outlineLevel="0" collapsed="false">
      <c r="A319" s="130" t="str">
        <f aca="false">IF(ISBLANK(B319),"",B319&amp;"|"&amp;C319)</f>
        <v/>
      </c>
      <c r="B319" s="130"/>
      <c r="C319" s="130"/>
      <c r="D319" s="130"/>
      <c r="E319" s="136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</row>
    <row r="320" customFormat="false" ht="15.75" hidden="false" customHeight="false" outlineLevel="0" collapsed="false">
      <c r="A320" s="130" t="str">
        <f aca="false">IF(ISBLANK(B320),"",B320&amp;"|"&amp;C320)</f>
        <v/>
      </c>
      <c r="B320" s="130"/>
      <c r="C320" s="130"/>
      <c r="D320" s="130"/>
      <c r="E320" s="136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</row>
    <row r="321" customFormat="false" ht="15.75" hidden="false" customHeight="false" outlineLevel="0" collapsed="false">
      <c r="A321" s="130" t="str">
        <f aca="false">IF(ISBLANK(B321),"",B321&amp;"|"&amp;C321)</f>
        <v/>
      </c>
      <c r="B321" s="130"/>
      <c r="C321" s="130"/>
      <c r="D321" s="130"/>
      <c r="E321" s="136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</row>
    <row r="322" customFormat="false" ht="15.75" hidden="false" customHeight="false" outlineLevel="0" collapsed="false">
      <c r="A322" s="130" t="str">
        <f aca="false">IF(ISBLANK(B322),"",B322&amp;"|"&amp;C322)</f>
        <v/>
      </c>
      <c r="B322" s="130"/>
      <c r="C322" s="130"/>
      <c r="D322" s="130"/>
      <c r="E322" s="136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</row>
    <row r="323" customFormat="false" ht="15.75" hidden="false" customHeight="false" outlineLevel="0" collapsed="false">
      <c r="A323" s="130" t="str">
        <f aca="false">IF(ISBLANK(B323),"",B323&amp;"|"&amp;C323)</f>
        <v/>
      </c>
      <c r="B323" s="130"/>
      <c r="C323" s="130"/>
      <c r="D323" s="130"/>
      <c r="E323" s="136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</row>
    <row r="324" customFormat="false" ht="15.75" hidden="false" customHeight="false" outlineLevel="0" collapsed="false">
      <c r="A324" s="130" t="str">
        <f aca="false">IF(ISBLANK(B324),"",B324&amp;"|"&amp;C324)</f>
        <v/>
      </c>
      <c r="B324" s="130"/>
      <c r="C324" s="130"/>
      <c r="D324" s="130"/>
      <c r="E324" s="136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</row>
    <row r="325" customFormat="false" ht="15.75" hidden="false" customHeight="false" outlineLevel="0" collapsed="false">
      <c r="A325" s="130" t="str">
        <f aca="false">IF(ISBLANK(B325),"",B325&amp;"|"&amp;C325)</f>
        <v/>
      </c>
      <c r="B325" s="130"/>
      <c r="C325" s="130"/>
      <c r="D325" s="130"/>
      <c r="E325" s="136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</row>
    <row r="326" customFormat="false" ht="15.75" hidden="false" customHeight="false" outlineLevel="0" collapsed="false">
      <c r="A326" s="130" t="str">
        <f aca="false">IF(ISBLANK(B326),"",B326&amp;"|"&amp;C326)</f>
        <v/>
      </c>
      <c r="B326" s="130"/>
      <c r="C326" s="130"/>
      <c r="D326" s="130"/>
      <c r="E326" s="136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</row>
    <row r="327" customFormat="false" ht="15.75" hidden="false" customHeight="false" outlineLevel="0" collapsed="false">
      <c r="A327" s="130" t="str">
        <f aca="false">IF(ISBLANK(B327),"",B327&amp;"|"&amp;C327)</f>
        <v/>
      </c>
      <c r="B327" s="130"/>
      <c r="C327" s="130"/>
      <c r="D327" s="130"/>
      <c r="E327" s="136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</row>
    <row r="328" customFormat="false" ht="15.75" hidden="false" customHeight="false" outlineLevel="0" collapsed="false">
      <c r="A328" s="130" t="str">
        <f aca="false">IF(ISBLANK(B328),"",B328&amp;"|"&amp;C328)</f>
        <v/>
      </c>
      <c r="B328" s="130"/>
      <c r="C328" s="130"/>
      <c r="D328" s="130"/>
      <c r="E328" s="136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</row>
    <row r="329" customFormat="false" ht="15.75" hidden="false" customHeight="false" outlineLevel="0" collapsed="false">
      <c r="A329" s="130" t="str">
        <f aca="false">IF(ISBLANK(B329),"",B329&amp;"|"&amp;C329)</f>
        <v/>
      </c>
      <c r="B329" s="130"/>
      <c r="C329" s="130"/>
      <c r="D329" s="130"/>
      <c r="E329" s="136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</row>
    <row r="330" customFormat="false" ht="15.75" hidden="false" customHeight="false" outlineLevel="0" collapsed="false">
      <c r="A330" s="130" t="str">
        <f aca="false">IF(ISBLANK(B330),"",B330&amp;"|"&amp;C330)</f>
        <v/>
      </c>
      <c r="B330" s="130"/>
      <c r="C330" s="130"/>
      <c r="D330" s="130"/>
      <c r="E330" s="136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</row>
    <row r="331" customFormat="false" ht="15.75" hidden="false" customHeight="false" outlineLevel="0" collapsed="false">
      <c r="A331" s="130" t="str">
        <f aca="false">IF(ISBLANK(B331),"",B331&amp;"|"&amp;C331)</f>
        <v/>
      </c>
      <c r="B331" s="130"/>
      <c r="C331" s="130"/>
      <c r="D331" s="130"/>
      <c r="E331" s="136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</row>
    <row r="332" customFormat="false" ht="15.75" hidden="false" customHeight="false" outlineLevel="0" collapsed="false">
      <c r="A332" s="130" t="str">
        <f aca="false">IF(ISBLANK(B332),"",B332&amp;"|"&amp;C332)</f>
        <v/>
      </c>
      <c r="B332" s="130"/>
      <c r="C332" s="130"/>
      <c r="D332" s="130"/>
      <c r="E332" s="136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</row>
    <row r="333" customFormat="false" ht="15.75" hidden="false" customHeight="false" outlineLevel="0" collapsed="false">
      <c r="A333" s="130" t="str">
        <f aca="false">IF(ISBLANK(B333),"",B333&amp;"|"&amp;C333)</f>
        <v/>
      </c>
      <c r="B333" s="130"/>
      <c r="C333" s="130"/>
      <c r="D333" s="130"/>
      <c r="E333" s="136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</row>
    <row r="334" customFormat="false" ht="15.75" hidden="false" customHeight="false" outlineLevel="0" collapsed="false">
      <c r="A334" s="130" t="str">
        <f aca="false">IF(ISBLANK(B334),"",B334&amp;"|"&amp;C334)</f>
        <v/>
      </c>
      <c r="B334" s="130"/>
      <c r="C334" s="130"/>
      <c r="D334" s="130"/>
      <c r="E334" s="136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</row>
    <row r="335" customFormat="false" ht="15.75" hidden="false" customHeight="false" outlineLevel="0" collapsed="false">
      <c r="A335" s="130" t="str">
        <f aca="false">IF(ISBLANK(B335),"",B335&amp;"|"&amp;C335)</f>
        <v/>
      </c>
      <c r="B335" s="130"/>
      <c r="C335" s="130"/>
      <c r="D335" s="130"/>
      <c r="E335" s="136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</row>
    <row r="336" customFormat="false" ht="15.75" hidden="false" customHeight="false" outlineLevel="0" collapsed="false">
      <c r="A336" s="130" t="str">
        <f aca="false">IF(ISBLANK(B336),"",B336&amp;"|"&amp;C336)</f>
        <v/>
      </c>
      <c r="B336" s="130"/>
      <c r="C336" s="130"/>
      <c r="D336" s="130"/>
      <c r="E336" s="136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</row>
    <row r="337" customFormat="false" ht="15.75" hidden="false" customHeight="false" outlineLevel="0" collapsed="false">
      <c r="A337" s="130" t="str">
        <f aca="false">IF(ISBLANK(B337),"",B337&amp;"|"&amp;C337)</f>
        <v/>
      </c>
      <c r="B337" s="130"/>
      <c r="C337" s="130"/>
      <c r="D337" s="130"/>
      <c r="E337" s="136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</row>
    <row r="338" customFormat="false" ht="15.75" hidden="false" customHeight="false" outlineLevel="0" collapsed="false">
      <c r="A338" s="130" t="str">
        <f aca="false">IF(ISBLANK(B338),"",B338&amp;"|"&amp;C338)</f>
        <v/>
      </c>
      <c r="B338" s="130"/>
      <c r="C338" s="130"/>
      <c r="D338" s="130"/>
      <c r="E338" s="136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</row>
    <row r="339" customFormat="false" ht="15.75" hidden="false" customHeight="false" outlineLevel="0" collapsed="false">
      <c r="A339" s="130" t="str">
        <f aca="false">IF(ISBLANK(B339),"",B339&amp;"|"&amp;C339)</f>
        <v/>
      </c>
      <c r="B339" s="130"/>
      <c r="C339" s="130"/>
      <c r="D339" s="130"/>
      <c r="E339" s="136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</row>
    <row r="340" customFormat="false" ht="15.75" hidden="false" customHeight="false" outlineLevel="0" collapsed="false">
      <c r="A340" s="130" t="str">
        <f aca="false">IF(ISBLANK(B340),"",B340&amp;"|"&amp;C340)</f>
        <v/>
      </c>
      <c r="B340" s="130"/>
      <c r="C340" s="130"/>
      <c r="D340" s="130"/>
      <c r="E340" s="136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</row>
    <row r="341" customFormat="false" ht="15.75" hidden="false" customHeight="false" outlineLevel="0" collapsed="false">
      <c r="A341" s="130" t="str">
        <f aca="false">IF(ISBLANK(B341),"",B341&amp;"|"&amp;C341)</f>
        <v/>
      </c>
      <c r="B341" s="130"/>
      <c r="C341" s="130"/>
      <c r="D341" s="130"/>
      <c r="E341" s="136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</row>
    <row r="342" customFormat="false" ht="15.75" hidden="false" customHeight="false" outlineLevel="0" collapsed="false">
      <c r="A342" s="130" t="str">
        <f aca="false">IF(ISBLANK(B342),"",B342&amp;"|"&amp;C342)</f>
        <v/>
      </c>
      <c r="B342" s="130"/>
      <c r="C342" s="130"/>
      <c r="D342" s="130"/>
      <c r="E342" s="136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</row>
    <row r="343" customFormat="false" ht="15.75" hidden="false" customHeight="false" outlineLevel="0" collapsed="false">
      <c r="A343" s="130" t="str">
        <f aca="false">IF(ISBLANK(B343),"",B343&amp;"|"&amp;C343)</f>
        <v/>
      </c>
      <c r="B343" s="130"/>
      <c r="C343" s="130"/>
      <c r="D343" s="130"/>
      <c r="E343" s="136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</row>
    <row r="344" customFormat="false" ht="15.75" hidden="false" customHeight="false" outlineLevel="0" collapsed="false">
      <c r="A344" s="130" t="str">
        <f aca="false">IF(ISBLANK(B344),"",B344&amp;"|"&amp;C344)</f>
        <v/>
      </c>
      <c r="B344" s="130"/>
      <c r="C344" s="130"/>
      <c r="D344" s="130"/>
      <c r="E344" s="136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</row>
    <row r="345" customFormat="false" ht="15.75" hidden="false" customHeight="false" outlineLevel="0" collapsed="false">
      <c r="A345" s="130" t="str">
        <f aca="false">IF(ISBLANK(B345),"",B345&amp;"|"&amp;C345)</f>
        <v/>
      </c>
      <c r="B345" s="130"/>
      <c r="C345" s="130"/>
      <c r="D345" s="130"/>
      <c r="E345" s="136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</row>
    <row r="346" customFormat="false" ht="15.75" hidden="false" customHeight="false" outlineLevel="0" collapsed="false">
      <c r="A346" s="130" t="str">
        <f aca="false">IF(ISBLANK(B346),"",B346&amp;"|"&amp;C346)</f>
        <v/>
      </c>
      <c r="B346" s="130"/>
      <c r="C346" s="130"/>
      <c r="D346" s="130"/>
      <c r="E346" s="136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</row>
    <row r="347" customFormat="false" ht="15.75" hidden="false" customHeight="false" outlineLevel="0" collapsed="false">
      <c r="A347" s="130" t="str">
        <f aca="false">IF(ISBLANK(B347),"",B347&amp;"|"&amp;C347)</f>
        <v/>
      </c>
      <c r="B347" s="130"/>
      <c r="C347" s="130"/>
      <c r="D347" s="130"/>
      <c r="E347" s="136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</row>
    <row r="348" customFormat="false" ht="15.75" hidden="false" customHeight="false" outlineLevel="0" collapsed="false">
      <c r="A348" s="130" t="str">
        <f aca="false">IF(ISBLANK(B348),"",B348&amp;"|"&amp;C348)</f>
        <v/>
      </c>
      <c r="B348" s="130"/>
      <c r="C348" s="130"/>
      <c r="D348" s="130"/>
      <c r="E348" s="136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</row>
    <row r="349" customFormat="false" ht="15.75" hidden="false" customHeight="false" outlineLevel="0" collapsed="false">
      <c r="A349" s="130" t="str">
        <f aca="false">IF(ISBLANK(B349),"",B349&amp;"|"&amp;C349)</f>
        <v/>
      </c>
      <c r="B349" s="130"/>
      <c r="C349" s="130"/>
      <c r="D349" s="130"/>
      <c r="E349" s="136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</row>
    <row r="350" customFormat="false" ht="15.75" hidden="false" customHeight="false" outlineLevel="0" collapsed="false">
      <c r="A350" s="130" t="str">
        <f aca="false">IF(ISBLANK(B350),"",B350&amp;"|"&amp;C350)</f>
        <v/>
      </c>
      <c r="B350" s="130"/>
      <c r="C350" s="130"/>
      <c r="D350" s="130"/>
      <c r="E350" s="136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</row>
    <row r="351" customFormat="false" ht="15.75" hidden="false" customHeight="false" outlineLevel="0" collapsed="false">
      <c r="A351" s="130" t="str">
        <f aca="false">IF(ISBLANK(B351),"",B351&amp;"|"&amp;C351)</f>
        <v/>
      </c>
      <c r="B351" s="130"/>
      <c r="C351" s="130"/>
      <c r="D351" s="130"/>
      <c r="E351" s="136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</row>
    <row r="352" customFormat="false" ht="15.75" hidden="false" customHeight="false" outlineLevel="0" collapsed="false">
      <c r="A352" s="130" t="str">
        <f aca="false">IF(ISBLANK(B352),"",B352&amp;"|"&amp;C352)</f>
        <v/>
      </c>
      <c r="B352" s="130"/>
      <c r="C352" s="130"/>
      <c r="D352" s="130"/>
      <c r="E352" s="136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</row>
    <row r="353" customFormat="false" ht="15.75" hidden="false" customHeight="false" outlineLevel="0" collapsed="false">
      <c r="A353" s="130" t="str">
        <f aca="false">IF(ISBLANK(B353),"",B353&amp;"|"&amp;C353)</f>
        <v/>
      </c>
      <c r="B353" s="130"/>
      <c r="C353" s="130"/>
      <c r="D353" s="130"/>
      <c r="E353" s="136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</row>
    <row r="354" customFormat="false" ht="15.75" hidden="false" customHeight="false" outlineLevel="0" collapsed="false">
      <c r="A354" s="130" t="str">
        <f aca="false">IF(ISBLANK(B354),"",B354&amp;"|"&amp;C354)</f>
        <v/>
      </c>
      <c r="B354" s="130"/>
      <c r="C354" s="130"/>
      <c r="D354" s="130"/>
      <c r="E354" s="136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</row>
    <row r="355" customFormat="false" ht="15.75" hidden="false" customHeight="false" outlineLevel="0" collapsed="false">
      <c r="A355" s="130" t="str">
        <f aca="false">IF(ISBLANK(B355),"",B355&amp;"|"&amp;C355)</f>
        <v/>
      </c>
      <c r="B355" s="130"/>
      <c r="C355" s="130"/>
      <c r="D355" s="130"/>
      <c r="E355" s="136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</row>
    <row r="356" customFormat="false" ht="15.75" hidden="false" customHeight="false" outlineLevel="0" collapsed="false">
      <c r="A356" s="130" t="str">
        <f aca="false">IF(ISBLANK(B356),"",B356&amp;"|"&amp;C356)</f>
        <v/>
      </c>
      <c r="B356" s="130"/>
      <c r="C356" s="130"/>
      <c r="D356" s="130"/>
      <c r="E356" s="136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</row>
    <row r="357" customFormat="false" ht="15.75" hidden="false" customHeight="false" outlineLevel="0" collapsed="false">
      <c r="A357" s="130" t="str">
        <f aca="false">IF(ISBLANK(B357),"",B357&amp;"|"&amp;C357)</f>
        <v/>
      </c>
      <c r="B357" s="130"/>
      <c r="C357" s="130"/>
      <c r="D357" s="130"/>
      <c r="E357" s="136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</row>
    <row r="358" customFormat="false" ht="15.75" hidden="false" customHeight="false" outlineLevel="0" collapsed="false">
      <c r="A358" s="130" t="str">
        <f aca="false">IF(ISBLANK(B358),"",B358&amp;"|"&amp;C358)</f>
        <v/>
      </c>
      <c r="B358" s="130"/>
      <c r="C358" s="130"/>
      <c r="D358" s="130"/>
      <c r="E358" s="136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</row>
    <row r="359" customFormat="false" ht="15.75" hidden="false" customHeight="false" outlineLevel="0" collapsed="false">
      <c r="A359" s="130" t="str">
        <f aca="false">IF(ISBLANK(B359),"",B359&amp;"|"&amp;C359)</f>
        <v/>
      </c>
      <c r="B359" s="130"/>
      <c r="C359" s="130"/>
      <c r="D359" s="130"/>
      <c r="E359" s="136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</row>
    <row r="360" customFormat="false" ht="15.75" hidden="false" customHeight="false" outlineLevel="0" collapsed="false">
      <c r="A360" s="130" t="str">
        <f aca="false">IF(ISBLANK(B360),"",B360&amp;"|"&amp;C360)</f>
        <v/>
      </c>
      <c r="B360" s="130"/>
      <c r="C360" s="130"/>
      <c r="D360" s="130"/>
      <c r="E360" s="136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</row>
    <row r="361" customFormat="false" ht="15.75" hidden="false" customHeight="false" outlineLevel="0" collapsed="false">
      <c r="A361" s="130" t="str">
        <f aca="false">IF(ISBLANK(B361),"",B361&amp;"|"&amp;C361)</f>
        <v/>
      </c>
      <c r="B361" s="130"/>
      <c r="C361" s="130"/>
      <c r="D361" s="130"/>
      <c r="E361" s="136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</row>
    <row r="362" customFormat="false" ht="15.75" hidden="false" customHeight="false" outlineLevel="0" collapsed="false">
      <c r="A362" s="130" t="str">
        <f aca="false">IF(ISBLANK(B362),"",B362&amp;"|"&amp;C362)</f>
        <v/>
      </c>
      <c r="B362" s="130"/>
      <c r="C362" s="130"/>
      <c r="D362" s="130"/>
      <c r="E362" s="136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</row>
    <row r="363" customFormat="false" ht="15.75" hidden="false" customHeight="false" outlineLevel="0" collapsed="false">
      <c r="A363" s="130" t="str">
        <f aca="false">IF(ISBLANK(B363),"",B363&amp;"|"&amp;C363)</f>
        <v/>
      </c>
      <c r="B363" s="130"/>
      <c r="C363" s="130"/>
      <c r="D363" s="130"/>
      <c r="E363" s="136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</row>
    <row r="364" customFormat="false" ht="15.75" hidden="false" customHeight="false" outlineLevel="0" collapsed="false">
      <c r="A364" s="130" t="str">
        <f aca="false">IF(ISBLANK(B364),"",B364&amp;"|"&amp;C364)</f>
        <v/>
      </c>
      <c r="B364" s="130"/>
      <c r="C364" s="130"/>
      <c r="D364" s="130"/>
      <c r="E364" s="136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</row>
    <row r="365" customFormat="false" ht="15.75" hidden="false" customHeight="false" outlineLevel="0" collapsed="false">
      <c r="A365" s="130" t="str">
        <f aca="false">IF(ISBLANK(B365),"",B365&amp;"|"&amp;C365)</f>
        <v/>
      </c>
      <c r="B365" s="130"/>
      <c r="C365" s="130"/>
      <c r="D365" s="130"/>
      <c r="E365" s="136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</row>
    <row r="366" customFormat="false" ht="15.75" hidden="false" customHeight="false" outlineLevel="0" collapsed="false">
      <c r="A366" s="130" t="str">
        <f aca="false">IF(ISBLANK(B366),"",B366&amp;"|"&amp;C366)</f>
        <v/>
      </c>
      <c r="B366" s="130"/>
      <c r="C366" s="130"/>
      <c r="D366" s="130"/>
      <c r="E366" s="136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</row>
    <row r="367" customFormat="false" ht="15.75" hidden="false" customHeight="false" outlineLevel="0" collapsed="false">
      <c r="A367" s="130" t="str">
        <f aca="false">IF(ISBLANK(B367),"",B367&amp;"|"&amp;C367)</f>
        <v/>
      </c>
      <c r="B367" s="130"/>
      <c r="C367" s="130"/>
      <c r="D367" s="130"/>
      <c r="E367" s="136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</row>
    <row r="368" customFormat="false" ht="15.75" hidden="false" customHeight="false" outlineLevel="0" collapsed="false">
      <c r="A368" s="130" t="str">
        <f aca="false">IF(ISBLANK(B368),"",B368&amp;"|"&amp;C368)</f>
        <v/>
      </c>
      <c r="B368" s="130"/>
      <c r="C368" s="130"/>
      <c r="D368" s="130"/>
      <c r="E368" s="136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</row>
    <row r="369" customFormat="false" ht="15.75" hidden="false" customHeight="false" outlineLevel="0" collapsed="false">
      <c r="A369" s="130" t="str">
        <f aca="false">IF(ISBLANK(B369),"",B369&amp;"|"&amp;C369)</f>
        <v/>
      </c>
      <c r="B369" s="130"/>
      <c r="C369" s="130"/>
      <c r="D369" s="130"/>
      <c r="E369" s="136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</row>
    <row r="370" customFormat="false" ht="15.75" hidden="false" customHeight="false" outlineLevel="0" collapsed="false">
      <c r="A370" s="130" t="str">
        <f aca="false">IF(ISBLANK(B370),"",B370&amp;"|"&amp;C370)</f>
        <v/>
      </c>
      <c r="B370" s="130"/>
      <c r="C370" s="130"/>
      <c r="D370" s="130"/>
      <c r="E370" s="136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</row>
    <row r="371" customFormat="false" ht="15.75" hidden="false" customHeight="false" outlineLevel="0" collapsed="false">
      <c r="A371" s="130" t="str">
        <f aca="false">IF(ISBLANK(B371),"",B371&amp;"|"&amp;C371)</f>
        <v/>
      </c>
      <c r="B371" s="130"/>
      <c r="C371" s="130"/>
      <c r="D371" s="130"/>
      <c r="E371" s="136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</row>
    <row r="372" customFormat="false" ht="15.75" hidden="false" customHeight="false" outlineLevel="0" collapsed="false">
      <c r="A372" s="130" t="str">
        <f aca="false">IF(ISBLANK(B372),"",B372&amp;"|"&amp;C372)</f>
        <v/>
      </c>
      <c r="B372" s="130"/>
      <c r="C372" s="130"/>
      <c r="D372" s="130"/>
      <c r="E372" s="136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</row>
    <row r="373" customFormat="false" ht="15.75" hidden="false" customHeight="false" outlineLevel="0" collapsed="false">
      <c r="A373" s="130" t="str">
        <f aca="false">IF(ISBLANK(B373),"",B373&amp;"|"&amp;C373)</f>
        <v/>
      </c>
      <c r="B373" s="130"/>
      <c r="C373" s="130"/>
      <c r="D373" s="130"/>
      <c r="E373" s="136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</row>
    <row r="374" customFormat="false" ht="15.75" hidden="false" customHeight="false" outlineLevel="0" collapsed="false">
      <c r="A374" s="130" t="str">
        <f aca="false">IF(ISBLANK(B374),"",B374&amp;"|"&amp;C374)</f>
        <v/>
      </c>
      <c r="B374" s="130"/>
      <c r="C374" s="130"/>
      <c r="D374" s="130"/>
      <c r="E374" s="136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</row>
    <row r="375" customFormat="false" ht="15.75" hidden="false" customHeight="false" outlineLevel="0" collapsed="false">
      <c r="A375" s="130" t="str">
        <f aca="false">IF(ISBLANK(B375),"",B375&amp;"|"&amp;C375)</f>
        <v/>
      </c>
      <c r="B375" s="130"/>
      <c r="C375" s="130"/>
      <c r="D375" s="130"/>
      <c r="E375" s="136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</row>
    <row r="376" customFormat="false" ht="15.75" hidden="false" customHeight="false" outlineLevel="0" collapsed="false">
      <c r="A376" s="130" t="str">
        <f aca="false">IF(ISBLANK(B376),"",B376&amp;"|"&amp;C376)</f>
        <v/>
      </c>
      <c r="B376" s="130"/>
      <c r="C376" s="130"/>
      <c r="D376" s="130"/>
      <c r="E376" s="136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</row>
    <row r="377" customFormat="false" ht="15.75" hidden="false" customHeight="false" outlineLevel="0" collapsed="false">
      <c r="A377" s="130" t="str">
        <f aca="false">IF(ISBLANK(B377),"",B377&amp;"|"&amp;C377)</f>
        <v/>
      </c>
      <c r="B377" s="130"/>
      <c r="C377" s="130"/>
      <c r="D377" s="130"/>
      <c r="E377" s="136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</row>
    <row r="378" customFormat="false" ht="15.75" hidden="false" customHeight="false" outlineLevel="0" collapsed="false">
      <c r="A378" s="130" t="str">
        <f aca="false">IF(ISBLANK(B378),"",B378&amp;"|"&amp;C378)</f>
        <v/>
      </c>
      <c r="B378" s="130"/>
      <c r="C378" s="130"/>
      <c r="D378" s="130"/>
      <c r="E378" s="136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</row>
    <row r="379" customFormat="false" ht="15.75" hidden="false" customHeight="false" outlineLevel="0" collapsed="false">
      <c r="A379" s="130" t="str">
        <f aca="false">IF(ISBLANK(B379),"",B379&amp;"|"&amp;C379)</f>
        <v/>
      </c>
      <c r="B379" s="130"/>
      <c r="C379" s="130"/>
      <c r="D379" s="130"/>
      <c r="E379" s="136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</row>
    <row r="380" customFormat="false" ht="15.75" hidden="false" customHeight="false" outlineLevel="0" collapsed="false">
      <c r="A380" s="130" t="str">
        <f aca="false">IF(ISBLANK(B380),"",B380&amp;"|"&amp;C380)</f>
        <v/>
      </c>
      <c r="B380" s="130"/>
      <c r="C380" s="130"/>
      <c r="D380" s="130"/>
      <c r="E380" s="136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</row>
    <row r="381" customFormat="false" ht="15.75" hidden="false" customHeight="false" outlineLevel="0" collapsed="false">
      <c r="A381" s="130" t="str">
        <f aca="false">IF(ISBLANK(B381),"",B381&amp;"|"&amp;C381)</f>
        <v/>
      </c>
      <c r="B381" s="130"/>
      <c r="C381" s="130"/>
      <c r="D381" s="130"/>
      <c r="E381" s="136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</row>
    <row r="382" customFormat="false" ht="15.75" hidden="false" customHeight="false" outlineLevel="0" collapsed="false">
      <c r="A382" s="130" t="str">
        <f aca="false">IF(ISBLANK(B382),"",B382&amp;"|"&amp;C382)</f>
        <v/>
      </c>
      <c r="B382" s="130"/>
      <c r="C382" s="130"/>
      <c r="D382" s="130"/>
      <c r="E382" s="136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</row>
    <row r="383" customFormat="false" ht="15.75" hidden="false" customHeight="false" outlineLevel="0" collapsed="false">
      <c r="A383" s="130" t="str">
        <f aca="false">IF(ISBLANK(B383),"",B383&amp;"|"&amp;C383)</f>
        <v/>
      </c>
      <c r="B383" s="130"/>
      <c r="C383" s="130"/>
      <c r="D383" s="130"/>
      <c r="E383" s="136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</row>
    <row r="384" customFormat="false" ht="15.75" hidden="false" customHeight="false" outlineLevel="0" collapsed="false">
      <c r="A384" s="130" t="str">
        <f aca="false">IF(ISBLANK(B384),"",B384&amp;"|"&amp;C384)</f>
        <v/>
      </c>
      <c r="B384" s="130"/>
      <c r="C384" s="130"/>
      <c r="D384" s="130"/>
      <c r="E384" s="136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</row>
    <row r="385" customFormat="false" ht="15.75" hidden="false" customHeight="false" outlineLevel="0" collapsed="false">
      <c r="A385" s="130" t="str">
        <f aca="false">IF(ISBLANK(B385),"",B385&amp;"|"&amp;C385)</f>
        <v/>
      </c>
      <c r="B385" s="130"/>
      <c r="C385" s="130"/>
      <c r="D385" s="130"/>
      <c r="E385" s="136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</row>
    <row r="386" customFormat="false" ht="15.75" hidden="false" customHeight="false" outlineLevel="0" collapsed="false">
      <c r="A386" s="130" t="str">
        <f aca="false">IF(ISBLANK(B386),"",B386&amp;"|"&amp;C386)</f>
        <v/>
      </c>
      <c r="B386" s="130"/>
      <c r="C386" s="130"/>
      <c r="D386" s="130"/>
      <c r="E386" s="136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</row>
    <row r="387" customFormat="false" ht="15.75" hidden="false" customHeight="false" outlineLevel="0" collapsed="false">
      <c r="A387" s="130" t="str">
        <f aca="false">IF(ISBLANK(B387),"",B387&amp;"|"&amp;C387)</f>
        <v/>
      </c>
      <c r="B387" s="130"/>
      <c r="C387" s="130"/>
      <c r="D387" s="130"/>
      <c r="E387" s="136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</row>
    <row r="388" customFormat="false" ht="15.75" hidden="false" customHeight="false" outlineLevel="0" collapsed="false">
      <c r="A388" s="130" t="str">
        <f aca="false">IF(ISBLANK(B388),"",B388&amp;"|"&amp;C388)</f>
        <v/>
      </c>
      <c r="B388" s="130"/>
      <c r="C388" s="130"/>
      <c r="D388" s="130"/>
      <c r="E388" s="136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</row>
    <row r="389" customFormat="false" ht="15.75" hidden="false" customHeight="false" outlineLevel="0" collapsed="false">
      <c r="A389" s="130" t="str">
        <f aca="false">IF(ISBLANK(B389),"",B389&amp;"|"&amp;C389)</f>
        <v/>
      </c>
      <c r="B389" s="130"/>
      <c r="C389" s="130"/>
      <c r="D389" s="130"/>
      <c r="E389" s="136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</row>
    <row r="390" customFormat="false" ht="15.75" hidden="false" customHeight="false" outlineLevel="0" collapsed="false">
      <c r="A390" s="130" t="str">
        <f aca="false">IF(ISBLANK(B390),"",B390&amp;"|"&amp;C390)</f>
        <v/>
      </c>
      <c r="B390" s="130"/>
      <c r="C390" s="130"/>
      <c r="D390" s="130"/>
      <c r="E390" s="136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</row>
    <row r="391" customFormat="false" ht="15.75" hidden="false" customHeight="false" outlineLevel="0" collapsed="false">
      <c r="A391" s="130" t="str">
        <f aca="false">IF(ISBLANK(B391),"",B391&amp;"|"&amp;C391)</f>
        <v/>
      </c>
      <c r="B391" s="130"/>
      <c r="C391" s="130"/>
      <c r="D391" s="130"/>
      <c r="E391" s="136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</row>
    <row r="392" customFormat="false" ht="15.75" hidden="false" customHeight="false" outlineLevel="0" collapsed="false">
      <c r="A392" s="130" t="str">
        <f aca="false">IF(ISBLANK(B392),"",B392&amp;"|"&amp;C392)</f>
        <v/>
      </c>
      <c r="B392" s="130"/>
      <c r="C392" s="130"/>
      <c r="D392" s="130"/>
      <c r="E392" s="136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</row>
    <row r="393" customFormat="false" ht="15.75" hidden="false" customHeight="false" outlineLevel="0" collapsed="false">
      <c r="A393" s="130" t="str">
        <f aca="false">IF(ISBLANK(B393),"",B393&amp;"|"&amp;C393)</f>
        <v/>
      </c>
      <c r="B393" s="130"/>
      <c r="C393" s="130"/>
      <c r="D393" s="130"/>
      <c r="E393" s="136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</row>
    <row r="394" customFormat="false" ht="15.75" hidden="false" customHeight="false" outlineLevel="0" collapsed="false">
      <c r="A394" s="130" t="str">
        <f aca="false">IF(ISBLANK(B394),"",B394&amp;"|"&amp;C394)</f>
        <v/>
      </c>
      <c r="B394" s="130"/>
      <c r="C394" s="130"/>
      <c r="D394" s="130"/>
      <c r="E394" s="136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</row>
    <row r="395" customFormat="false" ht="15.75" hidden="false" customHeight="false" outlineLevel="0" collapsed="false">
      <c r="A395" s="130" t="str">
        <f aca="false">IF(ISBLANK(B395),"",B395&amp;"|"&amp;C395)</f>
        <v/>
      </c>
      <c r="B395" s="130"/>
      <c r="C395" s="130"/>
      <c r="D395" s="130"/>
      <c r="E395" s="136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</row>
    <row r="396" customFormat="false" ht="15.75" hidden="false" customHeight="false" outlineLevel="0" collapsed="false">
      <c r="A396" s="130" t="str">
        <f aca="false">IF(ISBLANK(B396),"",B396&amp;"|"&amp;C396)</f>
        <v/>
      </c>
      <c r="B396" s="130"/>
      <c r="C396" s="130"/>
      <c r="D396" s="130"/>
      <c r="E396" s="136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</row>
    <row r="397" customFormat="false" ht="15.75" hidden="false" customHeight="false" outlineLevel="0" collapsed="false">
      <c r="A397" s="130" t="str">
        <f aca="false">IF(ISBLANK(B397),"",B397&amp;"|"&amp;C397)</f>
        <v/>
      </c>
      <c r="B397" s="130"/>
      <c r="C397" s="130"/>
      <c r="D397" s="130"/>
      <c r="E397" s="136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</row>
    <row r="398" customFormat="false" ht="15.75" hidden="false" customHeight="false" outlineLevel="0" collapsed="false">
      <c r="A398" s="130" t="str">
        <f aca="false">IF(ISBLANK(B398),"",B398&amp;"|"&amp;C398)</f>
        <v/>
      </c>
      <c r="B398" s="130"/>
      <c r="C398" s="130"/>
      <c r="D398" s="130"/>
      <c r="E398" s="136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</row>
    <row r="399" customFormat="false" ht="15.75" hidden="false" customHeight="false" outlineLevel="0" collapsed="false">
      <c r="A399" s="130" t="str">
        <f aca="false">IF(ISBLANK(B399),"",B399&amp;"|"&amp;C399)</f>
        <v/>
      </c>
      <c r="B399" s="130"/>
      <c r="C399" s="130"/>
      <c r="D399" s="130"/>
      <c r="E399" s="136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</row>
    <row r="400" customFormat="false" ht="15.75" hidden="false" customHeight="false" outlineLevel="0" collapsed="false">
      <c r="A400" s="130" t="str">
        <f aca="false">IF(ISBLANK(B400),"",B400&amp;"|"&amp;C400)</f>
        <v/>
      </c>
      <c r="B400" s="130"/>
      <c r="C400" s="130"/>
      <c r="D400" s="130"/>
      <c r="E400" s="136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</row>
    <row r="401" customFormat="false" ht="15.75" hidden="false" customHeight="false" outlineLevel="0" collapsed="false">
      <c r="A401" s="130" t="str">
        <f aca="false">IF(ISBLANK(B401),"",B401&amp;"|"&amp;C401)</f>
        <v/>
      </c>
      <c r="B401" s="130"/>
      <c r="C401" s="130"/>
      <c r="D401" s="130"/>
      <c r="E401" s="136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</row>
    <row r="402" customFormat="false" ht="15.75" hidden="false" customHeight="false" outlineLevel="0" collapsed="false">
      <c r="A402" s="130" t="str">
        <f aca="false">IF(ISBLANK(B402),"",B402&amp;"|"&amp;C402)</f>
        <v/>
      </c>
      <c r="B402" s="130"/>
      <c r="C402" s="130"/>
      <c r="D402" s="130"/>
      <c r="E402" s="136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</row>
    <row r="403" customFormat="false" ht="15.75" hidden="false" customHeight="false" outlineLevel="0" collapsed="false">
      <c r="A403" s="130" t="str">
        <f aca="false">IF(ISBLANK(B403),"",B403&amp;"|"&amp;C403)</f>
        <v/>
      </c>
      <c r="B403" s="130"/>
      <c r="C403" s="130"/>
      <c r="D403" s="130"/>
      <c r="E403" s="136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</row>
    <row r="404" customFormat="false" ht="15.75" hidden="false" customHeight="false" outlineLevel="0" collapsed="false">
      <c r="A404" s="130" t="str">
        <f aca="false">IF(ISBLANK(B404),"",B404&amp;"|"&amp;C404)</f>
        <v/>
      </c>
      <c r="B404" s="130"/>
      <c r="C404" s="130"/>
      <c r="D404" s="130"/>
      <c r="E404" s="136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</row>
    <row r="405" customFormat="false" ht="15.75" hidden="false" customHeight="false" outlineLevel="0" collapsed="false">
      <c r="A405" s="130" t="str">
        <f aca="false">IF(ISBLANK(B405),"",B405&amp;"|"&amp;C405)</f>
        <v/>
      </c>
      <c r="B405" s="130"/>
      <c r="C405" s="130"/>
      <c r="D405" s="130"/>
      <c r="E405" s="136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</row>
    <row r="406" customFormat="false" ht="15.75" hidden="false" customHeight="false" outlineLevel="0" collapsed="false">
      <c r="A406" s="130" t="str">
        <f aca="false">IF(ISBLANK(B406),"",B406&amp;"|"&amp;C406)</f>
        <v/>
      </c>
      <c r="B406" s="130"/>
      <c r="C406" s="130"/>
      <c r="D406" s="130"/>
      <c r="E406" s="136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</row>
    <row r="407" customFormat="false" ht="15.75" hidden="false" customHeight="false" outlineLevel="0" collapsed="false">
      <c r="A407" s="130" t="str">
        <f aca="false">IF(ISBLANK(B407),"",B407&amp;"|"&amp;C407)</f>
        <v/>
      </c>
      <c r="B407" s="130"/>
      <c r="C407" s="130"/>
      <c r="D407" s="130"/>
      <c r="E407" s="136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</row>
    <row r="408" customFormat="false" ht="15.75" hidden="false" customHeight="false" outlineLevel="0" collapsed="false">
      <c r="A408" s="130" t="str">
        <f aca="false">IF(ISBLANK(B408),"",B408&amp;"|"&amp;C408)</f>
        <v/>
      </c>
      <c r="B408" s="130"/>
      <c r="C408" s="130"/>
      <c r="D408" s="130"/>
      <c r="E408" s="136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</row>
    <row r="409" customFormat="false" ht="15.75" hidden="false" customHeight="false" outlineLevel="0" collapsed="false">
      <c r="A409" s="130" t="str">
        <f aca="false">IF(ISBLANK(B409),"",B409&amp;"|"&amp;C409)</f>
        <v/>
      </c>
      <c r="B409" s="130"/>
      <c r="C409" s="130"/>
      <c r="D409" s="130"/>
      <c r="E409" s="136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</row>
    <row r="410" customFormat="false" ht="15.75" hidden="false" customHeight="false" outlineLevel="0" collapsed="false">
      <c r="A410" s="130" t="str">
        <f aca="false">IF(ISBLANK(B410),"",B410&amp;"|"&amp;C410)</f>
        <v/>
      </c>
      <c r="B410" s="130"/>
      <c r="C410" s="130"/>
      <c r="D410" s="130"/>
      <c r="E410" s="136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</row>
    <row r="411" customFormat="false" ht="15.75" hidden="false" customHeight="false" outlineLevel="0" collapsed="false">
      <c r="A411" s="130" t="str">
        <f aca="false">IF(ISBLANK(B411),"",B411&amp;"|"&amp;C411)</f>
        <v/>
      </c>
      <c r="B411" s="130"/>
      <c r="C411" s="130"/>
      <c r="D411" s="130"/>
      <c r="E411" s="136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</row>
    <row r="412" customFormat="false" ht="15.75" hidden="false" customHeight="false" outlineLevel="0" collapsed="false">
      <c r="A412" s="130" t="str">
        <f aca="false">IF(ISBLANK(B412),"",B412&amp;"|"&amp;C412)</f>
        <v/>
      </c>
      <c r="B412" s="130"/>
      <c r="C412" s="130"/>
      <c r="D412" s="130"/>
      <c r="E412" s="136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</row>
    <row r="413" customFormat="false" ht="15.75" hidden="false" customHeight="false" outlineLevel="0" collapsed="false">
      <c r="A413" s="130" t="str">
        <f aca="false">IF(ISBLANK(B413),"",B413&amp;"|"&amp;C413)</f>
        <v/>
      </c>
      <c r="B413" s="130"/>
      <c r="C413" s="130"/>
      <c r="D413" s="130"/>
      <c r="E413" s="136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</row>
    <row r="414" customFormat="false" ht="15.75" hidden="false" customHeight="false" outlineLevel="0" collapsed="false">
      <c r="A414" s="130" t="str">
        <f aca="false">IF(ISBLANK(B414),"",B414&amp;"|"&amp;C414)</f>
        <v/>
      </c>
      <c r="B414" s="130"/>
      <c r="C414" s="130"/>
      <c r="D414" s="130"/>
      <c r="E414" s="136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</row>
    <row r="415" customFormat="false" ht="15.75" hidden="false" customHeight="false" outlineLevel="0" collapsed="false">
      <c r="A415" s="130" t="str">
        <f aca="false">IF(ISBLANK(B415),"",B415&amp;"|"&amp;C415)</f>
        <v/>
      </c>
      <c r="B415" s="130"/>
      <c r="C415" s="130"/>
      <c r="D415" s="130"/>
      <c r="E415" s="136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</row>
    <row r="416" customFormat="false" ht="15.75" hidden="false" customHeight="false" outlineLevel="0" collapsed="false">
      <c r="A416" s="130" t="str">
        <f aca="false">IF(ISBLANK(B416),"",B416&amp;"|"&amp;C416)</f>
        <v/>
      </c>
      <c r="B416" s="130"/>
      <c r="C416" s="130"/>
      <c r="D416" s="130"/>
      <c r="E416" s="136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</row>
    <row r="417" customFormat="false" ht="15.75" hidden="false" customHeight="false" outlineLevel="0" collapsed="false">
      <c r="A417" s="130" t="str">
        <f aca="false">IF(ISBLANK(B417),"",B417&amp;"|"&amp;C417)</f>
        <v/>
      </c>
      <c r="B417" s="130"/>
      <c r="C417" s="130"/>
      <c r="D417" s="130"/>
      <c r="E417" s="136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</row>
    <row r="418" customFormat="false" ht="15.75" hidden="false" customHeight="false" outlineLevel="0" collapsed="false">
      <c r="A418" s="130" t="str">
        <f aca="false">IF(ISBLANK(B418),"",B418&amp;"|"&amp;C418)</f>
        <v/>
      </c>
      <c r="B418" s="130"/>
      <c r="C418" s="130"/>
      <c r="D418" s="130"/>
      <c r="E418" s="136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</row>
    <row r="419" customFormat="false" ht="15.75" hidden="false" customHeight="false" outlineLevel="0" collapsed="false">
      <c r="A419" s="130" t="str">
        <f aca="false">IF(ISBLANK(B419),"",B419&amp;"|"&amp;C419)</f>
        <v/>
      </c>
      <c r="B419" s="130"/>
      <c r="C419" s="130"/>
      <c r="D419" s="130"/>
      <c r="E419" s="136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</row>
    <row r="420" customFormat="false" ht="15.75" hidden="false" customHeight="false" outlineLevel="0" collapsed="false">
      <c r="A420" s="130" t="str">
        <f aca="false">IF(ISBLANK(B420),"",B420&amp;"|"&amp;C420)</f>
        <v/>
      </c>
      <c r="B420" s="130"/>
      <c r="C420" s="130"/>
      <c r="D420" s="130"/>
      <c r="E420" s="136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</row>
    <row r="421" customFormat="false" ht="15.75" hidden="false" customHeight="false" outlineLevel="0" collapsed="false">
      <c r="A421" s="130" t="str">
        <f aca="false">IF(ISBLANK(B421),"",B421&amp;"|"&amp;C421)</f>
        <v/>
      </c>
      <c r="B421" s="130"/>
      <c r="C421" s="130"/>
      <c r="D421" s="130"/>
      <c r="E421" s="136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</row>
    <row r="422" customFormat="false" ht="15.75" hidden="false" customHeight="false" outlineLevel="0" collapsed="false">
      <c r="A422" s="130" t="str">
        <f aca="false">IF(ISBLANK(B422),"",B422&amp;"|"&amp;C422)</f>
        <v/>
      </c>
      <c r="B422" s="130"/>
      <c r="C422" s="130"/>
      <c r="D422" s="130"/>
      <c r="E422" s="136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</row>
    <row r="423" customFormat="false" ht="15.75" hidden="false" customHeight="false" outlineLevel="0" collapsed="false">
      <c r="A423" s="130" t="str">
        <f aca="false">IF(ISBLANK(B423),"",B423&amp;"|"&amp;C423)</f>
        <v/>
      </c>
      <c r="B423" s="130"/>
      <c r="C423" s="130"/>
      <c r="D423" s="130"/>
      <c r="E423" s="136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</row>
    <row r="424" customFormat="false" ht="15.75" hidden="false" customHeight="false" outlineLevel="0" collapsed="false">
      <c r="A424" s="130" t="str">
        <f aca="false">IF(ISBLANK(B424),"",B424&amp;"|"&amp;C424)</f>
        <v/>
      </c>
      <c r="B424" s="130"/>
      <c r="C424" s="130"/>
      <c r="D424" s="130"/>
      <c r="E424" s="136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</row>
    <row r="425" customFormat="false" ht="15.75" hidden="false" customHeight="false" outlineLevel="0" collapsed="false">
      <c r="A425" s="130" t="str">
        <f aca="false">IF(ISBLANK(B425),"",B425&amp;"|"&amp;C425)</f>
        <v/>
      </c>
      <c r="B425" s="130"/>
      <c r="C425" s="130"/>
      <c r="D425" s="130"/>
      <c r="E425" s="136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</row>
    <row r="426" customFormat="false" ht="15.75" hidden="false" customHeight="false" outlineLevel="0" collapsed="false">
      <c r="A426" s="130" t="str">
        <f aca="false">IF(ISBLANK(B426),"",B426&amp;"|"&amp;C426)</f>
        <v/>
      </c>
      <c r="B426" s="130"/>
      <c r="C426" s="130"/>
      <c r="D426" s="130"/>
      <c r="E426" s="136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</row>
    <row r="427" customFormat="false" ht="15.75" hidden="false" customHeight="false" outlineLevel="0" collapsed="false">
      <c r="A427" s="130" t="str">
        <f aca="false">IF(ISBLANK(B427),"",B427&amp;"|"&amp;C427)</f>
        <v/>
      </c>
      <c r="B427" s="130"/>
      <c r="C427" s="130"/>
      <c r="D427" s="130"/>
      <c r="E427" s="136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</row>
    <row r="428" customFormat="false" ht="15.75" hidden="false" customHeight="false" outlineLevel="0" collapsed="false">
      <c r="A428" s="130" t="str">
        <f aca="false">IF(ISBLANK(B428),"",B428&amp;"|"&amp;C428)</f>
        <v/>
      </c>
      <c r="B428" s="130"/>
      <c r="C428" s="130"/>
      <c r="D428" s="130"/>
      <c r="E428" s="136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</row>
    <row r="429" customFormat="false" ht="15.75" hidden="false" customHeight="false" outlineLevel="0" collapsed="false">
      <c r="A429" s="130" t="str">
        <f aca="false">IF(ISBLANK(B429),"",B429&amp;"|"&amp;C429)</f>
        <v/>
      </c>
      <c r="B429" s="130"/>
      <c r="C429" s="130"/>
      <c r="D429" s="130"/>
      <c r="E429" s="136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</row>
    <row r="430" customFormat="false" ht="15.75" hidden="false" customHeight="false" outlineLevel="0" collapsed="false">
      <c r="A430" s="130" t="str">
        <f aca="false">IF(ISBLANK(B430),"",B430&amp;"|"&amp;C430)</f>
        <v/>
      </c>
      <c r="B430" s="130"/>
      <c r="C430" s="130"/>
      <c r="D430" s="130"/>
      <c r="E430" s="136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</row>
    <row r="431" customFormat="false" ht="15.75" hidden="false" customHeight="false" outlineLevel="0" collapsed="false">
      <c r="A431" s="130" t="str">
        <f aca="false">IF(ISBLANK(B431),"",B431&amp;"|"&amp;C431)</f>
        <v/>
      </c>
      <c r="B431" s="130"/>
      <c r="C431" s="130"/>
      <c r="D431" s="130"/>
      <c r="E431" s="136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</row>
    <row r="432" customFormat="false" ht="15.75" hidden="false" customHeight="false" outlineLevel="0" collapsed="false">
      <c r="A432" s="130" t="str">
        <f aca="false">IF(ISBLANK(B432),"",B432&amp;"|"&amp;C432)</f>
        <v/>
      </c>
      <c r="B432" s="130"/>
      <c r="C432" s="130"/>
      <c r="D432" s="130"/>
      <c r="E432" s="136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</row>
    <row r="433" customFormat="false" ht="15.75" hidden="false" customHeight="false" outlineLevel="0" collapsed="false">
      <c r="A433" s="130" t="str">
        <f aca="false">IF(ISBLANK(B433),"",B433&amp;"|"&amp;C433)</f>
        <v/>
      </c>
      <c r="B433" s="130"/>
      <c r="C433" s="130"/>
      <c r="D433" s="130"/>
      <c r="E433" s="136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</row>
    <row r="434" customFormat="false" ht="15.75" hidden="false" customHeight="false" outlineLevel="0" collapsed="false">
      <c r="A434" s="130" t="str">
        <f aca="false">IF(ISBLANK(B434),"",B434&amp;"|"&amp;C434)</f>
        <v/>
      </c>
      <c r="B434" s="130"/>
      <c r="C434" s="130"/>
      <c r="D434" s="130"/>
      <c r="E434" s="136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</row>
    <row r="435" customFormat="false" ht="15.75" hidden="false" customHeight="false" outlineLevel="0" collapsed="false">
      <c r="A435" s="130" t="str">
        <f aca="false">IF(ISBLANK(B435),"",B435&amp;"|"&amp;C435)</f>
        <v/>
      </c>
      <c r="B435" s="130"/>
      <c r="C435" s="130"/>
      <c r="D435" s="130"/>
      <c r="E435" s="136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</row>
    <row r="436" customFormat="false" ht="15.75" hidden="false" customHeight="false" outlineLevel="0" collapsed="false">
      <c r="A436" s="130" t="str">
        <f aca="false">IF(ISBLANK(B436),"",B436&amp;"|"&amp;C436)</f>
        <v/>
      </c>
      <c r="B436" s="130"/>
      <c r="C436" s="130"/>
      <c r="D436" s="130"/>
      <c r="E436" s="136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</row>
    <row r="437" customFormat="false" ht="15.75" hidden="false" customHeight="false" outlineLevel="0" collapsed="false">
      <c r="A437" s="130" t="str">
        <f aca="false">IF(ISBLANK(B437),"",B437&amp;"|"&amp;C437)</f>
        <v/>
      </c>
      <c r="B437" s="130"/>
      <c r="C437" s="130"/>
      <c r="D437" s="130"/>
      <c r="E437" s="136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</row>
    <row r="438" customFormat="false" ht="15.75" hidden="false" customHeight="false" outlineLevel="0" collapsed="false">
      <c r="A438" s="130" t="str">
        <f aca="false">IF(ISBLANK(B438),"",B438&amp;"|"&amp;C438)</f>
        <v/>
      </c>
      <c r="B438" s="130"/>
      <c r="C438" s="130"/>
      <c r="D438" s="130"/>
      <c r="E438" s="136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</row>
    <row r="439" customFormat="false" ht="15.75" hidden="false" customHeight="false" outlineLevel="0" collapsed="false">
      <c r="A439" s="130" t="str">
        <f aca="false">IF(ISBLANK(B439),"",B439&amp;"|"&amp;C439)</f>
        <v/>
      </c>
      <c r="B439" s="130"/>
      <c r="C439" s="130"/>
      <c r="D439" s="130"/>
      <c r="E439" s="136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</row>
    <row r="440" customFormat="false" ht="15.75" hidden="false" customHeight="false" outlineLevel="0" collapsed="false">
      <c r="A440" s="130" t="str">
        <f aca="false">IF(ISBLANK(B440),"",B440&amp;"|"&amp;C440)</f>
        <v/>
      </c>
      <c r="B440" s="130"/>
      <c r="C440" s="130"/>
      <c r="D440" s="130"/>
      <c r="E440" s="136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</row>
    <row r="441" customFormat="false" ht="15.75" hidden="false" customHeight="false" outlineLevel="0" collapsed="false">
      <c r="A441" s="130" t="str">
        <f aca="false">IF(ISBLANK(B441),"",B441&amp;"|"&amp;C441)</f>
        <v/>
      </c>
      <c r="B441" s="130"/>
      <c r="C441" s="130"/>
      <c r="D441" s="130"/>
      <c r="E441" s="136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</row>
    <row r="442" customFormat="false" ht="15.75" hidden="false" customHeight="false" outlineLevel="0" collapsed="false">
      <c r="A442" s="130" t="str">
        <f aca="false">IF(ISBLANK(B442),"",B442&amp;"|"&amp;C442)</f>
        <v/>
      </c>
      <c r="B442" s="130"/>
      <c r="C442" s="130"/>
      <c r="D442" s="130"/>
      <c r="E442" s="136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</row>
    <row r="443" customFormat="false" ht="15.75" hidden="false" customHeight="false" outlineLevel="0" collapsed="false">
      <c r="A443" s="130" t="str">
        <f aca="false">IF(ISBLANK(B443),"",B443&amp;"|"&amp;C443)</f>
        <v/>
      </c>
      <c r="B443" s="130"/>
      <c r="C443" s="130"/>
      <c r="D443" s="130"/>
      <c r="E443" s="136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</row>
    <row r="444" customFormat="false" ht="15.75" hidden="false" customHeight="false" outlineLevel="0" collapsed="false">
      <c r="A444" s="130" t="str">
        <f aca="false">IF(ISBLANK(B444),"",B444&amp;"|"&amp;C444)</f>
        <v/>
      </c>
      <c r="B444" s="130"/>
      <c r="C444" s="130"/>
      <c r="D444" s="130"/>
      <c r="E444" s="136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</row>
    <row r="445" customFormat="false" ht="15.75" hidden="false" customHeight="false" outlineLevel="0" collapsed="false">
      <c r="A445" s="130" t="str">
        <f aca="false">IF(ISBLANK(B445),"",B445&amp;"|"&amp;C445)</f>
        <v/>
      </c>
      <c r="B445" s="130"/>
      <c r="C445" s="130"/>
      <c r="D445" s="130"/>
      <c r="E445" s="136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</row>
    <row r="446" customFormat="false" ht="15.75" hidden="false" customHeight="false" outlineLevel="0" collapsed="false">
      <c r="A446" s="130" t="str">
        <f aca="false">IF(ISBLANK(B446),"",B446&amp;"|"&amp;C446)</f>
        <v/>
      </c>
      <c r="B446" s="130"/>
      <c r="C446" s="130"/>
      <c r="D446" s="130"/>
      <c r="E446" s="136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</row>
    <row r="447" customFormat="false" ht="15.75" hidden="false" customHeight="false" outlineLevel="0" collapsed="false">
      <c r="A447" s="130" t="str">
        <f aca="false">IF(ISBLANK(B447),"",B447&amp;"|"&amp;C447)</f>
        <v/>
      </c>
      <c r="B447" s="130"/>
      <c r="C447" s="130"/>
      <c r="D447" s="130"/>
      <c r="E447" s="136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</row>
    <row r="448" customFormat="false" ht="15.75" hidden="false" customHeight="false" outlineLevel="0" collapsed="false">
      <c r="A448" s="130" t="str">
        <f aca="false">IF(ISBLANK(B448),"",B448&amp;"|"&amp;C448)</f>
        <v/>
      </c>
      <c r="B448" s="130"/>
      <c r="C448" s="130"/>
      <c r="D448" s="130"/>
      <c r="E448" s="136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</row>
    <row r="449" customFormat="false" ht="15.75" hidden="false" customHeight="false" outlineLevel="0" collapsed="false">
      <c r="A449" s="130" t="str">
        <f aca="false">IF(ISBLANK(B449),"",B449&amp;"|"&amp;C449)</f>
        <v/>
      </c>
      <c r="B449" s="130"/>
      <c r="C449" s="130"/>
      <c r="D449" s="130"/>
      <c r="E449" s="136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</row>
    <row r="450" customFormat="false" ht="15.75" hidden="false" customHeight="false" outlineLevel="0" collapsed="false">
      <c r="A450" s="130" t="str">
        <f aca="false">IF(ISBLANK(B450),"",B450&amp;"|"&amp;C450)</f>
        <v/>
      </c>
      <c r="B450" s="130"/>
      <c r="C450" s="130"/>
      <c r="D450" s="130"/>
      <c r="E450" s="136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</row>
    <row r="451" customFormat="false" ht="15.75" hidden="false" customHeight="false" outlineLevel="0" collapsed="false">
      <c r="A451" s="130" t="str">
        <f aca="false">IF(ISBLANK(B451),"",B451&amp;"|"&amp;C451)</f>
        <v/>
      </c>
      <c r="B451" s="130"/>
      <c r="C451" s="130"/>
      <c r="D451" s="130"/>
      <c r="E451" s="136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</row>
    <row r="452" customFormat="false" ht="15.75" hidden="false" customHeight="false" outlineLevel="0" collapsed="false">
      <c r="A452" s="130" t="str">
        <f aca="false">IF(ISBLANK(B452),"",B452&amp;"|"&amp;C452)</f>
        <v/>
      </c>
      <c r="B452" s="130"/>
      <c r="C452" s="130"/>
      <c r="D452" s="130"/>
      <c r="E452" s="136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</row>
    <row r="453" customFormat="false" ht="15.75" hidden="false" customHeight="false" outlineLevel="0" collapsed="false">
      <c r="A453" s="130" t="str">
        <f aca="false">IF(ISBLANK(B453),"",B453&amp;"|"&amp;C453)</f>
        <v/>
      </c>
      <c r="B453" s="130"/>
      <c r="C453" s="130"/>
      <c r="D453" s="130"/>
      <c r="E453" s="136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</row>
    <row r="454" customFormat="false" ht="15.75" hidden="false" customHeight="false" outlineLevel="0" collapsed="false">
      <c r="A454" s="130" t="str">
        <f aca="false">IF(ISBLANK(B454),"",B454&amp;"|"&amp;C454)</f>
        <v/>
      </c>
      <c r="B454" s="130"/>
      <c r="C454" s="130"/>
      <c r="D454" s="130"/>
      <c r="E454" s="136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</row>
    <row r="455" customFormat="false" ht="15.75" hidden="false" customHeight="false" outlineLevel="0" collapsed="false">
      <c r="A455" s="130" t="str">
        <f aca="false">IF(ISBLANK(B455),"",B455&amp;"|"&amp;C455)</f>
        <v/>
      </c>
      <c r="B455" s="130"/>
      <c r="C455" s="130"/>
      <c r="D455" s="130"/>
      <c r="E455" s="136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</row>
    <row r="456" customFormat="false" ht="15.75" hidden="false" customHeight="false" outlineLevel="0" collapsed="false">
      <c r="A456" s="130" t="str">
        <f aca="false">IF(ISBLANK(B456),"",B456&amp;"|"&amp;C456)</f>
        <v/>
      </c>
      <c r="B456" s="130"/>
      <c r="C456" s="130"/>
      <c r="D456" s="130"/>
      <c r="E456" s="136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</row>
    <row r="457" customFormat="false" ht="15.75" hidden="false" customHeight="false" outlineLevel="0" collapsed="false">
      <c r="A457" s="130" t="str">
        <f aca="false">IF(ISBLANK(B457),"",B457&amp;"|"&amp;C457)</f>
        <v/>
      </c>
      <c r="B457" s="130"/>
      <c r="C457" s="130"/>
      <c r="D457" s="130"/>
      <c r="E457" s="136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</row>
    <row r="458" customFormat="false" ht="15.75" hidden="false" customHeight="false" outlineLevel="0" collapsed="false">
      <c r="A458" s="130" t="str">
        <f aca="false">IF(ISBLANK(B458),"",B458&amp;"|"&amp;C458)</f>
        <v/>
      </c>
      <c r="B458" s="130"/>
      <c r="C458" s="130"/>
      <c r="D458" s="130"/>
      <c r="E458" s="136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</row>
    <row r="459" customFormat="false" ht="15.75" hidden="false" customHeight="false" outlineLevel="0" collapsed="false">
      <c r="A459" s="130" t="str">
        <f aca="false">IF(ISBLANK(B459),"",B459&amp;"|"&amp;C459)</f>
        <v/>
      </c>
      <c r="B459" s="130"/>
      <c r="C459" s="130"/>
      <c r="D459" s="130"/>
      <c r="E459" s="136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</row>
    <row r="460" customFormat="false" ht="15.75" hidden="false" customHeight="false" outlineLevel="0" collapsed="false">
      <c r="A460" s="130" t="str">
        <f aca="false">IF(ISBLANK(B460),"",B460&amp;"|"&amp;C460)</f>
        <v/>
      </c>
      <c r="B460" s="130"/>
      <c r="C460" s="130"/>
      <c r="D460" s="130"/>
      <c r="E460" s="136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</row>
    <row r="461" customFormat="false" ht="15.75" hidden="false" customHeight="false" outlineLevel="0" collapsed="false">
      <c r="A461" s="130" t="str">
        <f aca="false">IF(ISBLANK(B461),"",B461&amp;"|"&amp;C461)</f>
        <v/>
      </c>
      <c r="B461" s="130"/>
      <c r="C461" s="130"/>
      <c r="D461" s="130"/>
      <c r="E461" s="136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</row>
    <row r="462" customFormat="false" ht="15.75" hidden="false" customHeight="false" outlineLevel="0" collapsed="false">
      <c r="A462" s="130" t="str">
        <f aca="false">IF(ISBLANK(B462),"",B462&amp;"|"&amp;C462)</f>
        <v/>
      </c>
      <c r="B462" s="130"/>
      <c r="C462" s="130"/>
      <c r="D462" s="130"/>
      <c r="E462" s="136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</row>
    <row r="463" customFormat="false" ht="15.75" hidden="false" customHeight="false" outlineLevel="0" collapsed="false">
      <c r="A463" s="130" t="str">
        <f aca="false">IF(ISBLANK(B463),"",B463&amp;"|"&amp;C463)</f>
        <v/>
      </c>
      <c r="B463" s="130"/>
      <c r="C463" s="130"/>
      <c r="D463" s="130"/>
      <c r="E463" s="136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</row>
    <row r="464" customFormat="false" ht="15.75" hidden="false" customHeight="false" outlineLevel="0" collapsed="false">
      <c r="A464" s="130" t="str">
        <f aca="false">IF(ISBLANK(B464),"",B464&amp;"|"&amp;C464)</f>
        <v/>
      </c>
      <c r="B464" s="130"/>
      <c r="C464" s="130"/>
      <c r="D464" s="130"/>
      <c r="E464" s="136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</row>
    <row r="465" customFormat="false" ht="15.75" hidden="false" customHeight="false" outlineLevel="0" collapsed="false">
      <c r="A465" s="130" t="str">
        <f aca="false">IF(ISBLANK(B465),"",B465&amp;"|"&amp;C465)</f>
        <v/>
      </c>
      <c r="B465" s="130"/>
      <c r="C465" s="130"/>
      <c r="D465" s="130"/>
      <c r="E465" s="136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</row>
    <row r="466" customFormat="false" ht="15.75" hidden="false" customHeight="false" outlineLevel="0" collapsed="false">
      <c r="A466" s="130" t="str">
        <f aca="false">IF(ISBLANK(B466),"",B466&amp;"|"&amp;C466)</f>
        <v/>
      </c>
      <c r="B466" s="130"/>
      <c r="C466" s="130"/>
      <c r="D466" s="130"/>
      <c r="E466" s="136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</row>
    <row r="467" customFormat="false" ht="15.75" hidden="false" customHeight="false" outlineLevel="0" collapsed="false">
      <c r="A467" s="130" t="str">
        <f aca="false">IF(ISBLANK(B467),"",B467&amp;"|"&amp;C467)</f>
        <v/>
      </c>
      <c r="B467" s="130"/>
      <c r="C467" s="130"/>
      <c r="D467" s="130"/>
      <c r="E467" s="136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</row>
    <row r="468" customFormat="false" ht="15.75" hidden="false" customHeight="false" outlineLevel="0" collapsed="false">
      <c r="A468" s="130" t="str">
        <f aca="false">IF(ISBLANK(B468),"",B468&amp;"|"&amp;C468)</f>
        <v/>
      </c>
      <c r="B468" s="130"/>
      <c r="C468" s="130"/>
      <c r="D468" s="130"/>
      <c r="E468" s="136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</row>
    <row r="469" customFormat="false" ht="15.75" hidden="false" customHeight="false" outlineLevel="0" collapsed="false">
      <c r="A469" s="130" t="str">
        <f aca="false">IF(ISBLANK(B469),"",B469&amp;"|"&amp;C469)</f>
        <v/>
      </c>
      <c r="B469" s="130"/>
      <c r="C469" s="130"/>
      <c r="D469" s="130"/>
      <c r="E469" s="136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</row>
    <row r="470" customFormat="false" ht="15.75" hidden="false" customHeight="false" outlineLevel="0" collapsed="false">
      <c r="A470" s="130" t="str">
        <f aca="false">IF(ISBLANK(B470),"",B470&amp;"|"&amp;C470)</f>
        <v/>
      </c>
      <c r="B470" s="130"/>
      <c r="C470" s="130"/>
      <c r="D470" s="130"/>
      <c r="E470" s="136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</row>
    <row r="471" customFormat="false" ht="15.75" hidden="false" customHeight="false" outlineLevel="0" collapsed="false">
      <c r="A471" s="130" t="str">
        <f aca="false">IF(ISBLANK(B471),"",B471&amp;"|"&amp;C471)</f>
        <v/>
      </c>
      <c r="B471" s="130"/>
      <c r="C471" s="130"/>
      <c r="D471" s="130"/>
      <c r="E471" s="136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</row>
    <row r="472" customFormat="false" ht="15.75" hidden="false" customHeight="false" outlineLevel="0" collapsed="false">
      <c r="A472" s="130" t="str">
        <f aca="false">IF(ISBLANK(B472),"",B472&amp;"|"&amp;C472)</f>
        <v/>
      </c>
      <c r="B472" s="130"/>
      <c r="C472" s="130"/>
      <c r="D472" s="130"/>
      <c r="E472" s="136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</row>
    <row r="473" customFormat="false" ht="15.75" hidden="false" customHeight="false" outlineLevel="0" collapsed="false">
      <c r="A473" s="130" t="str">
        <f aca="false">IF(ISBLANK(B473),"",B473&amp;"|"&amp;C473)</f>
        <v/>
      </c>
      <c r="B473" s="130"/>
      <c r="C473" s="130"/>
      <c r="D473" s="130"/>
      <c r="E473" s="136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</row>
    <row r="474" customFormat="false" ht="15.75" hidden="false" customHeight="false" outlineLevel="0" collapsed="false">
      <c r="A474" s="130" t="str">
        <f aca="false">IF(ISBLANK(B474),"",B474&amp;"|"&amp;C474)</f>
        <v/>
      </c>
      <c r="B474" s="130"/>
      <c r="C474" s="130"/>
      <c r="D474" s="130"/>
      <c r="E474" s="136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</row>
    <row r="475" customFormat="false" ht="15.75" hidden="false" customHeight="false" outlineLevel="0" collapsed="false">
      <c r="A475" s="130" t="str">
        <f aca="false">IF(ISBLANK(B475),"",B475&amp;"|"&amp;C475)</f>
        <v/>
      </c>
      <c r="B475" s="130"/>
      <c r="C475" s="130"/>
      <c r="D475" s="130"/>
      <c r="E475" s="136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</row>
    <row r="476" customFormat="false" ht="15.75" hidden="false" customHeight="false" outlineLevel="0" collapsed="false">
      <c r="A476" s="130" t="str">
        <f aca="false">IF(ISBLANK(B476),"",B476&amp;"|"&amp;C476)</f>
        <v/>
      </c>
      <c r="B476" s="130"/>
      <c r="C476" s="130"/>
      <c r="D476" s="130"/>
      <c r="E476" s="136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</row>
    <row r="477" customFormat="false" ht="15.75" hidden="false" customHeight="false" outlineLevel="0" collapsed="false">
      <c r="A477" s="130" t="str">
        <f aca="false">IF(ISBLANK(B477),"",B477&amp;"|"&amp;C477)</f>
        <v/>
      </c>
      <c r="B477" s="130"/>
      <c r="C477" s="130"/>
      <c r="D477" s="130"/>
      <c r="E477" s="136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</row>
    <row r="478" customFormat="false" ht="15.75" hidden="false" customHeight="false" outlineLevel="0" collapsed="false">
      <c r="A478" s="130" t="str">
        <f aca="false">IF(ISBLANK(B478),"",B478&amp;"|"&amp;C478)</f>
        <v/>
      </c>
      <c r="B478" s="130"/>
      <c r="C478" s="130"/>
      <c r="D478" s="130"/>
      <c r="E478" s="136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</row>
    <row r="479" customFormat="false" ht="15.75" hidden="false" customHeight="false" outlineLevel="0" collapsed="false">
      <c r="A479" s="130" t="str">
        <f aca="false">IF(ISBLANK(B479),"",B479&amp;"|"&amp;C479)</f>
        <v/>
      </c>
      <c r="B479" s="130"/>
      <c r="C479" s="130"/>
      <c r="D479" s="130"/>
      <c r="E479" s="136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</row>
    <row r="480" customFormat="false" ht="15.75" hidden="false" customHeight="false" outlineLevel="0" collapsed="false">
      <c r="A480" s="130" t="str">
        <f aca="false">IF(ISBLANK(B480),"",B480&amp;"|"&amp;C480)</f>
        <v/>
      </c>
      <c r="B480" s="130"/>
      <c r="C480" s="130"/>
      <c r="D480" s="130"/>
      <c r="E480" s="136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</row>
    <row r="481" customFormat="false" ht="15.75" hidden="false" customHeight="false" outlineLevel="0" collapsed="false">
      <c r="A481" s="130" t="str">
        <f aca="false">IF(ISBLANK(B481),"",B481&amp;"|"&amp;C481)</f>
        <v/>
      </c>
      <c r="B481" s="130"/>
      <c r="C481" s="130"/>
      <c r="D481" s="130"/>
      <c r="E481" s="136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</row>
    <row r="482" customFormat="false" ht="15.75" hidden="false" customHeight="false" outlineLevel="0" collapsed="false">
      <c r="A482" s="130" t="str">
        <f aca="false">IF(ISBLANK(B482),"",B482&amp;"|"&amp;C482)</f>
        <v/>
      </c>
      <c r="B482" s="130"/>
      <c r="C482" s="130"/>
      <c r="D482" s="130"/>
      <c r="E482" s="136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</row>
    <row r="483" customFormat="false" ht="15.75" hidden="false" customHeight="false" outlineLevel="0" collapsed="false">
      <c r="A483" s="130" t="str">
        <f aca="false">IF(ISBLANK(B483),"",B483&amp;"|"&amp;C483)</f>
        <v/>
      </c>
      <c r="B483" s="130"/>
      <c r="C483" s="130"/>
      <c r="D483" s="130"/>
      <c r="E483" s="136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</row>
    <row r="484" customFormat="false" ht="15.75" hidden="false" customHeight="false" outlineLevel="0" collapsed="false">
      <c r="A484" s="130" t="str">
        <f aca="false">IF(ISBLANK(B484),"",B484&amp;"|"&amp;C484)</f>
        <v/>
      </c>
      <c r="B484" s="130"/>
      <c r="C484" s="130"/>
      <c r="D484" s="130"/>
      <c r="E484" s="136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</row>
    <row r="485" customFormat="false" ht="15.75" hidden="false" customHeight="false" outlineLevel="0" collapsed="false">
      <c r="A485" s="130" t="str">
        <f aca="false">IF(ISBLANK(B485),"",B485&amp;"|"&amp;C485)</f>
        <v/>
      </c>
      <c r="B485" s="130"/>
      <c r="C485" s="130"/>
      <c r="D485" s="130"/>
      <c r="E485" s="136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</row>
    <row r="486" customFormat="false" ht="15.75" hidden="false" customHeight="false" outlineLevel="0" collapsed="false">
      <c r="A486" s="130" t="str">
        <f aca="false">IF(ISBLANK(B486),"",B486&amp;"|"&amp;C486)</f>
        <v/>
      </c>
      <c r="B486" s="130"/>
      <c r="C486" s="130"/>
      <c r="D486" s="130"/>
      <c r="E486" s="136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</row>
    <row r="487" customFormat="false" ht="15.75" hidden="false" customHeight="false" outlineLevel="0" collapsed="false">
      <c r="A487" s="130" t="str">
        <f aca="false">IF(ISBLANK(B487),"",B487&amp;"|"&amp;C487)</f>
        <v/>
      </c>
      <c r="B487" s="130"/>
      <c r="C487" s="130"/>
      <c r="D487" s="130"/>
      <c r="E487" s="136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</row>
    <row r="488" customFormat="false" ht="15.75" hidden="false" customHeight="false" outlineLevel="0" collapsed="false">
      <c r="A488" s="130" t="str">
        <f aca="false">IF(ISBLANK(B488),"",B488&amp;"|"&amp;C488)</f>
        <v/>
      </c>
      <c r="B488" s="130"/>
      <c r="C488" s="130"/>
      <c r="D488" s="130"/>
      <c r="E488" s="136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</row>
    <row r="489" customFormat="false" ht="15.75" hidden="false" customHeight="false" outlineLevel="0" collapsed="false">
      <c r="A489" s="130" t="str">
        <f aca="false">IF(ISBLANK(B489),"",B489&amp;"|"&amp;C489)</f>
        <v/>
      </c>
      <c r="B489" s="130"/>
      <c r="C489" s="130"/>
      <c r="D489" s="130"/>
      <c r="E489" s="136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</row>
    <row r="490" customFormat="false" ht="15.75" hidden="false" customHeight="false" outlineLevel="0" collapsed="false">
      <c r="A490" s="130" t="str">
        <f aca="false">IF(ISBLANK(B490),"",B490&amp;"|"&amp;C490)</f>
        <v/>
      </c>
      <c r="B490" s="130"/>
      <c r="C490" s="130"/>
      <c r="D490" s="130"/>
      <c r="E490" s="136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</row>
    <row r="491" customFormat="false" ht="15.75" hidden="false" customHeight="false" outlineLevel="0" collapsed="false">
      <c r="A491" s="130" t="str">
        <f aca="false">IF(ISBLANK(B491),"",B491&amp;"|"&amp;C491)</f>
        <v/>
      </c>
      <c r="B491" s="130"/>
      <c r="C491" s="130"/>
      <c r="D491" s="130"/>
      <c r="E491" s="136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</row>
    <row r="492" customFormat="false" ht="15.75" hidden="false" customHeight="false" outlineLevel="0" collapsed="false">
      <c r="A492" s="130" t="str">
        <f aca="false">IF(ISBLANK(B492),"",B492&amp;"|"&amp;C492)</f>
        <v/>
      </c>
      <c r="B492" s="130"/>
      <c r="C492" s="130"/>
      <c r="D492" s="130"/>
      <c r="E492" s="136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</row>
    <row r="493" customFormat="false" ht="15.75" hidden="false" customHeight="false" outlineLevel="0" collapsed="false">
      <c r="A493" s="130" t="str">
        <f aca="false">IF(ISBLANK(B493),"",B493&amp;"|"&amp;C493)</f>
        <v/>
      </c>
      <c r="B493" s="130"/>
      <c r="C493" s="130"/>
      <c r="D493" s="130"/>
      <c r="E493" s="136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</row>
    <row r="494" customFormat="false" ht="15.75" hidden="false" customHeight="false" outlineLevel="0" collapsed="false">
      <c r="A494" s="130" t="str">
        <f aca="false">IF(ISBLANK(B494),"",B494&amp;"|"&amp;C494)</f>
        <v/>
      </c>
      <c r="B494" s="130"/>
      <c r="C494" s="130"/>
      <c r="D494" s="130"/>
      <c r="E494" s="136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</row>
    <row r="495" customFormat="false" ht="15.75" hidden="false" customHeight="false" outlineLevel="0" collapsed="false">
      <c r="A495" s="130" t="str">
        <f aca="false">IF(ISBLANK(B495),"",B495&amp;"|"&amp;C495)</f>
        <v/>
      </c>
      <c r="B495" s="130"/>
      <c r="C495" s="130"/>
      <c r="D495" s="130"/>
      <c r="E495" s="136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</row>
    <row r="496" customFormat="false" ht="15.75" hidden="false" customHeight="false" outlineLevel="0" collapsed="false">
      <c r="A496" s="130" t="str">
        <f aca="false">IF(ISBLANK(B496),"",B496&amp;"|"&amp;C496)</f>
        <v/>
      </c>
      <c r="B496" s="130"/>
      <c r="C496" s="130"/>
      <c r="D496" s="130"/>
      <c r="E496" s="136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</row>
    <row r="497" customFormat="false" ht="15.75" hidden="false" customHeight="false" outlineLevel="0" collapsed="false">
      <c r="A497" s="130" t="str">
        <f aca="false">IF(ISBLANK(B497),"",B497&amp;"|"&amp;C497)</f>
        <v/>
      </c>
      <c r="B497" s="130"/>
      <c r="C497" s="130"/>
      <c r="D497" s="130"/>
      <c r="E497" s="136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</row>
    <row r="498" customFormat="false" ht="15.75" hidden="false" customHeight="false" outlineLevel="0" collapsed="false">
      <c r="A498" s="130" t="str">
        <f aca="false">IF(ISBLANK(B498),"",B498&amp;"|"&amp;C498)</f>
        <v/>
      </c>
      <c r="B498" s="130"/>
      <c r="C498" s="130"/>
      <c r="D498" s="130"/>
      <c r="E498" s="136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</row>
    <row r="499" customFormat="false" ht="15.75" hidden="false" customHeight="false" outlineLevel="0" collapsed="false">
      <c r="A499" s="130" t="str">
        <f aca="false">IF(ISBLANK(B499),"",B499&amp;"|"&amp;C499)</f>
        <v/>
      </c>
      <c r="B499" s="130"/>
      <c r="C499" s="130"/>
      <c r="D499" s="130"/>
      <c r="E499" s="136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</row>
    <row r="500" customFormat="false" ht="15.75" hidden="false" customHeight="false" outlineLevel="0" collapsed="false">
      <c r="A500" s="130" t="str">
        <f aca="false">IF(ISBLANK(B500),"",B500&amp;"|"&amp;C500)</f>
        <v/>
      </c>
      <c r="B500" s="130"/>
      <c r="C500" s="130"/>
      <c r="D500" s="130"/>
      <c r="E500" s="136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</row>
    <row r="501" customFormat="false" ht="15.75" hidden="false" customHeight="false" outlineLevel="0" collapsed="false">
      <c r="A501" s="130" t="str">
        <f aca="false">IF(ISBLANK(B501),"",B501&amp;"|"&amp;C501)</f>
        <v/>
      </c>
      <c r="B501" s="130"/>
      <c r="C501" s="130"/>
      <c r="D501" s="130"/>
      <c r="E501" s="136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</row>
    <row r="502" customFormat="false" ht="15.75" hidden="false" customHeight="false" outlineLevel="0" collapsed="false">
      <c r="A502" s="130" t="str">
        <f aca="false">IF(ISBLANK(B502),"",B502&amp;"|"&amp;C502)</f>
        <v/>
      </c>
      <c r="B502" s="130"/>
      <c r="C502" s="130"/>
      <c r="D502" s="130"/>
      <c r="E502" s="136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</row>
    <row r="503" customFormat="false" ht="15.75" hidden="false" customHeight="false" outlineLevel="0" collapsed="false">
      <c r="A503" s="130" t="str">
        <f aca="false">IF(ISBLANK(B503),"",B503&amp;"|"&amp;C503)</f>
        <v/>
      </c>
      <c r="B503" s="130"/>
      <c r="C503" s="130"/>
      <c r="D503" s="130"/>
      <c r="E503" s="136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</row>
    <row r="504" customFormat="false" ht="15.75" hidden="false" customHeight="false" outlineLevel="0" collapsed="false">
      <c r="A504" s="130" t="str">
        <f aca="false">IF(ISBLANK(B504),"",B504&amp;"|"&amp;C504)</f>
        <v/>
      </c>
      <c r="B504" s="130"/>
      <c r="C504" s="130"/>
      <c r="D504" s="130"/>
      <c r="E504" s="136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</row>
    <row r="505" customFormat="false" ht="15.75" hidden="false" customHeight="false" outlineLevel="0" collapsed="false">
      <c r="A505" s="130" t="str">
        <f aca="false">IF(ISBLANK(B505),"",B505&amp;"|"&amp;C505)</f>
        <v/>
      </c>
      <c r="B505" s="130"/>
      <c r="C505" s="130"/>
      <c r="D505" s="130"/>
      <c r="E505" s="136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</row>
    <row r="506" customFormat="false" ht="15.75" hidden="false" customHeight="false" outlineLevel="0" collapsed="false">
      <c r="A506" s="130" t="str">
        <f aca="false">IF(ISBLANK(B506),"",B506&amp;"|"&amp;C506)</f>
        <v/>
      </c>
      <c r="B506" s="130"/>
      <c r="C506" s="130"/>
      <c r="D506" s="130"/>
      <c r="E506" s="136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</row>
    <row r="507" customFormat="false" ht="15.75" hidden="false" customHeight="false" outlineLevel="0" collapsed="false">
      <c r="A507" s="130" t="str">
        <f aca="false">IF(ISBLANK(B507),"",B507&amp;"|"&amp;C507)</f>
        <v/>
      </c>
      <c r="B507" s="130"/>
      <c r="C507" s="130"/>
      <c r="D507" s="130"/>
      <c r="E507" s="136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</row>
    <row r="508" customFormat="false" ht="15.75" hidden="false" customHeight="false" outlineLevel="0" collapsed="false">
      <c r="A508" s="130" t="str">
        <f aca="false">IF(ISBLANK(B508),"",B508&amp;"|"&amp;C508)</f>
        <v/>
      </c>
      <c r="B508" s="130"/>
      <c r="C508" s="130"/>
      <c r="D508" s="130"/>
      <c r="E508" s="136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</row>
    <row r="509" customFormat="false" ht="15.75" hidden="false" customHeight="false" outlineLevel="0" collapsed="false">
      <c r="A509" s="130" t="str">
        <f aca="false">IF(ISBLANK(B509),"",B509&amp;"|"&amp;C509)</f>
        <v/>
      </c>
      <c r="B509" s="130"/>
      <c r="C509" s="130"/>
      <c r="D509" s="130"/>
      <c r="E509" s="136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</row>
    <row r="510" customFormat="false" ht="15.75" hidden="false" customHeight="false" outlineLevel="0" collapsed="false">
      <c r="A510" s="130" t="str">
        <f aca="false">IF(ISBLANK(B510),"",B510&amp;"|"&amp;C510)</f>
        <v/>
      </c>
      <c r="B510" s="130"/>
      <c r="C510" s="130"/>
      <c r="D510" s="130"/>
      <c r="E510" s="136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</row>
    <row r="511" customFormat="false" ht="15.75" hidden="false" customHeight="false" outlineLevel="0" collapsed="false">
      <c r="A511" s="130" t="str">
        <f aca="false">IF(ISBLANK(B511),"",B511&amp;"|"&amp;C511)</f>
        <v/>
      </c>
      <c r="B511" s="130"/>
      <c r="C511" s="130"/>
      <c r="D511" s="130"/>
      <c r="E511" s="136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</row>
    <row r="512" customFormat="false" ht="15.75" hidden="false" customHeight="false" outlineLevel="0" collapsed="false">
      <c r="A512" s="130" t="str">
        <f aca="false">IF(ISBLANK(B512),"",B512&amp;"|"&amp;C512)</f>
        <v/>
      </c>
      <c r="B512" s="130"/>
      <c r="C512" s="130"/>
      <c r="D512" s="130"/>
      <c r="E512" s="136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</row>
    <row r="513" customFormat="false" ht="15.75" hidden="false" customHeight="false" outlineLevel="0" collapsed="false">
      <c r="A513" s="130" t="str">
        <f aca="false">IF(ISBLANK(B513),"",B513&amp;"|"&amp;C513)</f>
        <v/>
      </c>
      <c r="B513" s="130"/>
      <c r="C513" s="130"/>
      <c r="D513" s="130"/>
      <c r="E513" s="136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</row>
    <row r="514" customFormat="false" ht="15.75" hidden="false" customHeight="false" outlineLevel="0" collapsed="false">
      <c r="A514" s="130" t="str">
        <f aca="false">IF(ISBLANK(B514),"",B514&amp;"|"&amp;C514)</f>
        <v/>
      </c>
      <c r="B514" s="130"/>
      <c r="C514" s="130"/>
      <c r="D514" s="130"/>
      <c r="E514" s="136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</row>
    <row r="515" customFormat="false" ht="15.75" hidden="false" customHeight="false" outlineLevel="0" collapsed="false">
      <c r="A515" s="130" t="str">
        <f aca="false">IF(ISBLANK(B515),"",B515&amp;"|"&amp;C515)</f>
        <v/>
      </c>
      <c r="B515" s="130"/>
      <c r="C515" s="130"/>
      <c r="D515" s="130"/>
      <c r="E515" s="136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</row>
    <row r="516" customFormat="false" ht="15.75" hidden="false" customHeight="false" outlineLevel="0" collapsed="false">
      <c r="A516" s="130" t="str">
        <f aca="false">IF(ISBLANK(B516),"",B516&amp;"|"&amp;C516)</f>
        <v/>
      </c>
      <c r="B516" s="130"/>
      <c r="C516" s="130"/>
      <c r="D516" s="130"/>
      <c r="E516" s="136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</row>
    <row r="517" customFormat="false" ht="15.75" hidden="false" customHeight="false" outlineLevel="0" collapsed="false">
      <c r="A517" s="130" t="str">
        <f aca="false">IF(ISBLANK(B517),"",B517&amp;"|"&amp;C517)</f>
        <v/>
      </c>
      <c r="B517" s="130"/>
      <c r="C517" s="130"/>
      <c r="D517" s="130"/>
      <c r="E517" s="136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</row>
    <row r="518" customFormat="false" ht="15.75" hidden="false" customHeight="false" outlineLevel="0" collapsed="false">
      <c r="A518" s="130" t="str">
        <f aca="false">IF(ISBLANK(B518),"",B518&amp;"|"&amp;C518)</f>
        <v/>
      </c>
      <c r="B518" s="130"/>
      <c r="C518" s="130"/>
      <c r="D518" s="130"/>
      <c r="E518" s="136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</row>
    <row r="519" customFormat="false" ht="15.75" hidden="false" customHeight="false" outlineLevel="0" collapsed="false">
      <c r="A519" s="130" t="str">
        <f aca="false">IF(ISBLANK(B519),"",B519&amp;"|"&amp;C519)</f>
        <v/>
      </c>
      <c r="B519" s="130"/>
      <c r="C519" s="130"/>
      <c r="D519" s="130"/>
      <c r="E519" s="136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</row>
    <row r="520" customFormat="false" ht="15.75" hidden="false" customHeight="false" outlineLevel="0" collapsed="false">
      <c r="A520" s="130" t="str">
        <f aca="false">IF(ISBLANK(B520),"",B520&amp;"|"&amp;C520)</f>
        <v/>
      </c>
      <c r="B520" s="130"/>
      <c r="C520" s="130"/>
      <c r="D520" s="130"/>
      <c r="E520" s="136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</row>
    <row r="521" customFormat="false" ht="15.75" hidden="false" customHeight="false" outlineLevel="0" collapsed="false">
      <c r="A521" s="130" t="str">
        <f aca="false">IF(ISBLANK(B521),"",B521&amp;"|"&amp;C521)</f>
        <v/>
      </c>
      <c r="B521" s="130"/>
      <c r="C521" s="130"/>
      <c r="D521" s="130"/>
      <c r="E521" s="136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</row>
    <row r="522" customFormat="false" ht="15.75" hidden="false" customHeight="false" outlineLevel="0" collapsed="false">
      <c r="A522" s="130" t="str">
        <f aca="false">IF(ISBLANK(B522),"",B522&amp;"|"&amp;C522)</f>
        <v/>
      </c>
      <c r="B522" s="130"/>
      <c r="C522" s="130"/>
      <c r="D522" s="130"/>
      <c r="E522" s="136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</row>
    <row r="523" customFormat="false" ht="15.75" hidden="false" customHeight="false" outlineLevel="0" collapsed="false">
      <c r="A523" s="130" t="str">
        <f aca="false">IF(ISBLANK(B523),"",B523&amp;"|"&amp;C523)</f>
        <v/>
      </c>
      <c r="B523" s="130"/>
      <c r="C523" s="130"/>
      <c r="D523" s="130"/>
      <c r="E523" s="136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</row>
    <row r="524" customFormat="false" ht="15.75" hidden="false" customHeight="false" outlineLevel="0" collapsed="false">
      <c r="A524" s="130" t="str">
        <f aca="false">IF(ISBLANK(B524),"",B524&amp;"|"&amp;C524)</f>
        <v/>
      </c>
      <c r="B524" s="130"/>
      <c r="C524" s="130"/>
      <c r="D524" s="130"/>
      <c r="E524" s="136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</row>
    <row r="525" customFormat="false" ht="15.75" hidden="false" customHeight="false" outlineLevel="0" collapsed="false">
      <c r="A525" s="130" t="str">
        <f aca="false">IF(ISBLANK(B525),"",B525&amp;"|"&amp;C525)</f>
        <v/>
      </c>
      <c r="B525" s="130"/>
      <c r="C525" s="130"/>
      <c r="D525" s="130"/>
      <c r="E525" s="136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</row>
    <row r="526" customFormat="false" ht="15.75" hidden="false" customHeight="false" outlineLevel="0" collapsed="false">
      <c r="A526" s="130" t="str">
        <f aca="false">IF(ISBLANK(B526),"",B526&amp;"|"&amp;C526)</f>
        <v/>
      </c>
      <c r="B526" s="130"/>
      <c r="C526" s="130"/>
      <c r="D526" s="130"/>
      <c r="E526" s="136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</row>
    <row r="527" customFormat="false" ht="15.75" hidden="false" customHeight="false" outlineLevel="0" collapsed="false">
      <c r="A527" s="130" t="str">
        <f aca="false">IF(ISBLANK(B527),"",B527&amp;"|"&amp;C527)</f>
        <v/>
      </c>
      <c r="B527" s="130"/>
      <c r="C527" s="130"/>
      <c r="D527" s="130"/>
      <c r="E527" s="136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</row>
    <row r="528" customFormat="false" ht="15.75" hidden="false" customHeight="false" outlineLevel="0" collapsed="false">
      <c r="A528" s="130" t="str">
        <f aca="false">IF(ISBLANK(B528),"",B528&amp;"|"&amp;C528)</f>
        <v/>
      </c>
      <c r="B528" s="130"/>
      <c r="C528" s="130"/>
      <c r="D528" s="130"/>
      <c r="E528" s="136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</row>
    <row r="529" customFormat="false" ht="15.75" hidden="false" customHeight="false" outlineLevel="0" collapsed="false">
      <c r="A529" s="130" t="str">
        <f aca="false">IF(ISBLANK(B529),"",B529&amp;"|"&amp;C529)</f>
        <v/>
      </c>
      <c r="B529" s="130"/>
      <c r="C529" s="130"/>
      <c r="D529" s="130"/>
      <c r="E529" s="136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</row>
    <row r="530" customFormat="false" ht="15.75" hidden="false" customHeight="false" outlineLevel="0" collapsed="false">
      <c r="A530" s="130" t="str">
        <f aca="false">IF(ISBLANK(B530),"",B530&amp;"|"&amp;C530)</f>
        <v/>
      </c>
      <c r="B530" s="130"/>
      <c r="C530" s="130"/>
      <c r="D530" s="130"/>
      <c r="E530" s="136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</row>
    <row r="531" customFormat="false" ht="15.75" hidden="false" customHeight="false" outlineLevel="0" collapsed="false">
      <c r="A531" s="130" t="str">
        <f aca="false">IF(ISBLANK(B531),"",B531&amp;"|"&amp;C531)</f>
        <v/>
      </c>
      <c r="B531" s="130"/>
      <c r="C531" s="130"/>
      <c r="D531" s="130"/>
      <c r="E531" s="136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</row>
    <row r="532" customFormat="false" ht="15.75" hidden="false" customHeight="false" outlineLevel="0" collapsed="false">
      <c r="A532" s="130" t="str">
        <f aca="false">IF(ISBLANK(B532),"",B532&amp;"|"&amp;C532)</f>
        <v/>
      </c>
      <c r="B532" s="130"/>
      <c r="C532" s="130"/>
      <c r="D532" s="130"/>
      <c r="E532" s="136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</row>
    <row r="533" customFormat="false" ht="15.75" hidden="false" customHeight="false" outlineLevel="0" collapsed="false">
      <c r="A533" s="130" t="str">
        <f aca="false">IF(ISBLANK(B533),"",B533&amp;"|"&amp;C533)</f>
        <v/>
      </c>
      <c r="B533" s="130"/>
      <c r="C533" s="130"/>
      <c r="D533" s="130"/>
      <c r="E533" s="136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</row>
    <row r="534" customFormat="false" ht="15.75" hidden="false" customHeight="false" outlineLevel="0" collapsed="false">
      <c r="A534" s="130" t="str">
        <f aca="false">IF(ISBLANK(B534),"",B534&amp;"|"&amp;C534)</f>
        <v/>
      </c>
      <c r="B534" s="130"/>
      <c r="C534" s="130"/>
      <c r="D534" s="130"/>
      <c r="E534" s="136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</row>
    <row r="535" customFormat="false" ht="15.75" hidden="false" customHeight="false" outlineLevel="0" collapsed="false">
      <c r="A535" s="130" t="str">
        <f aca="false">IF(ISBLANK(B535),"",B535&amp;"|"&amp;C535)</f>
        <v/>
      </c>
      <c r="B535" s="130"/>
      <c r="C535" s="130"/>
      <c r="D535" s="130"/>
      <c r="E535" s="136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</row>
    <row r="536" customFormat="false" ht="15.75" hidden="false" customHeight="false" outlineLevel="0" collapsed="false">
      <c r="A536" s="130" t="str">
        <f aca="false">IF(ISBLANK(B536),"",B536&amp;"|"&amp;C536)</f>
        <v/>
      </c>
      <c r="B536" s="130"/>
      <c r="C536" s="130"/>
      <c r="D536" s="130"/>
      <c r="E536" s="136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</row>
    <row r="537" customFormat="false" ht="15.75" hidden="false" customHeight="false" outlineLevel="0" collapsed="false">
      <c r="A537" s="130" t="str">
        <f aca="false">IF(ISBLANK(B537),"",B537&amp;"|"&amp;C537)</f>
        <v/>
      </c>
      <c r="B537" s="130"/>
      <c r="C537" s="130"/>
      <c r="D537" s="130"/>
      <c r="E537" s="136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</row>
    <row r="538" customFormat="false" ht="15.75" hidden="false" customHeight="false" outlineLevel="0" collapsed="false">
      <c r="A538" s="130" t="str">
        <f aca="false">IF(ISBLANK(B538),"",B538&amp;"|"&amp;C538)</f>
        <v/>
      </c>
      <c r="B538" s="130"/>
      <c r="C538" s="130"/>
      <c r="D538" s="130"/>
      <c r="E538" s="136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</row>
    <row r="539" customFormat="false" ht="15.75" hidden="false" customHeight="false" outlineLevel="0" collapsed="false">
      <c r="A539" s="130" t="str">
        <f aca="false">IF(ISBLANK(B539),"",B539&amp;"|"&amp;C539)</f>
        <v/>
      </c>
      <c r="B539" s="130"/>
      <c r="C539" s="130"/>
      <c r="D539" s="130"/>
      <c r="E539" s="136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</row>
    <row r="540" customFormat="false" ht="15.75" hidden="false" customHeight="false" outlineLevel="0" collapsed="false">
      <c r="A540" s="130" t="str">
        <f aca="false">IF(ISBLANK(B540),"",B540&amp;"|"&amp;C540)</f>
        <v/>
      </c>
      <c r="B540" s="130"/>
      <c r="C540" s="130"/>
      <c r="D540" s="130"/>
      <c r="E540" s="136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</row>
    <row r="541" customFormat="false" ht="15.75" hidden="false" customHeight="false" outlineLevel="0" collapsed="false">
      <c r="A541" s="130" t="str">
        <f aca="false">IF(ISBLANK(B541),"",B541&amp;"|"&amp;C541)</f>
        <v/>
      </c>
      <c r="B541" s="130"/>
      <c r="C541" s="130"/>
      <c r="D541" s="130"/>
      <c r="E541" s="136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</row>
    <row r="542" customFormat="false" ht="15.75" hidden="false" customHeight="false" outlineLevel="0" collapsed="false">
      <c r="A542" s="130" t="str">
        <f aca="false">IF(ISBLANK(B542),"",B542&amp;"|"&amp;C542)</f>
        <v/>
      </c>
      <c r="B542" s="130"/>
      <c r="C542" s="130"/>
      <c r="D542" s="130"/>
      <c r="E542" s="136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</row>
    <row r="543" customFormat="false" ht="15.75" hidden="false" customHeight="false" outlineLevel="0" collapsed="false">
      <c r="A543" s="130" t="str">
        <f aca="false">IF(ISBLANK(B543),"",B543&amp;"|"&amp;C543)</f>
        <v/>
      </c>
      <c r="B543" s="130"/>
      <c r="C543" s="130"/>
      <c r="D543" s="130"/>
      <c r="E543" s="136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</row>
    <row r="544" customFormat="false" ht="15.75" hidden="false" customHeight="false" outlineLevel="0" collapsed="false">
      <c r="A544" s="130" t="str">
        <f aca="false">IF(ISBLANK(B544),"",B544&amp;"|"&amp;C544)</f>
        <v/>
      </c>
      <c r="B544" s="130"/>
      <c r="C544" s="130"/>
      <c r="D544" s="130"/>
      <c r="E544" s="136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</row>
    <row r="545" customFormat="false" ht="15.75" hidden="false" customHeight="false" outlineLevel="0" collapsed="false">
      <c r="A545" s="130" t="str">
        <f aca="false">IF(ISBLANK(B545),"",B545&amp;"|"&amp;C545)</f>
        <v/>
      </c>
      <c r="B545" s="130"/>
      <c r="C545" s="130"/>
      <c r="D545" s="130"/>
      <c r="E545" s="136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</row>
    <row r="546" customFormat="false" ht="15.75" hidden="false" customHeight="false" outlineLevel="0" collapsed="false">
      <c r="A546" s="130" t="str">
        <f aca="false">IF(ISBLANK(B546),"",B546&amp;"|"&amp;C546)</f>
        <v/>
      </c>
      <c r="B546" s="130"/>
      <c r="C546" s="130"/>
      <c r="D546" s="130"/>
      <c r="E546" s="136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</row>
    <row r="547" customFormat="false" ht="15.75" hidden="false" customHeight="false" outlineLevel="0" collapsed="false">
      <c r="A547" s="130" t="str">
        <f aca="false">IF(ISBLANK(B547),"",B547&amp;"|"&amp;C547)</f>
        <v/>
      </c>
      <c r="B547" s="130"/>
      <c r="C547" s="130"/>
      <c r="D547" s="130"/>
      <c r="E547" s="136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</row>
    <row r="548" customFormat="false" ht="15.75" hidden="false" customHeight="false" outlineLevel="0" collapsed="false">
      <c r="A548" s="130" t="str">
        <f aca="false">IF(ISBLANK(B548),"",B548&amp;"|"&amp;C548)</f>
        <v/>
      </c>
      <c r="B548" s="130"/>
      <c r="C548" s="130"/>
      <c r="D548" s="130"/>
      <c r="E548" s="136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</row>
    <row r="549" customFormat="false" ht="15.75" hidden="false" customHeight="false" outlineLevel="0" collapsed="false">
      <c r="A549" s="130" t="str">
        <f aca="false">IF(ISBLANK(B549),"",B549&amp;"|"&amp;C549)</f>
        <v/>
      </c>
      <c r="B549" s="130"/>
      <c r="C549" s="130"/>
      <c r="D549" s="130"/>
      <c r="E549" s="136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</row>
    <row r="550" customFormat="false" ht="15.75" hidden="false" customHeight="false" outlineLevel="0" collapsed="false">
      <c r="A550" s="130" t="str">
        <f aca="false">IF(ISBLANK(B550),"",B550&amp;"|"&amp;C550)</f>
        <v/>
      </c>
      <c r="B550" s="130"/>
      <c r="C550" s="130"/>
      <c r="D550" s="130"/>
      <c r="E550" s="136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</row>
    <row r="551" customFormat="false" ht="15.75" hidden="false" customHeight="false" outlineLevel="0" collapsed="false">
      <c r="A551" s="130" t="str">
        <f aca="false">IF(ISBLANK(B551),"",B551&amp;"|"&amp;C551)</f>
        <v/>
      </c>
      <c r="B551" s="130"/>
      <c r="C551" s="130"/>
      <c r="D551" s="130"/>
      <c r="E551" s="136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</row>
    <row r="552" customFormat="false" ht="15.75" hidden="false" customHeight="false" outlineLevel="0" collapsed="false">
      <c r="A552" s="130" t="str">
        <f aca="false">IF(ISBLANK(B552),"",B552&amp;"|"&amp;C552)</f>
        <v/>
      </c>
      <c r="B552" s="130"/>
      <c r="C552" s="130"/>
      <c r="D552" s="130"/>
      <c r="E552" s="136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</row>
    <row r="553" customFormat="false" ht="15.75" hidden="false" customHeight="false" outlineLevel="0" collapsed="false">
      <c r="A553" s="130" t="str">
        <f aca="false">IF(ISBLANK(B553),"",B553&amp;"|"&amp;C553)</f>
        <v/>
      </c>
      <c r="B553" s="130"/>
      <c r="C553" s="130"/>
      <c r="D553" s="130"/>
      <c r="E553" s="136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</row>
    <row r="554" customFormat="false" ht="15.75" hidden="false" customHeight="false" outlineLevel="0" collapsed="false">
      <c r="A554" s="130" t="str">
        <f aca="false">IF(ISBLANK(B554),"",B554&amp;"|"&amp;C554)</f>
        <v/>
      </c>
      <c r="B554" s="130"/>
      <c r="C554" s="130"/>
      <c r="D554" s="130"/>
      <c r="E554" s="136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</row>
    <row r="555" customFormat="false" ht="15.75" hidden="false" customHeight="false" outlineLevel="0" collapsed="false">
      <c r="A555" s="130" t="str">
        <f aca="false">IF(ISBLANK(B555),"",B555&amp;"|"&amp;C555)</f>
        <v/>
      </c>
      <c r="B555" s="130"/>
      <c r="C555" s="130"/>
      <c r="D555" s="130"/>
      <c r="E555" s="136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</row>
    <row r="556" customFormat="false" ht="15.75" hidden="false" customHeight="false" outlineLevel="0" collapsed="false">
      <c r="A556" s="130" t="str">
        <f aca="false">IF(ISBLANK(B556),"",B556&amp;"|"&amp;C556)</f>
        <v/>
      </c>
      <c r="B556" s="130"/>
      <c r="C556" s="130"/>
      <c r="D556" s="130"/>
      <c r="E556" s="136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</row>
    <row r="557" customFormat="false" ht="15.75" hidden="false" customHeight="false" outlineLevel="0" collapsed="false">
      <c r="A557" s="130" t="str">
        <f aca="false">IF(ISBLANK(B557),"",B557&amp;"|"&amp;C557)</f>
        <v/>
      </c>
      <c r="B557" s="130"/>
      <c r="C557" s="130"/>
      <c r="D557" s="130"/>
      <c r="E557" s="136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</row>
    <row r="558" customFormat="false" ht="15.75" hidden="false" customHeight="false" outlineLevel="0" collapsed="false">
      <c r="A558" s="130" t="str">
        <f aca="false">IF(ISBLANK(B558),"",B558&amp;"|"&amp;C558)</f>
        <v/>
      </c>
      <c r="B558" s="130"/>
      <c r="C558" s="130"/>
      <c r="D558" s="130"/>
      <c r="E558" s="136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</row>
    <row r="559" customFormat="false" ht="15.75" hidden="false" customHeight="false" outlineLevel="0" collapsed="false">
      <c r="A559" s="130" t="str">
        <f aca="false">IF(ISBLANK(B559),"",B559&amp;"|"&amp;C559)</f>
        <v/>
      </c>
      <c r="B559" s="130"/>
      <c r="C559" s="130"/>
      <c r="D559" s="130"/>
      <c r="E559" s="136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</row>
    <row r="560" customFormat="false" ht="15.75" hidden="false" customHeight="false" outlineLevel="0" collapsed="false">
      <c r="A560" s="130" t="str">
        <f aca="false">IF(ISBLANK(B560),"",B560&amp;"|"&amp;C560)</f>
        <v/>
      </c>
      <c r="B560" s="130"/>
      <c r="C560" s="130"/>
      <c r="D560" s="130"/>
      <c r="E560" s="136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</row>
    <row r="561" customFormat="false" ht="15.75" hidden="false" customHeight="false" outlineLevel="0" collapsed="false">
      <c r="A561" s="130" t="str">
        <f aca="false">IF(ISBLANK(B561),"",B561&amp;"|"&amp;C561)</f>
        <v/>
      </c>
      <c r="B561" s="130"/>
      <c r="C561" s="130"/>
      <c r="D561" s="130"/>
      <c r="E561" s="136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</row>
    <row r="562" customFormat="false" ht="15.75" hidden="false" customHeight="false" outlineLevel="0" collapsed="false">
      <c r="A562" s="130" t="str">
        <f aca="false">IF(ISBLANK(B562),"",B562&amp;"|"&amp;C562)</f>
        <v/>
      </c>
      <c r="B562" s="130"/>
      <c r="C562" s="130"/>
      <c r="D562" s="130"/>
      <c r="E562" s="136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</row>
    <row r="563" customFormat="false" ht="15.75" hidden="false" customHeight="false" outlineLevel="0" collapsed="false">
      <c r="A563" s="130" t="str">
        <f aca="false">IF(ISBLANK(B563),"",B563&amp;"|"&amp;C563)</f>
        <v/>
      </c>
      <c r="B563" s="130"/>
      <c r="C563" s="130"/>
      <c r="D563" s="130"/>
      <c r="E563" s="136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</row>
    <row r="564" customFormat="false" ht="15.75" hidden="false" customHeight="false" outlineLevel="0" collapsed="false">
      <c r="A564" s="130" t="str">
        <f aca="false">IF(ISBLANK(B564),"",B564&amp;"|"&amp;C564)</f>
        <v/>
      </c>
      <c r="B564" s="130"/>
      <c r="C564" s="130"/>
      <c r="D564" s="130"/>
      <c r="E564" s="136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</row>
    <row r="565" customFormat="false" ht="15.75" hidden="false" customHeight="false" outlineLevel="0" collapsed="false">
      <c r="A565" s="130" t="str">
        <f aca="false">IF(ISBLANK(B565),"",B565&amp;"|"&amp;C565)</f>
        <v/>
      </c>
      <c r="B565" s="130"/>
      <c r="C565" s="130"/>
      <c r="D565" s="130"/>
      <c r="E565" s="136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</row>
    <row r="566" customFormat="false" ht="15.75" hidden="false" customHeight="false" outlineLevel="0" collapsed="false">
      <c r="A566" s="130" t="str">
        <f aca="false">IF(ISBLANK(B566),"",B566&amp;"|"&amp;C566)</f>
        <v/>
      </c>
      <c r="B566" s="130"/>
      <c r="C566" s="130"/>
      <c r="D566" s="130"/>
      <c r="E566" s="136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</row>
    <row r="567" customFormat="false" ht="15.75" hidden="false" customHeight="false" outlineLevel="0" collapsed="false">
      <c r="A567" s="130" t="str">
        <f aca="false">IF(ISBLANK(B567),"",B567&amp;"|"&amp;C567)</f>
        <v/>
      </c>
      <c r="B567" s="130"/>
      <c r="C567" s="130"/>
      <c r="D567" s="130"/>
      <c r="E567" s="136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</row>
    <row r="568" customFormat="false" ht="15.75" hidden="false" customHeight="false" outlineLevel="0" collapsed="false">
      <c r="A568" s="130" t="str">
        <f aca="false">IF(ISBLANK(B568),"",B568&amp;"|"&amp;C568)</f>
        <v/>
      </c>
      <c r="B568" s="130"/>
      <c r="C568" s="130"/>
      <c r="D568" s="130"/>
      <c r="E568" s="136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</row>
    <row r="569" customFormat="false" ht="15.75" hidden="false" customHeight="false" outlineLevel="0" collapsed="false">
      <c r="A569" s="130" t="str">
        <f aca="false">IF(ISBLANK(B569),"",B569&amp;"|"&amp;C569)</f>
        <v/>
      </c>
      <c r="B569" s="130"/>
      <c r="C569" s="130"/>
      <c r="D569" s="130"/>
      <c r="E569" s="136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</row>
    <row r="570" customFormat="false" ht="15.75" hidden="false" customHeight="false" outlineLevel="0" collapsed="false">
      <c r="A570" s="130" t="str">
        <f aca="false">IF(ISBLANK(B570),"",B570&amp;"|"&amp;C570)</f>
        <v/>
      </c>
      <c r="B570" s="130"/>
      <c r="C570" s="130"/>
      <c r="D570" s="130"/>
      <c r="E570" s="136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</row>
    <row r="571" customFormat="false" ht="15.75" hidden="false" customHeight="false" outlineLevel="0" collapsed="false">
      <c r="A571" s="130" t="str">
        <f aca="false">IF(ISBLANK(B571),"",B571&amp;"|"&amp;C571)</f>
        <v/>
      </c>
      <c r="B571" s="130"/>
      <c r="C571" s="130"/>
      <c r="D571" s="130"/>
      <c r="E571" s="136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</row>
    <row r="572" customFormat="false" ht="15.75" hidden="false" customHeight="false" outlineLevel="0" collapsed="false">
      <c r="A572" s="130" t="str">
        <f aca="false">IF(ISBLANK(B572),"",B572&amp;"|"&amp;C572)</f>
        <v/>
      </c>
      <c r="B572" s="130"/>
      <c r="C572" s="130"/>
      <c r="D572" s="130"/>
      <c r="E572" s="136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</row>
    <row r="573" customFormat="false" ht="15.75" hidden="false" customHeight="false" outlineLevel="0" collapsed="false">
      <c r="A573" s="130" t="str">
        <f aca="false">IF(ISBLANK(B573),"",B573&amp;"|"&amp;C573)</f>
        <v/>
      </c>
      <c r="B573" s="130"/>
      <c r="C573" s="130"/>
      <c r="D573" s="130"/>
      <c r="E573" s="136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</row>
    <row r="574" customFormat="false" ht="15.75" hidden="false" customHeight="false" outlineLevel="0" collapsed="false">
      <c r="A574" s="130" t="str">
        <f aca="false">IF(ISBLANK(B574),"",B574&amp;"|"&amp;C574)</f>
        <v/>
      </c>
      <c r="B574" s="130"/>
      <c r="C574" s="130"/>
      <c r="D574" s="130"/>
      <c r="E574" s="136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</row>
    <row r="575" customFormat="false" ht="15.75" hidden="false" customHeight="false" outlineLevel="0" collapsed="false">
      <c r="A575" s="130" t="str">
        <f aca="false">IF(ISBLANK(B575),"",B575&amp;"|"&amp;C575)</f>
        <v/>
      </c>
      <c r="B575" s="130"/>
      <c r="C575" s="130"/>
      <c r="D575" s="130"/>
      <c r="E575" s="136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</row>
    <row r="576" customFormat="false" ht="15.75" hidden="false" customHeight="false" outlineLevel="0" collapsed="false">
      <c r="A576" s="130" t="str">
        <f aca="false">IF(ISBLANK(B576),"",B576&amp;"|"&amp;C576)</f>
        <v/>
      </c>
      <c r="B576" s="130"/>
      <c r="C576" s="130"/>
      <c r="D576" s="130"/>
      <c r="E576" s="136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</row>
    <row r="577" customFormat="false" ht="15.75" hidden="false" customHeight="false" outlineLevel="0" collapsed="false">
      <c r="A577" s="130" t="str">
        <f aca="false">IF(ISBLANK(B577),"",B577&amp;"|"&amp;C577)</f>
        <v/>
      </c>
      <c r="B577" s="130"/>
      <c r="C577" s="130"/>
      <c r="D577" s="130"/>
      <c r="E577" s="136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</row>
    <row r="578" customFormat="false" ht="15.75" hidden="false" customHeight="false" outlineLevel="0" collapsed="false">
      <c r="A578" s="130" t="str">
        <f aca="false">IF(ISBLANK(B578),"",B578&amp;"|"&amp;C578)</f>
        <v/>
      </c>
      <c r="B578" s="130"/>
      <c r="C578" s="130"/>
      <c r="D578" s="130"/>
      <c r="E578" s="136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</row>
    <row r="579" customFormat="false" ht="15.75" hidden="false" customHeight="false" outlineLevel="0" collapsed="false">
      <c r="A579" s="130" t="str">
        <f aca="false">IF(ISBLANK(B579),"",B579&amp;"|"&amp;C579)</f>
        <v/>
      </c>
      <c r="B579" s="130"/>
      <c r="C579" s="130"/>
      <c r="D579" s="130"/>
      <c r="E579" s="136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</row>
    <row r="580" customFormat="false" ht="15.75" hidden="false" customHeight="false" outlineLevel="0" collapsed="false">
      <c r="A580" s="130" t="str">
        <f aca="false">IF(ISBLANK(B580),"",B580&amp;"|"&amp;C580)</f>
        <v/>
      </c>
      <c r="B580" s="130"/>
      <c r="C580" s="130"/>
      <c r="D580" s="130"/>
      <c r="E580" s="136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</row>
    <row r="581" customFormat="false" ht="15.75" hidden="false" customHeight="false" outlineLevel="0" collapsed="false">
      <c r="A581" s="130" t="str">
        <f aca="false">IF(ISBLANK(B581),"",B581&amp;"|"&amp;C581)</f>
        <v/>
      </c>
      <c r="B581" s="130"/>
      <c r="C581" s="130"/>
      <c r="D581" s="130"/>
      <c r="E581" s="136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</row>
    <row r="582" customFormat="false" ht="15.75" hidden="false" customHeight="false" outlineLevel="0" collapsed="false">
      <c r="A582" s="130" t="str">
        <f aca="false">IF(ISBLANK(B582),"",B582&amp;"|"&amp;C582)</f>
        <v/>
      </c>
      <c r="B582" s="130"/>
      <c r="C582" s="130"/>
      <c r="D582" s="130"/>
      <c r="E582" s="136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</row>
    <row r="583" customFormat="false" ht="15.75" hidden="false" customHeight="false" outlineLevel="0" collapsed="false">
      <c r="A583" s="130" t="str">
        <f aca="false">IF(ISBLANK(B583),"",B583&amp;"|"&amp;C583)</f>
        <v/>
      </c>
      <c r="B583" s="130"/>
      <c r="C583" s="130"/>
      <c r="D583" s="130"/>
      <c r="E583" s="136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</row>
    <row r="584" customFormat="false" ht="15.75" hidden="false" customHeight="false" outlineLevel="0" collapsed="false">
      <c r="A584" s="130" t="str">
        <f aca="false">IF(ISBLANK(B584),"",B584&amp;"|"&amp;C584)</f>
        <v/>
      </c>
      <c r="B584" s="130"/>
      <c r="C584" s="130"/>
      <c r="D584" s="130"/>
      <c r="E584" s="136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</row>
    <row r="585" customFormat="false" ht="15.75" hidden="false" customHeight="false" outlineLevel="0" collapsed="false">
      <c r="A585" s="130" t="str">
        <f aca="false">IF(ISBLANK(B585),"",B585&amp;"|"&amp;C585)</f>
        <v/>
      </c>
      <c r="B585" s="130"/>
      <c r="C585" s="130"/>
      <c r="D585" s="130"/>
      <c r="E585" s="136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</row>
    <row r="586" customFormat="false" ht="15.75" hidden="false" customHeight="false" outlineLevel="0" collapsed="false">
      <c r="A586" s="130" t="str">
        <f aca="false">IF(ISBLANK(B586),"",B586&amp;"|"&amp;C586)</f>
        <v/>
      </c>
      <c r="B586" s="130"/>
      <c r="C586" s="130"/>
      <c r="D586" s="130"/>
      <c r="E586" s="136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</row>
    <row r="587" customFormat="false" ht="15.75" hidden="false" customHeight="false" outlineLevel="0" collapsed="false">
      <c r="A587" s="130" t="str">
        <f aca="false">IF(ISBLANK(B587),"",B587&amp;"|"&amp;C587)</f>
        <v/>
      </c>
      <c r="B587" s="130"/>
      <c r="C587" s="130"/>
      <c r="D587" s="130"/>
      <c r="E587" s="136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</row>
    <row r="588" customFormat="false" ht="15.75" hidden="false" customHeight="false" outlineLevel="0" collapsed="false">
      <c r="A588" s="130" t="str">
        <f aca="false">IF(ISBLANK(B588),"",B588&amp;"|"&amp;C588)</f>
        <v/>
      </c>
      <c r="B588" s="130"/>
      <c r="C588" s="130"/>
      <c r="D588" s="130"/>
      <c r="E588" s="136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</row>
    <row r="589" customFormat="false" ht="15.75" hidden="false" customHeight="false" outlineLevel="0" collapsed="false">
      <c r="A589" s="130" t="str">
        <f aca="false">IF(ISBLANK(B589),"",B589&amp;"|"&amp;C589)</f>
        <v/>
      </c>
      <c r="B589" s="130"/>
      <c r="C589" s="130"/>
      <c r="D589" s="130"/>
      <c r="E589" s="136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</row>
    <row r="590" customFormat="false" ht="15.75" hidden="false" customHeight="false" outlineLevel="0" collapsed="false">
      <c r="A590" s="130" t="str">
        <f aca="false">IF(ISBLANK(B590),"",B590&amp;"|"&amp;C590)</f>
        <v/>
      </c>
      <c r="B590" s="130"/>
      <c r="C590" s="130"/>
      <c r="D590" s="130"/>
      <c r="E590" s="136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</row>
    <row r="591" customFormat="false" ht="15.75" hidden="false" customHeight="false" outlineLevel="0" collapsed="false">
      <c r="A591" s="130" t="str">
        <f aca="false">IF(ISBLANK(B591),"",B591&amp;"|"&amp;C591)</f>
        <v/>
      </c>
      <c r="B591" s="130"/>
      <c r="C591" s="130"/>
      <c r="D591" s="130"/>
      <c r="E591" s="136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</row>
    <row r="592" customFormat="false" ht="15.75" hidden="false" customHeight="false" outlineLevel="0" collapsed="false">
      <c r="A592" s="130" t="str">
        <f aca="false">IF(ISBLANK(B592),"",B592&amp;"|"&amp;C592)</f>
        <v/>
      </c>
      <c r="B592" s="130"/>
      <c r="C592" s="130"/>
      <c r="D592" s="130"/>
      <c r="E592" s="136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</row>
    <row r="593" customFormat="false" ht="15.75" hidden="false" customHeight="false" outlineLevel="0" collapsed="false">
      <c r="A593" s="130" t="str">
        <f aca="false">IF(ISBLANK(B593),"",B593&amp;"|"&amp;C593)</f>
        <v/>
      </c>
      <c r="B593" s="130"/>
      <c r="C593" s="130"/>
      <c r="D593" s="130"/>
      <c r="E593" s="136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</row>
    <row r="594" customFormat="false" ht="15.75" hidden="false" customHeight="false" outlineLevel="0" collapsed="false">
      <c r="A594" s="130" t="str">
        <f aca="false">IF(ISBLANK(B594),"",B594&amp;"|"&amp;C594)</f>
        <v/>
      </c>
      <c r="B594" s="130"/>
      <c r="C594" s="130"/>
      <c r="D594" s="130"/>
      <c r="E594" s="136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</row>
    <row r="595" customFormat="false" ht="15.75" hidden="false" customHeight="false" outlineLevel="0" collapsed="false">
      <c r="A595" s="130" t="str">
        <f aca="false">IF(ISBLANK(B595),"",B595&amp;"|"&amp;C595)</f>
        <v/>
      </c>
      <c r="B595" s="130"/>
      <c r="C595" s="130"/>
      <c r="D595" s="130"/>
      <c r="E595" s="136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</row>
    <row r="596" customFormat="false" ht="15.75" hidden="false" customHeight="false" outlineLevel="0" collapsed="false">
      <c r="A596" s="130" t="str">
        <f aca="false">IF(ISBLANK(B596),"",B596&amp;"|"&amp;C596)</f>
        <v/>
      </c>
      <c r="B596" s="130"/>
      <c r="C596" s="130"/>
      <c r="D596" s="130"/>
      <c r="E596" s="136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</row>
    <row r="597" customFormat="false" ht="15.75" hidden="false" customHeight="false" outlineLevel="0" collapsed="false">
      <c r="A597" s="130" t="str">
        <f aca="false">IF(ISBLANK(B597),"",B597&amp;"|"&amp;C597)</f>
        <v/>
      </c>
      <c r="B597" s="130"/>
      <c r="C597" s="130"/>
      <c r="D597" s="130"/>
      <c r="E597" s="136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</row>
    <row r="598" customFormat="false" ht="15.75" hidden="false" customHeight="false" outlineLevel="0" collapsed="false">
      <c r="A598" s="130" t="str">
        <f aca="false">IF(ISBLANK(B598),"",B598&amp;"|"&amp;C598)</f>
        <v/>
      </c>
      <c r="B598" s="130"/>
      <c r="C598" s="130"/>
      <c r="D598" s="130"/>
      <c r="E598" s="136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</row>
    <row r="599" customFormat="false" ht="15.75" hidden="false" customHeight="false" outlineLevel="0" collapsed="false">
      <c r="A599" s="130" t="str">
        <f aca="false">IF(ISBLANK(B599),"",B599&amp;"|"&amp;C599)</f>
        <v/>
      </c>
      <c r="B599" s="130"/>
      <c r="C599" s="130"/>
      <c r="D599" s="130"/>
      <c r="E599" s="136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</row>
    <row r="600" customFormat="false" ht="15.75" hidden="false" customHeight="false" outlineLevel="0" collapsed="false">
      <c r="A600" s="130" t="str">
        <f aca="false">IF(ISBLANK(B600),"",B600&amp;"|"&amp;C600)</f>
        <v/>
      </c>
      <c r="B600" s="130"/>
      <c r="C600" s="130"/>
      <c r="D600" s="130"/>
      <c r="E600" s="136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</row>
    <row r="601" customFormat="false" ht="15.75" hidden="false" customHeight="false" outlineLevel="0" collapsed="false">
      <c r="A601" s="130" t="str">
        <f aca="false">IF(ISBLANK(B601),"",B601&amp;"|"&amp;C601)</f>
        <v/>
      </c>
      <c r="B601" s="130"/>
      <c r="C601" s="130"/>
      <c r="D601" s="130"/>
      <c r="E601" s="136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</row>
    <row r="602" customFormat="false" ht="15.75" hidden="false" customHeight="false" outlineLevel="0" collapsed="false">
      <c r="A602" s="130" t="str">
        <f aca="false">IF(ISBLANK(B602),"",B602&amp;"|"&amp;C602)</f>
        <v/>
      </c>
      <c r="B602" s="130"/>
      <c r="C602" s="130"/>
      <c r="D602" s="130"/>
      <c r="E602" s="136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</row>
    <row r="603" customFormat="false" ht="15.75" hidden="false" customHeight="false" outlineLevel="0" collapsed="false">
      <c r="A603" s="130" t="str">
        <f aca="false">IF(ISBLANK(B603),"",B603&amp;"|"&amp;C603)</f>
        <v/>
      </c>
      <c r="B603" s="130"/>
      <c r="C603" s="130"/>
      <c r="D603" s="130"/>
      <c r="E603" s="136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</row>
    <row r="604" customFormat="false" ht="15.75" hidden="false" customHeight="false" outlineLevel="0" collapsed="false">
      <c r="A604" s="130" t="str">
        <f aca="false">IF(ISBLANK(B604),"",B604&amp;"|"&amp;C604)</f>
        <v/>
      </c>
      <c r="B604" s="130"/>
      <c r="C604" s="130"/>
      <c r="D604" s="130"/>
      <c r="E604" s="136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</row>
    <row r="605" customFormat="false" ht="15.75" hidden="false" customHeight="false" outlineLevel="0" collapsed="false">
      <c r="A605" s="130" t="str">
        <f aca="false">IF(ISBLANK(B605),"",B605&amp;"|"&amp;C605)</f>
        <v/>
      </c>
      <c r="B605" s="130"/>
      <c r="C605" s="130"/>
      <c r="D605" s="130"/>
      <c r="E605" s="136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</row>
    <row r="606" customFormat="false" ht="15.75" hidden="false" customHeight="false" outlineLevel="0" collapsed="false">
      <c r="A606" s="130" t="str">
        <f aca="false">IF(ISBLANK(B606),"",B606&amp;"|"&amp;C606)</f>
        <v/>
      </c>
      <c r="B606" s="130"/>
      <c r="C606" s="130"/>
      <c r="D606" s="130"/>
      <c r="E606" s="136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</row>
    <row r="607" customFormat="false" ht="15.75" hidden="false" customHeight="false" outlineLevel="0" collapsed="false">
      <c r="A607" s="130" t="str">
        <f aca="false">IF(ISBLANK(B607),"",B607&amp;"|"&amp;C607)</f>
        <v/>
      </c>
      <c r="B607" s="130"/>
      <c r="C607" s="130"/>
      <c r="D607" s="130"/>
      <c r="E607" s="136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</row>
    <row r="608" customFormat="false" ht="15.75" hidden="false" customHeight="false" outlineLevel="0" collapsed="false">
      <c r="A608" s="130" t="str">
        <f aca="false">IF(ISBLANK(B608),"",B608&amp;"|"&amp;C608)</f>
        <v/>
      </c>
      <c r="B608" s="130"/>
      <c r="C608" s="130"/>
      <c r="D608" s="130"/>
      <c r="E608" s="136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</row>
    <row r="609" customFormat="false" ht="15.75" hidden="false" customHeight="false" outlineLevel="0" collapsed="false">
      <c r="A609" s="130" t="str">
        <f aca="false">IF(ISBLANK(B609),"",B609&amp;"|"&amp;C609)</f>
        <v/>
      </c>
      <c r="B609" s="130"/>
      <c r="C609" s="130"/>
      <c r="D609" s="130"/>
      <c r="E609" s="136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</row>
    <row r="610" customFormat="false" ht="15.75" hidden="false" customHeight="false" outlineLevel="0" collapsed="false">
      <c r="A610" s="130" t="str">
        <f aca="false">IF(ISBLANK(B610),"",B610&amp;"|"&amp;C610)</f>
        <v/>
      </c>
      <c r="B610" s="130"/>
      <c r="C610" s="130"/>
      <c r="D610" s="130"/>
      <c r="E610" s="136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</row>
    <row r="611" customFormat="false" ht="15.75" hidden="false" customHeight="false" outlineLevel="0" collapsed="false">
      <c r="A611" s="130" t="str">
        <f aca="false">IF(ISBLANK(B611),"",B611&amp;"|"&amp;C611)</f>
        <v/>
      </c>
      <c r="B611" s="130"/>
      <c r="C611" s="130"/>
      <c r="D611" s="130"/>
      <c r="E611" s="136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</row>
    <row r="612" customFormat="false" ht="15.75" hidden="false" customHeight="false" outlineLevel="0" collapsed="false">
      <c r="A612" s="130" t="str">
        <f aca="false">IF(ISBLANK(B612),"",B612&amp;"|"&amp;C612)</f>
        <v/>
      </c>
      <c r="B612" s="130"/>
      <c r="C612" s="130"/>
      <c r="D612" s="130"/>
      <c r="E612" s="136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</row>
    <row r="613" customFormat="false" ht="15.75" hidden="false" customHeight="false" outlineLevel="0" collapsed="false">
      <c r="A613" s="130" t="str">
        <f aca="false">IF(ISBLANK(B613),"",B613&amp;"|"&amp;C613)</f>
        <v/>
      </c>
      <c r="B613" s="130"/>
      <c r="C613" s="130"/>
      <c r="D613" s="130"/>
      <c r="E613" s="136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</row>
    <row r="614" customFormat="false" ht="15.75" hidden="false" customHeight="false" outlineLevel="0" collapsed="false">
      <c r="A614" s="130" t="str">
        <f aca="false">IF(ISBLANK(B614),"",B614&amp;"|"&amp;C614)</f>
        <v/>
      </c>
      <c r="B614" s="130"/>
      <c r="C614" s="130"/>
      <c r="D614" s="130"/>
      <c r="E614" s="136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</row>
    <row r="615" customFormat="false" ht="15.75" hidden="false" customHeight="false" outlineLevel="0" collapsed="false">
      <c r="A615" s="130" t="str">
        <f aca="false">IF(ISBLANK(B615),"",B615&amp;"|"&amp;C615)</f>
        <v/>
      </c>
      <c r="B615" s="130"/>
      <c r="C615" s="130"/>
      <c r="D615" s="130"/>
      <c r="E615" s="136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</row>
    <row r="616" customFormat="false" ht="15.75" hidden="false" customHeight="false" outlineLevel="0" collapsed="false">
      <c r="A616" s="130" t="str">
        <f aca="false">IF(ISBLANK(B616),"",B616&amp;"|"&amp;C616)</f>
        <v/>
      </c>
      <c r="B616" s="130"/>
      <c r="C616" s="130"/>
      <c r="D616" s="130"/>
      <c r="E616" s="136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</row>
    <row r="617" customFormat="false" ht="15.75" hidden="false" customHeight="false" outlineLevel="0" collapsed="false">
      <c r="A617" s="130" t="str">
        <f aca="false">IF(ISBLANK(B617),"",B617&amp;"|"&amp;C617)</f>
        <v/>
      </c>
      <c r="B617" s="130"/>
      <c r="C617" s="130"/>
      <c r="D617" s="130"/>
      <c r="E617" s="136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</row>
    <row r="618" customFormat="false" ht="15.75" hidden="false" customHeight="false" outlineLevel="0" collapsed="false">
      <c r="A618" s="130" t="str">
        <f aca="false">IF(ISBLANK(B618),"",B618&amp;"|"&amp;C618)</f>
        <v/>
      </c>
      <c r="B618" s="130"/>
      <c r="C618" s="130"/>
      <c r="D618" s="130"/>
      <c r="E618" s="136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</row>
    <row r="619" customFormat="false" ht="15.75" hidden="false" customHeight="false" outlineLevel="0" collapsed="false">
      <c r="A619" s="130" t="str">
        <f aca="false">IF(ISBLANK(B619),"",B619&amp;"|"&amp;C619)</f>
        <v/>
      </c>
      <c r="B619" s="130"/>
      <c r="C619" s="130"/>
      <c r="D619" s="130"/>
      <c r="E619" s="136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</row>
    <row r="620" customFormat="false" ht="15.75" hidden="false" customHeight="false" outlineLevel="0" collapsed="false">
      <c r="A620" s="130" t="str">
        <f aca="false">IF(ISBLANK(B620),"",B620&amp;"|"&amp;C620)</f>
        <v/>
      </c>
      <c r="B620" s="130"/>
      <c r="C620" s="130"/>
      <c r="D620" s="130"/>
      <c r="E620" s="136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</row>
    <row r="621" customFormat="false" ht="15.75" hidden="false" customHeight="false" outlineLevel="0" collapsed="false">
      <c r="A621" s="130" t="str">
        <f aca="false">IF(ISBLANK(B621),"",B621&amp;"|"&amp;C621)</f>
        <v/>
      </c>
      <c r="B621" s="130"/>
      <c r="C621" s="130"/>
      <c r="D621" s="130"/>
      <c r="E621" s="136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</row>
    <row r="622" customFormat="false" ht="15.75" hidden="false" customHeight="false" outlineLevel="0" collapsed="false">
      <c r="A622" s="130" t="str">
        <f aca="false">IF(ISBLANK(B622),"",B622&amp;"|"&amp;C622)</f>
        <v/>
      </c>
      <c r="B622" s="130"/>
      <c r="C622" s="130"/>
      <c r="D622" s="130"/>
      <c r="E622" s="136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</row>
    <row r="623" customFormat="false" ht="15.75" hidden="false" customHeight="false" outlineLevel="0" collapsed="false">
      <c r="A623" s="130" t="str">
        <f aca="false">IF(ISBLANK(B623),"",B623&amp;"|"&amp;C623)</f>
        <v/>
      </c>
      <c r="B623" s="130"/>
      <c r="C623" s="130"/>
      <c r="D623" s="130"/>
      <c r="E623" s="136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</row>
    <row r="624" customFormat="false" ht="15.75" hidden="false" customHeight="false" outlineLevel="0" collapsed="false">
      <c r="A624" s="130" t="str">
        <f aca="false">IF(ISBLANK(B624),"",B624&amp;"|"&amp;C624)</f>
        <v/>
      </c>
      <c r="B624" s="130"/>
      <c r="C624" s="130"/>
      <c r="D624" s="130"/>
      <c r="E624" s="136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</row>
    <row r="625" customFormat="false" ht="15.75" hidden="false" customHeight="false" outlineLevel="0" collapsed="false">
      <c r="A625" s="130" t="str">
        <f aca="false">IF(ISBLANK(B625),"",B625&amp;"|"&amp;C625)</f>
        <v/>
      </c>
      <c r="B625" s="130"/>
      <c r="C625" s="130"/>
      <c r="D625" s="130"/>
      <c r="E625" s="136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</row>
    <row r="626" customFormat="false" ht="15.75" hidden="false" customHeight="false" outlineLevel="0" collapsed="false">
      <c r="A626" s="130" t="str">
        <f aca="false">IF(ISBLANK(B626),"",B626&amp;"|"&amp;C626)</f>
        <v/>
      </c>
      <c r="B626" s="130"/>
      <c r="C626" s="130"/>
      <c r="D626" s="130"/>
      <c r="E626" s="136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</row>
    <row r="627" customFormat="false" ht="15.75" hidden="false" customHeight="false" outlineLevel="0" collapsed="false">
      <c r="A627" s="130" t="str">
        <f aca="false">IF(ISBLANK(B627),"",B627&amp;"|"&amp;C627)</f>
        <v/>
      </c>
      <c r="B627" s="130"/>
      <c r="C627" s="130"/>
      <c r="D627" s="130"/>
      <c r="E627" s="136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</row>
    <row r="628" customFormat="false" ht="15.75" hidden="false" customHeight="false" outlineLevel="0" collapsed="false">
      <c r="A628" s="130" t="str">
        <f aca="false">IF(ISBLANK(B628),"",B628&amp;"|"&amp;C628)</f>
        <v/>
      </c>
      <c r="B628" s="130"/>
      <c r="C628" s="130"/>
      <c r="D628" s="130"/>
      <c r="E628" s="136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</row>
    <row r="629" customFormat="false" ht="15.75" hidden="false" customHeight="false" outlineLevel="0" collapsed="false">
      <c r="A629" s="130" t="str">
        <f aca="false">IF(ISBLANK(B629),"",B629&amp;"|"&amp;C629)</f>
        <v/>
      </c>
      <c r="B629" s="130"/>
      <c r="C629" s="130"/>
      <c r="D629" s="130"/>
      <c r="E629" s="136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</row>
    <row r="630" customFormat="false" ht="15.75" hidden="false" customHeight="false" outlineLevel="0" collapsed="false">
      <c r="A630" s="130" t="str">
        <f aca="false">IF(ISBLANK(B630),"",B630&amp;"|"&amp;C630)</f>
        <v/>
      </c>
      <c r="B630" s="130"/>
      <c r="C630" s="130"/>
      <c r="D630" s="130"/>
      <c r="E630" s="136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</row>
    <row r="631" customFormat="false" ht="15.75" hidden="false" customHeight="false" outlineLevel="0" collapsed="false">
      <c r="A631" s="130" t="str">
        <f aca="false">IF(ISBLANK(B631),"",B631&amp;"|"&amp;C631)</f>
        <v/>
      </c>
      <c r="B631" s="130"/>
      <c r="C631" s="130"/>
      <c r="D631" s="130"/>
      <c r="E631" s="136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</row>
    <row r="632" customFormat="false" ht="15.75" hidden="false" customHeight="false" outlineLevel="0" collapsed="false">
      <c r="A632" s="130" t="str">
        <f aca="false">IF(ISBLANK(B632),"",B632&amp;"|"&amp;C632)</f>
        <v/>
      </c>
      <c r="B632" s="130"/>
      <c r="C632" s="130"/>
      <c r="D632" s="130"/>
      <c r="E632" s="136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</row>
    <row r="633" customFormat="false" ht="15.75" hidden="false" customHeight="false" outlineLevel="0" collapsed="false">
      <c r="A633" s="130" t="str">
        <f aca="false">IF(ISBLANK(B633),"",B633&amp;"|"&amp;C633)</f>
        <v/>
      </c>
      <c r="B633" s="130"/>
      <c r="C633" s="130"/>
      <c r="D633" s="130"/>
      <c r="E633" s="136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</row>
    <row r="634" customFormat="false" ht="15.75" hidden="false" customHeight="false" outlineLevel="0" collapsed="false">
      <c r="A634" s="130" t="str">
        <f aca="false">IF(ISBLANK(B634),"",B634&amp;"|"&amp;C634)</f>
        <v/>
      </c>
      <c r="B634" s="130"/>
      <c r="C634" s="130"/>
      <c r="D634" s="130"/>
      <c r="E634" s="136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</row>
    <row r="635" customFormat="false" ht="15.75" hidden="false" customHeight="false" outlineLevel="0" collapsed="false">
      <c r="A635" s="130" t="str">
        <f aca="false">IF(ISBLANK(B635),"",B635&amp;"|"&amp;C635)</f>
        <v/>
      </c>
      <c r="B635" s="130"/>
      <c r="C635" s="130"/>
      <c r="D635" s="130"/>
      <c r="E635" s="136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</row>
    <row r="636" customFormat="false" ht="15.75" hidden="false" customHeight="false" outlineLevel="0" collapsed="false">
      <c r="A636" s="130" t="str">
        <f aca="false">IF(ISBLANK(B636),"",B636&amp;"|"&amp;C636)</f>
        <v/>
      </c>
      <c r="B636" s="130"/>
      <c r="C636" s="130"/>
      <c r="D636" s="130"/>
      <c r="E636" s="136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</row>
    <row r="637" customFormat="false" ht="15.75" hidden="false" customHeight="false" outlineLevel="0" collapsed="false">
      <c r="A637" s="130" t="str">
        <f aca="false">IF(ISBLANK(B637),"",B637&amp;"|"&amp;C637)</f>
        <v/>
      </c>
      <c r="B637" s="130"/>
      <c r="C637" s="130"/>
      <c r="D637" s="130"/>
      <c r="E637" s="136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</row>
    <row r="638" customFormat="false" ht="15.75" hidden="false" customHeight="false" outlineLevel="0" collapsed="false">
      <c r="A638" s="130" t="str">
        <f aca="false">IF(ISBLANK(B638),"",B638&amp;"|"&amp;C638)</f>
        <v/>
      </c>
      <c r="B638" s="130"/>
      <c r="C638" s="130"/>
      <c r="D638" s="130"/>
      <c r="E638" s="136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</row>
    <row r="639" customFormat="false" ht="15.75" hidden="false" customHeight="false" outlineLevel="0" collapsed="false">
      <c r="A639" s="130" t="str">
        <f aca="false">IF(ISBLANK(B639),"",B639&amp;"|"&amp;C639)</f>
        <v/>
      </c>
      <c r="B639" s="130"/>
      <c r="C639" s="130"/>
      <c r="D639" s="130"/>
      <c r="E639" s="136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</row>
    <row r="640" customFormat="false" ht="15.75" hidden="false" customHeight="false" outlineLevel="0" collapsed="false">
      <c r="A640" s="130" t="str">
        <f aca="false">IF(ISBLANK(B640),"",B640&amp;"|"&amp;C640)</f>
        <v/>
      </c>
      <c r="B640" s="130"/>
      <c r="C640" s="130"/>
      <c r="D640" s="130"/>
      <c r="E640" s="136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</row>
    <row r="641" customFormat="false" ht="15.75" hidden="false" customHeight="false" outlineLevel="0" collapsed="false">
      <c r="A641" s="130" t="str">
        <f aca="false">IF(ISBLANK(B641),"",B641&amp;"|"&amp;C641)</f>
        <v/>
      </c>
      <c r="B641" s="130"/>
      <c r="C641" s="130"/>
      <c r="D641" s="130"/>
      <c r="E641" s="136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</row>
    <row r="642" customFormat="false" ht="15.75" hidden="false" customHeight="false" outlineLevel="0" collapsed="false">
      <c r="A642" s="130" t="str">
        <f aca="false">IF(ISBLANK(B642),"",B642&amp;"|"&amp;C642)</f>
        <v/>
      </c>
      <c r="B642" s="130"/>
      <c r="C642" s="130"/>
      <c r="D642" s="130"/>
      <c r="E642" s="136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</row>
    <row r="643" customFormat="false" ht="15.75" hidden="false" customHeight="false" outlineLevel="0" collapsed="false">
      <c r="A643" s="130" t="str">
        <f aca="false">IF(ISBLANK(B643),"",B643&amp;"|"&amp;C643)</f>
        <v/>
      </c>
      <c r="B643" s="130"/>
      <c r="C643" s="130"/>
      <c r="D643" s="130"/>
      <c r="E643" s="136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</row>
    <row r="644" customFormat="false" ht="15.75" hidden="false" customHeight="false" outlineLevel="0" collapsed="false">
      <c r="A644" s="130" t="str">
        <f aca="false">IF(ISBLANK(B644),"",B644&amp;"|"&amp;C644)</f>
        <v/>
      </c>
      <c r="B644" s="130"/>
      <c r="C644" s="130"/>
      <c r="D644" s="130"/>
      <c r="E644" s="136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</row>
    <row r="645" customFormat="false" ht="15.75" hidden="false" customHeight="false" outlineLevel="0" collapsed="false">
      <c r="A645" s="130" t="str">
        <f aca="false">IF(ISBLANK(B645),"",B645&amp;"|"&amp;C645)</f>
        <v/>
      </c>
      <c r="B645" s="130"/>
      <c r="C645" s="130"/>
      <c r="D645" s="130"/>
      <c r="E645" s="136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</row>
    <row r="646" customFormat="false" ht="15.75" hidden="false" customHeight="false" outlineLevel="0" collapsed="false">
      <c r="A646" s="130" t="str">
        <f aca="false">IF(ISBLANK(B646),"",B646&amp;"|"&amp;C646)</f>
        <v/>
      </c>
      <c r="B646" s="130"/>
      <c r="C646" s="130"/>
      <c r="D646" s="130"/>
      <c r="E646" s="136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</row>
    <row r="647" customFormat="false" ht="15.75" hidden="false" customHeight="false" outlineLevel="0" collapsed="false">
      <c r="A647" s="130" t="str">
        <f aca="false">IF(ISBLANK(B647),"",B647&amp;"|"&amp;C647)</f>
        <v/>
      </c>
      <c r="B647" s="130"/>
      <c r="C647" s="130"/>
      <c r="D647" s="130"/>
      <c r="E647" s="136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</row>
    <row r="648" customFormat="false" ht="15.75" hidden="false" customHeight="false" outlineLevel="0" collapsed="false">
      <c r="A648" s="130" t="str">
        <f aca="false">IF(ISBLANK(B648),"",B648&amp;"|"&amp;C648)</f>
        <v/>
      </c>
      <c r="B648" s="130"/>
      <c r="C648" s="130"/>
      <c r="D648" s="130"/>
      <c r="E648" s="136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</row>
    <row r="649" customFormat="false" ht="15.75" hidden="false" customHeight="false" outlineLevel="0" collapsed="false">
      <c r="A649" s="130" t="str">
        <f aca="false">IF(ISBLANK(B649),"",B649&amp;"|"&amp;C649)</f>
        <v/>
      </c>
      <c r="B649" s="130"/>
      <c r="C649" s="130"/>
      <c r="D649" s="130"/>
      <c r="E649" s="136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</row>
    <row r="650" customFormat="false" ht="15.75" hidden="false" customHeight="false" outlineLevel="0" collapsed="false">
      <c r="A650" s="130" t="str">
        <f aca="false">IF(ISBLANK(B650),"",B650&amp;"|"&amp;C650)</f>
        <v/>
      </c>
      <c r="B650" s="130"/>
      <c r="C650" s="130"/>
      <c r="D650" s="130"/>
      <c r="E650" s="136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</row>
    <row r="651" customFormat="false" ht="15.75" hidden="false" customHeight="false" outlineLevel="0" collapsed="false">
      <c r="A651" s="130" t="str">
        <f aca="false">IF(ISBLANK(B651),"",B651&amp;"|"&amp;C651)</f>
        <v/>
      </c>
      <c r="B651" s="130"/>
      <c r="C651" s="130"/>
      <c r="D651" s="130"/>
      <c r="E651" s="136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</row>
    <row r="652" customFormat="false" ht="15.75" hidden="false" customHeight="false" outlineLevel="0" collapsed="false">
      <c r="A652" s="130" t="str">
        <f aca="false">IF(ISBLANK(B652),"",B652&amp;"|"&amp;C652)</f>
        <v/>
      </c>
      <c r="B652" s="130"/>
      <c r="C652" s="130"/>
      <c r="D652" s="130"/>
      <c r="E652" s="136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</row>
    <row r="653" customFormat="false" ht="15.75" hidden="false" customHeight="false" outlineLevel="0" collapsed="false">
      <c r="A653" s="130" t="str">
        <f aca="false">IF(ISBLANK(B653),"",B653&amp;"|"&amp;C653)</f>
        <v/>
      </c>
      <c r="B653" s="130"/>
      <c r="C653" s="130"/>
      <c r="D653" s="130"/>
      <c r="E653" s="136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</row>
    <row r="654" customFormat="false" ht="15.75" hidden="false" customHeight="false" outlineLevel="0" collapsed="false">
      <c r="A654" s="130" t="str">
        <f aca="false">IF(ISBLANK(B654),"",B654&amp;"|"&amp;C654)</f>
        <v/>
      </c>
      <c r="B654" s="130"/>
      <c r="C654" s="130"/>
      <c r="D654" s="130"/>
      <c r="E654" s="136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</row>
    <row r="655" customFormat="false" ht="15.75" hidden="false" customHeight="false" outlineLevel="0" collapsed="false">
      <c r="A655" s="130" t="str">
        <f aca="false">IF(ISBLANK(B655),"",B655&amp;"|"&amp;C655)</f>
        <v/>
      </c>
      <c r="B655" s="130"/>
      <c r="C655" s="130"/>
      <c r="D655" s="130"/>
      <c r="E655" s="136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</row>
    <row r="656" customFormat="false" ht="15.75" hidden="false" customHeight="false" outlineLevel="0" collapsed="false">
      <c r="A656" s="130" t="str">
        <f aca="false">IF(ISBLANK(B656),"",B656&amp;"|"&amp;C656)</f>
        <v/>
      </c>
      <c r="B656" s="130"/>
      <c r="C656" s="130"/>
      <c r="D656" s="130"/>
      <c r="E656" s="136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</row>
    <row r="657" customFormat="false" ht="15.75" hidden="false" customHeight="false" outlineLevel="0" collapsed="false">
      <c r="A657" s="130" t="str">
        <f aca="false">IF(ISBLANK(B657),"",B657&amp;"|"&amp;C657)</f>
        <v/>
      </c>
      <c r="B657" s="130"/>
      <c r="C657" s="130"/>
      <c r="D657" s="130"/>
      <c r="E657" s="136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</row>
    <row r="658" customFormat="false" ht="15.75" hidden="false" customHeight="false" outlineLevel="0" collapsed="false">
      <c r="A658" s="130" t="str">
        <f aca="false">IF(ISBLANK(B658),"",B658&amp;"|"&amp;C658)</f>
        <v/>
      </c>
      <c r="B658" s="130"/>
      <c r="C658" s="130"/>
      <c r="D658" s="130"/>
      <c r="E658" s="136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</row>
    <row r="659" customFormat="false" ht="15.75" hidden="false" customHeight="false" outlineLevel="0" collapsed="false">
      <c r="A659" s="130" t="str">
        <f aca="false">IF(ISBLANK(B659),"",B659&amp;"|"&amp;C659)</f>
        <v/>
      </c>
      <c r="B659" s="130"/>
      <c r="C659" s="130"/>
      <c r="D659" s="130"/>
      <c r="E659" s="136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</row>
    <row r="660" customFormat="false" ht="15.75" hidden="false" customHeight="false" outlineLevel="0" collapsed="false">
      <c r="A660" s="130" t="str">
        <f aca="false">IF(ISBLANK(B660),"",B660&amp;"|"&amp;C660)</f>
        <v/>
      </c>
      <c r="B660" s="130"/>
      <c r="C660" s="130"/>
      <c r="D660" s="130"/>
      <c r="E660" s="136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</row>
    <row r="661" customFormat="false" ht="15.75" hidden="false" customHeight="false" outlineLevel="0" collapsed="false">
      <c r="A661" s="130" t="str">
        <f aca="false">IF(ISBLANK(B661),"",B661&amp;"|"&amp;C661)</f>
        <v/>
      </c>
      <c r="B661" s="130"/>
      <c r="C661" s="130"/>
      <c r="D661" s="130"/>
      <c r="E661" s="136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</row>
    <row r="662" customFormat="false" ht="15.75" hidden="false" customHeight="false" outlineLevel="0" collapsed="false">
      <c r="A662" s="130" t="str">
        <f aca="false">IF(ISBLANK(B662),"",B662&amp;"|"&amp;C662)</f>
        <v/>
      </c>
      <c r="B662" s="130"/>
      <c r="C662" s="130"/>
      <c r="D662" s="130"/>
      <c r="E662" s="136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</row>
    <row r="663" customFormat="false" ht="15.75" hidden="false" customHeight="false" outlineLevel="0" collapsed="false">
      <c r="A663" s="130" t="str">
        <f aca="false">IF(ISBLANK(B663),"",B663&amp;"|"&amp;C663)</f>
        <v/>
      </c>
      <c r="B663" s="130"/>
      <c r="C663" s="130"/>
      <c r="D663" s="130"/>
      <c r="E663" s="136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</row>
    <row r="664" customFormat="false" ht="15.75" hidden="false" customHeight="false" outlineLevel="0" collapsed="false">
      <c r="A664" s="130" t="str">
        <f aca="false">IF(ISBLANK(B664),"",B664&amp;"|"&amp;C664)</f>
        <v/>
      </c>
      <c r="B664" s="130"/>
      <c r="C664" s="130"/>
      <c r="D664" s="130"/>
      <c r="E664" s="136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</row>
    <row r="665" customFormat="false" ht="15.75" hidden="false" customHeight="false" outlineLevel="0" collapsed="false">
      <c r="A665" s="130" t="str">
        <f aca="false">IF(ISBLANK(B665),"",B665&amp;"|"&amp;C665)</f>
        <v/>
      </c>
      <c r="B665" s="130"/>
      <c r="C665" s="130"/>
      <c r="D665" s="130"/>
      <c r="E665" s="136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</row>
    <row r="666" customFormat="false" ht="15.75" hidden="false" customHeight="false" outlineLevel="0" collapsed="false">
      <c r="A666" s="130" t="str">
        <f aca="false">IF(ISBLANK(B666),"",B666&amp;"|"&amp;C666)</f>
        <v/>
      </c>
      <c r="B666" s="130"/>
      <c r="C666" s="130"/>
      <c r="D666" s="130"/>
      <c r="E666" s="136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</row>
    <row r="667" customFormat="false" ht="15.75" hidden="false" customHeight="false" outlineLevel="0" collapsed="false">
      <c r="A667" s="130" t="str">
        <f aca="false">IF(ISBLANK(B667),"",B667&amp;"|"&amp;C667)</f>
        <v/>
      </c>
      <c r="B667" s="130"/>
      <c r="C667" s="130"/>
      <c r="D667" s="130"/>
      <c r="E667" s="136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</row>
    <row r="668" customFormat="false" ht="15.75" hidden="false" customHeight="false" outlineLevel="0" collapsed="false">
      <c r="A668" s="130" t="str">
        <f aca="false">IF(ISBLANK(B668),"",B668&amp;"|"&amp;C668)</f>
        <v/>
      </c>
      <c r="B668" s="130"/>
      <c r="C668" s="130"/>
      <c r="D668" s="130"/>
      <c r="E668" s="136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</row>
    <row r="669" customFormat="false" ht="15.75" hidden="false" customHeight="false" outlineLevel="0" collapsed="false">
      <c r="A669" s="130" t="str">
        <f aca="false">IF(ISBLANK(B669),"",B669&amp;"|"&amp;C669)</f>
        <v/>
      </c>
      <c r="B669" s="130"/>
      <c r="C669" s="130"/>
      <c r="D669" s="130"/>
      <c r="E669" s="136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</row>
    <row r="670" customFormat="false" ht="15.75" hidden="false" customHeight="false" outlineLevel="0" collapsed="false">
      <c r="A670" s="130" t="str">
        <f aca="false">IF(ISBLANK(B670),"",B670&amp;"|"&amp;C670)</f>
        <v/>
      </c>
      <c r="B670" s="130"/>
      <c r="C670" s="130"/>
      <c r="D670" s="130"/>
      <c r="E670" s="136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</row>
    <row r="671" customFormat="false" ht="15.75" hidden="false" customHeight="false" outlineLevel="0" collapsed="false">
      <c r="A671" s="130" t="str">
        <f aca="false">IF(ISBLANK(B671),"",B671&amp;"|"&amp;C671)</f>
        <v/>
      </c>
      <c r="B671" s="130"/>
      <c r="C671" s="130"/>
      <c r="D671" s="130"/>
      <c r="E671" s="136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</row>
    <row r="672" customFormat="false" ht="15.75" hidden="false" customHeight="false" outlineLevel="0" collapsed="false">
      <c r="A672" s="130" t="str">
        <f aca="false">IF(ISBLANK(B672),"",B672&amp;"|"&amp;C672)</f>
        <v/>
      </c>
      <c r="B672" s="130"/>
      <c r="C672" s="130"/>
      <c r="D672" s="130"/>
      <c r="E672" s="136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</row>
    <row r="673" customFormat="false" ht="15.75" hidden="false" customHeight="false" outlineLevel="0" collapsed="false">
      <c r="A673" s="130" t="str">
        <f aca="false">IF(ISBLANK(B673),"",B673&amp;"|"&amp;C673)</f>
        <v/>
      </c>
      <c r="B673" s="130"/>
      <c r="C673" s="130"/>
      <c r="D673" s="130"/>
      <c r="E673" s="136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</row>
    <row r="674" customFormat="false" ht="15.75" hidden="false" customHeight="false" outlineLevel="0" collapsed="false">
      <c r="A674" s="130" t="str">
        <f aca="false">IF(ISBLANK(B674),"",B674&amp;"|"&amp;C674)</f>
        <v/>
      </c>
      <c r="B674" s="130"/>
      <c r="C674" s="130"/>
      <c r="D674" s="130"/>
      <c r="E674" s="136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</row>
    <row r="675" customFormat="false" ht="15.75" hidden="false" customHeight="false" outlineLevel="0" collapsed="false">
      <c r="A675" s="130" t="str">
        <f aca="false">IF(ISBLANK(B675),"",B675&amp;"|"&amp;C675)</f>
        <v/>
      </c>
      <c r="B675" s="130"/>
      <c r="C675" s="130"/>
      <c r="D675" s="130"/>
      <c r="E675" s="136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</row>
    <row r="676" customFormat="false" ht="15.75" hidden="false" customHeight="false" outlineLevel="0" collapsed="false">
      <c r="A676" s="130" t="str">
        <f aca="false">IF(ISBLANK(B676),"",B676&amp;"|"&amp;C676)</f>
        <v/>
      </c>
      <c r="B676" s="130"/>
      <c r="C676" s="130"/>
      <c r="D676" s="130"/>
      <c r="E676" s="136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</row>
    <row r="677" customFormat="false" ht="15.75" hidden="false" customHeight="false" outlineLevel="0" collapsed="false">
      <c r="A677" s="130" t="str">
        <f aca="false">IF(ISBLANK(B677),"",B677&amp;"|"&amp;C677)</f>
        <v/>
      </c>
      <c r="B677" s="130"/>
      <c r="C677" s="130"/>
      <c r="D677" s="130"/>
      <c r="E677" s="136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</row>
    <row r="678" customFormat="false" ht="15.75" hidden="false" customHeight="false" outlineLevel="0" collapsed="false">
      <c r="A678" s="130" t="str">
        <f aca="false">IF(ISBLANK(B678),"",B678&amp;"|"&amp;C678)</f>
        <v/>
      </c>
      <c r="B678" s="130"/>
      <c r="C678" s="130"/>
      <c r="D678" s="130"/>
      <c r="E678" s="136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</row>
    <row r="679" customFormat="false" ht="15.75" hidden="false" customHeight="false" outlineLevel="0" collapsed="false">
      <c r="A679" s="130" t="str">
        <f aca="false">IF(ISBLANK(B679),"",B679&amp;"|"&amp;C679)</f>
        <v/>
      </c>
      <c r="B679" s="130"/>
      <c r="C679" s="130"/>
      <c r="D679" s="130"/>
      <c r="E679" s="136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</row>
    <row r="680" customFormat="false" ht="15.75" hidden="false" customHeight="false" outlineLevel="0" collapsed="false">
      <c r="A680" s="130" t="str">
        <f aca="false">IF(ISBLANK(B680),"",B680&amp;"|"&amp;C680)</f>
        <v/>
      </c>
      <c r="B680" s="130"/>
      <c r="C680" s="130"/>
      <c r="D680" s="130"/>
      <c r="E680" s="136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</row>
    <row r="681" customFormat="false" ht="15.75" hidden="false" customHeight="false" outlineLevel="0" collapsed="false">
      <c r="A681" s="130" t="str">
        <f aca="false">IF(ISBLANK(B681),"",B681&amp;"|"&amp;C681)</f>
        <v/>
      </c>
      <c r="B681" s="130"/>
      <c r="C681" s="130"/>
      <c r="D681" s="130"/>
      <c r="E681" s="136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</row>
    <row r="682" customFormat="false" ht="15.75" hidden="false" customHeight="false" outlineLevel="0" collapsed="false">
      <c r="A682" s="130" t="str">
        <f aca="false">IF(ISBLANK(B682),"",B682&amp;"|"&amp;C682)</f>
        <v/>
      </c>
      <c r="B682" s="130"/>
      <c r="C682" s="130"/>
      <c r="D682" s="130"/>
      <c r="E682" s="136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</row>
    <row r="683" customFormat="false" ht="15.75" hidden="false" customHeight="false" outlineLevel="0" collapsed="false">
      <c r="A683" s="130" t="str">
        <f aca="false">IF(ISBLANK(B683),"",B683&amp;"|"&amp;C683)</f>
        <v/>
      </c>
      <c r="B683" s="130"/>
      <c r="C683" s="130"/>
      <c r="D683" s="130"/>
      <c r="E683" s="136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</row>
    <row r="684" customFormat="false" ht="15.75" hidden="false" customHeight="false" outlineLevel="0" collapsed="false">
      <c r="A684" s="130" t="str">
        <f aca="false">IF(ISBLANK(B684),"",B684&amp;"|"&amp;C684)</f>
        <v/>
      </c>
      <c r="B684" s="130"/>
      <c r="C684" s="130"/>
      <c r="D684" s="130"/>
      <c r="E684" s="136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</row>
    <row r="685" customFormat="false" ht="15.75" hidden="false" customHeight="false" outlineLevel="0" collapsed="false">
      <c r="A685" s="130" t="str">
        <f aca="false">IF(ISBLANK(B685),"",B685&amp;"|"&amp;C685)</f>
        <v/>
      </c>
      <c r="B685" s="130"/>
      <c r="C685" s="130"/>
      <c r="D685" s="130"/>
      <c r="E685" s="136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</row>
    <row r="686" customFormat="false" ht="15.75" hidden="false" customHeight="false" outlineLevel="0" collapsed="false">
      <c r="A686" s="130" t="str">
        <f aca="false">IF(ISBLANK(B686),"",B686&amp;"|"&amp;C686)</f>
        <v/>
      </c>
      <c r="B686" s="130"/>
      <c r="C686" s="130"/>
      <c r="D686" s="130"/>
      <c r="E686" s="136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</row>
    <row r="687" customFormat="false" ht="15.75" hidden="false" customHeight="false" outlineLevel="0" collapsed="false">
      <c r="A687" s="130" t="str">
        <f aca="false">IF(ISBLANK(B687),"",B687&amp;"|"&amp;C687)</f>
        <v/>
      </c>
      <c r="B687" s="130"/>
      <c r="C687" s="130"/>
      <c r="D687" s="130"/>
      <c r="E687" s="136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</row>
    <row r="688" customFormat="false" ht="15.75" hidden="false" customHeight="false" outlineLevel="0" collapsed="false">
      <c r="A688" s="130" t="str">
        <f aca="false">IF(ISBLANK(B688),"",B688&amp;"|"&amp;C688)</f>
        <v/>
      </c>
      <c r="B688" s="130"/>
      <c r="C688" s="130"/>
      <c r="D688" s="130"/>
      <c r="E688" s="136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</row>
    <row r="689" customFormat="false" ht="15.75" hidden="false" customHeight="false" outlineLevel="0" collapsed="false">
      <c r="A689" s="130" t="str">
        <f aca="false">IF(ISBLANK(B689),"",B689&amp;"|"&amp;C689)</f>
        <v/>
      </c>
      <c r="B689" s="130"/>
      <c r="C689" s="130"/>
      <c r="D689" s="130"/>
      <c r="E689" s="136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</row>
    <row r="690" customFormat="false" ht="15.75" hidden="false" customHeight="false" outlineLevel="0" collapsed="false">
      <c r="A690" s="130" t="str">
        <f aca="false">IF(ISBLANK(B690),"",B690&amp;"|"&amp;C690)</f>
        <v/>
      </c>
      <c r="B690" s="130"/>
      <c r="C690" s="130"/>
      <c r="D690" s="130"/>
      <c r="E690" s="136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</row>
    <row r="691" customFormat="false" ht="15.75" hidden="false" customHeight="false" outlineLevel="0" collapsed="false">
      <c r="A691" s="130" t="str">
        <f aca="false">IF(ISBLANK(B691),"",B691&amp;"|"&amp;C691)</f>
        <v/>
      </c>
      <c r="B691" s="130"/>
      <c r="C691" s="130"/>
      <c r="D691" s="130"/>
      <c r="E691" s="136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</row>
    <row r="692" customFormat="false" ht="15.75" hidden="false" customHeight="false" outlineLevel="0" collapsed="false">
      <c r="A692" s="130" t="str">
        <f aca="false">IF(ISBLANK(B692),"",B692&amp;"|"&amp;C692)</f>
        <v/>
      </c>
      <c r="B692" s="130"/>
      <c r="C692" s="130"/>
      <c r="D692" s="130"/>
      <c r="E692" s="136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</row>
    <row r="693" customFormat="false" ht="15.75" hidden="false" customHeight="false" outlineLevel="0" collapsed="false">
      <c r="A693" s="130" t="str">
        <f aca="false">IF(ISBLANK(B693),"",B693&amp;"|"&amp;C693)</f>
        <v/>
      </c>
      <c r="B693" s="130"/>
      <c r="C693" s="130"/>
      <c r="D693" s="130"/>
      <c r="E693" s="136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</row>
    <row r="694" customFormat="false" ht="15.75" hidden="false" customHeight="false" outlineLevel="0" collapsed="false">
      <c r="A694" s="130" t="str">
        <f aca="false">IF(ISBLANK(B694),"",B694&amp;"|"&amp;C694)</f>
        <v/>
      </c>
      <c r="B694" s="130"/>
      <c r="C694" s="130"/>
      <c r="D694" s="130"/>
      <c r="E694" s="136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</row>
    <row r="695" customFormat="false" ht="15.75" hidden="false" customHeight="false" outlineLevel="0" collapsed="false">
      <c r="A695" s="130" t="str">
        <f aca="false">IF(ISBLANK(B695),"",B695&amp;"|"&amp;C695)</f>
        <v/>
      </c>
      <c r="B695" s="130"/>
      <c r="C695" s="130"/>
      <c r="D695" s="130"/>
      <c r="E695" s="136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</row>
    <row r="696" customFormat="false" ht="15.75" hidden="false" customHeight="false" outlineLevel="0" collapsed="false">
      <c r="A696" s="130" t="str">
        <f aca="false">IF(ISBLANK(B696),"",B696&amp;"|"&amp;C696)</f>
        <v/>
      </c>
      <c r="B696" s="130"/>
      <c r="C696" s="130"/>
      <c r="D696" s="130"/>
      <c r="E696" s="136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</row>
    <row r="697" customFormat="false" ht="15.75" hidden="false" customHeight="false" outlineLevel="0" collapsed="false">
      <c r="A697" s="130" t="str">
        <f aca="false">IF(ISBLANK(B697),"",B697&amp;"|"&amp;C697)</f>
        <v/>
      </c>
      <c r="B697" s="130"/>
      <c r="C697" s="130"/>
      <c r="D697" s="130"/>
      <c r="E697" s="136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</row>
    <row r="698" customFormat="false" ht="15.75" hidden="false" customHeight="false" outlineLevel="0" collapsed="false">
      <c r="A698" s="130" t="str">
        <f aca="false">IF(ISBLANK(B698),"",B698&amp;"|"&amp;C698)</f>
        <v/>
      </c>
      <c r="B698" s="130"/>
      <c r="C698" s="130"/>
      <c r="D698" s="130"/>
      <c r="E698" s="136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</row>
    <row r="699" customFormat="false" ht="15.75" hidden="false" customHeight="false" outlineLevel="0" collapsed="false">
      <c r="A699" s="130" t="str">
        <f aca="false">IF(ISBLANK(B699),"",B699&amp;"|"&amp;C699)</f>
        <v/>
      </c>
      <c r="B699" s="130"/>
      <c r="C699" s="130"/>
      <c r="D699" s="130"/>
      <c r="E699" s="136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</row>
    <row r="700" customFormat="false" ht="15.75" hidden="false" customHeight="false" outlineLevel="0" collapsed="false">
      <c r="A700" s="130" t="str">
        <f aca="false">IF(ISBLANK(B700),"",B700&amp;"|"&amp;C700)</f>
        <v/>
      </c>
      <c r="B700" s="130"/>
      <c r="C700" s="130"/>
      <c r="D700" s="130"/>
      <c r="E700" s="136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</row>
    <row r="701" customFormat="false" ht="15.75" hidden="false" customHeight="false" outlineLevel="0" collapsed="false">
      <c r="A701" s="130" t="str">
        <f aca="false">IF(ISBLANK(B701),"",B701&amp;"|"&amp;C701)</f>
        <v/>
      </c>
      <c r="B701" s="130"/>
      <c r="C701" s="130"/>
      <c r="D701" s="130"/>
      <c r="E701" s="136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</row>
    <row r="702" customFormat="false" ht="15.75" hidden="false" customHeight="false" outlineLevel="0" collapsed="false">
      <c r="A702" s="130" t="str">
        <f aca="false">IF(ISBLANK(B702),"",B702&amp;"|"&amp;C702)</f>
        <v/>
      </c>
      <c r="B702" s="130"/>
      <c r="C702" s="130"/>
      <c r="D702" s="130"/>
      <c r="E702" s="136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</row>
    <row r="703" customFormat="false" ht="15.75" hidden="false" customHeight="false" outlineLevel="0" collapsed="false">
      <c r="A703" s="130" t="str">
        <f aca="false">IF(ISBLANK(B703),"",B703&amp;"|"&amp;C703)</f>
        <v/>
      </c>
      <c r="B703" s="130"/>
      <c r="C703" s="130"/>
      <c r="D703" s="130"/>
      <c r="E703" s="136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</row>
    <row r="704" customFormat="false" ht="15.75" hidden="false" customHeight="false" outlineLevel="0" collapsed="false">
      <c r="A704" s="130" t="str">
        <f aca="false">IF(ISBLANK(B704),"",B704&amp;"|"&amp;C704)</f>
        <v/>
      </c>
      <c r="B704" s="130"/>
      <c r="C704" s="130"/>
      <c r="D704" s="130"/>
      <c r="E704" s="136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</row>
    <row r="705" customFormat="false" ht="15.75" hidden="false" customHeight="false" outlineLevel="0" collapsed="false">
      <c r="A705" s="130" t="str">
        <f aca="false">IF(ISBLANK(B705),"",B705&amp;"|"&amp;C705)</f>
        <v/>
      </c>
      <c r="B705" s="130"/>
      <c r="C705" s="130"/>
      <c r="D705" s="130"/>
      <c r="E705" s="136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</row>
    <row r="706" customFormat="false" ht="15.75" hidden="false" customHeight="false" outlineLevel="0" collapsed="false">
      <c r="A706" s="130" t="str">
        <f aca="false">IF(ISBLANK(B706),"",B706&amp;"|"&amp;C706)</f>
        <v/>
      </c>
      <c r="B706" s="130"/>
      <c r="C706" s="130"/>
      <c r="D706" s="130"/>
      <c r="E706" s="136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</row>
    <row r="707" customFormat="false" ht="15.75" hidden="false" customHeight="false" outlineLevel="0" collapsed="false">
      <c r="A707" s="130" t="str">
        <f aca="false">IF(ISBLANK(B707),"",B707&amp;"|"&amp;C707)</f>
        <v/>
      </c>
      <c r="B707" s="130"/>
      <c r="C707" s="130"/>
      <c r="D707" s="130"/>
      <c r="E707" s="136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</row>
    <row r="708" customFormat="false" ht="15.75" hidden="false" customHeight="false" outlineLevel="0" collapsed="false">
      <c r="A708" s="130" t="str">
        <f aca="false">IF(ISBLANK(B708),"",B708&amp;"|"&amp;C708)</f>
        <v/>
      </c>
      <c r="B708" s="130"/>
      <c r="C708" s="130"/>
      <c r="D708" s="130"/>
      <c r="E708" s="136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</row>
    <row r="709" customFormat="false" ht="15.75" hidden="false" customHeight="false" outlineLevel="0" collapsed="false">
      <c r="A709" s="130" t="str">
        <f aca="false">IF(ISBLANK(B709),"",B709&amp;"|"&amp;C709)</f>
        <v/>
      </c>
      <c r="B709" s="130"/>
      <c r="C709" s="130"/>
      <c r="D709" s="130"/>
      <c r="E709" s="136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</row>
    <row r="710" customFormat="false" ht="15.75" hidden="false" customHeight="false" outlineLevel="0" collapsed="false">
      <c r="A710" s="130" t="str">
        <f aca="false">IF(ISBLANK(B710),"",B710&amp;"|"&amp;C710)</f>
        <v/>
      </c>
      <c r="B710" s="130"/>
      <c r="C710" s="130"/>
      <c r="D710" s="130"/>
      <c r="E710" s="136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</row>
    <row r="711" customFormat="false" ht="15.75" hidden="false" customHeight="false" outlineLevel="0" collapsed="false">
      <c r="A711" s="130" t="str">
        <f aca="false">IF(ISBLANK(B711),"",B711&amp;"|"&amp;C711)</f>
        <v/>
      </c>
      <c r="B711" s="130"/>
      <c r="C711" s="130"/>
      <c r="D711" s="130"/>
      <c r="E711" s="136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</row>
    <row r="712" customFormat="false" ht="15.75" hidden="false" customHeight="false" outlineLevel="0" collapsed="false">
      <c r="A712" s="130" t="str">
        <f aca="false">IF(ISBLANK(B712),"",B712&amp;"|"&amp;C712)</f>
        <v/>
      </c>
      <c r="B712" s="130"/>
      <c r="C712" s="130"/>
      <c r="D712" s="130"/>
      <c r="E712" s="136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</row>
    <row r="713" customFormat="false" ht="15.75" hidden="false" customHeight="false" outlineLevel="0" collapsed="false">
      <c r="A713" s="130" t="str">
        <f aca="false">IF(ISBLANK(B713),"",B713&amp;"|"&amp;C713)</f>
        <v/>
      </c>
      <c r="B713" s="130"/>
      <c r="C713" s="130"/>
      <c r="D713" s="130"/>
      <c r="E713" s="136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</row>
    <row r="714" customFormat="false" ht="15.75" hidden="false" customHeight="false" outlineLevel="0" collapsed="false">
      <c r="A714" s="130" t="str">
        <f aca="false">IF(ISBLANK(B714),"",B714&amp;"|"&amp;C714)</f>
        <v/>
      </c>
      <c r="B714" s="130"/>
      <c r="C714" s="130"/>
      <c r="D714" s="130"/>
      <c r="E714" s="136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</row>
    <row r="715" customFormat="false" ht="15.75" hidden="false" customHeight="false" outlineLevel="0" collapsed="false">
      <c r="A715" s="130" t="str">
        <f aca="false">IF(ISBLANK(B715),"",B715&amp;"|"&amp;C715)</f>
        <v/>
      </c>
      <c r="B715" s="130"/>
      <c r="C715" s="130"/>
      <c r="D715" s="130"/>
      <c r="E715" s="136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</row>
    <row r="716" customFormat="false" ht="15.75" hidden="false" customHeight="false" outlineLevel="0" collapsed="false">
      <c r="A716" s="130" t="str">
        <f aca="false">IF(ISBLANK(B716),"",B716&amp;"|"&amp;C716)</f>
        <v/>
      </c>
      <c r="B716" s="130"/>
      <c r="C716" s="130"/>
      <c r="D716" s="130"/>
      <c r="E716" s="136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</row>
    <row r="717" customFormat="false" ht="15.75" hidden="false" customHeight="false" outlineLevel="0" collapsed="false">
      <c r="A717" s="130" t="str">
        <f aca="false">IF(ISBLANK(B717),"",B717&amp;"|"&amp;C717)</f>
        <v/>
      </c>
      <c r="B717" s="130"/>
      <c r="C717" s="130"/>
      <c r="D717" s="130"/>
      <c r="E717" s="136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</row>
    <row r="718" customFormat="false" ht="15.75" hidden="false" customHeight="false" outlineLevel="0" collapsed="false">
      <c r="A718" s="130" t="str">
        <f aca="false">IF(ISBLANK(B718),"",B718&amp;"|"&amp;C718)</f>
        <v/>
      </c>
      <c r="B718" s="130"/>
      <c r="C718" s="130"/>
      <c r="D718" s="130"/>
      <c r="E718" s="136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</row>
    <row r="719" customFormat="false" ht="15.75" hidden="false" customHeight="false" outlineLevel="0" collapsed="false">
      <c r="A719" s="130" t="str">
        <f aca="false">IF(ISBLANK(B719),"",B719&amp;"|"&amp;C719)</f>
        <v/>
      </c>
      <c r="B719" s="130"/>
      <c r="C719" s="130"/>
      <c r="D719" s="130"/>
      <c r="E719" s="136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</row>
    <row r="720" customFormat="false" ht="15.75" hidden="false" customHeight="false" outlineLevel="0" collapsed="false">
      <c r="A720" s="130" t="str">
        <f aca="false">IF(ISBLANK(B720),"",B720&amp;"|"&amp;C720)</f>
        <v/>
      </c>
      <c r="B720" s="130"/>
      <c r="C720" s="130"/>
      <c r="D720" s="130"/>
      <c r="E720" s="136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</row>
    <row r="721" customFormat="false" ht="15.75" hidden="false" customHeight="false" outlineLevel="0" collapsed="false">
      <c r="A721" s="130" t="str">
        <f aca="false">IF(ISBLANK(B721),"",B721&amp;"|"&amp;C721)</f>
        <v/>
      </c>
      <c r="B721" s="130"/>
      <c r="C721" s="130"/>
      <c r="D721" s="130"/>
      <c r="E721" s="136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</row>
    <row r="722" customFormat="false" ht="15.75" hidden="false" customHeight="false" outlineLevel="0" collapsed="false">
      <c r="A722" s="130" t="str">
        <f aca="false">IF(ISBLANK(B722),"",B722&amp;"|"&amp;C722)</f>
        <v/>
      </c>
      <c r="B722" s="130"/>
      <c r="C722" s="130"/>
      <c r="D722" s="130"/>
      <c r="E722" s="136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</row>
    <row r="723" customFormat="false" ht="15.75" hidden="false" customHeight="false" outlineLevel="0" collapsed="false">
      <c r="A723" s="130" t="str">
        <f aca="false">IF(ISBLANK(B723),"",B723&amp;"|"&amp;C723)</f>
        <v/>
      </c>
      <c r="B723" s="130"/>
      <c r="C723" s="130"/>
      <c r="D723" s="130"/>
      <c r="E723" s="136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</row>
    <row r="724" customFormat="false" ht="15.75" hidden="false" customHeight="false" outlineLevel="0" collapsed="false">
      <c r="A724" s="130" t="str">
        <f aca="false">IF(ISBLANK(B724),"",B724&amp;"|"&amp;C724)</f>
        <v/>
      </c>
      <c r="B724" s="130"/>
      <c r="C724" s="130"/>
      <c r="D724" s="130"/>
      <c r="E724" s="136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</row>
    <row r="725" customFormat="false" ht="15.75" hidden="false" customHeight="false" outlineLevel="0" collapsed="false">
      <c r="A725" s="130" t="str">
        <f aca="false">IF(ISBLANK(B725),"",B725&amp;"|"&amp;C725)</f>
        <v/>
      </c>
      <c r="B725" s="130"/>
      <c r="C725" s="130"/>
      <c r="D725" s="130"/>
      <c r="E725" s="136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</row>
    <row r="726" customFormat="false" ht="15.75" hidden="false" customHeight="false" outlineLevel="0" collapsed="false">
      <c r="A726" s="130" t="str">
        <f aca="false">IF(ISBLANK(B726),"",B726&amp;"|"&amp;C726)</f>
        <v/>
      </c>
      <c r="B726" s="130"/>
      <c r="C726" s="130"/>
      <c r="D726" s="130"/>
      <c r="E726" s="136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</row>
    <row r="727" customFormat="false" ht="15.75" hidden="false" customHeight="false" outlineLevel="0" collapsed="false">
      <c r="A727" s="130" t="str">
        <f aca="false">IF(ISBLANK(B727),"",B727&amp;"|"&amp;C727)</f>
        <v/>
      </c>
      <c r="B727" s="130"/>
      <c r="C727" s="130"/>
      <c r="D727" s="130"/>
      <c r="E727" s="136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</row>
    <row r="728" customFormat="false" ht="15.75" hidden="false" customHeight="false" outlineLevel="0" collapsed="false">
      <c r="A728" s="130" t="str">
        <f aca="false">IF(ISBLANK(B728),"",B728&amp;"|"&amp;C728)</f>
        <v/>
      </c>
      <c r="B728" s="130"/>
      <c r="C728" s="130"/>
      <c r="D728" s="130"/>
      <c r="E728" s="136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</row>
    <row r="729" customFormat="false" ht="15.75" hidden="false" customHeight="false" outlineLevel="0" collapsed="false">
      <c r="A729" s="130" t="str">
        <f aca="false">IF(ISBLANK(B729),"",B729&amp;"|"&amp;C729)</f>
        <v/>
      </c>
      <c r="B729" s="130"/>
      <c r="C729" s="130"/>
      <c r="D729" s="130"/>
      <c r="E729" s="136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</row>
    <row r="730" customFormat="false" ht="15.75" hidden="false" customHeight="false" outlineLevel="0" collapsed="false">
      <c r="A730" s="130" t="str">
        <f aca="false">IF(ISBLANK(B730),"",B730&amp;"|"&amp;C730)</f>
        <v/>
      </c>
      <c r="B730" s="130"/>
      <c r="C730" s="130"/>
      <c r="D730" s="130"/>
      <c r="E730" s="136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</row>
    <row r="731" customFormat="false" ht="15.75" hidden="false" customHeight="false" outlineLevel="0" collapsed="false">
      <c r="A731" s="130" t="str">
        <f aca="false">IF(ISBLANK(B731),"",B731&amp;"|"&amp;C731)</f>
        <v/>
      </c>
      <c r="B731" s="130"/>
      <c r="C731" s="130"/>
      <c r="D731" s="130"/>
      <c r="E731" s="136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</row>
    <row r="732" customFormat="false" ht="15.75" hidden="false" customHeight="false" outlineLevel="0" collapsed="false">
      <c r="A732" s="130" t="str">
        <f aca="false">IF(ISBLANK(B732),"",B732&amp;"|"&amp;C732)</f>
        <v/>
      </c>
      <c r="B732" s="130"/>
      <c r="C732" s="130"/>
      <c r="D732" s="130"/>
      <c r="E732" s="136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</row>
    <row r="733" customFormat="false" ht="15.75" hidden="false" customHeight="false" outlineLevel="0" collapsed="false">
      <c r="A733" s="130" t="str">
        <f aca="false">IF(ISBLANK(B733),"",B733&amp;"|"&amp;C733)</f>
        <v/>
      </c>
      <c r="B733" s="130"/>
      <c r="C733" s="130"/>
      <c r="D733" s="130"/>
      <c r="E733" s="136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</row>
    <row r="734" customFormat="false" ht="15.75" hidden="false" customHeight="false" outlineLevel="0" collapsed="false">
      <c r="A734" s="130" t="str">
        <f aca="false">IF(ISBLANK(B734),"",B734&amp;"|"&amp;C734)</f>
        <v/>
      </c>
      <c r="B734" s="130"/>
      <c r="C734" s="130"/>
      <c r="D734" s="130"/>
      <c r="E734" s="136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</row>
    <row r="735" customFormat="false" ht="15.75" hidden="false" customHeight="false" outlineLevel="0" collapsed="false">
      <c r="A735" s="130" t="str">
        <f aca="false">IF(ISBLANK(B735),"",B735&amp;"|"&amp;C735)</f>
        <v/>
      </c>
      <c r="B735" s="130"/>
      <c r="C735" s="130"/>
      <c r="D735" s="130"/>
      <c r="E735" s="136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</row>
    <row r="736" customFormat="false" ht="15.75" hidden="false" customHeight="false" outlineLevel="0" collapsed="false">
      <c r="A736" s="130" t="str">
        <f aca="false">IF(ISBLANK(B736),"",B736&amp;"|"&amp;C736)</f>
        <v/>
      </c>
      <c r="B736" s="130"/>
      <c r="C736" s="130"/>
      <c r="D736" s="130"/>
      <c r="E736" s="136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</row>
    <row r="737" customFormat="false" ht="15.75" hidden="false" customHeight="false" outlineLevel="0" collapsed="false">
      <c r="A737" s="130" t="str">
        <f aca="false">IF(ISBLANK(B737),"",B737&amp;"|"&amp;C737)</f>
        <v/>
      </c>
      <c r="B737" s="130"/>
      <c r="C737" s="130"/>
      <c r="D737" s="130"/>
      <c r="E737" s="136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</row>
    <row r="738" customFormat="false" ht="15.75" hidden="false" customHeight="false" outlineLevel="0" collapsed="false">
      <c r="A738" s="130" t="str">
        <f aca="false">IF(ISBLANK(B738),"",B738&amp;"|"&amp;C738)</f>
        <v/>
      </c>
      <c r="B738" s="130"/>
      <c r="C738" s="130"/>
      <c r="D738" s="130"/>
      <c r="E738" s="136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</row>
    <row r="739" customFormat="false" ht="15.75" hidden="false" customHeight="false" outlineLevel="0" collapsed="false">
      <c r="A739" s="130" t="str">
        <f aca="false">IF(ISBLANK(B739),"",B739&amp;"|"&amp;C739)</f>
        <v/>
      </c>
      <c r="B739" s="130"/>
      <c r="C739" s="130"/>
      <c r="D739" s="130"/>
      <c r="E739" s="136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</row>
    <row r="740" customFormat="false" ht="15.75" hidden="false" customHeight="false" outlineLevel="0" collapsed="false">
      <c r="A740" s="130" t="str">
        <f aca="false">IF(ISBLANK(B740),"",B740&amp;"|"&amp;C740)</f>
        <v/>
      </c>
      <c r="B740" s="130"/>
      <c r="C740" s="130"/>
      <c r="D740" s="130"/>
      <c r="E740" s="136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</row>
    <row r="741" customFormat="false" ht="15.75" hidden="false" customHeight="false" outlineLevel="0" collapsed="false">
      <c r="A741" s="130" t="str">
        <f aca="false">IF(ISBLANK(B741),"",B741&amp;"|"&amp;C741)</f>
        <v/>
      </c>
      <c r="B741" s="130"/>
      <c r="C741" s="130"/>
      <c r="D741" s="130"/>
      <c r="E741" s="136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</row>
    <row r="742" customFormat="false" ht="15.75" hidden="false" customHeight="false" outlineLevel="0" collapsed="false">
      <c r="A742" s="130" t="str">
        <f aca="false">IF(ISBLANK(B742),"",B742&amp;"|"&amp;C742)</f>
        <v/>
      </c>
      <c r="B742" s="130"/>
      <c r="C742" s="130"/>
      <c r="D742" s="130"/>
      <c r="E742" s="136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</row>
    <row r="743" customFormat="false" ht="15.75" hidden="false" customHeight="false" outlineLevel="0" collapsed="false">
      <c r="A743" s="130" t="str">
        <f aca="false">IF(ISBLANK(B743),"",B743&amp;"|"&amp;C743)</f>
        <v/>
      </c>
      <c r="B743" s="130"/>
      <c r="C743" s="130"/>
      <c r="D743" s="130"/>
      <c r="E743" s="136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</row>
    <row r="744" customFormat="false" ht="15.75" hidden="false" customHeight="false" outlineLevel="0" collapsed="false">
      <c r="A744" s="130" t="str">
        <f aca="false">IF(ISBLANK(B744),"",B744&amp;"|"&amp;C744)</f>
        <v/>
      </c>
      <c r="B744" s="130"/>
      <c r="C744" s="130"/>
      <c r="D744" s="130"/>
      <c r="E744" s="136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</row>
    <row r="745" customFormat="false" ht="15.75" hidden="false" customHeight="false" outlineLevel="0" collapsed="false">
      <c r="A745" s="130" t="str">
        <f aca="false">IF(ISBLANK(B745),"",B745&amp;"|"&amp;C745)</f>
        <v/>
      </c>
      <c r="B745" s="130"/>
      <c r="C745" s="130"/>
      <c r="D745" s="130"/>
      <c r="E745" s="136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</row>
    <row r="746" customFormat="false" ht="15.75" hidden="false" customHeight="false" outlineLevel="0" collapsed="false">
      <c r="A746" s="130" t="str">
        <f aca="false">IF(ISBLANK(B746),"",B746&amp;"|"&amp;C746)</f>
        <v/>
      </c>
      <c r="B746" s="130"/>
      <c r="C746" s="130"/>
      <c r="D746" s="130"/>
      <c r="E746" s="136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</row>
    <row r="747" customFormat="false" ht="15.75" hidden="false" customHeight="false" outlineLevel="0" collapsed="false">
      <c r="A747" s="130" t="str">
        <f aca="false">IF(ISBLANK(B747),"",B747&amp;"|"&amp;C747)</f>
        <v/>
      </c>
      <c r="B747" s="130"/>
      <c r="C747" s="130"/>
      <c r="D747" s="130"/>
      <c r="E747" s="136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</row>
    <row r="748" customFormat="false" ht="15.75" hidden="false" customHeight="false" outlineLevel="0" collapsed="false">
      <c r="A748" s="130" t="str">
        <f aca="false">IF(ISBLANK(B748),"",B748&amp;"|"&amp;C748)</f>
        <v/>
      </c>
      <c r="B748" s="130"/>
      <c r="C748" s="130"/>
      <c r="D748" s="130"/>
      <c r="E748" s="136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</row>
    <row r="749" customFormat="false" ht="15.75" hidden="false" customHeight="false" outlineLevel="0" collapsed="false">
      <c r="A749" s="130" t="str">
        <f aca="false">IF(ISBLANK(B749),"",B749&amp;"|"&amp;C749)</f>
        <v/>
      </c>
      <c r="B749" s="130"/>
      <c r="C749" s="130"/>
      <c r="D749" s="130"/>
      <c r="E749" s="136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</row>
    <row r="750" customFormat="false" ht="15.75" hidden="false" customHeight="false" outlineLevel="0" collapsed="false">
      <c r="A750" s="130" t="str">
        <f aca="false">IF(ISBLANK(B750),"",B750&amp;"|"&amp;C750)</f>
        <v/>
      </c>
      <c r="B750" s="130"/>
      <c r="C750" s="130"/>
      <c r="D750" s="130"/>
      <c r="E750" s="136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</row>
    <row r="751" customFormat="false" ht="15.75" hidden="false" customHeight="false" outlineLevel="0" collapsed="false">
      <c r="A751" s="130" t="str">
        <f aca="false">IF(ISBLANK(B751),"",B751&amp;"|"&amp;C751)</f>
        <v/>
      </c>
      <c r="B751" s="130"/>
      <c r="C751" s="130"/>
      <c r="D751" s="130"/>
      <c r="E751" s="136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</row>
    <row r="752" customFormat="false" ht="15.75" hidden="false" customHeight="false" outlineLevel="0" collapsed="false">
      <c r="A752" s="130" t="str">
        <f aca="false">IF(ISBLANK(B752),"",B752&amp;"|"&amp;C752)</f>
        <v/>
      </c>
      <c r="B752" s="130"/>
      <c r="C752" s="130"/>
      <c r="D752" s="130"/>
      <c r="E752" s="136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</row>
    <row r="753" customFormat="false" ht="15.75" hidden="false" customHeight="false" outlineLevel="0" collapsed="false">
      <c r="A753" s="130" t="str">
        <f aca="false">IF(ISBLANK(B753),"",B753&amp;"|"&amp;C753)</f>
        <v/>
      </c>
      <c r="B753" s="130"/>
      <c r="C753" s="130"/>
      <c r="D753" s="130"/>
      <c r="E753" s="136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</row>
    <row r="754" customFormat="false" ht="15.75" hidden="false" customHeight="false" outlineLevel="0" collapsed="false">
      <c r="A754" s="130" t="str">
        <f aca="false">IF(ISBLANK(B754),"",B754&amp;"|"&amp;C754)</f>
        <v/>
      </c>
      <c r="B754" s="130"/>
      <c r="C754" s="130"/>
      <c r="D754" s="130"/>
      <c r="E754" s="136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</row>
    <row r="755" customFormat="false" ht="15.75" hidden="false" customHeight="false" outlineLevel="0" collapsed="false">
      <c r="A755" s="130" t="str">
        <f aca="false">IF(ISBLANK(B755),"",B755&amp;"|"&amp;C755)</f>
        <v/>
      </c>
      <c r="B755" s="130"/>
      <c r="C755" s="130"/>
      <c r="D755" s="130"/>
      <c r="E755" s="136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</row>
    <row r="756" customFormat="false" ht="15.75" hidden="false" customHeight="false" outlineLevel="0" collapsed="false">
      <c r="A756" s="130" t="str">
        <f aca="false">IF(ISBLANK(B756),"",B756&amp;"|"&amp;C756)</f>
        <v/>
      </c>
      <c r="B756" s="130"/>
      <c r="C756" s="130"/>
      <c r="D756" s="130"/>
      <c r="E756" s="136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</row>
    <row r="757" customFormat="false" ht="15.75" hidden="false" customHeight="false" outlineLevel="0" collapsed="false">
      <c r="A757" s="130" t="str">
        <f aca="false">IF(ISBLANK(B757),"",B757&amp;"|"&amp;C757)</f>
        <v/>
      </c>
      <c r="B757" s="130"/>
      <c r="C757" s="130"/>
      <c r="D757" s="130"/>
      <c r="E757" s="136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</row>
    <row r="758" customFormat="false" ht="15.75" hidden="false" customHeight="false" outlineLevel="0" collapsed="false">
      <c r="A758" s="130" t="str">
        <f aca="false">IF(ISBLANK(B758),"",B758&amp;"|"&amp;C758)</f>
        <v/>
      </c>
      <c r="B758" s="130"/>
      <c r="C758" s="130"/>
      <c r="D758" s="130"/>
      <c r="E758" s="136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</row>
    <row r="759" customFormat="false" ht="15.75" hidden="false" customHeight="false" outlineLevel="0" collapsed="false">
      <c r="A759" s="130" t="str">
        <f aca="false">IF(ISBLANK(B759),"",B759&amp;"|"&amp;C759)</f>
        <v/>
      </c>
      <c r="B759" s="130"/>
      <c r="C759" s="130"/>
      <c r="D759" s="130"/>
      <c r="E759" s="136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</row>
    <row r="760" customFormat="false" ht="15.75" hidden="false" customHeight="false" outlineLevel="0" collapsed="false">
      <c r="A760" s="130" t="str">
        <f aca="false">IF(ISBLANK(B760),"",B760&amp;"|"&amp;C760)</f>
        <v/>
      </c>
      <c r="B760" s="130"/>
      <c r="C760" s="130"/>
      <c r="D760" s="130"/>
      <c r="E760" s="136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</row>
    <row r="761" customFormat="false" ht="15.75" hidden="false" customHeight="false" outlineLevel="0" collapsed="false">
      <c r="A761" s="130" t="str">
        <f aca="false">IF(ISBLANK(B761),"",B761&amp;"|"&amp;C761)</f>
        <v/>
      </c>
      <c r="B761" s="130"/>
      <c r="C761" s="130"/>
      <c r="D761" s="130"/>
      <c r="E761" s="136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</row>
    <row r="762" customFormat="false" ht="15.75" hidden="false" customHeight="false" outlineLevel="0" collapsed="false">
      <c r="A762" s="130" t="str">
        <f aca="false">IF(ISBLANK(B762),"",B762&amp;"|"&amp;C762)</f>
        <v/>
      </c>
      <c r="B762" s="130"/>
      <c r="C762" s="130"/>
      <c r="D762" s="130"/>
      <c r="E762" s="136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</row>
    <row r="763" customFormat="false" ht="15.75" hidden="false" customHeight="false" outlineLevel="0" collapsed="false">
      <c r="A763" s="130" t="str">
        <f aca="false">IF(ISBLANK(B763),"",B763&amp;"|"&amp;C763)</f>
        <v/>
      </c>
      <c r="B763" s="130"/>
      <c r="C763" s="130"/>
      <c r="D763" s="130"/>
      <c r="E763" s="136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</row>
    <row r="764" customFormat="false" ht="15.75" hidden="false" customHeight="false" outlineLevel="0" collapsed="false">
      <c r="A764" s="130" t="str">
        <f aca="false">IF(ISBLANK(B764),"",B764&amp;"|"&amp;C764)</f>
        <v/>
      </c>
      <c r="B764" s="130"/>
      <c r="C764" s="130"/>
      <c r="D764" s="130"/>
      <c r="E764" s="136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</row>
    <row r="765" customFormat="false" ht="15.75" hidden="false" customHeight="false" outlineLevel="0" collapsed="false">
      <c r="A765" s="130" t="str">
        <f aca="false">IF(ISBLANK(B765),"",B765&amp;"|"&amp;C765)</f>
        <v/>
      </c>
      <c r="B765" s="130"/>
      <c r="C765" s="130"/>
      <c r="D765" s="130"/>
      <c r="E765" s="136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</row>
    <row r="766" customFormat="false" ht="15.75" hidden="false" customHeight="false" outlineLevel="0" collapsed="false">
      <c r="A766" s="130" t="str">
        <f aca="false">IF(ISBLANK(B766),"",B766&amp;"|"&amp;C766)</f>
        <v/>
      </c>
      <c r="B766" s="130"/>
      <c r="C766" s="130"/>
      <c r="D766" s="130"/>
      <c r="E766" s="136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</row>
    <row r="767" customFormat="false" ht="15.75" hidden="false" customHeight="false" outlineLevel="0" collapsed="false">
      <c r="A767" s="130" t="str">
        <f aca="false">IF(ISBLANK(B767),"",B767&amp;"|"&amp;C767)</f>
        <v/>
      </c>
      <c r="B767" s="130"/>
      <c r="C767" s="130"/>
      <c r="D767" s="130"/>
      <c r="E767" s="136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</row>
    <row r="768" customFormat="false" ht="15.75" hidden="false" customHeight="false" outlineLevel="0" collapsed="false">
      <c r="A768" s="130" t="str">
        <f aca="false">IF(ISBLANK(B768),"",B768&amp;"|"&amp;C768)</f>
        <v/>
      </c>
      <c r="B768" s="130"/>
      <c r="C768" s="130"/>
      <c r="D768" s="130"/>
      <c r="E768" s="136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</row>
    <row r="769" customFormat="false" ht="15.75" hidden="false" customHeight="false" outlineLevel="0" collapsed="false">
      <c r="A769" s="130" t="str">
        <f aca="false">IF(ISBLANK(B769),"",B769&amp;"|"&amp;C769)</f>
        <v/>
      </c>
      <c r="B769" s="130"/>
      <c r="C769" s="130"/>
      <c r="D769" s="130"/>
      <c r="E769" s="136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</row>
    <row r="770" customFormat="false" ht="15.75" hidden="false" customHeight="false" outlineLevel="0" collapsed="false">
      <c r="A770" s="130" t="str">
        <f aca="false">IF(ISBLANK(B770),"",B770&amp;"|"&amp;C770)</f>
        <v/>
      </c>
      <c r="B770" s="130"/>
      <c r="C770" s="130"/>
      <c r="D770" s="130"/>
      <c r="E770" s="136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</row>
    <row r="771" customFormat="false" ht="15.75" hidden="false" customHeight="false" outlineLevel="0" collapsed="false">
      <c r="A771" s="130" t="str">
        <f aca="false">IF(ISBLANK(B771),"",B771&amp;"|"&amp;C771)</f>
        <v/>
      </c>
      <c r="B771" s="130"/>
      <c r="C771" s="130"/>
      <c r="D771" s="130"/>
      <c r="E771" s="136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</row>
    <row r="772" customFormat="false" ht="15.75" hidden="false" customHeight="false" outlineLevel="0" collapsed="false">
      <c r="A772" s="130" t="str">
        <f aca="false">IF(ISBLANK(B772),"",B772&amp;"|"&amp;C772)</f>
        <v/>
      </c>
      <c r="B772" s="130"/>
      <c r="C772" s="130"/>
      <c r="D772" s="130"/>
      <c r="E772" s="136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</row>
    <row r="773" customFormat="false" ht="15.75" hidden="false" customHeight="false" outlineLevel="0" collapsed="false">
      <c r="A773" s="130" t="str">
        <f aca="false">IF(ISBLANK(B773),"",B773&amp;"|"&amp;C773)</f>
        <v/>
      </c>
      <c r="B773" s="130"/>
      <c r="C773" s="130"/>
      <c r="D773" s="130"/>
      <c r="E773" s="136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</row>
    <row r="774" customFormat="false" ht="15.75" hidden="false" customHeight="false" outlineLevel="0" collapsed="false">
      <c r="A774" s="130" t="str">
        <f aca="false">IF(ISBLANK(B774),"",B774&amp;"|"&amp;C774)</f>
        <v/>
      </c>
      <c r="B774" s="130"/>
      <c r="C774" s="130"/>
      <c r="D774" s="130"/>
      <c r="E774" s="136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</row>
    <row r="775" customFormat="false" ht="15.75" hidden="false" customHeight="false" outlineLevel="0" collapsed="false">
      <c r="A775" s="130" t="str">
        <f aca="false">IF(ISBLANK(B775),"",B775&amp;"|"&amp;C775)</f>
        <v/>
      </c>
      <c r="B775" s="130"/>
      <c r="C775" s="130"/>
      <c r="D775" s="130"/>
      <c r="E775" s="136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</row>
    <row r="776" customFormat="false" ht="15.75" hidden="false" customHeight="false" outlineLevel="0" collapsed="false">
      <c r="A776" s="130" t="str">
        <f aca="false">IF(ISBLANK(B776),"",B776&amp;"|"&amp;C776)</f>
        <v/>
      </c>
      <c r="B776" s="130"/>
      <c r="C776" s="130"/>
      <c r="D776" s="130"/>
      <c r="E776" s="136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</row>
    <row r="777" customFormat="false" ht="15.75" hidden="false" customHeight="false" outlineLevel="0" collapsed="false">
      <c r="A777" s="130" t="str">
        <f aca="false">IF(ISBLANK(B777),"",B777&amp;"|"&amp;C777)</f>
        <v/>
      </c>
      <c r="B777" s="130"/>
      <c r="C777" s="130"/>
      <c r="D777" s="130"/>
      <c r="E777" s="136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</row>
    <row r="778" customFormat="false" ht="15.75" hidden="false" customHeight="false" outlineLevel="0" collapsed="false">
      <c r="A778" s="130" t="str">
        <f aca="false">IF(ISBLANK(B778),"",B778&amp;"|"&amp;C778)</f>
        <v/>
      </c>
      <c r="B778" s="130"/>
      <c r="C778" s="130"/>
      <c r="D778" s="130"/>
      <c r="E778" s="136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</row>
    <row r="779" customFormat="false" ht="15.75" hidden="false" customHeight="false" outlineLevel="0" collapsed="false">
      <c r="A779" s="130" t="str">
        <f aca="false">IF(ISBLANK(B779),"",B779&amp;"|"&amp;C779)</f>
        <v/>
      </c>
      <c r="B779" s="130"/>
      <c r="C779" s="130"/>
      <c r="D779" s="130"/>
      <c r="E779" s="136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</row>
    <row r="780" customFormat="false" ht="15.75" hidden="false" customHeight="false" outlineLevel="0" collapsed="false">
      <c r="A780" s="130" t="str">
        <f aca="false">IF(ISBLANK(B780),"",B780&amp;"|"&amp;C780)</f>
        <v/>
      </c>
      <c r="B780" s="130"/>
      <c r="C780" s="130"/>
      <c r="D780" s="130"/>
      <c r="E780" s="136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</row>
    <row r="781" customFormat="false" ht="15.75" hidden="false" customHeight="false" outlineLevel="0" collapsed="false">
      <c r="A781" s="130" t="str">
        <f aca="false">IF(ISBLANK(B781),"",B781&amp;"|"&amp;C781)</f>
        <v/>
      </c>
      <c r="B781" s="130"/>
      <c r="C781" s="130"/>
      <c r="D781" s="130"/>
      <c r="E781" s="136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</row>
    <row r="782" customFormat="false" ht="15.75" hidden="false" customHeight="false" outlineLevel="0" collapsed="false">
      <c r="A782" s="130" t="str">
        <f aca="false">IF(ISBLANK(B782),"",B782&amp;"|"&amp;C782)</f>
        <v/>
      </c>
      <c r="B782" s="130"/>
      <c r="C782" s="130"/>
      <c r="D782" s="130"/>
      <c r="E782" s="136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</row>
    <row r="783" customFormat="false" ht="15.75" hidden="false" customHeight="false" outlineLevel="0" collapsed="false">
      <c r="A783" s="130" t="str">
        <f aca="false">IF(ISBLANK(B783),"",B783&amp;"|"&amp;C783)</f>
        <v/>
      </c>
      <c r="B783" s="130"/>
      <c r="C783" s="130"/>
      <c r="D783" s="130"/>
      <c r="E783" s="136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</row>
    <row r="784" customFormat="false" ht="15.75" hidden="false" customHeight="false" outlineLevel="0" collapsed="false">
      <c r="A784" s="130" t="str">
        <f aca="false">IF(ISBLANK(B784),"",B784&amp;"|"&amp;C784)</f>
        <v/>
      </c>
      <c r="B784" s="130"/>
      <c r="C784" s="130"/>
      <c r="D784" s="130"/>
      <c r="E784" s="136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</row>
    <row r="785" customFormat="false" ht="15.75" hidden="false" customHeight="false" outlineLevel="0" collapsed="false">
      <c r="A785" s="130" t="str">
        <f aca="false">IF(ISBLANK(B785),"",B785&amp;"|"&amp;C785)</f>
        <v/>
      </c>
      <c r="B785" s="130"/>
      <c r="C785" s="130"/>
      <c r="D785" s="130"/>
      <c r="E785" s="136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</row>
    <row r="786" customFormat="false" ht="15.75" hidden="false" customHeight="false" outlineLevel="0" collapsed="false">
      <c r="A786" s="130" t="str">
        <f aca="false">IF(ISBLANK(B786),"",B786&amp;"|"&amp;C786)</f>
        <v/>
      </c>
      <c r="B786" s="130"/>
      <c r="C786" s="130"/>
      <c r="D786" s="130"/>
      <c r="E786" s="136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</row>
    <row r="787" customFormat="false" ht="15.75" hidden="false" customHeight="false" outlineLevel="0" collapsed="false">
      <c r="A787" s="130" t="str">
        <f aca="false">IF(ISBLANK(B787),"",B787&amp;"|"&amp;C787)</f>
        <v/>
      </c>
      <c r="B787" s="130"/>
      <c r="C787" s="130"/>
      <c r="D787" s="130"/>
      <c r="E787" s="136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</row>
    <row r="788" customFormat="false" ht="15.75" hidden="false" customHeight="false" outlineLevel="0" collapsed="false">
      <c r="A788" s="130" t="str">
        <f aca="false">IF(ISBLANK(B788),"",B788&amp;"|"&amp;C788)</f>
        <v/>
      </c>
      <c r="B788" s="130"/>
      <c r="C788" s="130"/>
      <c r="D788" s="130"/>
      <c r="E788" s="136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</row>
    <row r="789" customFormat="false" ht="15.75" hidden="false" customHeight="false" outlineLevel="0" collapsed="false">
      <c r="A789" s="130" t="str">
        <f aca="false">IF(ISBLANK(B789),"",B789&amp;"|"&amp;C789)</f>
        <v/>
      </c>
      <c r="B789" s="130"/>
      <c r="C789" s="130"/>
      <c r="D789" s="130"/>
      <c r="E789" s="136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</row>
    <row r="790" customFormat="false" ht="15.75" hidden="false" customHeight="false" outlineLevel="0" collapsed="false">
      <c r="A790" s="130" t="str">
        <f aca="false">IF(ISBLANK(B790),"",B790&amp;"|"&amp;C790)</f>
        <v/>
      </c>
      <c r="B790" s="130"/>
      <c r="C790" s="130"/>
      <c r="D790" s="130"/>
      <c r="E790" s="136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</row>
    <row r="791" customFormat="false" ht="15.75" hidden="false" customHeight="false" outlineLevel="0" collapsed="false">
      <c r="A791" s="130" t="str">
        <f aca="false">IF(ISBLANK(B791),"",B791&amp;"|"&amp;C791)</f>
        <v/>
      </c>
      <c r="B791" s="130"/>
      <c r="C791" s="130"/>
      <c r="D791" s="130"/>
      <c r="E791" s="136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</row>
    <row r="792" customFormat="false" ht="15.75" hidden="false" customHeight="false" outlineLevel="0" collapsed="false">
      <c r="A792" s="130" t="str">
        <f aca="false">IF(ISBLANK(B792),"",B792&amp;"|"&amp;C792)</f>
        <v/>
      </c>
      <c r="B792" s="130"/>
      <c r="C792" s="130"/>
      <c r="D792" s="130"/>
      <c r="E792" s="136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</row>
    <row r="793" customFormat="false" ht="15.75" hidden="false" customHeight="false" outlineLevel="0" collapsed="false">
      <c r="A793" s="130" t="str">
        <f aca="false">IF(ISBLANK(B793),"",B793&amp;"|"&amp;C793)</f>
        <v/>
      </c>
      <c r="B793" s="130"/>
      <c r="C793" s="130"/>
      <c r="D793" s="130"/>
      <c r="E793" s="136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</row>
    <row r="794" customFormat="false" ht="15.75" hidden="false" customHeight="false" outlineLevel="0" collapsed="false">
      <c r="A794" s="130" t="str">
        <f aca="false">IF(ISBLANK(B794),"",B794&amp;"|"&amp;C794)</f>
        <v/>
      </c>
      <c r="B794" s="130"/>
      <c r="C794" s="130"/>
      <c r="D794" s="130"/>
      <c r="E794" s="136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</row>
    <row r="795" customFormat="false" ht="15.75" hidden="false" customHeight="false" outlineLevel="0" collapsed="false">
      <c r="A795" s="130" t="str">
        <f aca="false">IF(ISBLANK(B795),"",B795&amp;"|"&amp;C795)</f>
        <v/>
      </c>
      <c r="B795" s="130"/>
      <c r="C795" s="130"/>
      <c r="D795" s="130"/>
      <c r="E795" s="136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</row>
    <row r="796" customFormat="false" ht="15.75" hidden="false" customHeight="false" outlineLevel="0" collapsed="false">
      <c r="A796" s="130" t="str">
        <f aca="false">IF(ISBLANK(B796),"",B796&amp;"|"&amp;C796)</f>
        <v/>
      </c>
      <c r="B796" s="130"/>
      <c r="C796" s="130"/>
      <c r="D796" s="130"/>
      <c r="E796" s="136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</row>
    <row r="797" customFormat="false" ht="15.75" hidden="false" customHeight="false" outlineLevel="0" collapsed="false">
      <c r="A797" s="130" t="str">
        <f aca="false">IF(ISBLANK(B797),"",B797&amp;"|"&amp;C797)</f>
        <v/>
      </c>
      <c r="B797" s="130"/>
      <c r="C797" s="130"/>
      <c r="D797" s="130"/>
      <c r="E797" s="136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</row>
    <row r="798" customFormat="false" ht="15.75" hidden="false" customHeight="false" outlineLevel="0" collapsed="false">
      <c r="A798" s="130" t="str">
        <f aca="false">IF(ISBLANK(B798),"",B798&amp;"|"&amp;C798)</f>
        <v/>
      </c>
      <c r="B798" s="130"/>
      <c r="C798" s="130"/>
      <c r="D798" s="130"/>
      <c r="E798" s="136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</row>
    <row r="799" customFormat="false" ht="15.75" hidden="false" customHeight="false" outlineLevel="0" collapsed="false">
      <c r="A799" s="130" t="str">
        <f aca="false">IF(ISBLANK(B799),"",B799&amp;"|"&amp;C799)</f>
        <v/>
      </c>
      <c r="B799" s="130"/>
      <c r="C799" s="130"/>
      <c r="D799" s="130"/>
      <c r="E799" s="136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</row>
    <row r="800" customFormat="false" ht="15.75" hidden="false" customHeight="false" outlineLevel="0" collapsed="false">
      <c r="A800" s="130" t="str">
        <f aca="false">IF(ISBLANK(B800),"",B800&amp;"|"&amp;C800)</f>
        <v/>
      </c>
      <c r="B800" s="130"/>
      <c r="C800" s="130"/>
      <c r="D800" s="130"/>
      <c r="E800" s="136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</row>
    <row r="801" customFormat="false" ht="15.75" hidden="false" customHeight="false" outlineLevel="0" collapsed="false">
      <c r="A801" s="130" t="str">
        <f aca="false">IF(ISBLANK(B801),"",B801&amp;"|"&amp;C801)</f>
        <v/>
      </c>
      <c r="B801" s="130"/>
      <c r="C801" s="130"/>
      <c r="D801" s="130"/>
      <c r="E801" s="136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</row>
    <row r="802" customFormat="false" ht="15.75" hidden="false" customHeight="false" outlineLevel="0" collapsed="false">
      <c r="A802" s="130" t="str">
        <f aca="false">IF(ISBLANK(B802),"",B802&amp;"|"&amp;C802)</f>
        <v/>
      </c>
      <c r="B802" s="130"/>
      <c r="C802" s="130"/>
      <c r="D802" s="130"/>
      <c r="E802" s="136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</row>
    <row r="803" customFormat="false" ht="15.75" hidden="false" customHeight="false" outlineLevel="0" collapsed="false">
      <c r="A803" s="130" t="str">
        <f aca="false">IF(ISBLANK(B803),"",B803&amp;"|"&amp;C803)</f>
        <v/>
      </c>
      <c r="B803" s="130"/>
      <c r="C803" s="130"/>
      <c r="D803" s="130"/>
      <c r="E803" s="136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</row>
    <row r="804" customFormat="false" ht="15.75" hidden="false" customHeight="false" outlineLevel="0" collapsed="false">
      <c r="A804" s="130" t="str">
        <f aca="false">IF(ISBLANK(B804),"",B804&amp;"|"&amp;C804)</f>
        <v/>
      </c>
      <c r="B804" s="130"/>
      <c r="C804" s="130"/>
      <c r="D804" s="130"/>
      <c r="E804" s="136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</row>
    <row r="805" customFormat="false" ht="15.75" hidden="false" customHeight="false" outlineLevel="0" collapsed="false">
      <c r="A805" s="130" t="str">
        <f aca="false">IF(ISBLANK(B805),"",B805&amp;"|"&amp;C805)</f>
        <v/>
      </c>
      <c r="B805" s="130"/>
      <c r="C805" s="130"/>
      <c r="D805" s="130"/>
      <c r="E805" s="136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</row>
    <row r="806" customFormat="false" ht="15.75" hidden="false" customHeight="false" outlineLevel="0" collapsed="false">
      <c r="A806" s="130" t="str">
        <f aca="false">IF(ISBLANK(B806),"",B806&amp;"|"&amp;C806)</f>
        <v/>
      </c>
      <c r="B806" s="130"/>
      <c r="C806" s="130"/>
      <c r="D806" s="130"/>
      <c r="E806" s="136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</row>
    <row r="807" customFormat="false" ht="15.75" hidden="false" customHeight="false" outlineLevel="0" collapsed="false">
      <c r="A807" s="130" t="str">
        <f aca="false">IF(ISBLANK(B807),"",B807&amp;"|"&amp;C807)</f>
        <v/>
      </c>
      <c r="B807" s="130"/>
      <c r="C807" s="130"/>
      <c r="D807" s="130"/>
      <c r="E807" s="136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</row>
    <row r="808" customFormat="false" ht="15.75" hidden="false" customHeight="false" outlineLevel="0" collapsed="false">
      <c r="A808" s="130" t="str">
        <f aca="false">IF(ISBLANK(B808),"",B808&amp;"|"&amp;C808)</f>
        <v/>
      </c>
      <c r="B808" s="130"/>
      <c r="C808" s="130"/>
      <c r="D808" s="130"/>
      <c r="E808" s="136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</row>
    <row r="809" customFormat="false" ht="15.75" hidden="false" customHeight="false" outlineLevel="0" collapsed="false">
      <c r="A809" s="130" t="str">
        <f aca="false">IF(ISBLANK(B809),"",B809&amp;"|"&amp;C809)</f>
        <v/>
      </c>
      <c r="B809" s="130"/>
      <c r="C809" s="130"/>
      <c r="D809" s="130"/>
      <c r="E809" s="136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</row>
    <row r="810" customFormat="false" ht="15.75" hidden="false" customHeight="false" outlineLevel="0" collapsed="false">
      <c r="A810" s="130" t="str">
        <f aca="false">IF(ISBLANK(B810),"",B810&amp;"|"&amp;C810)</f>
        <v/>
      </c>
      <c r="B810" s="130"/>
      <c r="C810" s="130"/>
      <c r="D810" s="130"/>
      <c r="E810" s="136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</row>
    <row r="811" customFormat="false" ht="15.75" hidden="false" customHeight="false" outlineLevel="0" collapsed="false">
      <c r="A811" s="130" t="str">
        <f aca="false">IF(ISBLANK(B811),"",B811&amp;"|"&amp;C811)</f>
        <v/>
      </c>
      <c r="B811" s="130"/>
      <c r="C811" s="130"/>
      <c r="D811" s="130"/>
      <c r="E811" s="136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</row>
    <row r="812" customFormat="false" ht="15.75" hidden="false" customHeight="false" outlineLevel="0" collapsed="false">
      <c r="A812" s="130" t="str">
        <f aca="false">IF(ISBLANK(B812),"",B812&amp;"|"&amp;C812)</f>
        <v/>
      </c>
      <c r="B812" s="130"/>
      <c r="C812" s="130"/>
      <c r="D812" s="130"/>
      <c r="E812" s="136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</row>
    <row r="813" customFormat="false" ht="15.75" hidden="false" customHeight="false" outlineLevel="0" collapsed="false">
      <c r="A813" s="130" t="str">
        <f aca="false">IF(ISBLANK(B813),"",B813&amp;"|"&amp;C813)</f>
        <v/>
      </c>
      <c r="B813" s="130"/>
      <c r="C813" s="130"/>
      <c r="D813" s="130"/>
      <c r="E813" s="136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</row>
    <row r="814" customFormat="false" ht="15.75" hidden="false" customHeight="false" outlineLevel="0" collapsed="false">
      <c r="A814" s="130" t="str">
        <f aca="false">IF(ISBLANK(B814),"",B814&amp;"|"&amp;C814)</f>
        <v/>
      </c>
      <c r="B814" s="130"/>
      <c r="C814" s="130"/>
      <c r="D814" s="130"/>
      <c r="E814" s="136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</row>
    <row r="815" customFormat="false" ht="15.75" hidden="false" customHeight="false" outlineLevel="0" collapsed="false">
      <c r="A815" s="130" t="str">
        <f aca="false">IF(ISBLANK(B815),"",B815&amp;"|"&amp;C815)</f>
        <v/>
      </c>
      <c r="B815" s="130"/>
      <c r="C815" s="130"/>
      <c r="D815" s="130"/>
      <c r="E815" s="136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</row>
    <row r="816" customFormat="false" ht="15.75" hidden="false" customHeight="false" outlineLevel="0" collapsed="false">
      <c r="A816" s="130" t="str">
        <f aca="false">IF(ISBLANK(B816),"",B816&amp;"|"&amp;C816)</f>
        <v/>
      </c>
      <c r="B816" s="130"/>
      <c r="C816" s="130"/>
      <c r="D816" s="130"/>
      <c r="E816" s="136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</row>
    <row r="817" customFormat="false" ht="15.75" hidden="false" customHeight="false" outlineLevel="0" collapsed="false">
      <c r="A817" s="130" t="str">
        <f aca="false">IF(ISBLANK(B817),"",B817&amp;"|"&amp;C817)</f>
        <v/>
      </c>
      <c r="B817" s="130"/>
      <c r="C817" s="130"/>
      <c r="D817" s="130"/>
      <c r="E817" s="136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</row>
    <row r="818" customFormat="false" ht="15.75" hidden="false" customHeight="false" outlineLevel="0" collapsed="false">
      <c r="A818" s="130" t="str">
        <f aca="false">IF(ISBLANK(B818),"",B818&amp;"|"&amp;C818)</f>
        <v/>
      </c>
      <c r="B818" s="130"/>
      <c r="C818" s="130"/>
      <c r="D818" s="130"/>
      <c r="E818" s="136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</row>
    <row r="819" customFormat="false" ht="15.75" hidden="false" customHeight="false" outlineLevel="0" collapsed="false">
      <c r="A819" s="130" t="str">
        <f aca="false">IF(ISBLANK(B819),"",B819&amp;"|"&amp;C819)</f>
        <v/>
      </c>
      <c r="B819" s="130"/>
      <c r="C819" s="130"/>
      <c r="D819" s="130"/>
      <c r="E819" s="136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</row>
    <row r="820" customFormat="false" ht="15.75" hidden="false" customHeight="false" outlineLevel="0" collapsed="false">
      <c r="A820" s="130" t="str">
        <f aca="false">IF(ISBLANK(B820),"",B820&amp;"|"&amp;C820)</f>
        <v/>
      </c>
      <c r="B820" s="130"/>
      <c r="C820" s="130"/>
      <c r="D820" s="130"/>
      <c r="E820" s="136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</row>
    <row r="821" customFormat="false" ht="15.75" hidden="false" customHeight="false" outlineLevel="0" collapsed="false">
      <c r="A821" s="130" t="str">
        <f aca="false">IF(ISBLANK(B821),"",B821&amp;"|"&amp;C821)</f>
        <v/>
      </c>
      <c r="B821" s="130"/>
      <c r="C821" s="130"/>
      <c r="D821" s="130"/>
      <c r="E821" s="136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</row>
    <row r="822" customFormat="false" ht="15.75" hidden="false" customHeight="false" outlineLevel="0" collapsed="false">
      <c r="A822" s="130" t="str">
        <f aca="false">IF(ISBLANK(B822),"",B822&amp;"|"&amp;C822)</f>
        <v/>
      </c>
      <c r="B822" s="130"/>
      <c r="C822" s="130"/>
      <c r="D822" s="130"/>
      <c r="E822" s="136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</row>
    <row r="823" customFormat="false" ht="15.75" hidden="false" customHeight="false" outlineLevel="0" collapsed="false">
      <c r="A823" s="130" t="str">
        <f aca="false">IF(ISBLANK(B823),"",B823&amp;"|"&amp;C823)</f>
        <v/>
      </c>
      <c r="B823" s="130"/>
      <c r="C823" s="130"/>
      <c r="D823" s="130"/>
      <c r="E823" s="136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</row>
    <row r="824" customFormat="false" ht="15.75" hidden="false" customHeight="false" outlineLevel="0" collapsed="false">
      <c r="A824" s="130" t="str">
        <f aca="false">IF(ISBLANK(B824),"",B824&amp;"|"&amp;C824)</f>
        <v/>
      </c>
      <c r="B824" s="130"/>
      <c r="C824" s="130"/>
      <c r="D824" s="130"/>
      <c r="E824" s="136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</row>
    <row r="825" customFormat="false" ht="15.75" hidden="false" customHeight="false" outlineLevel="0" collapsed="false">
      <c r="A825" s="130" t="str">
        <f aca="false">IF(ISBLANK(B825),"",B825&amp;"|"&amp;C825)</f>
        <v/>
      </c>
      <c r="B825" s="130"/>
      <c r="C825" s="130"/>
      <c r="D825" s="130"/>
      <c r="E825" s="136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</row>
    <row r="826" customFormat="false" ht="15.75" hidden="false" customHeight="false" outlineLevel="0" collapsed="false">
      <c r="A826" s="130" t="str">
        <f aca="false">IF(ISBLANK(B826),"",B826&amp;"|"&amp;C826)</f>
        <v/>
      </c>
      <c r="B826" s="130"/>
      <c r="C826" s="130"/>
      <c r="D826" s="130"/>
      <c r="E826" s="136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</row>
    <row r="827" customFormat="false" ht="15.75" hidden="false" customHeight="false" outlineLevel="0" collapsed="false">
      <c r="A827" s="130" t="str">
        <f aca="false">IF(ISBLANK(B827),"",B827&amp;"|"&amp;C827)</f>
        <v/>
      </c>
      <c r="B827" s="130"/>
      <c r="C827" s="130"/>
      <c r="D827" s="130"/>
      <c r="E827" s="136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</row>
    <row r="828" customFormat="false" ht="15.75" hidden="false" customHeight="false" outlineLevel="0" collapsed="false">
      <c r="A828" s="130" t="str">
        <f aca="false">IF(ISBLANK(B828),"",B828&amp;"|"&amp;C828)</f>
        <v/>
      </c>
      <c r="B828" s="130"/>
      <c r="C828" s="130"/>
      <c r="D828" s="130"/>
      <c r="E828" s="136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</row>
    <row r="829" customFormat="false" ht="15.75" hidden="false" customHeight="false" outlineLevel="0" collapsed="false">
      <c r="A829" s="130" t="str">
        <f aca="false">IF(ISBLANK(B829),"",B829&amp;"|"&amp;C829)</f>
        <v/>
      </c>
      <c r="B829" s="130"/>
      <c r="C829" s="130"/>
      <c r="D829" s="130"/>
      <c r="E829" s="136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</row>
    <row r="830" customFormat="false" ht="15.75" hidden="false" customHeight="false" outlineLevel="0" collapsed="false">
      <c r="A830" s="130" t="str">
        <f aca="false">IF(ISBLANK(B830),"",B830&amp;"|"&amp;C830)</f>
        <v/>
      </c>
      <c r="B830" s="130"/>
      <c r="C830" s="130"/>
      <c r="D830" s="130"/>
      <c r="E830" s="136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</row>
    <row r="831" customFormat="false" ht="15.75" hidden="false" customHeight="false" outlineLevel="0" collapsed="false">
      <c r="A831" s="130" t="str">
        <f aca="false">IF(ISBLANK(B831),"",B831&amp;"|"&amp;C831)</f>
        <v/>
      </c>
      <c r="B831" s="130"/>
      <c r="C831" s="130"/>
      <c r="D831" s="130"/>
      <c r="E831" s="136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</row>
    <row r="832" customFormat="false" ht="15.75" hidden="false" customHeight="false" outlineLevel="0" collapsed="false">
      <c r="A832" s="130" t="str">
        <f aca="false">IF(ISBLANK(B832),"",B832&amp;"|"&amp;C832)</f>
        <v/>
      </c>
      <c r="B832" s="130"/>
      <c r="C832" s="130"/>
      <c r="D832" s="130"/>
      <c r="E832" s="136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</row>
    <row r="833" customFormat="false" ht="15.75" hidden="false" customHeight="false" outlineLevel="0" collapsed="false">
      <c r="A833" s="130" t="str">
        <f aca="false">IF(ISBLANK(B833),"",B833&amp;"|"&amp;C833)</f>
        <v/>
      </c>
      <c r="B833" s="130"/>
      <c r="C833" s="130"/>
      <c r="D833" s="130"/>
      <c r="E833" s="136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</row>
    <row r="834" customFormat="false" ht="15.75" hidden="false" customHeight="false" outlineLevel="0" collapsed="false">
      <c r="A834" s="130" t="str">
        <f aca="false">IF(ISBLANK(B834),"",B834&amp;"|"&amp;C834)</f>
        <v/>
      </c>
      <c r="B834" s="130"/>
      <c r="C834" s="130"/>
      <c r="D834" s="130"/>
      <c r="E834" s="136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</row>
    <row r="835" customFormat="false" ht="15.75" hidden="false" customHeight="false" outlineLevel="0" collapsed="false">
      <c r="A835" s="130" t="str">
        <f aca="false">IF(ISBLANK(B835),"",B835&amp;"|"&amp;C835)</f>
        <v/>
      </c>
      <c r="B835" s="130"/>
      <c r="C835" s="130"/>
      <c r="D835" s="130"/>
      <c r="E835" s="136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</row>
    <row r="836" customFormat="false" ht="15.75" hidden="false" customHeight="false" outlineLevel="0" collapsed="false">
      <c r="A836" s="130" t="str">
        <f aca="false">IF(ISBLANK(B836),"",B836&amp;"|"&amp;C836)</f>
        <v/>
      </c>
      <c r="B836" s="130"/>
      <c r="C836" s="130"/>
      <c r="D836" s="130"/>
      <c r="E836" s="136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</row>
    <row r="837" customFormat="false" ht="15.75" hidden="false" customHeight="false" outlineLevel="0" collapsed="false">
      <c r="A837" s="130" t="str">
        <f aca="false">IF(ISBLANK(B837),"",B837&amp;"|"&amp;C837)</f>
        <v/>
      </c>
      <c r="B837" s="130"/>
      <c r="C837" s="130"/>
      <c r="D837" s="130"/>
      <c r="E837" s="136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</row>
    <row r="838" customFormat="false" ht="15.75" hidden="false" customHeight="false" outlineLevel="0" collapsed="false">
      <c r="A838" s="130" t="str">
        <f aca="false">IF(ISBLANK(B838),"",B838&amp;"|"&amp;C838)</f>
        <v/>
      </c>
      <c r="B838" s="130"/>
      <c r="C838" s="130"/>
      <c r="D838" s="130"/>
      <c r="E838" s="136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</row>
    <row r="839" customFormat="false" ht="15.75" hidden="false" customHeight="false" outlineLevel="0" collapsed="false">
      <c r="A839" s="130" t="str">
        <f aca="false">IF(ISBLANK(B839),"",B839&amp;"|"&amp;C839)</f>
        <v/>
      </c>
      <c r="B839" s="130"/>
      <c r="C839" s="130"/>
      <c r="D839" s="130"/>
      <c r="E839" s="136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</row>
    <row r="840" customFormat="false" ht="15.75" hidden="false" customHeight="false" outlineLevel="0" collapsed="false">
      <c r="A840" s="130" t="str">
        <f aca="false">IF(ISBLANK(B840),"",B840&amp;"|"&amp;C840)</f>
        <v/>
      </c>
      <c r="B840" s="130"/>
      <c r="C840" s="130"/>
      <c r="D840" s="130"/>
      <c r="E840" s="136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</row>
    <row r="841" customFormat="false" ht="15.75" hidden="false" customHeight="false" outlineLevel="0" collapsed="false">
      <c r="A841" s="130" t="str">
        <f aca="false">IF(ISBLANK(B841),"",B841&amp;"|"&amp;C841)</f>
        <v/>
      </c>
      <c r="B841" s="130"/>
      <c r="C841" s="130"/>
      <c r="D841" s="130"/>
      <c r="E841" s="136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</row>
    <row r="842" customFormat="false" ht="15.75" hidden="false" customHeight="false" outlineLevel="0" collapsed="false">
      <c r="A842" s="130" t="str">
        <f aca="false">IF(ISBLANK(B842),"",B842&amp;"|"&amp;C842)</f>
        <v/>
      </c>
      <c r="B842" s="130"/>
      <c r="C842" s="130"/>
      <c r="D842" s="130"/>
      <c r="E842" s="136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</row>
    <row r="843" customFormat="false" ht="15.75" hidden="false" customHeight="false" outlineLevel="0" collapsed="false">
      <c r="A843" s="130" t="str">
        <f aca="false">IF(ISBLANK(B843),"",B843&amp;"|"&amp;C843)</f>
        <v/>
      </c>
      <c r="B843" s="130"/>
      <c r="C843" s="130"/>
      <c r="D843" s="130"/>
      <c r="E843" s="136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</row>
    <row r="844" customFormat="false" ht="15.75" hidden="false" customHeight="false" outlineLevel="0" collapsed="false">
      <c r="A844" s="130" t="str">
        <f aca="false">IF(ISBLANK(B844),"",B844&amp;"|"&amp;C844)</f>
        <v/>
      </c>
      <c r="B844" s="130"/>
      <c r="C844" s="130"/>
      <c r="D844" s="130"/>
      <c r="E844" s="136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</row>
    <row r="845" customFormat="false" ht="15.75" hidden="false" customHeight="false" outlineLevel="0" collapsed="false">
      <c r="A845" s="130" t="str">
        <f aca="false">IF(ISBLANK(B845),"",B845&amp;"|"&amp;C845)</f>
        <v/>
      </c>
      <c r="B845" s="130"/>
      <c r="C845" s="130"/>
      <c r="D845" s="130"/>
      <c r="E845" s="136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</row>
    <row r="846" customFormat="false" ht="15.75" hidden="false" customHeight="false" outlineLevel="0" collapsed="false">
      <c r="A846" s="130" t="str">
        <f aca="false">IF(ISBLANK(B846),"",B846&amp;"|"&amp;C846)</f>
        <v/>
      </c>
      <c r="B846" s="130"/>
      <c r="C846" s="130"/>
      <c r="D846" s="130"/>
      <c r="E846" s="136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</row>
    <row r="847" customFormat="false" ht="15.75" hidden="false" customHeight="false" outlineLevel="0" collapsed="false">
      <c r="A847" s="130" t="str">
        <f aca="false">IF(ISBLANK(B847),"",B847&amp;"|"&amp;C847)</f>
        <v/>
      </c>
      <c r="B847" s="130"/>
      <c r="C847" s="130"/>
      <c r="D847" s="130"/>
      <c r="E847" s="136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</row>
    <row r="848" customFormat="false" ht="15.75" hidden="false" customHeight="false" outlineLevel="0" collapsed="false">
      <c r="A848" s="130" t="str">
        <f aca="false">IF(ISBLANK(B848),"",B848&amp;"|"&amp;C848)</f>
        <v/>
      </c>
      <c r="B848" s="130"/>
      <c r="C848" s="130"/>
      <c r="D848" s="130"/>
      <c r="E848" s="136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</row>
    <row r="849" customFormat="false" ht="15.75" hidden="false" customHeight="false" outlineLevel="0" collapsed="false">
      <c r="A849" s="130" t="str">
        <f aca="false">IF(ISBLANK(B849),"",B849&amp;"|"&amp;C849)</f>
        <v/>
      </c>
      <c r="B849" s="130"/>
      <c r="C849" s="130"/>
      <c r="D849" s="130"/>
      <c r="E849" s="136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</row>
    <row r="850" customFormat="false" ht="15.75" hidden="false" customHeight="false" outlineLevel="0" collapsed="false">
      <c r="A850" s="130" t="str">
        <f aca="false">IF(ISBLANK(B850),"",B850&amp;"|"&amp;C850)</f>
        <v/>
      </c>
      <c r="B850" s="130"/>
      <c r="C850" s="130"/>
      <c r="D850" s="130"/>
      <c r="E850" s="136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</row>
    <row r="851" customFormat="false" ht="15.75" hidden="false" customHeight="false" outlineLevel="0" collapsed="false">
      <c r="A851" s="130" t="str">
        <f aca="false">IF(ISBLANK(B851),"",B851&amp;"|"&amp;C851)</f>
        <v/>
      </c>
      <c r="B851" s="130"/>
      <c r="C851" s="130"/>
      <c r="D851" s="130"/>
      <c r="E851" s="136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</row>
    <row r="852" customFormat="false" ht="15.75" hidden="false" customHeight="false" outlineLevel="0" collapsed="false">
      <c r="A852" s="130" t="str">
        <f aca="false">IF(ISBLANK(B852),"",B852&amp;"|"&amp;C852)</f>
        <v/>
      </c>
      <c r="B852" s="130"/>
      <c r="C852" s="130"/>
      <c r="D852" s="130"/>
      <c r="E852" s="136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</row>
    <row r="853" customFormat="false" ht="15.75" hidden="false" customHeight="false" outlineLevel="0" collapsed="false">
      <c r="A853" s="130" t="str">
        <f aca="false">IF(ISBLANK(B853),"",B853&amp;"|"&amp;C853)</f>
        <v/>
      </c>
      <c r="B853" s="130"/>
      <c r="C853" s="130"/>
      <c r="D853" s="130"/>
      <c r="E853" s="136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</row>
    <row r="854" customFormat="false" ht="15.75" hidden="false" customHeight="false" outlineLevel="0" collapsed="false">
      <c r="A854" s="130" t="str">
        <f aca="false">IF(ISBLANK(B854),"",B854&amp;"|"&amp;C854)</f>
        <v/>
      </c>
      <c r="B854" s="130"/>
      <c r="C854" s="130"/>
      <c r="D854" s="130"/>
      <c r="E854" s="136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</row>
    <row r="855" customFormat="false" ht="15.75" hidden="false" customHeight="false" outlineLevel="0" collapsed="false">
      <c r="A855" s="130" t="str">
        <f aca="false">IF(ISBLANK(B855),"",B855&amp;"|"&amp;C855)</f>
        <v/>
      </c>
      <c r="B855" s="130"/>
      <c r="C855" s="130"/>
      <c r="D855" s="130"/>
      <c r="E855" s="136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</row>
    <row r="856" customFormat="false" ht="15.75" hidden="false" customHeight="false" outlineLevel="0" collapsed="false">
      <c r="A856" s="130" t="str">
        <f aca="false">IF(ISBLANK(B856),"",B856&amp;"|"&amp;C856)</f>
        <v/>
      </c>
      <c r="B856" s="130"/>
      <c r="C856" s="130"/>
      <c r="D856" s="130"/>
      <c r="E856" s="136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</row>
    <row r="857" customFormat="false" ht="15.75" hidden="false" customHeight="false" outlineLevel="0" collapsed="false">
      <c r="A857" s="130" t="str">
        <f aca="false">IF(ISBLANK(B857),"",B857&amp;"|"&amp;C857)</f>
        <v/>
      </c>
      <c r="B857" s="130"/>
      <c r="C857" s="130"/>
      <c r="D857" s="130"/>
      <c r="E857" s="136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</row>
    <row r="858" customFormat="false" ht="15.75" hidden="false" customHeight="false" outlineLevel="0" collapsed="false">
      <c r="A858" s="130" t="str">
        <f aca="false">IF(ISBLANK(B858),"",B858&amp;"|"&amp;C858)</f>
        <v/>
      </c>
      <c r="B858" s="130"/>
      <c r="C858" s="130"/>
      <c r="D858" s="130"/>
      <c r="E858" s="136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</row>
    <row r="859" customFormat="false" ht="15.75" hidden="false" customHeight="false" outlineLevel="0" collapsed="false">
      <c r="A859" s="130" t="str">
        <f aca="false">IF(ISBLANK(B859),"",B859&amp;"|"&amp;C859)</f>
        <v/>
      </c>
      <c r="B859" s="130"/>
      <c r="C859" s="130"/>
      <c r="D859" s="130"/>
      <c r="E859" s="136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</row>
    <row r="860" customFormat="false" ht="15.75" hidden="false" customHeight="false" outlineLevel="0" collapsed="false">
      <c r="A860" s="130" t="str">
        <f aca="false">IF(ISBLANK(B860),"",B860&amp;"|"&amp;C860)</f>
        <v/>
      </c>
      <c r="B860" s="130"/>
      <c r="C860" s="130"/>
      <c r="D860" s="130"/>
      <c r="E860" s="136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</row>
    <row r="861" customFormat="false" ht="15.75" hidden="false" customHeight="false" outlineLevel="0" collapsed="false">
      <c r="A861" s="130" t="str">
        <f aca="false">IF(ISBLANK(B861),"",B861&amp;"|"&amp;C861)</f>
        <v/>
      </c>
      <c r="B861" s="130"/>
      <c r="C861" s="130"/>
      <c r="D861" s="130"/>
      <c r="E861" s="136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</row>
    <row r="862" customFormat="false" ht="15.75" hidden="false" customHeight="false" outlineLevel="0" collapsed="false">
      <c r="A862" s="130" t="str">
        <f aca="false">IF(ISBLANK(B862),"",B862&amp;"|"&amp;C862)</f>
        <v/>
      </c>
      <c r="B862" s="130"/>
      <c r="C862" s="130"/>
      <c r="D862" s="130"/>
      <c r="E862" s="136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</row>
    <row r="863" customFormat="false" ht="15.75" hidden="false" customHeight="false" outlineLevel="0" collapsed="false">
      <c r="A863" s="130" t="str">
        <f aca="false">IF(ISBLANK(B863),"",B863&amp;"|"&amp;C863)</f>
        <v/>
      </c>
      <c r="B863" s="130"/>
      <c r="C863" s="130"/>
      <c r="D863" s="130"/>
      <c r="E863" s="136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</row>
    <row r="864" customFormat="false" ht="15.75" hidden="false" customHeight="false" outlineLevel="0" collapsed="false">
      <c r="A864" s="130" t="str">
        <f aca="false">IF(ISBLANK(B864),"",B864&amp;"|"&amp;C864)</f>
        <v/>
      </c>
      <c r="B864" s="130"/>
      <c r="C864" s="130"/>
      <c r="D864" s="130"/>
      <c r="E864" s="136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</row>
    <row r="865" customFormat="false" ht="15.75" hidden="false" customHeight="false" outlineLevel="0" collapsed="false">
      <c r="A865" s="130" t="str">
        <f aca="false">IF(ISBLANK(B865),"",B865&amp;"|"&amp;C865)</f>
        <v/>
      </c>
      <c r="B865" s="130"/>
      <c r="C865" s="130"/>
      <c r="D865" s="130"/>
      <c r="E865" s="136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</row>
    <row r="866" customFormat="false" ht="15.75" hidden="false" customHeight="false" outlineLevel="0" collapsed="false">
      <c r="A866" s="130" t="str">
        <f aca="false">IF(ISBLANK(B866),"",B866&amp;"|"&amp;C866)</f>
        <v/>
      </c>
      <c r="B866" s="130"/>
      <c r="C866" s="130"/>
      <c r="D866" s="130"/>
      <c r="E866" s="136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</row>
    <row r="867" customFormat="false" ht="15.75" hidden="false" customHeight="false" outlineLevel="0" collapsed="false">
      <c r="A867" s="130" t="str">
        <f aca="false">IF(ISBLANK(B867),"",B867&amp;"|"&amp;C867)</f>
        <v/>
      </c>
      <c r="B867" s="130"/>
      <c r="C867" s="130"/>
      <c r="D867" s="130"/>
      <c r="E867" s="136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</row>
    <row r="868" customFormat="false" ht="15.75" hidden="false" customHeight="false" outlineLevel="0" collapsed="false">
      <c r="A868" s="130" t="str">
        <f aca="false">IF(ISBLANK(B868),"",B868&amp;"|"&amp;C868)</f>
        <v/>
      </c>
      <c r="B868" s="130"/>
      <c r="C868" s="130"/>
      <c r="D868" s="130"/>
      <c r="E868" s="136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</row>
    <row r="869" customFormat="false" ht="15.75" hidden="false" customHeight="false" outlineLevel="0" collapsed="false">
      <c r="A869" s="130" t="str">
        <f aca="false">IF(ISBLANK(B869),"",B869&amp;"|"&amp;C869)</f>
        <v/>
      </c>
      <c r="B869" s="130"/>
      <c r="C869" s="130"/>
      <c r="D869" s="130"/>
      <c r="E869" s="136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</row>
    <row r="870" customFormat="false" ht="15.75" hidden="false" customHeight="false" outlineLevel="0" collapsed="false">
      <c r="A870" s="130" t="str">
        <f aca="false">IF(ISBLANK(B870),"",B870&amp;"|"&amp;C870)</f>
        <v/>
      </c>
      <c r="B870" s="130"/>
      <c r="C870" s="130"/>
      <c r="D870" s="130"/>
      <c r="E870" s="136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</row>
    <row r="871" customFormat="false" ht="15.75" hidden="false" customHeight="false" outlineLevel="0" collapsed="false">
      <c r="A871" s="130" t="str">
        <f aca="false">IF(ISBLANK(B871),"",B871&amp;"|"&amp;C871)</f>
        <v/>
      </c>
      <c r="B871" s="130"/>
      <c r="C871" s="130"/>
      <c r="D871" s="130"/>
      <c r="E871" s="136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</row>
    <row r="872" customFormat="false" ht="15.75" hidden="false" customHeight="false" outlineLevel="0" collapsed="false">
      <c r="A872" s="130" t="str">
        <f aca="false">IF(ISBLANK(B872),"",B872&amp;"|"&amp;C872)</f>
        <v/>
      </c>
      <c r="B872" s="130"/>
      <c r="C872" s="130"/>
      <c r="D872" s="130"/>
      <c r="E872" s="136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</row>
    <row r="873" customFormat="false" ht="15.75" hidden="false" customHeight="false" outlineLevel="0" collapsed="false">
      <c r="A873" s="130" t="str">
        <f aca="false">IF(ISBLANK(B873),"",B873&amp;"|"&amp;C873)</f>
        <v/>
      </c>
      <c r="B873" s="130"/>
      <c r="C873" s="130"/>
      <c r="D873" s="130"/>
      <c r="E873" s="136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</row>
    <row r="874" customFormat="false" ht="15.75" hidden="false" customHeight="false" outlineLevel="0" collapsed="false">
      <c r="A874" s="130" t="str">
        <f aca="false">IF(ISBLANK(B874),"",B874&amp;"|"&amp;C874)</f>
        <v/>
      </c>
      <c r="B874" s="130"/>
      <c r="C874" s="130"/>
      <c r="D874" s="130"/>
      <c r="E874" s="136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</row>
    <row r="875" customFormat="false" ht="15.75" hidden="false" customHeight="false" outlineLevel="0" collapsed="false">
      <c r="A875" s="130" t="str">
        <f aca="false">IF(ISBLANK(B875),"",B875&amp;"|"&amp;C875)</f>
        <v/>
      </c>
      <c r="B875" s="130"/>
      <c r="C875" s="130"/>
      <c r="D875" s="130"/>
      <c r="E875" s="136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</row>
    <row r="876" customFormat="false" ht="15.75" hidden="false" customHeight="false" outlineLevel="0" collapsed="false">
      <c r="A876" s="130" t="str">
        <f aca="false">IF(ISBLANK(B876),"",B876&amp;"|"&amp;C876)</f>
        <v/>
      </c>
      <c r="B876" s="130"/>
      <c r="C876" s="130"/>
      <c r="D876" s="130"/>
      <c r="E876" s="136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</row>
    <row r="877" customFormat="false" ht="15.75" hidden="false" customHeight="false" outlineLevel="0" collapsed="false">
      <c r="A877" s="130" t="str">
        <f aca="false">IF(ISBLANK(B877),"",B877&amp;"|"&amp;C877)</f>
        <v/>
      </c>
      <c r="B877" s="130"/>
      <c r="C877" s="130"/>
      <c r="D877" s="130"/>
      <c r="E877" s="136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</row>
    <row r="878" customFormat="false" ht="15.75" hidden="false" customHeight="false" outlineLevel="0" collapsed="false">
      <c r="A878" s="130" t="str">
        <f aca="false">IF(ISBLANK(B878),"",B878&amp;"|"&amp;C878)</f>
        <v/>
      </c>
      <c r="B878" s="130"/>
      <c r="C878" s="130"/>
      <c r="D878" s="130"/>
      <c r="E878" s="136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</row>
    <row r="879" customFormat="false" ht="15.75" hidden="false" customHeight="false" outlineLevel="0" collapsed="false">
      <c r="A879" s="130" t="str">
        <f aca="false">IF(ISBLANK(B879),"",B879&amp;"|"&amp;C879)</f>
        <v/>
      </c>
      <c r="B879" s="130"/>
      <c r="C879" s="130"/>
      <c r="D879" s="130"/>
      <c r="E879" s="136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</row>
    <row r="880" customFormat="false" ht="15.75" hidden="false" customHeight="false" outlineLevel="0" collapsed="false">
      <c r="A880" s="130" t="str">
        <f aca="false">IF(ISBLANK(B880),"",B880&amp;"|"&amp;C880)</f>
        <v/>
      </c>
      <c r="B880" s="130"/>
      <c r="C880" s="130"/>
      <c r="D880" s="130"/>
      <c r="E880" s="136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</row>
    <row r="881" customFormat="false" ht="15.75" hidden="false" customHeight="false" outlineLevel="0" collapsed="false">
      <c r="A881" s="130" t="str">
        <f aca="false">IF(ISBLANK(B881),"",B881&amp;"|"&amp;C881)</f>
        <v/>
      </c>
      <c r="B881" s="130"/>
      <c r="C881" s="130"/>
      <c r="D881" s="130"/>
      <c r="E881" s="136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</row>
    <row r="882" customFormat="false" ht="15.75" hidden="false" customHeight="false" outlineLevel="0" collapsed="false">
      <c r="A882" s="130" t="str">
        <f aca="false">IF(ISBLANK(B882),"",B882&amp;"|"&amp;C882)</f>
        <v/>
      </c>
      <c r="B882" s="130"/>
      <c r="C882" s="130"/>
      <c r="D882" s="130"/>
      <c r="E882" s="136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</row>
    <row r="883" customFormat="false" ht="15.75" hidden="false" customHeight="false" outlineLevel="0" collapsed="false">
      <c r="A883" s="130" t="str">
        <f aca="false">IF(ISBLANK(B883),"",B883&amp;"|"&amp;C883)</f>
        <v/>
      </c>
      <c r="B883" s="130"/>
      <c r="C883" s="130"/>
      <c r="D883" s="130"/>
      <c r="E883" s="136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</row>
    <row r="884" customFormat="false" ht="15.75" hidden="false" customHeight="false" outlineLevel="0" collapsed="false">
      <c r="A884" s="130" t="str">
        <f aca="false">IF(ISBLANK(B884),"",B884&amp;"|"&amp;C884)</f>
        <v/>
      </c>
      <c r="B884" s="130"/>
      <c r="C884" s="130"/>
      <c r="D884" s="130"/>
      <c r="E884" s="136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</row>
    <row r="885" customFormat="false" ht="15.75" hidden="false" customHeight="false" outlineLevel="0" collapsed="false">
      <c r="A885" s="130" t="str">
        <f aca="false">IF(ISBLANK(B885),"",B885&amp;"|"&amp;C885)</f>
        <v/>
      </c>
      <c r="B885" s="130"/>
      <c r="C885" s="130"/>
      <c r="D885" s="130"/>
      <c r="E885" s="136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</row>
    <row r="886" customFormat="false" ht="15.75" hidden="false" customHeight="false" outlineLevel="0" collapsed="false">
      <c r="A886" s="130" t="str">
        <f aca="false">IF(ISBLANK(B886),"",B886&amp;"|"&amp;C886)</f>
        <v/>
      </c>
      <c r="B886" s="130"/>
      <c r="C886" s="130"/>
      <c r="D886" s="130"/>
      <c r="E886" s="136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</row>
    <row r="887" customFormat="false" ht="15.75" hidden="false" customHeight="false" outlineLevel="0" collapsed="false">
      <c r="A887" s="130" t="str">
        <f aca="false">IF(ISBLANK(B887),"",B887&amp;"|"&amp;C887)</f>
        <v/>
      </c>
      <c r="B887" s="130"/>
      <c r="C887" s="130"/>
      <c r="D887" s="130"/>
      <c r="E887" s="136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</row>
    <row r="888" customFormat="false" ht="15.75" hidden="false" customHeight="false" outlineLevel="0" collapsed="false">
      <c r="A888" s="130" t="str">
        <f aca="false">IF(ISBLANK(B888),"",B888&amp;"|"&amp;C888)</f>
        <v/>
      </c>
      <c r="B888" s="130"/>
      <c r="C888" s="130"/>
      <c r="D888" s="130"/>
      <c r="E888" s="136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</row>
    <row r="889" customFormat="false" ht="15.75" hidden="false" customHeight="false" outlineLevel="0" collapsed="false">
      <c r="A889" s="130" t="str">
        <f aca="false">IF(ISBLANK(B889),"",B889&amp;"|"&amp;C889)</f>
        <v/>
      </c>
      <c r="B889" s="130"/>
      <c r="C889" s="130"/>
      <c r="D889" s="130"/>
      <c r="E889" s="136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</row>
    <row r="890" customFormat="false" ht="15.75" hidden="false" customHeight="false" outlineLevel="0" collapsed="false">
      <c r="A890" s="130" t="str">
        <f aca="false">IF(ISBLANK(B890),"",B890&amp;"|"&amp;C890)</f>
        <v/>
      </c>
      <c r="B890" s="130"/>
      <c r="C890" s="130"/>
      <c r="D890" s="130"/>
      <c r="E890" s="136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</row>
    <row r="891" customFormat="false" ht="15.75" hidden="false" customHeight="false" outlineLevel="0" collapsed="false">
      <c r="A891" s="130" t="str">
        <f aca="false">IF(ISBLANK(B891),"",B891&amp;"|"&amp;C891)</f>
        <v/>
      </c>
      <c r="B891" s="130"/>
      <c r="C891" s="130"/>
      <c r="D891" s="130"/>
      <c r="E891" s="136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</row>
    <row r="892" customFormat="false" ht="15.75" hidden="false" customHeight="false" outlineLevel="0" collapsed="false">
      <c r="A892" s="130" t="str">
        <f aca="false">IF(ISBLANK(B892),"",B892&amp;"|"&amp;C892)</f>
        <v/>
      </c>
      <c r="B892" s="130"/>
      <c r="C892" s="130"/>
      <c r="D892" s="130"/>
      <c r="E892" s="136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</row>
    <row r="893" customFormat="false" ht="15.75" hidden="false" customHeight="false" outlineLevel="0" collapsed="false">
      <c r="A893" s="130" t="str">
        <f aca="false">IF(ISBLANK(B893),"",B893&amp;"|"&amp;C893)</f>
        <v/>
      </c>
      <c r="B893" s="130"/>
      <c r="C893" s="130"/>
      <c r="D893" s="130"/>
      <c r="E893" s="136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</row>
    <row r="894" customFormat="false" ht="15.75" hidden="false" customHeight="false" outlineLevel="0" collapsed="false">
      <c r="A894" s="130" t="str">
        <f aca="false">IF(ISBLANK(B894),"",B894&amp;"|"&amp;C894)</f>
        <v/>
      </c>
      <c r="B894" s="130"/>
      <c r="C894" s="130"/>
      <c r="D894" s="130"/>
      <c r="E894" s="136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</row>
    <row r="895" customFormat="false" ht="15.75" hidden="false" customHeight="false" outlineLevel="0" collapsed="false">
      <c r="A895" s="130" t="str">
        <f aca="false">IF(ISBLANK(B895),"",B895&amp;"|"&amp;C895)</f>
        <v/>
      </c>
      <c r="B895" s="130"/>
      <c r="C895" s="130"/>
      <c r="D895" s="130"/>
      <c r="E895" s="136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</row>
    <row r="896" customFormat="false" ht="15.75" hidden="false" customHeight="false" outlineLevel="0" collapsed="false">
      <c r="A896" s="130" t="str">
        <f aca="false">IF(ISBLANK(B896),"",B896&amp;"|"&amp;C896)</f>
        <v/>
      </c>
      <c r="B896" s="130"/>
      <c r="C896" s="130"/>
      <c r="D896" s="130"/>
      <c r="E896" s="136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</row>
    <row r="897" customFormat="false" ht="15.75" hidden="false" customHeight="false" outlineLevel="0" collapsed="false">
      <c r="A897" s="130" t="str">
        <f aca="false">IF(ISBLANK(B897),"",B897&amp;"|"&amp;C897)</f>
        <v/>
      </c>
      <c r="B897" s="130"/>
      <c r="C897" s="130"/>
      <c r="D897" s="130"/>
      <c r="E897" s="136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</row>
    <row r="898" customFormat="false" ht="15.75" hidden="false" customHeight="false" outlineLevel="0" collapsed="false">
      <c r="A898" s="130" t="str">
        <f aca="false">IF(ISBLANK(B898),"",B898&amp;"|"&amp;C898)</f>
        <v/>
      </c>
      <c r="B898" s="130"/>
      <c r="C898" s="130"/>
      <c r="D898" s="130"/>
      <c r="E898" s="136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</row>
    <row r="899" customFormat="false" ht="15.75" hidden="false" customHeight="false" outlineLevel="0" collapsed="false">
      <c r="A899" s="130" t="str">
        <f aca="false">IF(ISBLANK(B899),"",B899&amp;"|"&amp;C899)</f>
        <v/>
      </c>
      <c r="B899" s="130"/>
      <c r="C899" s="130"/>
      <c r="D899" s="130"/>
      <c r="E899" s="136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</row>
    <row r="900" customFormat="false" ht="15.75" hidden="false" customHeight="false" outlineLevel="0" collapsed="false">
      <c r="A900" s="130" t="str">
        <f aca="false">IF(ISBLANK(B900),"",B900&amp;"|"&amp;C900)</f>
        <v/>
      </c>
      <c r="B900" s="130"/>
      <c r="C900" s="130"/>
      <c r="D900" s="130"/>
      <c r="E900" s="136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</row>
    <row r="901" customFormat="false" ht="15.75" hidden="false" customHeight="false" outlineLevel="0" collapsed="false">
      <c r="A901" s="130" t="str">
        <f aca="false">IF(ISBLANK(B901),"",B901&amp;"|"&amp;C901)</f>
        <v/>
      </c>
      <c r="B901" s="130"/>
      <c r="C901" s="130"/>
      <c r="D901" s="130"/>
      <c r="E901" s="136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</row>
    <row r="902" customFormat="false" ht="15.75" hidden="false" customHeight="false" outlineLevel="0" collapsed="false">
      <c r="A902" s="130" t="str">
        <f aca="false">IF(ISBLANK(B902),"",B902&amp;"|"&amp;C902)</f>
        <v/>
      </c>
      <c r="B902" s="130"/>
      <c r="C902" s="130"/>
      <c r="D902" s="130"/>
      <c r="E902" s="136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</row>
    <row r="903" customFormat="false" ht="15.75" hidden="false" customHeight="false" outlineLevel="0" collapsed="false">
      <c r="A903" s="130" t="str">
        <f aca="false">IF(ISBLANK(B903),"",B903&amp;"|"&amp;C903)</f>
        <v/>
      </c>
      <c r="B903" s="130"/>
      <c r="C903" s="130"/>
      <c r="D903" s="130"/>
      <c r="E903" s="136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</row>
    <row r="904" customFormat="false" ht="15.75" hidden="false" customHeight="false" outlineLevel="0" collapsed="false">
      <c r="A904" s="130" t="str">
        <f aca="false">IF(ISBLANK(B904),"",B904&amp;"|"&amp;C904)</f>
        <v/>
      </c>
      <c r="B904" s="130"/>
      <c r="C904" s="130"/>
      <c r="D904" s="130"/>
      <c r="E904" s="136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</row>
    <row r="905" customFormat="false" ht="15.75" hidden="false" customHeight="false" outlineLevel="0" collapsed="false">
      <c r="A905" s="130" t="str">
        <f aca="false">IF(ISBLANK(B905),"",B905&amp;"|"&amp;C905)</f>
        <v/>
      </c>
      <c r="B905" s="130"/>
      <c r="C905" s="130"/>
      <c r="D905" s="130"/>
      <c r="E905" s="136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</row>
    <row r="906" customFormat="false" ht="15.75" hidden="false" customHeight="false" outlineLevel="0" collapsed="false">
      <c r="A906" s="130" t="str">
        <f aca="false">IF(ISBLANK(B906),"",B906&amp;"|"&amp;C906)</f>
        <v/>
      </c>
      <c r="B906" s="130"/>
      <c r="C906" s="130"/>
      <c r="D906" s="130"/>
      <c r="E906" s="136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</row>
    <row r="907" customFormat="false" ht="15.75" hidden="false" customHeight="false" outlineLevel="0" collapsed="false">
      <c r="A907" s="130" t="str">
        <f aca="false">IF(ISBLANK(B907),"",B907&amp;"|"&amp;C907)</f>
        <v/>
      </c>
      <c r="B907" s="130"/>
      <c r="C907" s="130"/>
      <c r="D907" s="130"/>
      <c r="E907" s="136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</row>
    <row r="908" customFormat="false" ht="15.75" hidden="false" customHeight="false" outlineLevel="0" collapsed="false">
      <c r="A908" s="130" t="str">
        <f aca="false">IF(ISBLANK(B908),"",B908&amp;"|"&amp;C908)</f>
        <v/>
      </c>
      <c r="B908" s="130"/>
      <c r="C908" s="130"/>
      <c r="D908" s="130"/>
      <c r="E908" s="136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</row>
    <row r="909" customFormat="false" ht="15.75" hidden="false" customHeight="false" outlineLevel="0" collapsed="false">
      <c r="A909" s="130" t="str">
        <f aca="false">IF(ISBLANK(B909),"",B909&amp;"|"&amp;C909)</f>
        <v/>
      </c>
      <c r="B909" s="130"/>
      <c r="C909" s="130"/>
      <c r="D909" s="130"/>
      <c r="E909" s="136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</row>
    <row r="910" customFormat="false" ht="15.75" hidden="false" customHeight="false" outlineLevel="0" collapsed="false">
      <c r="A910" s="130" t="str">
        <f aca="false">IF(ISBLANK(B910),"",B910&amp;"|"&amp;C910)</f>
        <v/>
      </c>
      <c r="B910" s="130"/>
      <c r="C910" s="130"/>
      <c r="D910" s="130"/>
      <c r="E910" s="136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</row>
    <row r="911" customFormat="false" ht="15.75" hidden="false" customHeight="false" outlineLevel="0" collapsed="false">
      <c r="A911" s="130" t="str">
        <f aca="false">IF(ISBLANK(B911),"",B911&amp;"|"&amp;C911)</f>
        <v/>
      </c>
      <c r="B911" s="130"/>
      <c r="C911" s="130"/>
      <c r="D911" s="130"/>
      <c r="E911" s="136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</row>
    <row r="912" customFormat="false" ht="15.75" hidden="false" customHeight="false" outlineLevel="0" collapsed="false">
      <c r="A912" s="130" t="str">
        <f aca="false">IF(ISBLANK(B912),"",B912&amp;"|"&amp;C912)</f>
        <v/>
      </c>
      <c r="B912" s="130"/>
      <c r="C912" s="130"/>
      <c r="D912" s="130"/>
      <c r="E912" s="136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</row>
    <row r="913" customFormat="false" ht="15.75" hidden="false" customHeight="false" outlineLevel="0" collapsed="false">
      <c r="A913" s="130" t="str">
        <f aca="false">IF(ISBLANK(B913),"",B913&amp;"|"&amp;C913)</f>
        <v/>
      </c>
      <c r="B913" s="130"/>
      <c r="C913" s="130"/>
      <c r="D913" s="130"/>
      <c r="E913" s="136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</row>
    <row r="914" customFormat="false" ht="15.75" hidden="false" customHeight="false" outlineLevel="0" collapsed="false">
      <c r="A914" s="130" t="str">
        <f aca="false">IF(ISBLANK(B914),"",B914&amp;"|"&amp;C914)</f>
        <v/>
      </c>
      <c r="B914" s="130"/>
      <c r="C914" s="130"/>
      <c r="D914" s="130"/>
      <c r="E914" s="136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</row>
    <row r="915" customFormat="false" ht="15.75" hidden="false" customHeight="false" outlineLevel="0" collapsed="false">
      <c r="A915" s="130" t="str">
        <f aca="false">IF(ISBLANK(B915),"",B915&amp;"|"&amp;C915)</f>
        <v/>
      </c>
      <c r="B915" s="130"/>
      <c r="C915" s="130"/>
      <c r="D915" s="130"/>
      <c r="E915" s="136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</row>
    <row r="916" customFormat="false" ht="15.75" hidden="false" customHeight="false" outlineLevel="0" collapsed="false">
      <c r="A916" s="130" t="str">
        <f aca="false">IF(ISBLANK(B916),"",B916&amp;"|"&amp;C916)</f>
        <v/>
      </c>
      <c r="B916" s="130"/>
      <c r="C916" s="130"/>
      <c r="D916" s="130"/>
      <c r="E916" s="136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</row>
    <row r="917" customFormat="false" ht="15.75" hidden="false" customHeight="false" outlineLevel="0" collapsed="false">
      <c r="A917" s="130" t="str">
        <f aca="false">IF(ISBLANK(B917),"",B917&amp;"|"&amp;C917)</f>
        <v/>
      </c>
      <c r="B917" s="130"/>
      <c r="C917" s="130"/>
      <c r="D917" s="130"/>
      <c r="E917" s="136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</row>
    <row r="918" customFormat="false" ht="15.75" hidden="false" customHeight="false" outlineLevel="0" collapsed="false">
      <c r="A918" s="130" t="str">
        <f aca="false">IF(ISBLANK(B918),"",B918&amp;"|"&amp;C918)</f>
        <v/>
      </c>
      <c r="B918" s="130"/>
      <c r="C918" s="130"/>
      <c r="D918" s="130"/>
      <c r="E918" s="136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</row>
    <row r="919" customFormat="false" ht="15.75" hidden="false" customHeight="false" outlineLevel="0" collapsed="false">
      <c r="A919" s="130" t="str">
        <f aca="false">IF(ISBLANK(B919),"",B919&amp;"|"&amp;C919)</f>
        <v/>
      </c>
      <c r="B919" s="130"/>
      <c r="C919" s="130"/>
      <c r="D919" s="130"/>
      <c r="E919" s="136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</row>
    <row r="920" customFormat="false" ht="15.75" hidden="false" customHeight="false" outlineLevel="0" collapsed="false">
      <c r="A920" s="130" t="str">
        <f aca="false">IF(ISBLANK(B920),"",B920&amp;"|"&amp;C920)</f>
        <v/>
      </c>
      <c r="B920" s="130"/>
      <c r="C920" s="130"/>
      <c r="D920" s="130"/>
      <c r="E920" s="136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</row>
    <row r="921" customFormat="false" ht="15.75" hidden="false" customHeight="false" outlineLevel="0" collapsed="false">
      <c r="A921" s="130" t="str">
        <f aca="false">IF(ISBLANK(B921),"",B921&amp;"|"&amp;C921)</f>
        <v/>
      </c>
      <c r="B921" s="130"/>
      <c r="C921" s="130"/>
      <c r="D921" s="130"/>
      <c r="E921" s="136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</row>
    <row r="922" customFormat="false" ht="15.75" hidden="false" customHeight="false" outlineLevel="0" collapsed="false">
      <c r="A922" s="130" t="str">
        <f aca="false">IF(ISBLANK(B922),"",B922&amp;"|"&amp;C922)</f>
        <v/>
      </c>
      <c r="B922" s="130"/>
      <c r="C922" s="130"/>
      <c r="D922" s="130"/>
      <c r="E922" s="136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</row>
    <row r="923" customFormat="false" ht="15.75" hidden="false" customHeight="false" outlineLevel="0" collapsed="false">
      <c r="A923" s="130" t="str">
        <f aca="false">IF(ISBLANK(B923),"",B923&amp;"|"&amp;C923)</f>
        <v/>
      </c>
      <c r="B923" s="130"/>
      <c r="C923" s="130"/>
      <c r="D923" s="130"/>
      <c r="E923" s="136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</row>
    <row r="924" customFormat="false" ht="15.75" hidden="false" customHeight="false" outlineLevel="0" collapsed="false">
      <c r="A924" s="130" t="str">
        <f aca="false">IF(ISBLANK(B924),"",B924&amp;"|"&amp;C924)</f>
        <v/>
      </c>
      <c r="B924" s="130"/>
      <c r="C924" s="130"/>
      <c r="D924" s="130"/>
      <c r="E924" s="136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</row>
    <row r="925" customFormat="false" ht="15.75" hidden="false" customHeight="false" outlineLevel="0" collapsed="false">
      <c r="A925" s="130" t="str">
        <f aca="false">IF(ISBLANK(B925),"",B925&amp;"|"&amp;C925)</f>
        <v/>
      </c>
      <c r="B925" s="130"/>
      <c r="C925" s="130"/>
      <c r="D925" s="130"/>
      <c r="E925" s="136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</row>
    <row r="926" customFormat="false" ht="15.75" hidden="false" customHeight="false" outlineLevel="0" collapsed="false">
      <c r="A926" s="130" t="str">
        <f aca="false">IF(ISBLANK(B926),"",B926&amp;"|"&amp;C926)</f>
        <v/>
      </c>
      <c r="B926" s="130"/>
      <c r="C926" s="130"/>
      <c r="D926" s="130"/>
      <c r="E926" s="136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</row>
    <row r="927" customFormat="false" ht="15.75" hidden="false" customHeight="false" outlineLevel="0" collapsed="false">
      <c r="A927" s="130" t="str">
        <f aca="false">IF(ISBLANK(B927),"",B927&amp;"|"&amp;C927)</f>
        <v/>
      </c>
      <c r="B927" s="130"/>
      <c r="C927" s="130"/>
      <c r="D927" s="130"/>
      <c r="E927" s="136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</row>
    <row r="928" customFormat="false" ht="15.75" hidden="false" customHeight="false" outlineLevel="0" collapsed="false">
      <c r="A928" s="130" t="str">
        <f aca="false">IF(ISBLANK(B928),"",B928&amp;"|"&amp;C928)</f>
        <v/>
      </c>
      <c r="B928" s="130"/>
      <c r="C928" s="130"/>
      <c r="D928" s="130"/>
      <c r="E928" s="136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</row>
    <row r="929" customFormat="false" ht="15.75" hidden="false" customHeight="false" outlineLevel="0" collapsed="false">
      <c r="A929" s="130" t="str">
        <f aca="false">IF(ISBLANK(B929),"",B929&amp;"|"&amp;C929)</f>
        <v/>
      </c>
      <c r="B929" s="130"/>
      <c r="C929" s="130"/>
      <c r="D929" s="130"/>
      <c r="E929" s="136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</row>
    <row r="930" customFormat="false" ht="15.75" hidden="false" customHeight="false" outlineLevel="0" collapsed="false">
      <c r="A930" s="130" t="str">
        <f aca="false">IF(ISBLANK(B930),"",B930&amp;"|"&amp;C930)</f>
        <v/>
      </c>
      <c r="B930" s="130"/>
      <c r="C930" s="130"/>
      <c r="D930" s="130"/>
      <c r="E930" s="136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</row>
    <row r="931" customFormat="false" ht="15.75" hidden="false" customHeight="false" outlineLevel="0" collapsed="false">
      <c r="A931" s="130" t="str">
        <f aca="false">IF(ISBLANK(B931),"",B931&amp;"|"&amp;C931)</f>
        <v/>
      </c>
      <c r="B931" s="130"/>
      <c r="C931" s="130"/>
      <c r="D931" s="130"/>
      <c r="E931" s="136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</row>
    <row r="932" customFormat="false" ht="15.75" hidden="false" customHeight="false" outlineLevel="0" collapsed="false">
      <c r="A932" s="130" t="str">
        <f aca="false">IF(ISBLANK(B932),"",B932&amp;"|"&amp;C932)</f>
        <v/>
      </c>
      <c r="B932" s="130"/>
      <c r="C932" s="130"/>
      <c r="D932" s="130"/>
      <c r="E932" s="136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</row>
    <row r="933" customFormat="false" ht="15.75" hidden="false" customHeight="false" outlineLevel="0" collapsed="false">
      <c r="A933" s="130" t="str">
        <f aca="false">IF(ISBLANK(B933),"",B933&amp;"|"&amp;C933)</f>
        <v/>
      </c>
      <c r="B933" s="130"/>
      <c r="C933" s="130"/>
      <c r="D933" s="130"/>
      <c r="E933" s="136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</row>
    <row r="934" customFormat="false" ht="15.75" hidden="false" customHeight="false" outlineLevel="0" collapsed="false">
      <c r="A934" s="130" t="str">
        <f aca="false">IF(ISBLANK(B934),"",B934&amp;"|"&amp;C934)</f>
        <v/>
      </c>
      <c r="B934" s="130"/>
      <c r="C934" s="130"/>
      <c r="D934" s="130"/>
      <c r="E934" s="136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</row>
    <row r="935" customFormat="false" ht="15.75" hidden="false" customHeight="false" outlineLevel="0" collapsed="false">
      <c r="A935" s="130" t="str">
        <f aca="false">IF(ISBLANK(B935),"",B935&amp;"|"&amp;C935)</f>
        <v/>
      </c>
      <c r="B935" s="130"/>
      <c r="C935" s="130"/>
      <c r="D935" s="130"/>
      <c r="E935" s="136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</row>
    <row r="936" customFormat="false" ht="15.75" hidden="false" customHeight="false" outlineLevel="0" collapsed="false">
      <c r="A936" s="130" t="str">
        <f aca="false">IF(ISBLANK(B936),"",B936&amp;"|"&amp;C936)</f>
        <v/>
      </c>
      <c r="B936" s="130"/>
      <c r="C936" s="130"/>
      <c r="D936" s="130"/>
      <c r="E936" s="136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</row>
    <row r="937" customFormat="false" ht="15.75" hidden="false" customHeight="false" outlineLevel="0" collapsed="false">
      <c r="A937" s="130" t="str">
        <f aca="false">IF(ISBLANK(B937),"",B937&amp;"|"&amp;C937)</f>
        <v/>
      </c>
      <c r="B937" s="130"/>
      <c r="C937" s="130"/>
      <c r="D937" s="130"/>
      <c r="E937" s="136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</row>
    <row r="938" customFormat="false" ht="15.75" hidden="false" customHeight="false" outlineLevel="0" collapsed="false">
      <c r="A938" s="130" t="str">
        <f aca="false">IF(ISBLANK(B938),"",B938&amp;"|"&amp;C938)</f>
        <v/>
      </c>
      <c r="B938" s="130"/>
      <c r="C938" s="130"/>
      <c r="D938" s="130"/>
      <c r="E938" s="136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</row>
    <row r="939" customFormat="false" ht="15.75" hidden="false" customHeight="false" outlineLevel="0" collapsed="false">
      <c r="A939" s="130" t="str">
        <f aca="false">IF(ISBLANK(B939),"",B939&amp;"|"&amp;C939)</f>
        <v/>
      </c>
      <c r="B939" s="130"/>
      <c r="C939" s="130"/>
      <c r="D939" s="130"/>
      <c r="E939" s="136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</row>
    <row r="940" customFormat="false" ht="15.75" hidden="false" customHeight="false" outlineLevel="0" collapsed="false">
      <c r="A940" s="130" t="str">
        <f aca="false">IF(ISBLANK(B940),"",B940&amp;"|"&amp;C940)</f>
        <v/>
      </c>
      <c r="B940" s="130"/>
      <c r="C940" s="130"/>
      <c r="D940" s="130"/>
      <c r="E940" s="136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</row>
    <row r="941" customFormat="false" ht="15.75" hidden="false" customHeight="false" outlineLevel="0" collapsed="false">
      <c r="A941" s="130" t="str">
        <f aca="false">IF(ISBLANK(B941),"",B941&amp;"|"&amp;C941)</f>
        <v/>
      </c>
      <c r="B941" s="130"/>
      <c r="C941" s="130"/>
      <c r="D941" s="130"/>
      <c r="E941" s="136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</row>
    <row r="942" customFormat="false" ht="15.75" hidden="false" customHeight="false" outlineLevel="0" collapsed="false">
      <c r="A942" s="130" t="str">
        <f aca="false">IF(ISBLANK(B942),"",B942&amp;"|"&amp;C942)</f>
        <v/>
      </c>
      <c r="B942" s="130"/>
      <c r="C942" s="130"/>
      <c r="D942" s="130"/>
      <c r="E942" s="136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</row>
    <row r="943" customFormat="false" ht="15.75" hidden="false" customHeight="false" outlineLevel="0" collapsed="false">
      <c r="A943" s="130" t="str">
        <f aca="false">IF(ISBLANK(B943),"",B943&amp;"|"&amp;C943)</f>
        <v/>
      </c>
      <c r="B943" s="130"/>
      <c r="C943" s="130"/>
      <c r="D943" s="130"/>
      <c r="E943" s="136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</row>
    <row r="944" customFormat="false" ht="15.75" hidden="false" customHeight="false" outlineLevel="0" collapsed="false">
      <c r="A944" s="130" t="str">
        <f aca="false">IF(ISBLANK(B944),"",B944&amp;"|"&amp;C944)</f>
        <v/>
      </c>
      <c r="B944" s="130"/>
      <c r="C944" s="130"/>
      <c r="D944" s="130"/>
      <c r="E944" s="136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</row>
    <row r="945" customFormat="false" ht="15.75" hidden="false" customHeight="false" outlineLevel="0" collapsed="false">
      <c r="A945" s="130" t="str">
        <f aca="false">IF(ISBLANK(B945),"",B945&amp;"|"&amp;C945)</f>
        <v/>
      </c>
      <c r="B945" s="130"/>
      <c r="C945" s="130"/>
      <c r="D945" s="130"/>
      <c r="E945" s="136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</row>
    <row r="946" customFormat="false" ht="15.75" hidden="false" customHeight="false" outlineLevel="0" collapsed="false">
      <c r="A946" s="130" t="str">
        <f aca="false">IF(ISBLANK(B946),"",B946&amp;"|"&amp;C946)</f>
        <v/>
      </c>
      <c r="B946" s="130"/>
      <c r="C946" s="130"/>
      <c r="D946" s="130"/>
      <c r="E946" s="136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</row>
    <row r="947" customFormat="false" ht="15.75" hidden="false" customHeight="false" outlineLevel="0" collapsed="false">
      <c r="A947" s="130" t="str">
        <f aca="false">IF(ISBLANK(B947),"",B947&amp;"|"&amp;C947)</f>
        <v/>
      </c>
      <c r="B947" s="130"/>
      <c r="C947" s="130"/>
      <c r="D947" s="130"/>
      <c r="E947" s="136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</row>
    <row r="948" customFormat="false" ht="15.75" hidden="false" customHeight="false" outlineLevel="0" collapsed="false">
      <c r="A948" s="130" t="str">
        <f aca="false">IF(ISBLANK(B948),"",B948&amp;"|"&amp;C948)</f>
        <v/>
      </c>
      <c r="B948" s="130"/>
      <c r="C948" s="130"/>
      <c r="D948" s="130"/>
      <c r="E948" s="136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</row>
    <row r="949" customFormat="false" ht="15.75" hidden="false" customHeight="false" outlineLevel="0" collapsed="false">
      <c r="A949" s="130" t="str">
        <f aca="false">IF(ISBLANK(B949),"",B949&amp;"|"&amp;C949)</f>
        <v/>
      </c>
      <c r="B949" s="130"/>
      <c r="C949" s="130"/>
      <c r="D949" s="130"/>
      <c r="E949" s="136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</row>
    <row r="950" customFormat="false" ht="15.75" hidden="false" customHeight="false" outlineLevel="0" collapsed="false">
      <c r="A950" s="130" t="str">
        <f aca="false">IF(ISBLANK(B950),"",B950&amp;"|"&amp;C950)</f>
        <v/>
      </c>
      <c r="B950" s="130"/>
      <c r="C950" s="130"/>
      <c r="D950" s="130"/>
      <c r="E950" s="136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</row>
    <row r="951" customFormat="false" ht="15.75" hidden="false" customHeight="false" outlineLevel="0" collapsed="false">
      <c r="A951" s="130" t="str">
        <f aca="false">IF(ISBLANK(B951),"",B951&amp;"|"&amp;C951)</f>
        <v/>
      </c>
      <c r="B951" s="130"/>
      <c r="C951" s="130"/>
      <c r="D951" s="130"/>
      <c r="E951" s="136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</row>
    <row r="952" customFormat="false" ht="15.75" hidden="false" customHeight="false" outlineLevel="0" collapsed="false">
      <c r="A952" s="130" t="str">
        <f aca="false">IF(ISBLANK(B952),"",B952&amp;"|"&amp;C952)</f>
        <v/>
      </c>
      <c r="B952" s="130"/>
      <c r="C952" s="130"/>
      <c r="D952" s="130"/>
      <c r="E952" s="136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</row>
    <row r="953" customFormat="false" ht="15.75" hidden="false" customHeight="false" outlineLevel="0" collapsed="false">
      <c r="A953" s="130" t="str">
        <f aca="false">IF(ISBLANK(B953),"",B953&amp;"|"&amp;C953)</f>
        <v/>
      </c>
      <c r="B953" s="130"/>
      <c r="C953" s="130"/>
      <c r="D953" s="130"/>
      <c r="E953" s="136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</row>
    <row r="954" customFormat="false" ht="15.75" hidden="false" customHeight="false" outlineLevel="0" collapsed="false">
      <c r="A954" s="130" t="str">
        <f aca="false">IF(ISBLANK(B954),"",B954&amp;"|"&amp;C954)</f>
        <v/>
      </c>
      <c r="B954" s="130"/>
      <c r="C954" s="130"/>
      <c r="D954" s="130"/>
      <c r="E954" s="136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</row>
    <row r="955" customFormat="false" ht="15.75" hidden="false" customHeight="false" outlineLevel="0" collapsed="false">
      <c r="A955" s="130" t="str">
        <f aca="false">IF(ISBLANK(B955),"",B955&amp;"|"&amp;C955)</f>
        <v/>
      </c>
      <c r="B955" s="130"/>
      <c r="C955" s="130"/>
      <c r="D955" s="130"/>
      <c r="E955" s="136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</row>
    <row r="956" customFormat="false" ht="15.75" hidden="false" customHeight="false" outlineLevel="0" collapsed="false">
      <c r="A956" s="130" t="str">
        <f aca="false">IF(ISBLANK(B956),"",B956&amp;"|"&amp;C956)</f>
        <v/>
      </c>
      <c r="B956" s="130"/>
      <c r="C956" s="130"/>
      <c r="D956" s="130"/>
      <c r="E956" s="136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</row>
    <row r="957" customFormat="false" ht="15.75" hidden="false" customHeight="false" outlineLevel="0" collapsed="false">
      <c r="A957" s="130" t="str">
        <f aca="false">IF(ISBLANK(B957),"",B957&amp;"|"&amp;C957)</f>
        <v/>
      </c>
      <c r="B957" s="130"/>
      <c r="C957" s="130"/>
      <c r="D957" s="130"/>
      <c r="E957" s="136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</row>
    <row r="958" customFormat="false" ht="15.75" hidden="false" customHeight="false" outlineLevel="0" collapsed="false">
      <c r="A958" s="130" t="str">
        <f aca="false">IF(ISBLANK(B958),"",B958&amp;"|"&amp;C958)</f>
        <v/>
      </c>
      <c r="B958" s="130"/>
      <c r="C958" s="130"/>
      <c r="D958" s="130"/>
      <c r="E958" s="136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</row>
    <row r="959" customFormat="false" ht="15.75" hidden="false" customHeight="false" outlineLevel="0" collapsed="false">
      <c r="A959" s="130" t="str">
        <f aca="false">IF(ISBLANK(B959),"",B959&amp;"|"&amp;C959)</f>
        <v/>
      </c>
      <c r="B959" s="130"/>
      <c r="C959" s="130"/>
      <c r="D959" s="130"/>
      <c r="E959" s="136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</row>
    <row r="960" customFormat="false" ht="15.75" hidden="false" customHeight="false" outlineLevel="0" collapsed="false">
      <c r="A960" s="130" t="str">
        <f aca="false">IF(ISBLANK(B960),"",B960&amp;"|"&amp;C960)</f>
        <v/>
      </c>
      <c r="B960" s="130"/>
      <c r="C960" s="130"/>
      <c r="D960" s="130"/>
      <c r="E960" s="136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</row>
    <row r="961" customFormat="false" ht="15.75" hidden="false" customHeight="false" outlineLevel="0" collapsed="false">
      <c r="A961" s="130" t="str">
        <f aca="false">IF(ISBLANK(B961),"",B961&amp;"|"&amp;C961)</f>
        <v/>
      </c>
      <c r="B961" s="130"/>
      <c r="C961" s="130"/>
      <c r="D961" s="130"/>
      <c r="E961" s="136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</row>
    <row r="962" customFormat="false" ht="15.75" hidden="false" customHeight="false" outlineLevel="0" collapsed="false">
      <c r="A962" s="130" t="str">
        <f aca="false">IF(ISBLANK(B962),"",B962&amp;"|"&amp;C962)</f>
        <v/>
      </c>
      <c r="B962" s="130"/>
      <c r="C962" s="130"/>
      <c r="D962" s="130"/>
      <c r="E962" s="136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</row>
    <row r="963" customFormat="false" ht="15.75" hidden="false" customHeight="false" outlineLevel="0" collapsed="false">
      <c r="A963" s="130" t="str">
        <f aca="false">IF(ISBLANK(B963),"",B963&amp;"|"&amp;C963)</f>
        <v/>
      </c>
      <c r="B963" s="130"/>
      <c r="C963" s="130"/>
      <c r="D963" s="130"/>
      <c r="E963" s="136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</row>
    <row r="964" customFormat="false" ht="15.75" hidden="false" customHeight="false" outlineLevel="0" collapsed="false">
      <c r="A964" s="130" t="str">
        <f aca="false">IF(ISBLANK(B964),"",B964&amp;"|"&amp;C964)</f>
        <v/>
      </c>
      <c r="B964" s="130"/>
      <c r="C964" s="130"/>
      <c r="D964" s="130"/>
      <c r="E964" s="136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</row>
    <row r="965" customFormat="false" ht="15.75" hidden="false" customHeight="false" outlineLevel="0" collapsed="false">
      <c r="A965" s="130" t="str">
        <f aca="false">IF(ISBLANK(B965),"",B965&amp;"|"&amp;C965)</f>
        <v/>
      </c>
      <c r="B965" s="130"/>
      <c r="C965" s="130"/>
      <c r="D965" s="130"/>
      <c r="E965" s="136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</row>
    <row r="966" customFormat="false" ht="15.75" hidden="false" customHeight="false" outlineLevel="0" collapsed="false">
      <c r="A966" s="130" t="str">
        <f aca="false">IF(ISBLANK(B966),"",B966&amp;"|"&amp;C966)</f>
        <v/>
      </c>
      <c r="B966" s="130"/>
      <c r="C966" s="130"/>
      <c r="D966" s="130"/>
      <c r="E966" s="136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</row>
    <row r="967" customFormat="false" ht="15.75" hidden="false" customHeight="false" outlineLevel="0" collapsed="false">
      <c r="A967" s="130" t="str">
        <f aca="false">IF(ISBLANK(B967),"",B967&amp;"|"&amp;C967)</f>
        <v/>
      </c>
      <c r="B967" s="130"/>
      <c r="C967" s="130"/>
      <c r="D967" s="130"/>
      <c r="E967" s="136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</row>
    <row r="968" customFormat="false" ht="15.75" hidden="false" customHeight="false" outlineLevel="0" collapsed="false">
      <c r="A968" s="130" t="str">
        <f aca="false">IF(ISBLANK(B968),"",B968&amp;"|"&amp;C968)</f>
        <v/>
      </c>
      <c r="B968" s="130"/>
      <c r="C968" s="130"/>
      <c r="D968" s="130"/>
      <c r="E968" s="136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</row>
    <row r="969" customFormat="false" ht="15.75" hidden="false" customHeight="false" outlineLevel="0" collapsed="false">
      <c r="A969" s="130" t="str">
        <f aca="false">IF(ISBLANK(B969),"",B969&amp;"|"&amp;C969)</f>
        <v/>
      </c>
      <c r="B969" s="130"/>
      <c r="C969" s="130"/>
      <c r="D969" s="130"/>
      <c r="E969" s="136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</row>
    <row r="970" customFormat="false" ht="15.75" hidden="false" customHeight="false" outlineLevel="0" collapsed="false">
      <c r="A970" s="130" t="str">
        <f aca="false">IF(ISBLANK(B970),"",B970&amp;"|"&amp;C970)</f>
        <v/>
      </c>
      <c r="B970" s="130"/>
      <c r="C970" s="130"/>
      <c r="D970" s="130"/>
      <c r="E970" s="136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</row>
    <row r="971" customFormat="false" ht="15.75" hidden="false" customHeight="false" outlineLevel="0" collapsed="false">
      <c r="A971" s="130" t="str">
        <f aca="false">IF(ISBLANK(B971),"",B971&amp;"|"&amp;C971)</f>
        <v/>
      </c>
      <c r="B971" s="130"/>
      <c r="C971" s="130"/>
      <c r="D971" s="130"/>
      <c r="E971" s="136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</row>
    <row r="972" customFormat="false" ht="15.75" hidden="false" customHeight="false" outlineLevel="0" collapsed="false">
      <c r="A972" s="130" t="str">
        <f aca="false">IF(ISBLANK(B972),"",B972&amp;"|"&amp;C972)</f>
        <v/>
      </c>
      <c r="B972" s="130"/>
      <c r="C972" s="130"/>
      <c r="D972" s="130"/>
      <c r="E972" s="136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</row>
    <row r="973" customFormat="false" ht="15.75" hidden="false" customHeight="false" outlineLevel="0" collapsed="false">
      <c r="A973" s="130" t="str">
        <f aca="false">IF(ISBLANK(B973),"",B973&amp;"|"&amp;C973)</f>
        <v/>
      </c>
      <c r="B973" s="130"/>
      <c r="C973" s="130"/>
      <c r="D973" s="130"/>
      <c r="E973" s="136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</row>
    <row r="974" customFormat="false" ht="15.75" hidden="false" customHeight="false" outlineLevel="0" collapsed="false">
      <c r="A974" s="130" t="str">
        <f aca="false">IF(ISBLANK(B974),"",B974&amp;"|"&amp;C974)</f>
        <v/>
      </c>
      <c r="B974" s="130"/>
      <c r="C974" s="130"/>
      <c r="D974" s="130"/>
      <c r="E974" s="136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</row>
    <row r="975" customFormat="false" ht="15.75" hidden="false" customHeight="false" outlineLevel="0" collapsed="false">
      <c r="A975" s="130" t="str">
        <f aca="false">IF(ISBLANK(B975),"",B975&amp;"|"&amp;C975)</f>
        <v/>
      </c>
      <c r="B975" s="130"/>
      <c r="C975" s="130"/>
      <c r="D975" s="130"/>
      <c r="E975" s="136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</row>
    <row r="976" customFormat="false" ht="15.75" hidden="false" customHeight="false" outlineLevel="0" collapsed="false">
      <c r="A976" s="130" t="str">
        <f aca="false">IF(ISBLANK(B976),"",B976&amp;"|"&amp;C976)</f>
        <v/>
      </c>
      <c r="B976" s="130"/>
      <c r="C976" s="130"/>
      <c r="D976" s="130"/>
      <c r="E976" s="136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</row>
    <row r="977" customFormat="false" ht="15.75" hidden="false" customHeight="false" outlineLevel="0" collapsed="false">
      <c r="A977" s="130" t="str">
        <f aca="false">IF(ISBLANK(B977),"",B977&amp;"|"&amp;C977)</f>
        <v/>
      </c>
      <c r="B977" s="130"/>
      <c r="C977" s="130"/>
      <c r="D977" s="130"/>
      <c r="E977" s="136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</row>
    <row r="978" customFormat="false" ht="15.75" hidden="false" customHeight="false" outlineLevel="0" collapsed="false">
      <c r="A978" s="130" t="str">
        <f aca="false">IF(ISBLANK(B978),"",B978&amp;"|"&amp;C978)</f>
        <v/>
      </c>
      <c r="B978" s="130"/>
      <c r="C978" s="130"/>
      <c r="D978" s="130"/>
      <c r="E978" s="136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</row>
    <row r="979" customFormat="false" ht="15.75" hidden="false" customHeight="false" outlineLevel="0" collapsed="false">
      <c r="A979" s="130" t="str">
        <f aca="false">IF(ISBLANK(B979),"",B979&amp;"|"&amp;C979)</f>
        <v/>
      </c>
      <c r="B979" s="130"/>
      <c r="C979" s="130"/>
      <c r="D979" s="130"/>
      <c r="E979" s="136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</row>
    <row r="980" customFormat="false" ht="15.75" hidden="false" customHeight="false" outlineLevel="0" collapsed="false">
      <c r="A980" s="130" t="str">
        <f aca="false">IF(ISBLANK(B980),"",B980&amp;"|"&amp;C980)</f>
        <v/>
      </c>
      <c r="B980" s="130"/>
      <c r="C980" s="130"/>
      <c r="D980" s="130"/>
      <c r="E980" s="136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</row>
    <row r="981" customFormat="false" ht="15.75" hidden="false" customHeight="false" outlineLevel="0" collapsed="false">
      <c r="A981" s="130" t="str">
        <f aca="false">IF(ISBLANK(B981),"",B981&amp;"|"&amp;C981)</f>
        <v/>
      </c>
      <c r="B981" s="130"/>
      <c r="C981" s="130"/>
      <c r="D981" s="130"/>
      <c r="E981" s="136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</row>
    <row r="982" customFormat="false" ht="15.75" hidden="false" customHeight="false" outlineLevel="0" collapsed="false">
      <c r="A982" s="130" t="str">
        <f aca="false">IF(ISBLANK(B982),"",B982&amp;"|"&amp;C982)</f>
        <v/>
      </c>
      <c r="B982" s="130"/>
      <c r="C982" s="130"/>
      <c r="D982" s="130"/>
      <c r="E982" s="136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</row>
    <row r="983" customFormat="false" ht="15.75" hidden="false" customHeight="false" outlineLevel="0" collapsed="false">
      <c r="A983" s="130" t="str">
        <f aca="false">IF(ISBLANK(B983),"",B983&amp;"|"&amp;C983)</f>
        <v/>
      </c>
      <c r="B983" s="130"/>
      <c r="C983" s="130"/>
      <c r="D983" s="130"/>
      <c r="E983" s="136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</row>
    <row r="984" customFormat="false" ht="15.75" hidden="false" customHeight="false" outlineLevel="0" collapsed="false">
      <c r="A984" s="130" t="str">
        <f aca="false">IF(ISBLANK(B984),"",B984&amp;"|"&amp;C984)</f>
        <v/>
      </c>
      <c r="B984" s="130"/>
      <c r="C984" s="130"/>
      <c r="D984" s="130"/>
      <c r="E984" s="136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</row>
    <row r="985" customFormat="false" ht="15.75" hidden="false" customHeight="false" outlineLevel="0" collapsed="false">
      <c r="A985" s="130" t="str">
        <f aca="false">IF(ISBLANK(B985),"",B985&amp;"|"&amp;C985)</f>
        <v/>
      </c>
      <c r="B985" s="130"/>
      <c r="C985" s="130"/>
      <c r="D985" s="130"/>
      <c r="E985" s="136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</row>
    <row r="986" customFormat="false" ht="15.75" hidden="false" customHeight="false" outlineLevel="0" collapsed="false">
      <c r="A986" s="130" t="str">
        <f aca="false">IF(ISBLANK(B986),"",B986&amp;"|"&amp;C986)</f>
        <v/>
      </c>
      <c r="B986" s="130"/>
      <c r="C986" s="130"/>
      <c r="D986" s="130"/>
      <c r="E986" s="136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</row>
    <row r="987" customFormat="false" ht="15.75" hidden="false" customHeight="false" outlineLevel="0" collapsed="false">
      <c r="A987" s="130" t="str">
        <f aca="false">IF(ISBLANK(B987),"",B987&amp;"|"&amp;C987)</f>
        <v/>
      </c>
      <c r="B987" s="130"/>
      <c r="C987" s="130"/>
      <c r="D987" s="130"/>
      <c r="E987" s="136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</row>
    <row r="988" customFormat="false" ht="15.75" hidden="false" customHeight="false" outlineLevel="0" collapsed="false">
      <c r="A988" s="130" t="str">
        <f aca="false">IF(ISBLANK(B988),"",B988&amp;"|"&amp;C988)</f>
        <v/>
      </c>
      <c r="B988" s="130"/>
      <c r="C988" s="130"/>
      <c r="D988" s="130"/>
      <c r="E988" s="136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</row>
    <row r="989" customFormat="false" ht="15.75" hidden="false" customHeight="false" outlineLevel="0" collapsed="false">
      <c r="A989" s="130" t="str">
        <f aca="false">IF(ISBLANK(B989),"",B989&amp;"|"&amp;C989)</f>
        <v/>
      </c>
      <c r="B989" s="130"/>
      <c r="C989" s="130"/>
      <c r="D989" s="130"/>
      <c r="E989" s="136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</row>
    <row r="990" customFormat="false" ht="15.75" hidden="false" customHeight="false" outlineLevel="0" collapsed="false">
      <c r="A990" s="130" t="str">
        <f aca="false">IF(ISBLANK(B990),"",B990&amp;"|"&amp;C990)</f>
        <v/>
      </c>
      <c r="B990" s="130"/>
      <c r="C990" s="130"/>
      <c r="D990" s="130"/>
      <c r="E990" s="136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</row>
    <row r="991" customFormat="false" ht="15.75" hidden="false" customHeight="false" outlineLevel="0" collapsed="false">
      <c r="A991" s="130" t="str">
        <f aca="false">IF(ISBLANK(B991),"",B991&amp;"|"&amp;C991)</f>
        <v/>
      </c>
      <c r="B991" s="130"/>
      <c r="C991" s="130"/>
      <c r="D991" s="130"/>
      <c r="E991" s="136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</row>
    <row r="992" customFormat="false" ht="15.75" hidden="false" customHeight="false" outlineLevel="0" collapsed="false">
      <c r="A992" s="130" t="str">
        <f aca="false">IF(ISBLANK(B992),"",B992&amp;"|"&amp;C992)</f>
        <v/>
      </c>
      <c r="B992" s="130"/>
      <c r="C992" s="130"/>
      <c r="D992" s="130"/>
      <c r="E992" s="136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</row>
    <row r="993" customFormat="false" ht="15.75" hidden="false" customHeight="false" outlineLevel="0" collapsed="false">
      <c r="A993" s="130" t="str">
        <f aca="false">IF(ISBLANK(B993),"",B993&amp;"|"&amp;C993)</f>
        <v/>
      </c>
      <c r="B993" s="130"/>
      <c r="C993" s="130"/>
      <c r="D993" s="130"/>
      <c r="E993" s="136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</row>
    <row r="994" customFormat="false" ht="15.75" hidden="false" customHeight="false" outlineLevel="0" collapsed="false">
      <c r="A994" s="130" t="str">
        <f aca="false">IF(ISBLANK(B994),"",B994&amp;"|"&amp;C994)</f>
        <v/>
      </c>
      <c r="B994" s="130"/>
      <c r="C994" s="130"/>
      <c r="D994" s="130"/>
      <c r="E994" s="136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</row>
    <row r="995" customFormat="false" ht="15.75" hidden="false" customHeight="false" outlineLevel="0" collapsed="false">
      <c r="A995" s="130" t="str">
        <f aca="false">IF(ISBLANK(B995),"",B995&amp;"|"&amp;C995)</f>
        <v/>
      </c>
      <c r="B995" s="130"/>
      <c r="C995" s="130"/>
      <c r="D995" s="130"/>
      <c r="E995" s="136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</row>
    <row r="996" customFormat="false" ht="15.75" hidden="false" customHeight="false" outlineLevel="0" collapsed="false">
      <c r="A996" s="130" t="str">
        <f aca="false">IF(ISBLANK(B996),"",B996&amp;"|"&amp;C996)</f>
        <v/>
      </c>
      <c r="B996" s="130"/>
      <c r="C996" s="130"/>
      <c r="D996" s="130"/>
      <c r="E996" s="136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</row>
    <row r="997" customFormat="false" ht="15.75" hidden="false" customHeight="false" outlineLevel="0" collapsed="false">
      <c r="A997" s="130" t="str">
        <f aca="false">IF(ISBLANK(B997),"",B997&amp;"|"&amp;C997)</f>
        <v/>
      </c>
      <c r="B997" s="130"/>
      <c r="C997" s="130"/>
      <c r="D997" s="130"/>
      <c r="E997" s="136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</row>
    <row r="998" customFormat="false" ht="15.75" hidden="false" customHeight="false" outlineLevel="0" collapsed="false">
      <c r="A998" s="130" t="str">
        <f aca="false">IF(ISBLANK(B998),"",B998&amp;"|"&amp;C998)</f>
        <v/>
      </c>
      <c r="B998" s="130"/>
      <c r="C998" s="130"/>
      <c r="D998" s="130"/>
      <c r="E998" s="136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</row>
    <row r="999" customFormat="false" ht="15.75" hidden="false" customHeight="false" outlineLevel="0" collapsed="false">
      <c r="A999" s="130" t="str">
        <f aca="false">IF(ISBLANK(B999),"",B999&amp;"|"&amp;C999)</f>
        <v/>
      </c>
      <c r="B999" s="130"/>
      <c r="C999" s="130"/>
      <c r="D999" s="130"/>
      <c r="E999" s="136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</row>
    <row r="1000" customFormat="false" ht="15.75" hidden="false" customHeight="false" outlineLevel="0" collapsed="false">
      <c r="A1000" s="130" t="str">
        <f aca="false">IF(ISBLANK(B1000),"",B1000&amp;"|"&amp;C1000)</f>
        <v/>
      </c>
      <c r="B1000" s="130"/>
      <c r="C1000" s="130"/>
      <c r="D1000" s="130"/>
      <c r="E1000" s="136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5.85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30" t="s">
        <v>90</v>
      </c>
      <c r="B1" s="130" t="s">
        <v>91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customFormat="false" ht="15.75" hidden="false" customHeight="false" outlineLevel="0" collapsed="false">
      <c r="A2" s="130" t="s">
        <v>92</v>
      </c>
      <c r="B2" s="137" t="n">
        <v>46296</v>
      </c>
      <c r="C2" s="130"/>
      <c r="D2" s="130" t="s">
        <v>93</v>
      </c>
      <c r="E2" s="130" t="s">
        <v>94</v>
      </c>
      <c r="F2" s="130" t="s">
        <v>95</v>
      </c>
      <c r="G2" s="130" t="s">
        <v>96</v>
      </c>
      <c r="H2" s="130" t="s">
        <v>97</v>
      </c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customFormat="false" ht="15.75" hidden="false" customHeight="false" outlineLevel="0" collapsed="false">
      <c r="A3" s="130" t="s">
        <v>98</v>
      </c>
      <c r="B3" s="130" t="s">
        <v>99</v>
      </c>
      <c r="C3" s="130"/>
      <c r="D3" s="130" t="n">
        <f aca="false">FIND(".",B3)</f>
        <v>2</v>
      </c>
      <c r="E3" s="130" t="n">
        <f aca="false">FIND(".",B3,D3+1)</f>
        <v>4</v>
      </c>
      <c r="F3" s="130" t="str">
        <f aca="false">LEFT(B3,D3-1)</f>
        <v>0</v>
      </c>
      <c r="G3" s="130" t="str">
        <f aca="false">MID(B3,D3+1,E3-D3-1)</f>
        <v>1</v>
      </c>
      <c r="H3" s="130" t="str">
        <f aca="false">RIGHT(B3,LEN(B3)-E3)</f>
        <v>0</v>
      </c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customFormat="false" ht="15.75" hidden="false" customHeight="false" outlineLevel="0" collapsed="false">
      <c r="A4" s="130" t="s">
        <v>100</v>
      </c>
      <c r="B4" s="130" t="s">
        <v>86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customFormat="false" ht="15.75" hidden="false" customHeight="false" outlineLevel="0" collapsed="false">
      <c r="A5" s="130" t="s">
        <v>101</v>
      </c>
      <c r="B5" s="130" t="n">
        <v>2027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customFormat="false" ht="15.75" hidden="false" customHeight="false" outlineLevel="0" collapsed="false">
      <c r="A6" s="130" t="s">
        <v>102</v>
      </c>
      <c r="B6" s="130" t="str">
        <f aca="false">B1&amp;"|"&amp;B4</f>
        <v>Elastic Launched Glider|B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customFormat="false" ht="15.75" hidden="false" customHeight="false" outlineLevel="0" collapsed="false">
      <c r="A7" s="130" t="s">
        <v>103</v>
      </c>
      <c r="B7" s="130"/>
      <c r="C7" s="130"/>
      <c r="D7" s="130" t="e">
        <f aca="false">FIND(".",B7)</f>
        <v>#VALUE!</v>
      </c>
      <c r="E7" s="130" t="e">
        <f aca="false">FIND(".",B7,D7+1)</f>
        <v>#VALUE!</v>
      </c>
      <c r="F7" s="130" t="e">
        <f aca="false">LEFT(B7,D7-1)</f>
        <v>#VALUE!</v>
      </c>
      <c r="G7" s="130" t="e">
        <f aca="false">MID(B7,D7+1,E7-D7-1)</f>
        <v>#VALUE!</v>
      </c>
      <c r="H7" s="130" t="e">
        <f aca="false">RIGHT(B7,LEN(B7)-E7)</f>
        <v>#VALUE!</v>
      </c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customFormat="false" ht="15.75" hidden="false" customHeight="false" outlineLevel="0" collapsed="false">
      <c r="A8" s="130" t="s">
        <v>104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customFormat="false" ht="15.75" hidden="false" customHeight="false" outlineLevel="0" collapsed="false">
      <c r="A9" s="130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customFormat="false" ht="15.75" hidden="false" customHeight="false" outlineLevel="0" collapsed="false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customFormat="false" ht="15.75" hidden="false" customHeight="false" outlineLevel="0" collapsed="false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customFormat="false" ht="15.75" hidden="false" customHeight="false" outlineLevel="0" collapsed="false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customFormat="false" ht="15.75" hidden="false" customHeight="false" outlineLevel="0" collapsed="false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customFormat="false" ht="15.75" hidden="false" customHeight="false" outlineLevel="0" collapsed="false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customFormat="false" ht="15.75" hidden="false" customHeight="false" outlineLevel="0" collapsed="false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customFormat="false" ht="15.75" hidden="false" customHeight="false" outlineLevel="0" collapsed="false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customFormat="false" ht="15.75" hidden="false" customHeight="false" outlineLevel="0" collapsed="false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customFormat="false" ht="15.75" hidden="false" customHeight="false" outlineLevel="0" collapsed="false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customFormat="false" ht="15.75" hidden="false" customHeight="false" outlineLevel="0" collapsed="false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customFormat="false" ht="15.75" hidden="false" customHeight="false" outlineLevel="0" collapsed="false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customFormat="false" ht="15.75" hidden="false" customHeight="false" outlineLevel="0" collapsed="false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customFormat="false" ht="15.75" hidden="false" customHeight="false" outlineLevel="0" collapsed="false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customFormat="false" ht="15.75" hidden="false" customHeight="false" outlineLevel="0" collapsed="false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customFormat="false" ht="15.75" hidden="false" customHeight="false" outlineLevel="0" collapsed="false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customFormat="false" ht="15.75" hidden="false" customHeight="false" outlineLevel="0" collapsed="false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customFormat="false" ht="15.75" hidden="false" customHeight="false" outlineLevel="0" collapsed="false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customFormat="false" ht="15.75" hidden="false" customHeight="false" outlineLevel="0" collapsed="false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customFormat="false" ht="15.75" hidden="false" customHeight="false" outlineLevel="0" collapsed="false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customFormat="false" ht="15.75" hidden="false" customHeight="false" outlineLevel="0" collapsed="false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customFormat="false" ht="15.75" hidden="false" customHeight="false" outlineLevel="0" collapsed="false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customFormat="false" ht="15.75" hidden="false" customHeight="false" outlineLevel="0" collapsed="false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customFormat="false" ht="15.75" hidden="false" customHeight="false" outlineLevel="0" collapsed="false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customFormat="false" ht="15.75" hidden="false" customHeight="false" outlineLevel="0" collapsed="false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customFormat="false" ht="15.75" hidden="false" customHeight="false" outlineLevel="0" collapsed="false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customFormat="false" ht="15.75" hidden="false" customHeight="false" outlineLevel="0" collapsed="false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customFormat="false" ht="15.75" hidden="false" customHeight="false" outlineLevel="0" collapsed="false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customFormat="false" ht="15.75" hidden="false" customHeight="false" outlineLevel="0" collapsed="false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customFormat="false" ht="15.75" hidden="false" customHeight="false" outlineLevel="0" collapsed="false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customFormat="false" ht="15.75" hidden="false" customHeight="false" outlineLevel="0" collapsed="false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customFormat="false" ht="15.75" hidden="false" customHeight="false" outlineLevel="0" collapsed="false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customFormat="false" ht="15.75" hidden="false" customHeight="false" outlineLevel="0" collapsed="false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customFormat="false" ht="15.75" hidden="false" customHeight="false" outlineLevel="0" collapsed="false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customFormat="false" ht="15.75" hidden="false" customHeight="false" outlineLevel="0" collapsed="false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customFormat="false" ht="15.75" hidden="false" customHeight="false" outlineLevel="0" collapsed="false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customFormat="false" ht="15.75" hidden="false" customHeight="false" outlineLevel="0" collapsed="false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customFormat="false" ht="15.75" hidden="false" customHeight="false" outlineLevel="0" collapsed="false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customFormat="false" ht="15.75" hidden="false" customHeight="false" outlineLevel="0" collapsed="false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customFormat="false" ht="15.75" hidden="false" customHeight="false" outlineLevel="0" collapsed="false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customFormat="false" ht="15.75" hidden="false" customHeight="false" outlineLevel="0" collapsed="false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customFormat="false" ht="15.75" hidden="false" customHeight="false" outlineLevel="0" collapsed="false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customFormat="false" ht="15.75" hidden="false" customHeight="false" outlineLevel="0" collapsed="false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customFormat="false" ht="15.75" hidden="false" customHeight="false" outlineLevel="0" collapsed="false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customFormat="false" ht="15.75" hidden="false" customHeight="false" outlineLevel="0" collapsed="false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customFormat="false" ht="15.75" hidden="false" customHeight="false" outlineLevel="0" collapsed="false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customFormat="false" ht="15.75" hidden="false" customHeight="false" outlineLevel="0" collapsed="false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customFormat="false" ht="15.75" hidden="false" customHeight="false" outlineLevel="0" collapsed="false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customFormat="false" ht="15.75" hidden="false" customHeight="false" outlineLevel="0" collapsed="false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customFormat="false" ht="15.75" hidden="false" customHeight="false" outlineLevel="0" collapsed="false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customFormat="false" ht="15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customFormat="false" ht="15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customFormat="false" ht="15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customFormat="false" ht="15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customFormat="false" ht="15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customFormat="false" ht="15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customFormat="false" ht="15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customFormat="false" ht="15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customFormat="false" ht="15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customFormat="false" ht="15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customFormat="false" ht="15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customFormat="false" ht="15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customFormat="false" ht="15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customFormat="false" ht="15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customFormat="false" ht="15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customFormat="false" ht="15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customFormat="false" ht="15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customFormat="false" ht="15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customFormat="false" ht="15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customFormat="false" ht="15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customFormat="false" ht="15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customFormat="false" ht="15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customFormat="false" ht="15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customFormat="false" ht="15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customFormat="false" ht="15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customFormat="false" ht="15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customFormat="false" ht="15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customFormat="false" ht="15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customFormat="false" ht="15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customFormat="false" ht="15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customFormat="false" ht="15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customFormat="false" ht="15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customFormat="false" ht="15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customFormat="false" ht="15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customFormat="false" ht="15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customFormat="false" ht="15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customFormat="false" ht="15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customFormat="false" ht="15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customFormat="false" ht="15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customFormat="false" ht="15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customFormat="false" ht="15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customFormat="false" ht="15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customFormat="false" ht="15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customFormat="false" ht="15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customFormat="false" ht="15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customFormat="false" ht="15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customFormat="false" ht="15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customFormat="false" ht="15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customFormat="false" ht="15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customFormat="false" ht="15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customFormat="false" ht="15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customFormat="false" ht="15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customFormat="false" ht="15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customFormat="false" ht="15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customFormat="false" ht="15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customFormat="false" ht="15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customFormat="false" ht="15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customFormat="false" ht="15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customFormat="false" ht="15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customFormat="false" ht="15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customFormat="false" ht="15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customFormat="false" ht="15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customFormat="false" ht="15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customFormat="false" ht="15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customFormat="false" ht="15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customFormat="false" ht="15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customFormat="false" ht="15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customFormat="false" ht="15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customFormat="false" ht="15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customFormat="false" ht="15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customFormat="false" ht="15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customFormat="false" ht="15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customFormat="false" ht="15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customFormat="false" ht="15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customFormat="false" ht="15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customFormat="false" ht="15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customFormat="false" ht="15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customFormat="false" ht="15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customFormat="false" ht="15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customFormat="false" ht="15.75" hidden="false" customHeight="false" outlineLevel="0" collapsed="false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customFormat="false" ht="15.75" hidden="false" customHeight="false" outlineLevel="0" collapsed="false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customFormat="false" ht="15.75" hidden="false" customHeight="false" outlineLevel="0" collapsed="false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customFormat="false" ht="15.75" hidden="false" customHeight="false" outlineLevel="0" collapsed="false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customFormat="false" ht="15.75" hidden="false" customHeight="false" outlineLevel="0" collapsed="false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customFormat="false" ht="15.75" hidden="false" customHeight="false" outlineLevel="0" collapsed="false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customFormat="false" ht="15.75" hidden="false" customHeight="false" outlineLevel="0" collapsed="false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customFormat="false" ht="15.75" hidden="false" customHeight="false" outlineLevel="0" collapsed="false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customFormat="false" ht="15.75" hidden="false" customHeight="false" outlineLevel="0" collapsed="false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customFormat="false" ht="15.75" hidden="false" customHeight="false" outlineLevel="0" collapsed="false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customFormat="false" ht="15.75" hidden="false" customHeight="false" outlineLevel="0" collapsed="false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customFormat="false" ht="15.75" hidden="false" customHeight="false" outlineLevel="0" collapsed="false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customFormat="false" ht="15.75" hidden="false" customHeight="false" outlineLevel="0" collapsed="false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customFormat="false" ht="15.75" hidden="false" customHeight="false" outlineLevel="0" collapsed="false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customFormat="false" ht="15.75" hidden="false" customHeight="false" outlineLevel="0" collapsed="false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customFormat="false" ht="15.75" hidden="false" customHeight="false" outlineLevel="0" collapsed="false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customFormat="false" ht="15.75" hidden="false" customHeight="false" outlineLevel="0" collapsed="false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customFormat="false" ht="15.75" hidden="false" customHeight="false" outlineLevel="0" collapsed="false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customFormat="false" ht="15.75" hidden="false" customHeight="false" outlineLevel="0" collapsed="false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customFormat="false" ht="15.75" hidden="false" customHeight="false" outlineLevel="0" collapsed="false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customFormat="false" ht="15.75" hidden="false" customHeight="false" outlineLevel="0" collapsed="false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customFormat="false" ht="15.75" hidden="false" customHeight="false" outlineLevel="0" collapsed="false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customFormat="false" ht="15.75" hidden="false" customHeight="false" outlineLevel="0" collapsed="false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customFormat="false" ht="15.75" hidden="false" customHeight="false" outlineLevel="0" collapsed="false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customFormat="false" ht="15.75" hidden="false" customHeight="false" outlineLevel="0" collapsed="false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customFormat="false" ht="15.75" hidden="false" customHeight="false" outlineLevel="0" collapsed="false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customFormat="false" ht="15.75" hidden="false" customHeight="false" outlineLevel="0" collapsed="false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customFormat="false" ht="15.75" hidden="false" customHeight="false" outlineLevel="0" collapsed="false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customFormat="false" ht="15.75" hidden="false" customHeight="false" outlineLevel="0" collapsed="false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customFormat="false" ht="15.75" hidden="false" customHeight="false" outlineLevel="0" collapsed="false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customFormat="false" ht="15.75" hidden="false" customHeight="false" outlineLevel="0" collapsed="false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customFormat="false" ht="15.75" hidden="false" customHeight="false" outlineLevel="0" collapsed="false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customFormat="false" ht="15.75" hidden="false" customHeight="false" outlineLevel="0" collapsed="false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customFormat="false" ht="15.75" hidden="false" customHeight="false" outlineLevel="0" collapsed="false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customFormat="false" ht="15.75" hidden="false" customHeight="false" outlineLevel="0" collapsed="false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customFormat="false" ht="15.75" hidden="false" customHeight="false" outlineLevel="0" collapsed="false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customFormat="false" ht="15.75" hidden="false" customHeight="false" outlineLevel="0" collapsed="false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customFormat="false" ht="15.75" hidden="false" customHeight="false" outlineLevel="0" collapsed="false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customFormat="false" ht="15.75" hidden="false" customHeight="false" outlineLevel="0" collapsed="false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customFormat="false" ht="15.75" hidden="false" customHeight="false" outlineLevel="0" collapsed="false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customFormat="false" ht="15.75" hidden="false" customHeight="false" outlineLevel="0" collapsed="false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customFormat="false" ht="15.75" hidden="false" customHeight="false" outlineLevel="0" collapsed="false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customFormat="false" ht="15.75" hidden="false" customHeight="false" outlineLevel="0" collapsed="false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customFormat="false" ht="15.75" hidden="false" customHeight="false" outlineLevel="0" collapsed="false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customFormat="false" ht="15.75" hidden="false" customHeight="false" outlineLevel="0" collapsed="false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customFormat="false" ht="15.75" hidden="false" customHeight="false" outlineLevel="0" collapsed="false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customFormat="false" ht="15.75" hidden="false" customHeight="false" outlineLevel="0" collapsed="false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customFormat="false" ht="15.75" hidden="false" customHeight="false" outlineLevel="0" collapsed="false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customFormat="false" ht="15.75" hidden="false" customHeight="false" outlineLevel="0" collapsed="false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customFormat="false" ht="15.75" hidden="false" customHeight="false" outlineLevel="0" collapsed="false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customFormat="false" ht="15.75" hidden="false" customHeight="false" outlineLevel="0" collapsed="false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customFormat="false" ht="15.75" hidden="false" customHeight="false" outlineLevel="0" collapsed="false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customFormat="false" ht="15.75" hidden="false" customHeight="false" outlineLevel="0" collapsed="false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customFormat="false" ht="15.75" hidden="false" customHeight="false" outlineLevel="0" collapsed="false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customFormat="false" ht="15.75" hidden="false" customHeight="false" outlineLevel="0" collapsed="false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customFormat="false" ht="15.75" hidden="false" customHeight="false" outlineLevel="0" collapsed="false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customFormat="false" ht="15.75" hidden="false" customHeight="false" outlineLevel="0" collapsed="false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customFormat="false" ht="15.75" hidden="false" customHeight="false" outlineLevel="0" collapsed="false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customFormat="false" ht="15.75" hidden="false" customHeight="false" outlineLevel="0" collapsed="false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customFormat="false" ht="15.75" hidden="false" customHeight="false" outlineLevel="0" collapsed="false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customFormat="false" ht="15.75" hidden="false" customHeight="false" outlineLevel="0" collapsed="false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customFormat="false" ht="15.75" hidden="false" customHeight="false" outlineLevel="0" collapsed="false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customFormat="false" ht="15.75" hidden="false" customHeight="false" outlineLevel="0" collapsed="false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customFormat="false" ht="15.75" hidden="false" customHeight="false" outlineLevel="0" collapsed="false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customFormat="false" ht="15.75" hidden="false" customHeight="false" outlineLevel="0" collapsed="false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customFormat="false" ht="15.75" hidden="false" customHeight="false" outlineLevel="0" collapsed="false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customFormat="false" ht="15.75" hidden="false" customHeight="false" outlineLevel="0" collapsed="false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customFormat="false" ht="15.75" hidden="false" customHeight="false" outlineLevel="0" collapsed="false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customFormat="false" ht="15.75" hidden="false" customHeight="false" outlineLevel="0" collapsed="false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customFormat="false" ht="15.75" hidden="false" customHeight="false" outlineLevel="0" collapsed="false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customFormat="false" ht="15.75" hidden="false" customHeight="false" outlineLevel="0" collapsed="false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customFormat="false" ht="15.75" hidden="false" customHeight="false" outlineLevel="0" collapsed="false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customFormat="false" ht="15.75" hidden="false" customHeight="false" outlineLevel="0" collapsed="false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customFormat="false" ht="15.75" hidden="false" customHeight="false" outlineLevel="0" collapsed="false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customFormat="false" ht="15.75" hidden="false" customHeight="false" outlineLevel="0" collapsed="false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customFormat="false" ht="15.75" hidden="false" customHeight="false" outlineLevel="0" collapsed="false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customFormat="false" ht="15.75" hidden="false" customHeight="false" outlineLevel="0" collapsed="false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customFormat="false" ht="15.75" hidden="false" customHeight="false" outlineLevel="0" collapsed="false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customFormat="false" ht="15.75" hidden="false" customHeight="false" outlineLevel="0" collapsed="false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customFormat="false" ht="15.75" hidden="false" customHeight="false" outlineLevel="0" collapsed="false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customFormat="false" ht="15.75" hidden="false" customHeight="false" outlineLevel="0" collapsed="false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customFormat="false" ht="15.75" hidden="false" customHeight="false" outlineLevel="0" collapsed="false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customFormat="false" ht="15.75" hidden="false" customHeight="false" outlineLevel="0" collapsed="false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customFormat="false" ht="15.75" hidden="false" customHeight="false" outlineLevel="0" collapsed="false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customFormat="false" ht="15.75" hidden="false" customHeight="false" outlineLevel="0" collapsed="false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customFormat="false" ht="15.75" hidden="false" customHeight="false" outlineLevel="0" collapsed="false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customFormat="false" ht="15.75" hidden="false" customHeight="false" outlineLevel="0" collapsed="false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customFormat="false" ht="15.75" hidden="false" customHeight="false" outlineLevel="0" collapsed="false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customFormat="false" ht="15.75" hidden="false" customHeight="false" outlineLevel="0" collapsed="false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customFormat="false" ht="15.75" hidden="false" customHeight="false" outlineLevel="0" collapsed="false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customFormat="false" ht="15.75" hidden="false" customHeight="false" outlineLevel="0" collapsed="false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customFormat="false" ht="15.75" hidden="false" customHeight="false" outlineLevel="0" collapsed="false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customFormat="false" ht="15.75" hidden="false" customHeight="false" outlineLevel="0" collapsed="false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customFormat="false" ht="15.75" hidden="false" customHeight="false" outlineLevel="0" collapsed="false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customFormat="false" ht="15.75" hidden="false" customHeight="false" outlineLevel="0" collapsed="false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customFormat="false" ht="15.75" hidden="false" customHeight="false" outlineLevel="0" collapsed="false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customFormat="false" ht="15.75" hidden="false" customHeight="false" outlineLevel="0" collapsed="false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customFormat="false" ht="15.75" hidden="false" customHeight="false" outlineLevel="0" collapsed="false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customFormat="false" ht="15.75" hidden="false" customHeight="false" outlineLevel="0" collapsed="false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customFormat="false" ht="15.75" hidden="false" customHeight="false" outlineLevel="0" collapsed="false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customFormat="false" ht="15.75" hidden="false" customHeight="false" outlineLevel="0" collapsed="false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customFormat="false" ht="15.75" hidden="false" customHeight="false" outlineLevel="0" collapsed="false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customFormat="false" ht="15.75" hidden="false" customHeight="false" outlineLevel="0" collapsed="false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customFormat="false" ht="15.75" hidden="false" customHeight="false" outlineLevel="0" collapsed="false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customFormat="false" ht="15.75" hidden="false" customHeight="false" outlineLevel="0" collapsed="false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customFormat="false" ht="15.75" hidden="false" customHeight="false" outlineLevel="0" collapsed="false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customFormat="false" ht="15.75" hidden="false" customHeight="false" outlineLevel="0" collapsed="false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customFormat="false" ht="15.75" hidden="false" customHeight="false" outlineLevel="0" collapsed="false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customFormat="false" ht="15.75" hidden="false" customHeight="false" outlineLevel="0" collapsed="false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customFormat="false" ht="15.75" hidden="false" customHeight="false" outlineLevel="0" collapsed="false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customFormat="false" ht="15.75" hidden="false" customHeight="false" outlineLevel="0" collapsed="false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customFormat="false" ht="15.75" hidden="false" customHeight="false" outlineLevel="0" collapsed="false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customFormat="false" ht="15.75" hidden="false" customHeight="false" outlineLevel="0" collapsed="false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customFormat="false" ht="15.75" hidden="false" customHeight="false" outlineLevel="0" collapsed="false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customFormat="false" ht="15.75" hidden="false" customHeight="false" outlineLevel="0" collapsed="false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customFormat="false" ht="15.75" hidden="false" customHeight="false" outlineLevel="0" collapsed="false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customFormat="false" ht="15.75" hidden="false" customHeight="false" outlineLevel="0" collapsed="false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customFormat="false" ht="15.75" hidden="false" customHeight="false" outlineLevel="0" collapsed="false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customFormat="false" ht="15.75" hidden="false" customHeight="false" outlineLevel="0" collapsed="false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customFormat="false" ht="15.75" hidden="false" customHeight="false" outlineLevel="0" collapsed="false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customFormat="false" ht="15.75" hidden="false" customHeight="false" outlineLevel="0" collapsed="false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customFormat="false" ht="15.75" hidden="false" customHeight="false" outlineLevel="0" collapsed="false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customFormat="false" ht="15.75" hidden="false" customHeight="false" outlineLevel="0" collapsed="false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customFormat="false" ht="15.75" hidden="false" customHeight="false" outlineLevel="0" collapsed="false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customFormat="false" ht="15.75" hidden="false" customHeight="false" outlineLevel="0" collapsed="false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customFormat="false" ht="15.75" hidden="false" customHeight="false" outlineLevel="0" collapsed="false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customFormat="false" ht="15.75" hidden="false" customHeight="false" outlineLevel="0" collapsed="false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customFormat="false" ht="15.75" hidden="false" customHeight="false" outlineLevel="0" collapsed="false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customFormat="false" ht="15.75" hidden="false" customHeight="false" outlineLevel="0" collapsed="false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customFormat="false" ht="15.75" hidden="false" customHeight="false" outlineLevel="0" collapsed="false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customFormat="false" ht="15.75" hidden="false" customHeight="false" outlineLevel="0" collapsed="false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customFormat="false" ht="15.75" hidden="false" customHeight="false" outlineLevel="0" collapsed="false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customFormat="false" ht="15.75" hidden="false" customHeight="false" outlineLevel="0" collapsed="false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customFormat="false" ht="15.75" hidden="false" customHeight="false" outlineLevel="0" collapsed="false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customFormat="false" ht="15.75" hidden="false" customHeight="false" outlineLevel="0" collapsed="false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customFormat="false" ht="15.75" hidden="false" customHeight="false" outlineLevel="0" collapsed="false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customFormat="false" ht="15.75" hidden="false" customHeight="false" outlineLevel="0" collapsed="false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customFormat="false" ht="15.75" hidden="false" customHeight="false" outlineLevel="0" collapsed="false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customFormat="false" ht="15.75" hidden="false" customHeight="false" outlineLevel="0" collapsed="false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customFormat="false" ht="15.75" hidden="false" customHeight="false" outlineLevel="0" collapsed="false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customFormat="false" ht="15.75" hidden="false" customHeight="false" outlineLevel="0" collapsed="false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customFormat="false" ht="15.75" hidden="false" customHeight="false" outlineLevel="0" collapsed="false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customFormat="false" ht="15.75" hidden="false" customHeight="false" outlineLevel="0" collapsed="false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customFormat="false" ht="15.75" hidden="false" customHeight="false" outlineLevel="0" collapsed="false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customFormat="false" ht="15.75" hidden="false" customHeight="false" outlineLevel="0" collapsed="false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customFormat="false" ht="15.75" hidden="false" customHeight="false" outlineLevel="0" collapsed="false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customFormat="false" ht="15.75" hidden="false" customHeight="false" outlineLevel="0" collapsed="false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customFormat="false" ht="15.75" hidden="false" customHeight="false" outlineLevel="0" collapsed="false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customFormat="false" ht="15.75" hidden="false" customHeight="false" outlineLevel="0" collapsed="false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customFormat="false" ht="15.75" hidden="false" customHeight="false" outlineLevel="0" collapsed="false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customFormat="false" ht="15.75" hidden="false" customHeight="false" outlineLevel="0" collapsed="false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customFormat="false" ht="15.75" hidden="false" customHeight="false" outlineLevel="0" collapsed="false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customFormat="false" ht="15.75" hidden="false" customHeight="false" outlineLevel="0" collapsed="false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customFormat="false" ht="15.75" hidden="false" customHeight="false" outlineLevel="0" collapsed="false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customFormat="false" ht="15.75" hidden="false" customHeight="false" outlineLevel="0" collapsed="false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customFormat="false" ht="15.75" hidden="false" customHeight="false" outlineLevel="0" collapsed="false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customFormat="false" ht="15.75" hidden="false" customHeight="false" outlineLevel="0" collapsed="false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customFormat="false" ht="15.75" hidden="false" customHeight="false" outlineLevel="0" collapsed="false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customFormat="false" ht="15.75" hidden="false" customHeight="false" outlineLevel="0" collapsed="false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customFormat="false" ht="15.75" hidden="false" customHeight="false" outlineLevel="0" collapsed="false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customFormat="false" ht="15.75" hidden="false" customHeight="false" outlineLevel="0" collapsed="false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customFormat="false" ht="15.75" hidden="false" customHeight="false" outlineLevel="0" collapsed="false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customFormat="false" ht="15.75" hidden="false" customHeight="false" outlineLevel="0" collapsed="false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customFormat="false" ht="15.75" hidden="false" customHeight="false" outlineLevel="0" collapsed="false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customFormat="false" ht="15.75" hidden="false" customHeight="false" outlineLevel="0" collapsed="false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customFormat="false" ht="15.75" hidden="false" customHeight="false" outlineLevel="0" collapsed="false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customFormat="false" ht="15.75" hidden="false" customHeight="false" outlineLevel="0" collapsed="false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customFormat="false" ht="15.75" hidden="false" customHeight="false" outlineLevel="0" collapsed="false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customFormat="false" ht="15.75" hidden="false" customHeight="false" outlineLevel="0" collapsed="false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customFormat="false" ht="15.75" hidden="false" customHeight="false" outlineLevel="0" collapsed="false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customFormat="false" ht="15.75" hidden="false" customHeight="false" outlineLevel="0" collapsed="false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customFormat="false" ht="15.75" hidden="false" customHeight="false" outlineLevel="0" collapsed="false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customFormat="false" ht="15.75" hidden="false" customHeight="false" outlineLevel="0" collapsed="false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customFormat="false" ht="15.75" hidden="false" customHeight="false" outlineLevel="0" collapsed="false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customFormat="false" ht="15.75" hidden="false" customHeight="false" outlineLevel="0" collapsed="false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customFormat="false" ht="15.75" hidden="false" customHeight="false" outlineLevel="0" collapsed="false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customFormat="false" ht="15.75" hidden="false" customHeight="false" outlineLevel="0" collapsed="false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customFormat="false" ht="15.75" hidden="false" customHeight="false" outlineLevel="0" collapsed="false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customFormat="false" ht="15.75" hidden="false" customHeight="false" outlineLevel="0" collapsed="false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customFormat="false" ht="15.75" hidden="false" customHeight="false" outlineLevel="0" collapsed="false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customFormat="false" ht="15.75" hidden="false" customHeight="false" outlineLevel="0" collapsed="false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customFormat="false" ht="15.75" hidden="false" customHeight="false" outlineLevel="0" collapsed="false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customFormat="false" ht="15.75" hidden="false" customHeight="false" outlineLevel="0" collapsed="false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customFormat="false" ht="15.75" hidden="false" customHeight="false" outlineLevel="0" collapsed="false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customFormat="false" ht="15.75" hidden="false" customHeight="false" outlineLevel="0" collapsed="false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customFormat="false" ht="15.75" hidden="false" customHeight="false" outlineLevel="0" collapsed="false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customFormat="false" ht="15.75" hidden="false" customHeight="false" outlineLevel="0" collapsed="false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customFormat="false" ht="15.75" hidden="false" customHeight="false" outlineLevel="0" collapsed="false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customFormat="false" ht="15.75" hidden="false" customHeight="false" outlineLevel="0" collapsed="false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customFormat="false" ht="15.75" hidden="false" customHeight="false" outlineLevel="0" collapsed="false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customFormat="false" ht="15.75" hidden="false" customHeight="false" outlineLevel="0" collapsed="false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customFormat="false" ht="15.75" hidden="false" customHeight="false" outlineLevel="0" collapsed="false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customFormat="false" ht="15.75" hidden="false" customHeight="false" outlineLevel="0" collapsed="false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customFormat="false" ht="15.75" hidden="false" customHeight="false" outlineLevel="0" collapsed="false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customFormat="false" ht="15.75" hidden="false" customHeight="false" outlineLevel="0" collapsed="false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customFormat="false" ht="15.75" hidden="false" customHeight="false" outlineLevel="0" collapsed="false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customFormat="false" ht="15.75" hidden="false" customHeight="false" outlineLevel="0" collapsed="false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customFormat="false" ht="15.75" hidden="false" customHeight="false" outlineLevel="0" collapsed="false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customFormat="false" ht="15.75" hidden="false" customHeight="false" outlineLevel="0" collapsed="false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customFormat="false" ht="15.75" hidden="false" customHeight="false" outlineLevel="0" collapsed="false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customFormat="false" ht="15.75" hidden="false" customHeight="false" outlineLevel="0" collapsed="false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customFormat="false" ht="15.75" hidden="false" customHeight="false" outlineLevel="0" collapsed="false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customFormat="false" ht="15.75" hidden="false" customHeight="false" outlineLevel="0" collapsed="false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customFormat="false" ht="15.75" hidden="false" customHeight="false" outlineLevel="0" collapsed="false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customFormat="false" ht="15.75" hidden="false" customHeight="false" outlineLevel="0" collapsed="false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customFormat="false" ht="15.75" hidden="false" customHeight="false" outlineLevel="0" collapsed="false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customFormat="false" ht="15.75" hidden="false" customHeight="false" outlineLevel="0" collapsed="false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customFormat="false" ht="15.75" hidden="false" customHeight="false" outlineLevel="0" collapsed="false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customFormat="false" ht="15.75" hidden="false" customHeight="false" outlineLevel="0" collapsed="false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customFormat="false" ht="15.75" hidden="false" customHeight="false" outlineLevel="0" collapsed="false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customFormat="false" ht="15.75" hidden="false" customHeight="false" outlineLevel="0" collapsed="false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customFormat="false" ht="15.75" hidden="false" customHeight="false" outlineLevel="0" collapsed="false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customFormat="false" ht="15.75" hidden="false" customHeight="false" outlineLevel="0" collapsed="false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customFormat="false" ht="15.75" hidden="false" customHeight="false" outlineLevel="0" collapsed="false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customFormat="false" ht="15.75" hidden="false" customHeight="false" outlineLevel="0" collapsed="false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customFormat="false" ht="15.75" hidden="false" customHeight="false" outlineLevel="0" collapsed="false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customFormat="false" ht="15.75" hidden="false" customHeight="false" outlineLevel="0" collapsed="false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customFormat="false" ht="15.75" hidden="false" customHeight="false" outlineLevel="0" collapsed="false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customFormat="false" ht="15.75" hidden="false" customHeight="false" outlineLevel="0" collapsed="false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customFormat="false" ht="15.75" hidden="false" customHeight="false" outlineLevel="0" collapsed="false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customFormat="false" ht="15.75" hidden="false" customHeight="false" outlineLevel="0" collapsed="false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customFormat="false" ht="15.75" hidden="false" customHeight="false" outlineLevel="0" collapsed="false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customFormat="false" ht="15.75" hidden="false" customHeight="false" outlineLevel="0" collapsed="false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customFormat="false" ht="15.75" hidden="false" customHeight="false" outlineLevel="0" collapsed="false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customFormat="false" ht="15.75" hidden="false" customHeight="false" outlineLevel="0" collapsed="false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customFormat="false" ht="15.75" hidden="false" customHeight="false" outlineLevel="0" collapsed="false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customFormat="false" ht="15.75" hidden="false" customHeight="false" outlineLevel="0" collapsed="false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customFormat="false" ht="15.75" hidden="false" customHeight="false" outlineLevel="0" collapsed="false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customFormat="false" ht="15.75" hidden="false" customHeight="false" outlineLevel="0" collapsed="false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customFormat="false" ht="15.75" hidden="false" customHeight="false" outlineLevel="0" collapsed="false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customFormat="false" ht="15.75" hidden="false" customHeight="false" outlineLevel="0" collapsed="false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customFormat="false" ht="15.75" hidden="false" customHeight="false" outlineLevel="0" collapsed="false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customFormat="false" ht="15.75" hidden="false" customHeight="false" outlineLevel="0" collapsed="false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customFormat="false" ht="15.75" hidden="false" customHeight="false" outlineLevel="0" collapsed="false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customFormat="false" ht="15.75" hidden="false" customHeight="false" outlineLevel="0" collapsed="false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customFormat="false" ht="15.75" hidden="false" customHeight="false" outlineLevel="0" collapsed="false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customFormat="false" ht="15.75" hidden="false" customHeight="false" outlineLevel="0" collapsed="false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customFormat="false" ht="15.75" hidden="false" customHeight="false" outlineLevel="0" collapsed="false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customFormat="false" ht="15.75" hidden="false" customHeight="false" outlineLevel="0" collapsed="false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customFormat="false" ht="15.75" hidden="false" customHeight="false" outlineLevel="0" collapsed="false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customFormat="false" ht="15.75" hidden="false" customHeight="false" outlineLevel="0" collapsed="false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customFormat="false" ht="15.75" hidden="false" customHeight="false" outlineLevel="0" collapsed="false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customFormat="false" ht="15.75" hidden="false" customHeight="false" outlineLevel="0" collapsed="false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customFormat="false" ht="15.75" hidden="false" customHeight="false" outlineLevel="0" collapsed="false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customFormat="false" ht="15.75" hidden="false" customHeight="false" outlineLevel="0" collapsed="false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customFormat="false" ht="15.75" hidden="false" customHeight="false" outlineLevel="0" collapsed="false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customFormat="false" ht="15.75" hidden="false" customHeight="false" outlineLevel="0" collapsed="false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customFormat="false" ht="15.75" hidden="false" customHeight="false" outlineLevel="0" collapsed="false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customFormat="false" ht="15.75" hidden="false" customHeight="false" outlineLevel="0" collapsed="false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customFormat="false" ht="15.75" hidden="false" customHeight="false" outlineLevel="0" collapsed="false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customFormat="false" ht="15.75" hidden="false" customHeight="false" outlineLevel="0" collapsed="false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customFormat="false" ht="15.75" hidden="false" customHeight="false" outlineLevel="0" collapsed="false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customFormat="false" ht="15.75" hidden="false" customHeight="false" outlineLevel="0" collapsed="false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customFormat="false" ht="15.75" hidden="false" customHeight="false" outlineLevel="0" collapsed="false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customFormat="false" ht="15.75" hidden="false" customHeight="false" outlineLevel="0" collapsed="false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customFormat="false" ht="15.75" hidden="false" customHeight="false" outlineLevel="0" collapsed="false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customFormat="false" ht="15.75" hidden="false" customHeight="false" outlineLevel="0" collapsed="false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customFormat="false" ht="15.75" hidden="false" customHeight="false" outlineLevel="0" collapsed="false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customFormat="false" ht="15.75" hidden="false" customHeight="false" outlineLevel="0" collapsed="false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customFormat="false" ht="15.75" hidden="false" customHeight="false" outlineLevel="0" collapsed="false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customFormat="false" ht="15.75" hidden="false" customHeight="false" outlineLevel="0" collapsed="false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customFormat="false" ht="15.75" hidden="false" customHeight="false" outlineLevel="0" collapsed="false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customFormat="false" ht="15.75" hidden="false" customHeight="false" outlineLevel="0" collapsed="false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customFormat="false" ht="15.75" hidden="false" customHeight="false" outlineLevel="0" collapsed="false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customFormat="false" ht="15.75" hidden="false" customHeight="false" outlineLevel="0" collapsed="false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customFormat="false" ht="15.75" hidden="false" customHeight="false" outlineLevel="0" collapsed="false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customFormat="false" ht="15.75" hidden="false" customHeight="false" outlineLevel="0" collapsed="false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customFormat="false" ht="15.75" hidden="false" customHeight="false" outlineLevel="0" collapsed="false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customFormat="false" ht="15.75" hidden="false" customHeight="false" outlineLevel="0" collapsed="false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customFormat="false" ht="15.75" hidden="false" customHeight="false" outlineLevel="0" collapsed="false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customFormat="false" ht="15.75" hidden="false" customHeight="false" outlineLevel="0" collapsed="false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customFormat="false" ht="15.75" hidden="false" customHeight="false" outlineLevel="0" collapsed="false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customFormat="false" ht="15.75" hidden="false" customHeight="false" outlineLevel="0" collapsed="false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customFormat="false" ht="15.75" hidden="false" customHeight="false" outlineLevel="0" collapsed="false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customFormat="false" ht="15.75" hidden="false" customHeight="false" outlineLevel="0" collapsed="false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customFormat="false" ht="15.75" hidden="false" customHeight="false" outlineLevel="0" collapsed="false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customFormat="false" ht="15.75" hidden="false" customHeight="false" outlineLevel="0" collapsed="false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customFormat="false" ht="15.75" hidden="false" customHeight="false" outlineLevel="0" collapsed="false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customFormat="false" ht="15.75" hidden="false" customHeight="false" outlineLevel="0" collapsed="false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customFormat="false" ht="15.75" hidden="false" customHeight="false" outlineLevel="0" collapsed="false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customFormat="false" ht="15.75" hidden="false" customHeight="false" outlineLevel="0" collapsed="false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customFormat="false" ht="15.75" hidden="false" customHeight="false" outlineLevel="0" collapsed="false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customFormat="false" ht="15.75" hidden="false" customHeight="false" outlineLevel="0" collapsed="false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customFormat="false" ht="15.75" hidden="false" customHeight="false" outlineLevel="0" collapsed="false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customFormat="false" ht="15.75" hidden="false" customHeight="false" outlineLevel="0" collapsed="false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customFormat="false" ht="15.75" hidden="false" customHeight="false" outlineLevel="0" collapsed="false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customFormat="false" ht="15.75" hidden="false" customHeight="false" outlineLevel="0" collapsed="false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customFormat="false" ht="15.75" hidden="false" customHeight="false" outlineLevel="0" collapsed="false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customFormat="false" ht="15.75" hidden="false" customHeight="false" outlineLevel="0" collapsed="false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customFormat="false" ht="15.75" hidden="false" customHeight="false" outlineLevel="0" collapsed="false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customFormat="false" ht="15.75" hidden="false" customHeight="false" outlineLevel="0" collapsed="false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customFormat="false" ht="15.75" hidden="false" customHeight="false" outlineLevel="0" collapsed="false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customFormat="false" ht="15.75" hidden="false" customHeight="false" outlineLevel="0" collapsed="false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customFormat="false" ht="15.75" hidden="false" customHeight="false" outlineLevel="0" collapsed="false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customFormat="false" ht="15.75" hidden="false" customHeight="false" outlineLevel="0" collapsed="false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customFormat="false" ht="15.75" hidden="false" customHeight="false" outlineLevel="0" collapsed="false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customFormat="false" ht="15.75" hidden="false" customHeight="false" outlineLevel="0" collapsed="false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customFormat="false" ht="15.75" hidden="false" customHeight="false" outlineLevel="0" collapsed="false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customFormat="false" ht="15.75" hidden="false" customHeight="false" outlineLevel="0" collapsed="false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customFormat="false" ht="15.75" hidden="false" customHeight="false" outlineLevel="0" collapsed="false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customFormat="false" ht="15.75" hidden="false" customHeight="false" outlineLevel="0" collapsed="false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customFormat="false" ht="15.75" hidden="false" customHeight="false" outlineLevel="0" collapsed="false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customFormat="false" ht="15.75" hidden="false" customHeight="false" outlineLevel="0" collapsed="false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customFormat="false" ht="15.75" hidden="false" customHeight="false" outlineLevel="0" collapsed="false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customFormat="false" ht="15.75" hidden="false" customHeight="false" outlineLevel="0" collapsed="false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customFormat="false" ht="15.75" hidden="false" customHeight="false" outlineLevel="0" collapsed="false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customFormat="false" ht="15.75" hidden="false" customHeight="false" outlineLevel="0" collapsed="false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customFormat="false" ht="15.75" hidden="false" customHeight="false" outlineLevel="0" collapsed="false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customFormat="false" ht="15.75" hidden="false" customHeight="false" outlineLevel="0" collapsed="false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customFormat="false" ht="15.75" hidden="false" customHeight="false" outlineLevel="0" collapsed="false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customFormat="false" ht="15.75" hidden="false" customHeight="false" outlineLevel="0" collapsed="false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customFormat="false" ht="15.75" hidden="false" customHeight="false" outlineLevel="0" collapsed="false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customFormat="false" ht="15.75" hidden="false" customHeight="false" outlineLevel="0" collapsed="false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customFormat="false" ht="15.75" hidden="false" customHeight="false" outlineLevel="0" collapsed="false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customFormat="false" ht="15.75" hidden="false" customHeight="false" outlineLevel="0" collapsed="false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customFormat="false" ht="15.75" hidden="false" customHeight="false" outlineLevel="0" collapsed="false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customFormat="false" ht="15.75" hidden="false" customHeight="false" outlineLevel="0" collapsed="false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customFormat="false" ht="15.75" hidden="false" customHeight="false" outlineLevel="0" collapsed="false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customFormat="false" ht="15.75" hidden="false" customHeight="false" outlineLevel="0" collapsed="false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customFormat="false" ht="15.75" hidden="false" customHeight="false" outlineLevel="0" collapsed="false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customFormat="false" ht="15.75" hidden="false" customHeight="false" outlineLevel="0" collapsed="false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customFormat="false" ht="15.75" hidden="false" customHeight="false" outlineLevel="0" collapsed="false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customFormat="false" ht="15.75" hidden="false" customHeight="false" outlineLevel="0" collapsed="false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customFormat="false" ht="15.75" hidden="false" customHeight="false" outlineLevel="0" collapsed="false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customFormat="false" ht="15.75" hidden="false" customHeight="false" outlineLevel="0" collapsed="false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customFormat="false" ht="15.75" hidden="false" customHeight="false" outlineLevel="0" collapsed="false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customFormat="false" ht="15.75" hidden="false" customHeight="false" outlineLevel="0" collapsed="false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customFormat="false" ht="15.75" hidden="false" customHeight="false" outlineLevel="0" collapsed="false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customFormat="false" ht="15.75" hidden="false" customHeight="false" outlineLevel="0" collapsed="false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customFormat="false" ht="15.75" hidden="false" customHeight="false" outlineLevel="0" collapsed="false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customFormat="false" ht="15.75" hidden="false" customHeight="false" outlineLevel="0" collapsed="false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customFormat="false" ht="15.75" hidden="false" customHeight="false" outlineLevel="0" collapsed="false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customFormat="false" ht="15.75" hidden="false" customHeight="false" outlineLevel="0" collapsed="false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customFormat="false" ht="15.75" hidden="false" customHeight="false" outlineLevel="0" collapsed="false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customFormat="false" ht="15.75" hidden="false" customHeight="false" outlineLevel="0" collapsed="false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customFormat="false" ht="15.75" hidden="false" customHeight="false" outlineLevel="0" collapsed="false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customFormat="false" ht="15.75" hidden="false" customHeight="false" outlineLevel="0" collapsed="false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customFormat="false" ht="15.75" hidden="false" customHeight="false" outlineLevel="0" collapsed="false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customFormat="false" ht="15.75" hidden="false" customHeight="false" outlineLevel="0" collapsed="false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customFormat="false" ht="15.75" hidden="false" customHeight="false" outlineLevel="0" collapsed="false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customFormat="false" ht="15.75" hidden="false" customHeight="false" outlineLevel="0" collapsed="false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customFormat="false" ht="15.75" hidden="false" customHeight="false" outlineLevel="0" collapsed="false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customFormat="false" ht="15.75" hidden="false" customHeight="false" outlineLevel="0" collapsed="false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customFormat="false" ht="15.75" hidden="false" customHeight="false" outlineLevel="0" collapsed="false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customFormat="false" ht="15.75" hidden="false" customHeight="false" outlineLevel="0" collapsed="false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customFormat="false" ht="15.75" hidden="false" customHeight="false" outlineLevel="0" collapsed="false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customFormat="false" ht="15.75" hidden="false" customHeight="false" outlineLevel="0" collapsed="false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customFormat="false" ht="15.75" hidden="false" customHeight="false" outlineLevel="0" collapsed="false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customFormat="false" ht="15.75" hidden="false" customHeight="false" outlineLevel="0" collapsed="false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customFormat="false" ht="15.75" hidden="false" customHeight="false" outlineLevel="0" collapsed="false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customFormat="false" ht="15.75" hidden="false" customHeight="false" outlineLevel="0" collapsed="false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customFormat="false" ht="15.75" hidden="false" customHeight="false" outlineLevel="0" collapsed="false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customFormat="false" ht="15.75" hidden="false" customHeight="false" outlineLevel="0" collapsed="false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customFormat="false" ht="15.75" hidden="false" customHeight="false" outlineLevel="0" collapsed="false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customFormat="false" ht="15.75" hidden="false" customHeight="false" outlineLevel="0" collapsed="false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customFormat="false" ht="15.75" hidden="false" customHeight="false" outlineLevel="0" collapsed="false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customFormat="false" ht="15.75" hidden="false" customHeight="false" outlineLevel="0" collapsed="false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customFormat="false" ht="15.75" hidden="false" customHeight="false" outlineLevel="0" collapsed="false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customFormat="false" ht="15.75" hidden="false" customHeight="false" outlineLevel="0" collapsed="false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customFormat="false" ht="15.75" hidden="false" customHeight="false" outlineLevel="0" collapsed="false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customFormat="false" ht="15.75" hidden="false" customHeight="false" outlineLevel="0" collapsed="false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customFormat="false" ht="15.75" hidden="false" customHeight="false" outlineLevel="0" collapsed="false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customFormat="false" ht="15.75" hidden="false" customHeight="false" outlineLevel="0" collapsed="false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customFormat="false" ht="15.75" hidden="false" customHeight="false" outlineLevel="0" collapsed="false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customFormat="false" ht="15.75" hidden="false" customHeight="false" outlineLevel="0" collapsed="false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customFormat="false" ht="15.75" hidden="false" customHeight="false" outlineLevel="0" collapsed="false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customFormat="false" ht="15.75" hidden="false" customHeight="false" outlineLevel="0" collapsed="false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customFormat="false" ht="15.75" hidden="false" customHeight="false" outlineLevel="0" collapsed="false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customFormat="false" ht="15.75" hidden="false" customHeight="false" outlineLevel="0" collapsed="false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customFormat="false" ht="15.75" hidden="false" customHeight="false" outlineLevel="0" collapsed="false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customFormat="false" ht="15.75" hidden="false" customHeight="false" outlineLevel="0" collapsed="false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customFormat="false" ht="15.75" hidden="false" customHeight="false" outlineLevel="0" collapsed="false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customFormat="false" ht="15.75" hidden="false" customHeight="false" outlineLevel="0" collapsed="false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customFormat="false" ht="15.75" hidden="false" customHeight="false" outlineLevel="0" collapsed="false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customFormat="false" ht="15.75" hidden="false" customHeight="false" outlineLevel="0" collapsed="false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customFormat="false" ht="15.75" hidden="false" customHeight="false" outlineLevel="0" collapsed="false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customFormat="false" ht="15.75" hidden="false" customHeight="false" outlineLevel="0" collapsed="false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customFormat="false" ht="15.75" hidden="false" customHeight="false" outlineLevel="0" collapsed="false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customFormat="false" ht="15.75" hidden="false" customHeight="false" outlineLevel="0" collapsed="false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customFormat="false" ht="15.75" hidden="false" customHeight="false" outlineLevel="0" collapsed="false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customFormat="false" ht="15.75" hidden="false" customHeight="false" outlineLevel="0" collapsed="false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customFormat="false" ht="15.75" hidden="false" customHeight="false" outlineLevel="0" collapsed="false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customFormat="false" ht="15.75" hidden="false" customHeight="false" outlineLevel="0" collapsed="false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customFormat="false" ht="15.75" hidden="false" customHeight="false" outlineLevel="0" collapsed="false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customFormat="false" ht="15.75" hidden="false" customHeight="false" outlineLevel="0" collapsed="false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customFormat="false" ht="15.75" hidden="false" customHeight="false" outlineLevel="0" collapsed="false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customFormat="false" ht="15.75" hidden="false" customHeight="false" outlineLevel="0" collapsed="false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customFormat="false" ht="15.75" hidden="false" customHeight="false" outlineLevel="0" collapsed="false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customFormat="false" ht="15.75" hidden="false" customHeight="false" outlineLevel="0" collapsed="false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customFormat="false" ht="15.75" hidden="false" customHeight="false" outlineLevel="0" collapsed="false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customFormat="false" ht="15.75" hidden="false" customHeight="false" outlineLevel="0" collapsed="false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customFormat="false" ht="15.75" hidden="false" customHeight="false" outlineLevel="0" collapsed="false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customFormat="false" ht="15.75" hidden="false" customHeight="false" outlineLevel="0" collapsed="false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customFormat="false" ht="15.75" hidden="false" customHeight="false" outlineLevel="0" collapsed="false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customFormat="false" ht="15.75" hidden="false" customHeight="false" outlineLevel="0" collapsed="false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customFormat="false" ht="15.75" hidden="false" customHeight="false" outlineLevel="0" collapsed="false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customFormat="false" ht="15.75" hidden="false" customHeight="false" outlineLevel="0" collapsed="false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customFormat="false" ht="15.75" hidden="false" customHeight="false" outlineLevel="0" collapsed="false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customFormat="false" ht="15.75" hidden="false" customHeight="false" outlineLevel="0" collapsed="false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customFormat="false" ht="15.75" hidden="false" customHeight="false" outlineLevel="0" collapsed="false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customFormat="false" ht="15.75" hidden="false" customHeight="false" outlineLevel="0" collapsed="false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customFormat="false" ht="15.75" hidden="false" customHeight="false" outlineLevel="0" collapsed="false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customFormat="false" ht="15.75" hidden="false" customHeight="false" outlineLevel="0" collapsed="false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customFormat="false" ht="15.75" hidden="false" customHeight="false" outlineLevel="0" collapsed="false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customFormat="false" ht="15.75" hidden="false" customHeight="false" outlineLevel="0" collapsed="false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customFormat="false" ht="15.75" hidden="false" customHeight="false" outlineLevel="0" collapsed="false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customFormat="false" ht="15.75" hidden="false" customHeight="false" outlineLevel="0" collapsed="false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customFormat="false" ht="15.75" hidden="false" customHeight="false" outlineLevel="0" collapsed="false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customFormat="false" ht="15.75" hidden="false" customHeight="false" outlineLevel="0" collapsed="false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customFormat="false" ht="15.75" hidden="false" customHeight="false" outlineLevel="0" collapsed="false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customFormat="false" ht="15.75" hidden="false" customHeight="false" outlineLevel="0" collapsed="false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customFormat="false" ht="15.75" hidden="false" customHeight="false" outlineLevel="0" collapsed="false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customFormat="false" ht="15.75" hidden="false" customHeight="false" outlineLevel="0" collapsed="false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customFormat="false" ht="15.75" hidden="false" customHeight="false" outlineLevel="0" collapsed="false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customFormat="false" ht="15.75" hidden="false" customHeight="false" outlineLevel="0" collapsed="false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customFormat="false" ht="15.75" hidden="false" customHeight="false" outlineLevel="0" collapsed="false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customFormat="false" ht="15.75" hidden="false" customHeight="false" outlineLevel="0" collapsed="false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customFormat="false" ht="15.75" hidden="false" customHeight="false" outlineLevel="0" collapsed="false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customFormat="false" ht="15.75" hidden="false" customHeight="false" outlineLevel="0" collapsed="false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customFormat="false" ht="15.75" hidden="false" customHeight="false" outlineLevel="0" collapsed="false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customFormat="false" ht="15.75" hidden="false" customHeight="false" outlineLevel="0" collapsed="false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customFormat="false" ht="15.75" hidden="false" customHeight="false" outlineLevel="0" collapsed="false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customFormat="false" ht="15.75" hidden="false" customHeight="false" outlineLevel="0" collapsed="false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customFormat="false" ht="15.75" hidden="false" customHeight="false" outlineLevel="0" collapsed="false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customFormat="false" ht="15.75" hidden="false" customHeight="false" outlineLevel="0" collapsed="false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customFormat="false" ht="15.75" hidden="false" customHeight="false" outlineLevel="0" collapsed="false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customFormat="false" ht="15.75" hidden="false" customHeight="false" outlineLevel="0" collapsed="false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customFormat="false" ht="15.75" hidden="false" customHeight="false" outlineLevel="0" collapsed="false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customFormat="false" ht="15.75" hidden="false" customHeight="false" outlineLevel="0" collapsed="false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customFormat="false" ht="15.75" hidden="false" customHeight="false" outlineLevel="0" collapsed="false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customFormat="false" ht="15.75" hidden="false" customHeight="false" outlineLevel="0" collapsed="false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customFormat="false" ht="15.75" hidden="false" customHeight="false" outlineLevel="0" collapsed="false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customFormat="false" ht="15.75" hidden="false" customHeight="false" outlineLevel="0" collapsed="false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customFormat="false" ht="15.75" hidden="false" customHeight="false" outlineLevel="0" collapsed="false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customFormat="false" ht="15.75" hidden="false" customHeight="false" outlineLevel="0" collapsed="false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customFormat="false" ht="15.75" hidden="false" customHeight="false" outlineLevel="0" collapsed="false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customFormat="false" ht="15.75" hidden="false" customHeight="false" outlineLevel="0" collapsed="false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customFormat="false" ht="15.75" hidden="false" customHeight="false" outlineLevel="0" collapsed="false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customFormat="false" ht="15.75" hidden="false" customHeight="false" outlineLevel="0" collapsed="false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customFormat="false" ht="15.75" hidden="false" customHeight="false" outlineLevel="0" collapsed="false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customFormat="false" ht="15.75" hidden="false" customHeight="false" outlineLevel="0" collapsed="false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customFormat="false" ht="15.75" hidden="false" customHeight="false" outlineLevel="0" collapsed="false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customFormat="false" ht="15.75" hidden="false" customHeight="false" outlineLevel="0" collapsed="false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customFormat="false" ht="15.75" hidden="false" customHeight="false" outlineLevel="0" collapsed="false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customFormat="false" ht="15.75" hidden="false" customHeight="false" outlineLevel="0" collapsed="false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customFormat="false" ht="15.75" hidden="false" customHeight="false" outlineLevel="0" collapsed="false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customFormat="false" ht="15.75" hidden="false" customHeight="false" outlineLevel="0" collapsed="false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customFormat="false" ht="15.75" hidden="false" customHeight="false" outlineLevel="0" collapsed="false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customFormat="false" ht="15.75" hidden="false" customHeight="false" outlineLevel="0" collapsed="false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customFormat="false" ht="15.75" hidden="false" customHeight="false" outlineLevel="0" collapsed="false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customFormat="false" ht="15.75" hidden="false" customHeight="false" outlineLevel="0" collapsed="false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customFormat="false" ht="15.75" hidden="false" customHeight="false" outlineLevel="0" collapsed="false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customFormat="false" ht="15.75" hidden="false" customHeight="false" outlineLevel="0" collapsed="false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customFormat="false" ht="15.75" hidden="false" customHeight="false" outlineLevel="0" collapsed="false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customFormat="false" ht="15.75" hidden="false" customHeight="false" outlineLevel="0" collapsed="false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customFormat="false" ht="15.75" hidden="false" customHeight="false" outlineLevel="0" collapsed="false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customFormat="false" ht="15.75" hidden="false" customHeight="false" outlineLevel="0" collapsed="false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customFormat="false" ht="15.75" hidden="false" customHeight="false" outlineLevel="0" collapsed="false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customFormat="false" ht="15.75" hidden="false" customHeight="false" outlineLevel="0" collapsed="false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customFormat="false" ht="15.75" hidden="false" customHeight="false" outlineLevel="0" collapsed="false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customFormat="false" ht="15.75" hidden="false" customHeight="false" outlineLevel="0" collapsed="false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customFormat="false" ht="15.75" hidden="false" customHeight="false" outlineLevel="0" collapsed="false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customFormat="false" ht="15.75" hidden="false" customHeight="false" outlineLevel="0" collapsed="false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customFormat="false" ht="15.75" hidden="false" customHeight="false" outlineLevel="0" collapsed="false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customFormat="false" ht="15.75" hidden="false" customHeight="false" outlineLevel="0" collapsed="false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customFormat="false" ht="15.75" hidden="false" customHeight="false" outlineLevel="0" collapsed="false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customFormat="false" ht="15.75" hidden="false" customHeight="false" outlineLevel="0" collapsed="false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customFormat="false" ht="15.75" hidden="false" customHeight="false" outlineLevel="0" collapsed="false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customFormat="false" ht="15.75" hidden="false" customHeight="false" outlineLevel="0" collapsed="false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customFormat="false" ht="15.75" hidden="false" customHeight="false" outlineLevel="0" collapsed="false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customFormat="false" ht="15.75" hidden="false" customHeight="false" outlineLevel="0" collapsed="false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customFormat="false" ht="15.75" hidden="false" customHeight="false" outlineLevel="0" collapsed="false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customFormat="false" ht="15.75" hidden="false" customHeight="false" outlineLevel="0" collapsed="false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customFormat="false" ht="15.75" hidden="false" customHeight="false" outlineLevel="0" collapsed="false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customFormat="false" ht="15.75" hidden="false" customHeight="false" outlineLevel="0" collapsed="false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customFormat="false" ht="15.75" hidden="false" customHeight="false" outlineLevel="0" collapsed="false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customFormat="false" ht="15.75" hidden="false" customHeight="false" outlineLevel="0" collapsed="false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customFormat="false" ht="15.75" hidden="false" customHeight="false" outlineLevel="0" collapsed="false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customFormat="false" ht="15.75" hidden="false" customHeight="false" outlineLevel="0" collapsed="false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customFormat="false" ht="15.75" hidden="false" customHeight="false" outlineLevel="0" collapsed="false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customFormat="false" ht="15.75" hidden="false" customHeight="false" outlineLevel="0" collapsed="false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customFormat="false" ht="15.75" hidden="false" customHeight="false" outlineLevel="0" collapsed="false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customFormat="false" ht="15.75" hidden="false" customHeight="false" outlineLevel="0" collapsed="false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customFormat="false" ht="15.75" hidden="false" customHeight="false" outlineLevel="0" collapsed="false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customFormat="false" ht="15.75" hidden="false" customHeight="false" outlineLevel="0" collapsed="false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customFormat="false" ht="15.75" hidden="false" customHeight="false" outlineLevel="0" collapsed="false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customFormat="false" ht="15.75" hidden="false" customHeight="false" outlineLevel="0" collapsed="false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customFormat="false" ht="15.75" hidden="false" customHeight="false" outlineLevel="0" collapsed="false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customFormat="false" ht="15.75" hidden="false" customHeight="false" outlineLevel="0" collapsed="false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customFormat="false" ht="15.75" hidden="false" customHeight="false" outlineLevel="0" collapsed="false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customFormat="false" ht="15.75" hidden="false" customHeight="false" outlineLevel="0" collapsed="false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customFormat="false" ht="15.75" hidden="false" customHeight="false" outlineLevel="0" collapsed="false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customFormat="false" ht="15.75" hidden="false" customHeight="false" outlineLevel="0" collapsed="false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customFormat="false" ht="15.75" hidden="false" customHeight="false" outlineLevel="0" collapsed="false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customFormat="false" ht="15.75" hidden="false" customHeight="false" outlineLevel="0" collapsed="false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customFormat="false" ht="15.75" hidden="false" customHeight="false" outlineLevel="0" collapsed="false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customFormat="false" ht="15.75" hidden="false" customHeight="false" outlineLevel="0" collapsed="false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customFormat="false" ht="15.75" hidden="false" customHeight="false" outlineLevel="0" collapsed="false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customFormat="false" ht="15.75" hidden="false" customHeight="false" outlineLevel="0" collapsed="false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customFormat="false" ht="15.75" hidden="false" customHeight="false" outlineLevel="0" collapsed="false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customFormat="false" ht="15.75" hidden="false" customHeight="false" outlineLevel="0" collapsed="false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customFormat="false" ht="15.75" hidden="false" customHeight="false" outlineLevel="0" collapsed="false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customFormat="false" ht="15.75" hidden="false" customHeight="false" outlineLevel="0" collapsed="false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customFormat="false" ht="15.75" hidden="false" customHeight="false" outlineLevel="0" collapsed="false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customFormat="false" ht="15.75" hidden="false" customHeight="false" outlineLevel="0" collapsed="false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customFormat="false" ht="15.75" hidden="false" customHeight="false" outlineLevel="0" collapsed="false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customFormat="false" ht="15.75" hidden="false" customHeight="false" outlineLevel="0" collapsed="false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customFormat="false" ht="15.75" hidden="false" customHeight="false" outlineLevel="0" collapsed="false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customFormat="false" ht="15.75" hidden="false" customHeight="false" outlineLevel="0" collapsed="false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customFormat="false" ht="15.75" hidden="false" customHeight="false" outlineLevel="0" collapsed="false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customFormat="false" ht="15.75" hidden="false" customHeight="false" outlineLevel="0" collapsed="false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customFormat="false" ht="15.75" hidden="false" customHeight="false" outlineLevel="0" collapsed="false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customFormat="false" ht="15.75" hidden="false" customHeight="false" outlineLevel="0" collapsed="false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customFormat="false" ht="15.75" hidden="false" customHeight="false" outlineLevel="0" collapsed="false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customFormat="false" ht="15.75" hidden="false" customHeight="false" outlineLevel="0" collapsed="false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customFormat="false" ht="15.75" hidden="false" customHeight="false" outlineLevel="0" collapsed="false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customFormat="false" ht="15.75" hidden="false" customHeight="false" outlineLevel="0" collapsed="false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customFormat="false" ht="15.75" hidden="false" customHeight="false" outlineLevel="0" collapsed="false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customFormat="false" ht="15.75" hidden="false" customHeight="false" outlineLevel="0" collapsed="false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customFormat="false" ht="15.75" hidden="false" customHeight="false" outlineLevel="0" collapsed="false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customFormat="false" ht="15.75" hidden="false" customHeight="false" outlineLevel="0" collapsed="false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customFormat="false" ht="15.75" hidden="false" customHeight="false" outlineLevel="0" collapsed="false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customFormat="false" ht="15.75" hidden="false" customHeight="false" outlineLevel="0" collapsed="false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customFormat="false" ht="15.75" hidden="false" customHeight="false" outlineLevel="0" collapsed="false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customFormat="false" ht="15.75" hidden="false" customHeight="false" outlineLevel="0" collapsed="false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customFormat="false" ht="15.75" hidden="false" customHeight="false" outlineLevel="0" collapsed="false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customFormat="false" ht="15.75" hidden="false" customHeight="false" outlineLevel="0" collapsed="false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customFormat="false" ht="15.75" hidden="false" customHeight="false" outlineLevel="0" collapsed="false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customFormat="false" ht="15.75" hidden="false" customHeight="false" outlineLevel="0" collapsed="false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customFormat="false" ht="15.75" hidden="false" customHeight="false" outlineLevel="0" collapsed="false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customFormat="false" ht="15.75" hidden="false" customHeight="false" outlineLevel="0" collapsed="false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customFormat="false" ht="15.75" hidden="false" customHeight="false" outlineLevel="0" collapsed="false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customFormat="false" ht="15.75" hidden="false" customHeight="false" outlineLevel="0" collapsed="false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customFormat="false" ht="15.75" hidden="false" customHeight="false" outlineLevel="0" collapsed="false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customFormat="false" ht="15.75" hidden="false" customHeight="false" outlineLevel="0" collapsed="false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customFormat="false" ht="15.75" hidden="false" customHeight="false" outlineLevel="0" collapsed="false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customFormat="false" ht="15.75" hidden="false" customHeight="false" outlineLevel="0" collapsed="false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customFormat="false" ht="15.75" hidden="false" customHeight="false" outlineLevel="0" collapsed="false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customFormat="false" ht="15.75" hidden="false" customHeight="false" outlineLevel="0" collapsed="false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customFormat="false" ht="15.75" hidden="false" customHeight="false" outlineLevel="0" collapsed="false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customFormat="false" ht="15.75" hidden="false" customHeight="false" outlineLevel="0" collapsed="false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customFormat="false" ht="15.75" hidden="false" customHeight="false" outlineLevel="0" collapsed="false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customFormat="false" ht="15.75" hidden="false" customHeight="false" outlineLevel="0" collapsed="false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customFormat="false" ht="15.75" hidden="false" customHeight="false" outlineLevel="0" collapsed="false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customFormat="false" ht="15.75" hidden="false" customHeight="false" outlineLevel="0" collapsed="false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customFormat="false" ht="15.75" hidden="false" customHeight="false" outlineLevel="0" collapsed="false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customFormat="false" ht="15.75" hidden="false" customHeight="false" outlineLevel="0" collapsed="false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customFormat="false" ht="15.75" hidden="false" customHeight="false" outlineLevel="0" collapsed="false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customFormat="false" ht="15.75" hidden="false" customHeight="false" outlineLevel="0" collapsed="false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customFormat="false" ht="15.75" hidden="false" customHeight="false" outlineLevel="0" collapsed="false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customFormat="false" ht="15.75" hidden="false" customHeight="false" outlineLevel="0" collapsed="false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customFormat="false" ht="15.75" hidden="false" customHeight="false" outlineLevel="0" collapsed="false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customFormat="false" ht="15.75" hidden="false" customHeight="false" outlineLevel="0" collapsed="false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customFormat="false" ht="15.75" hidden="false" customHeight="false" outlineLevel="0" collapsed="false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customFormat="false" ht="15.75" hidden="false" customHeight="false" outlineLevel="0" collapsed="false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customFormat="false" ht="15.75" hidden="false" customHeight="false" outlineLevel="0" collapsed="false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customFormat="false" ht="15.75" hidden="false" customHeight="false" outlineLevel="0" collapsed="false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customFormat="false" ht="15.75" hidden="false" customHeight="false" outlineLevel="0" collapsed="false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customFormat="false" ht="15.75" hidden="false" customHeight="false" outlineLevel="0" collapsed="false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customFormat="false" ht="15.75" hidden="false" customHeight="false" outlineLevel="0" collapsed="false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customFormat="false" ht="15.75" hidden="false" customHeight="false" outlineLevel="0" collapsed="false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customFormat="false" ht="15.75" hidden="false" customHeight="false" outlineLevel="0" collapsed="false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customFormat="false" ht="15.75" hidden="false" customHeight="false" outlineLevel="0" collapsed="false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customFormat="false" ht="15.75" hidden="false" customHeight="false" outlineLevel="0" collapsed="false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customFormat="false" ht="15.75" hidden="false" customHeight="false" outlineLevel="0" collapsed="false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customFormat="false" ht="15.75" hidden="false" customHeight="false" outlineLevel="0" collapsed="false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customFormat="false" ht="15.75" hidden="false" customHeight="false" outlineLevel="0" collapsed="false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customFormat="false" ht="15.75" hidden="false" customHeight="false" outlineLevel="0" collapsed="false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customFormat="false" ht="15.75" hidden="false" customHeight="false" outlineLevel="0" collapsed="false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customFormat="false" ht="15.75" hidden="false" customHeight="false" outlineLevel="0" collapsed="false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customFormat="false" ht="15.75" hidden="false" customHeight="false" outlineLevel="0" collapsed="false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customFormat="false" ht="15.75" hidden="false" customHeight="false" outlineLevel="0" collapsed="false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customFormat="false" ht="15.75" hidden="false" customHeight="false" outlineLevel="0" collapsed="false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customFormat="false" ht="15.75" hidden="false" customHeight="false" outlineLevel="0" collapsed="false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customFormat="false" ht="15.75" hidden="false" customHeight="false" outlineLevel="0" collapsed="false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customFormat="false" ht="15.75" hidden="false" customHeight="false" outlineLevel="0" collapsed="false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customFormat="false" ht="15.75" hidden="false" customHeight="false" outlineLevel="0" collapsed="false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customFormat="false" ht="15.75" hidden="false" customHeight="false" outlineLevel="0" collapsed="false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customFormat="false" ht="15.75" hidden="false" customHeight="false" outlineLevel="0" collapsed="false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customFormat="false" ht="15.75" hidden="false" customHeight="false" outlineLevel="0" collapsed="false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customFormat="false" ht="15.75" hidden="false" customHeight="false" outlineLevel="0" collapsed="false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customFormat="false" ht="15.75" hidden="false" customHeight="false" outlineLevel="0" collapsed="false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customFormat="false" ht="15.75" hidden="false" customHeight="false" outlineLevel="0" collapsed="false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customFormat="false" ht="15.75" hidden="false" customHeight="false" outlineLevel="0" collapsed="false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customFormat="false" ht="15.75" hidden="false" customHeight="false" outlineLevel="0" collapsed="false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customFormat="false" ht="15.75" hidden="false" customHeight="false" outlineLevel="0" collapsed="false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customFormat="false" ht="15.75" hidden="false" customHeight="false" outlineLevel="0" collapsed="false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customFormat="false" ht="15.75" hidden="false" customHeight="false" outlineLevel="0" collapsed="false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customFormat="false" ht="15.75" hidden="false" customHeight="false" outlineLevel="0" collapsed="false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customFormat="false" ht="15.75" hidden="false" customHeight="false" outlineLevel="0" collapsed="false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customFormat="false" ht="15.75" hidden="false" customHeight="false" outlineLevel="0" collapsed="false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customFormat="false" ht="15.75" hidden="false" customHeight="false" outlineLevel="0" collapsed="false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customFormat="false" ht="15.75" hidden="false" customHeight="false" outlineLevel="0" collapsed="false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customFormat="false" ht="15.75" hidden="false" customHeight="false" outlineLevel="0" collapsed="false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customFormat="false" ht="15.75" hidden="false" customHeight="false" outlineLevel="0" collapsed="false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customFormat="false" ht="15.75" hidden="false" customHeight="false" outlineLevel="0" collapsed="false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customFormat="false" ht="15.75" hidden="false" customHeight="false" outlineLevel="0" collapsed="false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customFormat="false" ht="15.75" hidden="false" customHeight="false" outlineLevel="0" collapsed="false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customFormat="false" ht="15.75" hidden="false" customHeight="false" outlineLevel="0" collapsed="false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customFormat="false" ht="15.75" hidden="false" customHeight="false" outlineLevel="0" collapsed="false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customFormat="false" ht="15.75" hidden="false" customHeight="false" outlineLevel="0" collapsed="false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customFormat="false" ht="15.75" hidden="false" customHeight="false" outlineLevel="0" collapsed="false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customFormat="false" ht="15.75" hidden="false" customHeight="false" outlineLevel="0" collapsed="false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customFormat="false" ht="15.75" hidden="false" customHeight="false" outlineLevel="0" collapsed="false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customFormat="false" ht="15.75" hidden="false" customHeight="false" outlineLevel="0" collapsed="false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customFormat="false" ht="15.75" hidden="false" customHeight="false" outlineLevel="0" collapsed="false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customFormat="false" ht="15.75" hidden="false" customHeight="false" outlineLevel="0" collapsed="false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customFormat="false" ht="15.75" hidden="false" customHeight="false" outlineLevel="0" collapsed="false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customFormat="false" ht="15.75" hidden="false" customHeight="false" outlineLevel="0" collapsed="false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customFormat="false" ht="15.75" hidden="false" customHeight="false" outlineLevel="0" collapsed="false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customFormat="false" ht="15.75" hidden="false" customHeight="false" outlineLevel="0" collapsed="false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customFormat="false" ht="15.75" hidden="false" customHeight="false" outlineLevel="0" collapsed="false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customFormat="false" ht="15.75" hidden="false" customHeight="false" outlineLevel="0" collapsed="false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customFormat="false" ht="15.75" hidden="false" customHeight="false" outlineLevel="0" collapsed="false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customFormat="false" ht="15.75" hidden="false" customHeight="false" outlineLevel="0" collapsed="false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customFormat="false" ht="15.75" hidden="false" customHeight="false" outlineLevel="0" collapsed="false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customFormat="false" ht="15.75" hidden="false" customHeight="false" outlineLevel="0" collapsed="false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customFormat="false" ht="15.75" hidden="false" customHeight="false" outlineLevel="0" collapsed="false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customFormat="false" ht="15.75" hidden="false" customHeight="false" outlineLevel="0" collapsed="false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customFormat="false" ht="15.75" hidden="false" customHeight="false" outlineLevel="0" collapsed="false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customFormat="false" ht="15.75" hidden="false" customHeight="false" outlineLevel="0" collapsed="false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customFormat="false" ht="15.75" hidden="false" customHeight="false" outlineLevel="0" collapsed="false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customFormat="false" ht="15.75" hidden="false" customHeight="false" outlineLevel="0" collapsed="false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customFormat="false" ht="15.75" hidden="false" customHeight="false" outlineLevel="0" collapsed="false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customFormat="false" ht="15.75" hidden="false" customHeight="false" outlineLevel="0" collapsed="false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customFormat="false" ht="15.75" hidden="false" customHeight="false" outlineLevel="0" collapsed="false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customFormat="false" ht="15.75" hidden="false" customHeight="false" outlineLevel="0" collapsed="false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customFormat="false" ht="15.75" hidden="false" customHeight="false" outlineLevel="0" collapsed="false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customFormat="false" ht="15.75" hidden="false" customHeight="false" outlineLevel="0" collapsed="false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customFormat="false" ht="15.75" hidden="false" customHeight="false" outlineLevel="0" collapsed="false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customFormat="false" ht="15.75" hidden="false" customHeight="false" outlineLevel="0" collapsed="false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customFormat="false" ht="15.75" hidden="false" customHeight="false" outlineLevel="0" collapsed="false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customFormat="false" ht="15.75" hidden="false" customHeight="false" outlineLevel="0" collapsed="false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customFormat="false" ht="15.75" hidden="false" customHeight="false" outlineLevel="0" collapsed="false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customFormat="false" ht="15.75" hidden="false" customHeight="false" outlineLevel="0" collapsed="false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customFormat="false" ht="15.75" hidden="false" customHeight="false" outlineLevel="0" collapsed="false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customFormat="false" ht="15.75" hidden="false" customHeight="false" outlineLevel="0" collapsed="false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customFormat="false" ht="15.75" hidden="false" customHeight="false" outlineLevel="0" collapsed="false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customFormat="false" ht="15.75" hidden="false" customHeight="false" outlineLevel="0" collapsed="false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customFormat="false" ht="15.75" hidden="false" customHeight="false" outlineLevel="0" collapsed="false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customFormat="false" ht="15.75" hidden="false" customHeight="false" outlineLevel="0" collapsed="false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customFormat="false" ht="15.75" hidden="false" customHeight="false" outlineLevel="0" collapsed="false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customFormat="false" ht="15.75" hidden="false" customHeight="false" outlineLevel="0" collapsed="false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customFormat="false" ht="15.75" hidden="false" customHeight="false" outlineLevel="0" collapsed="false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customFormat="false" ht="15.75" hidden="false" customHeight="false" outlineLevel="0" collapsed="false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customFormat="false" ht="15.75" hidden="false" customHeight="false" outlineLevel="0" collapsed="false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customFormat="false" ht="15.75" hidden="false" customHeight="false" outlineLevel="0" collapsed="false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customFormat="false" ht="15.75" hidden="false" customHeight="false" outlineLevel="0" collapsed="false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customFormat="false" ht="15.75" hidden="false" customHeight="false" outlineLevel="0" collapsed="false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customFormat="false" ht="15.75" hidden="false" customHeight="false" outlineLevel="0" collapsed="false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customFormat="false" ht="15.75" hidden="false" customHeight="false" outlineLevel="0" collapsed="false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customFormat="false" ht="15.75" hidden="false" customHeight="false" outlineLevel="0" collapsed="false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customFormat="false" ht="15.75" hidden="false" customHeight="false" outlineLevel="0" collapsed="false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customFormat="false" ht="15.75" hidden="false" customHeight="false" outlineLevel="0" collapsed="false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customFormat="false" ht="15.75" hidden="false" customHeight="false" outlineLevel="0" collapsed="false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customFormat="false" ht="15.75" hidden="false" customHeight="false" outlineLevel="0" collapsed="false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customFormat="false" ht="15.75" hidden="false" customHeight="false" outlineLevel="0" collapsed="false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customFormat="false" ht="15.75" hidden="false" customHeight="false" outlineLevel="0" collapsed="false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customFormat="false" ht="15.75" hidden="false" customHeight="false" outlineLevel="0" collapsed="false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customFormat="false" ht="15.75" hidden="false" customHeight="false" outlineLevel="0" collapsed="false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customFormat="false" ht="15.75" hidden="false" customHeight="false" outlineLevel="0" collapsed="false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customFormat="false" ht="15.75" hidden="false" customHeight="false" outlineLevel="0" collapsed="false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customFormat="false" ht="15.75" hidden="false" customHeight="false" outlineLevel="0" collapsed="false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customFormat="false" ht="15.75" hidden="false" customHeight="false" outlineLevel="0" collapsed="false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customFormat="false" ht="15.75" hidden="false" customHeight="false" outlineLevel="0" collapsed="false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customFormat="false" ht="15.75" hidden="false" customHeight="false" outlineLevel="0" collapsed="false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customFormat="false" ht="15.75" hidden="false" customHeight="false" outlineLevel="0" collapsed="false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customFormat="false" ht="15.75" hidden="false" customHeight="false" outlineLevel="0" collapsed="false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customFormat="false" ht="15.75" hidden="false" customHeight="false" outlineLevel="0" collapsed="false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customFormat="false" ht="15.75" hidden="false" customHeight="false" outlineLevel="0" collapsed="false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customFormat="false" ht="15.75" hidden="false" customHeight="false" outlineLevel="0" collapsed="false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customFormat="false" ht="15.75" hidden="false" customHeight="false" outlineLevel="0" collapsed="false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customFormat="false" ht="15.75" hidden="false" customHeight="false" outlineLevel="0" collapsed="false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customFormat="false" ht="15.75" hidden="false" customHeight="false" outlineLevel="0" collapsed="false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customFormat="false" ht="15.75" hidden="false" customHeight="false" outlineLevel="0" collapsed="false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customFormat="false" ht="15.75" hidden="false" customHeight="false" outlineLevel="0" collapsed="false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customFormat="false" ht="15.75" hidden="false" customHeight="false" outlineLevel="0" collapsed="false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customFormat="false" ht="15.75" hidden="false" customHeight="false" outlineLevel="0" collapsed="false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customFormat="false" ht="15.75" hidden="false" customHeight="false" outlineLevel="0" collapsed="false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customFormat="false" ht="15.75" hidden="false" customHeight="false" outlineLevel="0" collapsed="false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customFormat="false" ht="15.75" hidden="false" customHeight="false" outlineLevel="0" collapsed="false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customFormat="false" ht="15.75" hidden="false" customHeight="false" outlineLevel="0" collapsed="false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customFormat="false" ht="15.75" hidden="false" customHeight="false" outlineLevel="0" collapsed="false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customFormat="false" ht="15.75" hidden="false" customHeight="false" outlineLevel="0" collapsed="false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customFormat="false" ht="15.75" hidden="false" customHeight="false" outlineLevel="0" collapsed="false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customFormat="false" ht="15.75" hidden="false" customHeight="false" outlineLevel="0" collapsed="false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customFormat="false" ht="15.75" hidden="false" customHeight="false" outlineLevel="0" collapsed="false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customFormat="false" ht="15.75" hidden="false" customHeight="false" outlineLevel="0" collapsed="false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customFormat="false" ht="15.75" hidden="false" customHeight="false" outlineLevel="0" collapsed="false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customFormat="false" ht="15.75" hidden="false" customHeight="false" outlineLevel="0" collapsed="false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customFormat="false" ht="15.75" hidden="false" customHeight="false" outlineLevel="0" collapsed="false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customFormat="false" ht="15.75" hidden="false" customHeight="false" outlineLevel="0" collapsed="false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customFormat="false" ht="15.75" hidden="false" customHeight="false" outlineLevel="0" collapsed="false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customFormat="false" ht="15.75" hidden="false" customHeight="false" outlineLevel="0" collapsed="false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customFormat="false" ht="15.75" hidden="false" customHeight="false" outlineLevel="0" collapsed="false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customFormat="false" ht="15.75" hidden="false" customHeight="false" outlineLevel="0" collapsed="false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customFormat="false" ht="15.75" hidden="false" customHeight="false" outlineLevel="0" collapsed="false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customFormat="false" ht="15.75" hidden="false" customHeight="false" outlineLevel="0" collapsed="false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customFormat="false" ht="15.75" hidden="false" customHeight="false" outlineLevel="0" collapsed="false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customFormat="false" ht="15.75" hidden="false" customHeight="false" outlineLevel="0" collapsed="false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customFormat="false" ht="15.75" hidden="false" customHeight="false" outlineLevel="0" collapsed="false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customFormat="false" ht="15.75" hidden="false" customHeight="false" outlineLevel="0" collapsed="false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customFormat="false" ht="15.75" hidden="false" customHeight="false" outlineLevel="0" collapsed="false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customFormat="false" ht="15.75" hidden="false" customHeight="false" outlineLevel="0" collapsed="false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customFormat="false" ht="15.75" hidden="false" customHeight="false" outlineLevel="0" collapsed="false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customFormat="false" ht="15.75" hidden="false" customHeight="false" outlineLevel="0" collapsed="false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customFormat="false" ht="15.75" hidden="false" customHeight="false" outlineLevel="0" collapsed="false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customFormat="false" ht="15.75" hidden="false" customHeight="false" outlineLevel="0" collapsed="false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customFormat="false" ht="15.75" hidden="false" customHeight="false" outlineLevel="0" collapsed="false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customFormat="false" ht="15.75" hidden="false" customHeight="false" outlineLevel="0" collapsed="false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customFormat="false" ht="15.75" hidden="false" customHeight="false" outlineLevel="0" collapsed="false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customFormat="false" ht="15.75" hidden="false" customHeight="false" outlineLevel="0" collapsed="false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customFormat="false" ht="15.75" hidden="false" customHeight="false" outlineLevel="0" collapsed="false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customFormat="false" ht="15.75" hidden="false" customHeight="false" outlineLevel="0" collapsed="false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customFormat="false" ht="15.75" hidden="false" customHeight="false" outlineLevel="0" collapsed="false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customFormat="false" ht="15.75" hidden="false" customHeight="false" outlineLevel="0" collapsed="false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customFormat="false" ht="15.75" hidden="false" customHeight="false" outlineLevel="0" collapsed="false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customFormat="false" ht="15.75" hidden="false" customHeight="false" outlineLevel="0" collapsed="false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customFormat="false" ht="15.75" hidden="false" customHeight="false" outlineLevel="0" collapsed="false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customFormat="false" ht="15.75" hidden="false" customHeight="false" outlineLevel="0" collapsed="false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customFormat="false" ht="15.75" hidden="false" customHeight="false" outlineLevel="0" collapsed="false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customFormat="false" ht="15.75" hidden="false" customHeight="false" outlineLevel="0" collapsed="false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customFormat="false" ht="15.75" hidden="false" customHeight="false" outlineLevel="0" collapsed="false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customFormat="false" ht="15.75" hidden="false" customHeight="false" outlineLevel="0" collapsed="false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customFormat="false" ht="15.75" hidden="false" customHeight="false" outlineLevel="0" collapsed="false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customFormat="false" ht="15.75" hidden="false" customHeight="false" outlineLevel="0" collapsed="false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customFormat="false" ht="15.75" hidden="false" customHeight="false" outlineLevel="0" collapsed="false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customFormat="false" ht="15.75" hidden="false" customHeight="false" outlineLevel="0" collapsed="false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customFormat="false" ht="15.75" hidden="false" customHeight="false" outlineLevel="0" collapsed="false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customFormat="false" ht="15.75" hidden="false" customHeight="false" outlineLevel="0" collapsed="false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customFormat="false" ht="15.75" hidden="false" customHeight="false" outlineLevel="0" collapsed="false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customFormat="false" ht="15.75" hidden="false" customHeight="false" outlineLevel="0" collapsed="false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customFormat="false" ht="15.75" hidden="false" customHeight="false" outlineLevel="0" collapsed="false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customFormat="false" ht="15.75" hidden="false" customHeight="false" outlineLevel="0" collapsed="false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customFormat="false" ht="15.75" hidden="false" customHeight="false" outlineLevel="0" collapsed="false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customFormat="false" ht="15.75" hidden="false" customHeight="false" outlineLevel="0" collapsed="false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customFormat="false" ht="15.75" hidden="false" customHeight="false" outlineLevel="0" collapsed="false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customFormat="false" ht="15.75" hidden="false" customHeight="false" outlineLevel="0" collapsed="false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customFormat="false" ht="15.75" hidden="false" customHeight="false" outlineLevel="0" collapsed="false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customFormat="false" ht="15.75" hidden="false" customHeight="false" outlineLevel="0" collapsed="false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customFormat="false" ht="15.75" hidden="false" customHeight="false" outlineLevel="0" collapsed="false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customFormat="false" ht="15.75" hidden="false" customHeight="false" outlineLevel="0" collapsed="false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customFormat="false" ht="15.75" hidden="false" customHeight="false" outlineLevel="0" collapsed="false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customFormat="false" ht="15.75" hidden="false" customHeight="false" outlineLevel="0" collapsed="false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customFormat="false" ht="15.75" hidden="false" customHeight="false" outlineLevel="0" collapsed="false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customFormat="false" ht="15.75" hidden="false" customHeight="false" outlineLevel="0" collapsed="false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customFormat="false" ht="15.75" hidden="false" customHeight="false" outlineLevel="0" collapsed="false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customFormat="false" ht="15.75" hidden="false" customHeight="false" outlineLevel="0" collapsed="false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customFormat="false" ht="15.75" hidden="false" customHeight="false" outlineLevel="0" collapsed="false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customFormat="false" ht="15.75" hidden="false" customHeight="false" outlineLevel="0" collapsed="false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customFormat="false" ht="15.75" hidden="false" customHeight="false" outlineLevel="0" collapsed="false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customFormat="false" ht="15.75" hidden="false" customHeight="false" outlineLevel="0" collapsed="false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customFormat="false" ht="15.75" hidden="false" customHeight="false" outlineLevel="0" collapsed="false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customFormat="false" ht="15.75" hidden="false" customHeight="false" outlineLevel="0" collapsed="false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customFormat="false" ht="15.75" hidden="false" customHeight="false" outlineLevel="0" collapsed="false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customFormat="false" ht="15.75" hidden="false" customHeight="false" outlineLevel="0" collapsed="false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customFormat="false" ht="15.75" hidden="false" customHeight="false" outlineLevel="0" collapsed="false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customFormat="false" ht="15.75" hidden="false" customHeight="false" outlineLevel="0" collapsed="false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customFormat="false" ht="15.75" hidden="false" customHeight="false" outlineLevel="0" collapsed="false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customFormat="false" ht="15.75" hidden="false" customHeight="false" outlineLevel="0" collapsed="false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customFormat="false" ht="15.75" hidden="false" customHeight="false" outlineLevel="0" collapsed="false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customFormat="false" ht="15.75" hidden="false" customHeight="false" outlineLevel="0" collapsed="false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customFormat="false" ht="15.75" hidden="false" customHeight="false" outlineLevel="0" collapsed="false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customFormat="false" ht="15.75" hidden="false" customHeight="false" outlineLevel="0" collapsed="false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customFormat="false" ht="15.75" hidden="false" customHeight="false" outlineLevel="0" collapsed="false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customFormat="false" ht="15.75" hidden="false" customHeight="false" outlineLevel="0" collapsed="false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customFormat="false" ht="15.75" hidden="false" customHeight="false" outlineLevel="0" collapsed="false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customFormat="false" ht="15.75" hidden="false" customHeight="false" outlineLevel="0" collapsed="false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customFormat="false" ht="15.75" hidden="false" customHeight="false" outlineLevel="0" collapsed="false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customFormat="false" ht="15.75" hidden="false" customHeight="false" outlineLevel="0" collapsed="false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customFormat="false" ht="15.75" hidden="false" customHeight="false" outlineLevel="0" collapsed="false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customFormat="false" ht="15.75" hidden="false" customHeight="false" outlineLevel="0" collapsed="false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customFormat="false" ht="15.75" hidden="false" customHeight="false" outlineLevel="0" collapsed="false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customFormat="false" ht="15.75" hidden="false" customHeight="false" outlineLevel="0" collapsed="false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customFormat="false" ht="15.75" hidden="false" customHeight="false" outlineLevel="0" collapsed="false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customFormat="false" ht="15.75" hidden="false" customHeight="false" outlineLevel="0" collapsed="false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customFormat="false" ht="15.75" hidden="false" customHeight="false" outlineLevel="0" collapsed="false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customFormat="false" ht="15.75" hidden="false" customHeight="false" outlineLevel="0" collapsed="false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customFormat="false" ht="15.75" hidden="false" customHeight="false" outlineLevel="0" collapsed="false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customFormat="false" ht="15.75" hidden="false" customHeight="false" outlineLevel="0" collapsed="false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customFormat="false" ht="15.75" hidden="false" customHeight="false" outlineLevel="0" collapsed="false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customFormat="false" ht="15.75" hidden="false" customHeight="false" outlineLevel="0" collapsed="false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customFormat="false" ht="15.75" hidden="false" customHeight="false" outlineLevel="0" collapsed="false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customFormat="false" ht="15.75" hidden="false" customHeight="false" outlineLevel="0" collapsed="false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customFormat="false" ht="15.75" hidden="false" customHeight="false" outlineLevel="0" collapsed="false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customFormat="false" ht="15.75" hidden="false" customHeight="false" outlineLevel="0" collapsed="false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customFormat="false" ht="15.75" hidden="false" customHeight="false" outlineLevel="0" collapsed="false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customFormat="false" ht="15.75" hidden="false" customHeight="false" outlineLevel="0" collapsed="false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customFormat="false" ht="15.75" hidden="false" customHeight="false" outlineLevel="0" collapsed="false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customFormat="false" ht="15.75" hidden="false" customHeight="false" outlineLevel="0" collapsed="false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customFormat="false" ht="15.75" hidden="false" customHeight="false" outlineLevel="0" collapsed="false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customFormat="false" ht="15.75" hidden="false" customHeight="false" outlineLevel="0" collapsed="false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customFormat="false" ht="15.75" hidden="false" customHeight="false" outlineLevel="0" collapsed="false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customFormat="false" ht="15.75" hidden="false" customHeight="false" outlineLevel="0" collapsed="false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customFormat="false" ht="15.75" hidden="false" customHeight="false" outlineLevel="0" collapsed="false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customFormat="false" ht="15.75" hidden="false" customHeight="false" outlineLevel="0" collapsed="false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customFormat="false" ht="15.75" hidden="false" customHeight="false" outlineLevel="0" collapsed="false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customFormat="false" ht="15.75" hidden="false" customHeight="false" outlineLevel="0" collapsed="false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customFormat="false" ht="15.75" hidden="false" customHeight="false" outlineLevel="0" collapsed="false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customFormat="false" ht="15.75" hidden="false" customHeight="false" outlineLevel="0" collapsed="false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customFormat="false" ht="15.75" hidden="false" customHeight="false" outlineLevel="0" collapsed="false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customFormat="false" ht="15.75" hidden="false" customHeight="false" outlineLevel="0" collapsed="false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customFormat="false" ht="15.75" hidden="false" customHeight="false" outlineLevel="0" collapsed="false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customFormat="false" ht="15.75" hidden="false" customHeight="false" outlineLevel="0" collapsed="false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customFormat="false" ht="15.75" hidden="false" customHeight="false" outlineLevel="0" collapsed="false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customFormat="false" ht="15.75" hidden="false" customHeight="false" outlineLevel="0" collapsed="false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customFormat="false" ht="15.75" hidden="false" customHeight="false" outlineLevel="0" collapsed="false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customFormat="false" ht="15.75" hidden="false" customHeight="false" outlineLevel="0" collapsed="false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customFormat="false" ht="15.75" hidden="false" customHeight="false" outlineLevel="0" collapsed="false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customFormat="false" ht="15.75" hidden="false" customHeight="false" outlineLevel="0" collapsed="false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customFormat="false" ht="15.75" hidden="false" customHeight="false" outlineLevel="0" collapsed="false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customFormat="false" ht="15.75" hidden="false" customHeight="false" outlineLevel="0" collapsed="false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customFormat="false" ht="15.75" hidden="false" customHeight="false" outlineLevel="0" collapsed="false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customFormat="false" ht="15.75" hidden="false" customHeight="false" outlineLevel="0" collapsed="false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customFormat="false" ht="15.75" hidden="false" customHeight="false" outlineLevel="0" collapsed="false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customFormat="false" ht="15.75" hidden="false" customHeight="false" outlineLevel="0" collapsed="false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customFormat="false" ht="15.75" hidden="false" customHeight="false" outlineLevel="0" collapsed="false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customFormat="false" ht="15.75" hidden="false" customHeight="false" outlineLevel="0" collapsed="false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customFormat="false" ht="15.75" hidden="false" customHeight="false" outlineLevel="0" collapsed="false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customFormat="false" ht="15.75" hidden="false" customHeight="false" outlineLevel="0" collapsed="false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customFormat="false" ht="15.75" hidden="false" customHeight="false" outlineLevel="0" collapsed="false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customFormat="false" ht="15.75" hidden="false" customHeight="false" outlineLevel="0" collapsed="false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customFormat="false" ht="15.75" hidden="false" customHeight="false" outlineLevel="0" collapsed="false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customFormat="false" ht="15.75" hidden="false" customHeight="false" outlineLevel="0" collapsed="false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customFormat="false" ht="15.75" hidden="false" customHeight="false" outlineLevel="0" collapsed="false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customFormat="false" ht="15.75" hidden="false" customHeight="false" outlineLevel="0" collapsed="false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customFormat="false" ht="15.75" hidden="false" customHeight="false" outlineLevel="0" collapsed="false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customFormat="false" ht="15.75" hidden="false" customHeight="false" outlineLevel="0" collapsed="false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customFormat="false" ht="15.75" hidden="false" customHeight="false" outlineLevel="0" collapsed="false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customFormat="false" ht="15.75" hidden="false" customHeight="false" outlineLevel="0" collapsed="false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customFormat="false" ht="15.75" hidden="false" customHeight="false" outlineLevel="0" collapsed="false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customFormat="false" ht="15.75" hidden="false" customHeight="false" outlineLevel="0" collapsed="false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customFormat="false" ht="15.75" hidden="false" customHeight="false" outlineLevel="0" collapsed="false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customFormat="false" ht="15.75" hidden="false" customHeight="false" outlineLevel="0" collapsed="false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customFormat="false" ht="15.75" hidden="false" customHeight="false" outlineLevel="0" collapsed="false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customFormat="false" ht="15.75" hidden="false" customHeight="false" outlineLevel="0" collapsed="false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customFormat="false" ht="15.75" hidden="false" customHeight="false" outlineLevel="0" collapsed="false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customFormat="false" ht="15.75" hidden="false" customHeight="false" outlineLevel="0" collapsed="false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customFormat="false" ht="15.75" hidden="false" customHeight="false" outlineLevel="0" collapsed="false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customFormat="false" ht="15.75" hidden="false" customHeight="false" outlineLevel="0" collapsed="false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customFormat="false" ht="15.75" hidden="false" customHeight="false" outlineLevel="0" collapsed="false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customFormat="false" ht="15.75" hidden="false" customHeight="false" outlineLevel="0" collapsed="false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customFormat="false" ht="15.75" hidden="false" customHeight="false" outlineLevel="0" collapsed="false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customFormat="false" ht="15.75" hidden="false" customHeight="false" outlineLevel="0" collapsed="false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customFormat="false" ht="15.75" hidden="false" customHeight="false" outlineLevel="0" collapsed="false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customFormat="false" ht="15.75" hidden="false" customHeight="false" outlineLevel="0" collapsed="false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customFormat="false" ht="15.75" hidden="false" customHeight="false" outlineLevel="0" collapsed="false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customFormat="false" ht="15.75" hidden="false" customHeight="false" outlineLevel="0" collapsed="false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customFormat="false" ht="15.75" hidden="false" customHeight="false" outlineLevel="0" collapsed="false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customFormat="false" ht="15.75" hidden="false" customHeight="false" outlineLevel="0" collapsed="false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customFormat="false" ht="15.75" hidden="false" customHeight="false" outlineLevel="0" collapsed="false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customFormat="false" ht="15.75" hidden="false" customHeight="false" outlineLevel="0" collapsed="false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customFormat="false" ht="15.75" hidden="false" customHeight="false" outlineLevel="0" collapsed="false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customFormat="false" ht="15.75" hidden="false" customHeight="false" outlineLevel="0" collapsed="false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customFormat="false" ht="15.75" hidden="false" customHeight="false" outlineLevel="0" collapsed="false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customFormat="false" ht="15.75" hidden="false" customHeight="false" outlineLevel="0" collapsed="false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customFormat="false" ht="15.75" hidden="false" customHeight="false" outlineLevel="0" collapsed="false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customFormat="false" ht="15.75" hidden="false" customHeight="false" outlineLevel="0" collapsed="false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customFormat="false" ht="15.75" hidden="false" customHeight="false" outlineLevel="0" collapsed="false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customFormat="false" ht="15.75" hidden="false" customHeight="false" outlineLevel="0" collapsed="false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customFormat="false" ht="15.75" hidden="false" customHeight="false" outlineLevel="0" collapsed="false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customFormat="false" ht="15.75" hidden="false" customHeight="false" outlineLevel="0" collapsed="false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  <row r="1000" customFormat="false" ht="15.75" hidden="false" customHeight="false" outlineLevel="0" collapsed="false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</row>
    <row r="1001" customFormat="false" ht="15.75" hidden="false" customHeight="false" outlineLevel="0" collapsed="false">
      <c r="A1001" s="130"/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130"/>
      <c r="L1001" s="130"/>
      <c r="M1001" s="130"/>
      <c r="N1001" s="130"/>
      <c r="O1001" s="130"/>
      <c r="P1001" s="130"/>
      <c r="Q1001" s="130"/>
      <c r="R1001" s="130"/>
      <c r="S1001" s="130"/>
      <c r="T1001" s="130"/>
      <c r="U1001" s="130"/>
      <c r="V1001" s="130"/>
      <c r="W1001" s="130"/>
      <c r="X1001" s="130"/>
      <c r="Y1001" s="130"/>
      <c r="Z1001" s="1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30" t="s">
        <v>105</v>
      </c>
      <c r="B1" s="130" t="s">
        <v>80</v>
      </c>
      <c r="C1" s="130" t="s">
        <v>28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customFormat="false" ht="15.75" hidden="false" customHeight="false" outlineLevel="0" collapsed="false">
      <c r="A2" s="130" t="s">
        <v>106</v>
      </c>
      <c r="B2" s="130" t="s">
        <v>106</v>
      </c>
      <c r="C2" s="130" t="s">
        <v>27</v>
      </c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customFormat="false" ht="15.75" hidden="false" customHeight="false" outlineLevel="0" collapsed="false">
      <c r="A3" s="130" t="s">
        <v>107</v>
      </c>
      <c r="B3" s="130" t="s">
        <v>108</v>
      </c>
      <c r="C3" s="130" t="s">
        <v>30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customFormat="false" ht="15.75" hidden="false" customHeight="false" outlineLevel="0" collapsed="false">
      <c r="A4" s="130" t="s">
        <v>108</v>
      </c>
      <c r="B4" s="130"/>
      <c r="C4" s="130" t="s">
        <v>24</v>
      </c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customFormat="false" ht="15.75" hidden="false" customHeight="false" outlineLevel="0" collapsed="false">
      <c r="A5" s="130"/>
      <c r="B5" s="130"/>
      <c r="C5" s="130" t="s">
        <v>44</v>
      </c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customFormat="false" ht="15.75" hidden="false" customHeight="false" outlineLevel="0" collapsed="false">
      <c r="A6" s="130"/>
      <c r="B6" s="130"/>
      <c r="C6" s="130" t="s">
        <v>29</v>
      </c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customFormat="false" ht="15.75" hidden="false" customHeight="false" outlineLevel="0" collapsed="false">
      <c r="A7" s="130"/>
      <c r="B7" s="130"/>
      <c r="C7" s="130" t="s">
        <v>31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customFormat="false" ht="15.75" hidden="false" customHeight="false" outlineLevel="0" collapsed="false">
      <c r="A8" s="130"/>
      <c r="B8" s="130"/>
      <c r="C8" s="130" t="s">
        <v>26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customFormat="false" ht="15.75" hidden="false" customHeight="false" outlineLevel="0" collapsed="false">
      <c r="A9" s="130"/>
      <c r="B9" s="130"/>
      <c r="C9" s="130" t="s">
        <v>25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customFormat="false" ht="15.75" hidden="false" customHeight="false" outlineLevel="0" collapsed="false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customFormat="false" ht="15.75" hidden="false" customHeight="false" outlineLevel="0" collapsed="false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customFormat="false" ht="15.75" hidden="false" customHeight="false" outlineLevel="0" collapsed="false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customFormat="false" ht="15.75" hidden="false" customHeight="false" outlineLevel="0" collapsed="false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customFormat="false" ht="15.75" hidden="false" customHeight="false" outlineLevel="0" collapsed="false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customFormat="false" ht="15.75" hidden="false" customHeight="false" outlineLevel="0" collapsed="false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customFormat="false" ht="15.75" hidden="false" customHeight="false" outlineLevel="0" collapsed="false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customFormat="false" ht="15.75" hidden="false" customHeight="false" outlineLevel="0" collapsed="false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customFormat="false" ht="15.75" hidden="false" customHeight="false" outlineLevel="0" collapsed="false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customFormat="false" ht="15.75" hidden="false" customHeight="false" outlineLevel="0" collapsed="false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customFormat="false" ht="15.75" hidden="false" customHeight="false" outlineLevel="0" collapsed="false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customFormat="false" ht="15.75" hidden="false" customHeight="false" outlineLevel="0" collapsed="false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customFormat="false" ht="15.75" hidden="false" customHeight="false" outlineLevel="0" collapsed="false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customFormat="false" ht="15.75" hidden="false" customHeight="false" outlineLevel="0" collapsed="false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customFormat="false" ht="15.75" hidden="false" customHeight="false" outlineLevel="0" collapsed="false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customFormat="false" ht="15.75" hidden="false" customHeight="false" outlineLevel="0" collapsed="false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customFormat="false" ht="15.75" hidden="false" customHeight="false" outlineLevel="0" collapsed="false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customFormat="false" ht="15.75" hidden="false" customHeight="false" outlineLevel="0" collapsed="false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customFormat="false" ht="15.75" hidden="false" customHeight="false" outlineLevel="0" collapsed="false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customFormat="false" ht="15.75" hidden="false" customHeight="false" outlineLevel="0" collapsed="false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customFormat="false" ht="15.75" hidden="false" customHeight="false" outlineLevel="0" collapsed="false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customFormat="false" ht="15.75" hidden="false" customHeight="false" outlineLevel="0" collapsed="false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customFormat="false" ht="15.75" hidden="false" customHeight="false" outlineLevel="0" collapsed="false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customFormat="false" ht="15.75" hidden="false" customHeight="false" outlineLevel="0" collapsed="false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customFormat="false" ht="15.75" hidden="false" customHeight="false" outlineLevel="0" collapsed="false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customFormat="false" ht="15.75" hidden="false" customHeight="false" outlineLevel="0" collapsed="false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customFormat="false" ht="15.75" hidden="false" customHeight="false" outlineLevel="0" collapsed="false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customFormat="false" ht="15.75" hidden="false" customHeight="false" outlineLevel="0" collapsed="false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customFormat="false" ht="15.75" hidden="false" customHeight="false" outlineLevel="0" collapsed="false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customFormat="false" ht="15.75" hidden="false" customHeight="false" outlineLevel="0" collapsed="false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customFormat="false" ht="15.75" hidden="false" customHeight="false" outlineLevel="0" collapsed="false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customFormat="false" ht="15.75" hidden="false" customHeight="false" outlineLevel="0" collapsed="false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customFormat="false" ht="15.75" hidden="false" customHeight="false" outlineLevel="0" collapsed="false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customFormat="false" ht="15.75" hidden="false" customHeight="false" outlineLevel="0" collapsed="false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customFormat="false" ht="15.75" hidden="false" customHeight="false" outlineLevel="0" collapsed="false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customFormat="false" ht="15.75" hidden="false" customHeight="false" outlineLevel="0" collapsed="false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customFormat="false" ht="15.75" hidden="false" customHeight="false" outlineLevel="0" collapsed="false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customFormat="false" ht="15.75" hidden="false" customHeight="false" outlineLevel="0" collapsed="false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customFormat="false" ht="15.75" hidden="false" customHeight="false" outlineLevel="0" collapsed="false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customFormat="false" ht="15.75" hidden="false" customHeight="false" outlineLevel="0" collapsed="false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customFormat="false" ht="15.75" hidden="false" customHeight="false" outlineLevel="0" collapsed="false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customFormat="false" ht="15.75" hidden="false" customHeight="false" outlineLevel="0" collapsed="false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customFormat="false" ht="15.75" hidden="false" customHeight="false" outlineLevel="0" collapsed="false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customFormat="false" ht="15.75" hidden="false" customHeight="false" outlineLevel="0" collapsed="false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customFormat="false" ht="15.75" hidden="false" customHeight="false" outlineLevel="0" collapsed="false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customFormat="false" ht="15.75" hidden="false" customHeight="false" outlineLevel="0" collapsed="false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customFormat="false" ht="15.75" hidden="false" customHeight="false" outlineLevel="0" collapsed="false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customFormat="false" ht="15.75" hidden="false" customHeight="false" outlineLevel="0" collapsed="false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customFormat="false" ht="15.75" hidden="false" customHeight="false" outlineLevel="0" collapsed="false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customFormat="false" ht="15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customFormat="false" ht="15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customFormat="false" ht="15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customFormat="false" ht="15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customFormat="false" ht="15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customFormat="false" ht="15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customFormat="false" ht="15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customFormat="false" ht="15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customFormat="false" ht="15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customFormat="false" ht="15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customFormat="false" ht="15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customFormat="false" ht="15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customFormat="false" ht="15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customFormat="false" ht="15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customFormat="false" ht="15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customFormat="false" ht="15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customFormat="false" ht="15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customFormat="false" ht="15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customFormat="false" ht="15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customFormat="false" ht="15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customFormat="false" ht="15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customFormat="false" ht="15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customFormat="false" ht="15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customFormat="false" ht="15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customFormat="false" ht="15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customFormat="false" ht="15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customFormat="false" ht="15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customFormat="false" ht="15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customFormat="false" ht="15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customFormat="false" ht="15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customFormat="false" ht="15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customFormat="false" ht="15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customFormat="false" ht="15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customFormat="false" ht="15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customFormat="false" ht="15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customFormat="false" ht="15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customFormat="false" ht="15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customFormat="false" ht="15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customFormat="false" ht="15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customFormat="false" ht="15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customFormat="false" ht="15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customFormat="false" ht="15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customFormat="false" ht="15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customFormat="false" ht="15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customFormat="false" ht="15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customFormat="false" ht="15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customFormat="false" ht="15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customFormat="false" ht="15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customFormat="false" ht="15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customFormat="false" ht="15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customFormat="false" ht="15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customFormat="false" ht="15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customFormat="false" ht="15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customFormat="false" ht="15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customFormat="false" ht="15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customFormat="false" ht="15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customFormat="false" ht="15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customFormat="false" ht="15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customFormat="false" ht="15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customFormat="false" ht="15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customFormat="false" ht="15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customFormat="false" ht="15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customFormat="false" ht="15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customFormat="false" ht="15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customFormat="false" ht="15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customFormat="false" ht="15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customFormat="false" ht="15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customFormat="false" ht="15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customFormat="false" ht="15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customFormat="false" ht="15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customFormat="false" ht="15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customFormat="false" ht="15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customFormat="false" ht="15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customFormat="false" ht="15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customFormat="false" ht="15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customFormat="false" ht="15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customFormat="false" ht="15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customFormat="false" ht="15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customFormat="false" ht="15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customFormat="false" ht="15.75" hidden="false" customHeight="false" outlineLevel="0" collapsed="false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customFormat="false" ht="15.75" hidden="false" customHeight="false" outlineLevel="0" collapsed="false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customFormat="false" ht="15.75" hidden="false" customHeight="false" outlineLevel="0" collapsed="false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customFormat="false" ht="15.75" hidden="false" customHeight="false" outlineLevel="0" collapsed="false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customFormat="false" ht="15.75" hidden="false" customHeight="false" outlineLevel="0" collapsed="false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customFormat="false" ht="15.75" hidden="false" customHeight="false" outlineLevel="0" collapsed="false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customFormat="false" ht="15.75" hidden="false" customHeight="false" outlineLevel="0" collapsed="false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customFormat="false" ht="15.75" hidden="false" customHeight="false" outlineLevel="0" collapsed="false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customFormat="false" ht="15.75" hidden="false" customHeight="false" outlineLevel="0" collapsed="false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customFormat="false" ht="15.75" hidden="false" customHeight="false" outlineLevel="0" collapsed="false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customFormat="false" ht="15.75" hidden="false" customHeight="false" outlineLevel="0" collapsed="false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customFormat="false" ht="15.75" hidden="false" customHeight="false" outlineLevel="0" collapsed="false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customFormat="false" ht="15.75" hidden="false" customHeight="false" outlineLevel="0" collapsed="false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customFormat="false" ht="15.75" hidden="false" customHeight="false" outlineLevel="0" collapsed="false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customFormat="false" ht="15.75" hidden="false" customHeight="false" outlineLevel="0" collapsed="false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customFormat="false" ht="15.75" hidden="false" customHeight="false" outlineLevel="0" collapsed="false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customFormat="false" ht="15.75" hidden="false" customHeight="false" outlineLevel="0" collapsed="false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customFormat="false" ht="15.75" hidden="false" customHeight="false" outlineLevel="0" collapsed="false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customFormat="false" ht="15.75" hidden="false" customHeight="false" outlineLevel="0" collapsed="false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customFormat="false" ht="15.75" hidden="false" customHeight="false" outlineLevel="0" collapsed="false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customFormat="false" ht="15.75" hidden="false" customHeight="false" outlineLevel="0" collapsed="false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customFormat="false" ht="15.75" hidden="false" customHeight="false" outlineLevel="0" collapsed="false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customFormat="false" ht="15.75" hidden="false" customHeight="false" outlineLevel="0" collapsed="false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customFormat="false" ht="15.75" hidden="false" customHeight="false" outlineLevel="0" collapsed="false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customFormat="false" ht="15.75" hidden="false" customHeight="false" outlineLevel="0" collapsed="false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customFormat="false" ht="15.75" hidden="false" customHeight="false" outlineLevel="0" collapsed="false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customFormat="false" ht="15.75" hidden="false" customHeight="false" outlineLevel="0" collapsed="false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customFormat="false" ht="15.75" hidden="false" customHeight="false" outlineLevel="0" collapsed="false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customFormat="false" ht="15.75" hidden="false" customHeight="false" outlineLevel="0" collapsed="false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customFormat="false" ht="15.75" hidden="false" customHeight="false" outlineLevel="0" collapsed="false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customFormat="false" ht="15.75" hidden="false" customHeight="false" outlineLevel="0" collapsed="false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customFormat="false" ht="15.75" hidden="false" customHeight="false" outlineLevel="0" collapsed="false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customFormat="false" ht="15.75" hidden="false" customHeight="false" outlineLevel="0" collapsed="false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customFormat="false" ht="15.75" hidden="false" customHeight="false" outlineLevel="0" collapsed="false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customFormat="false" ht="15.75" hidden="false" customHeight="false" outlineLevel="0" collapsed="false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customFormat="false" ht="15.75" hidden="false" customHeight="false" outlineLevel="0" collapsed="false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customFormat="false" ht="15.75" hidden="false" customHeight="false" outlineLevel="0" collapsed="false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customFormat="false" ht="15.75" hidden="false" customHeight="false" outlineLevel="0" collapsed="false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customFormat="false" ht="15.75" hidden="false" customHeight="false" outlineLevel="0" collapsed="false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customFormat="false" ht="15.75" hidden="false" customHeight="false" outlineLevel="0" collapsed="false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customFormat="false" ht="15.75" hidden="false" customHeight="false" outlineLevel="0" collapsed="false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customFormat="false" ht="15.75" hidden="false" customHeight="false" outlineLevel="0" collapsed="false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customFormat="false" ht="15.75" hidden="false" customHeight="false" outlineLevel="0" collapsed="false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customFormat="false" ht="15.75" hidden="false" customHeight="false" outlineLevel="0" collapsed="false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customFormat="false" ht="15.75" hidden="false" customHeight="false" outlineLevel="0" collapsed="false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customFormat="false" ht="15.75" hidden="false" customHeight="false" outlineLevel="0" collapsed="false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customFormat="false" ht="15.75" hidden="false" customHeight="false" outlineLevel="0" collapsed="false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customFormat="false" ht="15.75" hidden="false" customHeight="false" outlineLevel="0" collapsed="false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customFormat="false" ht="15.75" hidden="false" customHeight="false" outlineLevel="0" collapsed="false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customFormat="false" ht="15.75" hidden="false" customHeight="false" outlineLevel="0" collapsed="false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customFormat="false" ht="15.75" hidden="false" customHeight="false" outlineLevel="0" collapsed="false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customFormat="false" ht="15.75" hidden="false" customHeight="false" outlineLevel="0" collapsed="false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customFormat="false" ht="15.75" hidden="false" customHeight="false" outlineLevel="0" collapsed="false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customFormat="false" ht="15.75" hidden="false" customHeight="false" outlineLevel="0" collapsed="false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customFormat="false" ht="15.75" hidden="false" customHeight="false" outlineLevel="0" collapsed="false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customFormat="false" ht="15.75" hidden="false" customHeight="false" outlineLevel="0" collapsed="false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customFormat="false" ht="15.75" hidden="false" customHeight="false" outlineLevel="0" collapsed="false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customFormat="false" ht="15.75" hidden="false" customHeight="false" outlineLevel="0" collapsed="false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customFormat="false" ht="15.75" hidden="false" customHeight="false" outlineLevel="0" collapsed="false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customFormat="false" ht="15.75" hidden="false" customHeight="false" outlineLevel="0" collapsed="false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customFormat="false" ht="15.75" hidden="false" customHeight="false" outlineLevel="0" collapsed="false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customFormat="false" ht="15.75" hidden="false" customHeight="false" outlineLevel="0" collapsed="false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customFormat="false" ht="15.75" hidden="false" customHeight="false" outlineLevel="0" collapsed="false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customFormat="false" ht="15.75" hidden="false" customHeight="false" outlineLevel="0" collapsed="false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customFormat="false" ht="15.75" hidden="false" customHeight="false" outlineLevel="0" collapsed="false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customFormat="false" ht="15.75" hidden="false" customHeight="false" outlineLevel="0" collapsed="false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customFormat="false" ht="15.75" hidden="false" customHeight="false" outlineLevel="0" collapsed="false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customFormat="false" ht="15.75" hidden="false" customHeight="false" outlineLevel="0" collapsed="false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customFormat="false" ht="15.75" hidden="false" customHeight="false" outlineLevel="0" collapsed="false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customFormat="false" ht="15.75" hidden="false" customHeight="false" outlineLevel="0" collapsed="false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customFormat="false" ht="15.75" hidden="false" customHeight="false" outlineLevel="0" collapsed="false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customFormat="false" ht="15.75" hidden="false" customHeight="false" outlineLevel="0" collapsed="false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customFormat="false" ht="15.75" hidden="false" customHeight="false" outlineLevel="0" collapsed="false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customFormat="false" ht="15.75" hidden="false" customHeight="false" outlineLevel="0" collapsed="false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customFormat="false" ht="15.75" hidden="false" customHeight="false" outlineLevel="0" collapsed="false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customFormat="false" ht="15.75" hidden="false" customHeight="false" outlineLevel="0" collapsed="false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customFormat="false" ht="15.75" hidden="false" customHeight="false" outlineLevel="0" collapsed="false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customFormat="false" ht="15.75" hidden="false" customHeight="false" outlineLevel="0" collapsed="false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customFormat="false" ht="15.75" hidden="false" customHeight="false" outlineLevel="0" collapsed="false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customFormat="false" ht="15.75" hidden="false" customHeight="false" outlineLevel="0" collapsed="false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customFormat="false" ht="15.75" hidden="false" customHeight="false" outlineLevel="0" collapsed="false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customFormat="false" ht="15.75" hidden="false" customHeight="false" outlineLevel="0" collapsed="false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customFormat="false" ht="15.75" hidden="false" customHeight="false" outlineLevel="0" collapsed="false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customFormat="false" ht="15.75" hidden="false" customHeight="false" outlineLevel="0" collapsed="false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customFormat="false" ht="15.75" hidden="false" customHeight="false" outlineLevel="0" collapsed="false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customFormat="false" ht="15.75" hidden="false" customHeight="false" outlineLevel="0" collapsed="false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customFormat="false" ht="15.75" hidden="false" customHeight="false" outlineLevel="0" collapsed="false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customFormat="false" ht="15.75" hidden="false" customHeight="false" outlineLevel="0" collapsed="false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customFormat="false" ht="15.75" hidden="false" customHeight="false" outlineLevel="0" collapsed="false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customFormat="false" ht="15.75" hidden="false" customHeight="false" outlineLevel="0" collapsed="false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customFormat="false" ht="15.75" hidden="false" customHeight="false" outlineLevel="0" collapsed="false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customFormat="false" ht="15.75" hidden="false" customHeight="false" outlineLevel="0" collapsed="false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customFormat="false" ht="15.75" hidden="false" customHeight="false" outlineLevel="0" collapsed="false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customFormat="false" ht="15.75" hidden="false" customHeight="false" outlineLevel="0" collapsed="false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customFormat="false" ht="15.75" hidden="false" customHeight="false" outlineLevel="0" collapsed="false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customFormat="false" ht="15.75" hidden="false" customHeight="false" outlineLevel="0" collapsed="false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customFormat="false" ht="15.75" hidden="false" customHeight="false" outlineLevel="0" collapsed="false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customFormat="false" ht="15.75" hidden="false" customHeight="false" outlineLevel="0" collapsed="false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customFormat="false" ht="15.75" hidden="false" customHeight="false" outlineLevel="0" collapsed="false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customFormat="false" ht="15.75" hidden="false" customHeight="false" outlineLevel="0" collapsed="false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customFormat="false" ht="15.75" hidden="false" customHeight="false" outlineLevel="0" collapsed="false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customFormat="false" ht="15.75" hidden="false" customHeight="false" outlineLevel="0" collapsed="false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customFormat="false" ht="15.75" hidden="false" customHeight="false" outlineLevel="0" collapsed="false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customFormat="false" ht="15.75" hidden="false" customHeight="false" outlineLevel="0" collapsed="false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customFormat="false" ht="15.75" hidden="false" customHeight="false" outlineLevel="0" collapsed="false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customFormat="false" ht="15.75" hidden="false" customHeight="false" outlineLevel="0" collapsed="false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customFormat="false" ht="15.75" hidden="false" customHeight="false" outlineLevel="0" collapsed="false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customFormat="false" ht="15.75" hidden="false" customHeight="false" outlineLevel="0" collapsed="false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customFormat="false" ht="15.75" hidden="false" customHeight="false" outlineLevel="0" collapsed="false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customFormat="false" ht="15.75" hidden="false" customHeight="false" outlineLevel="0" collapsed="false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customFormat="false" ht="15.75" hidden="false" customHeight="false" outlineLevel="0" collapsed="false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customFormat="false" ht="15.75" hidden="false" customHeight="false" outlineLevel="0" collapsed="false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customFormat="false" ht="15.75" hidden="false" customHeight="false" outlineLevel="0" collapsed="false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customFormat="false" ht="15.75" hidden="false" customHeight="false" outlineLevel="0" collapsed="false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customFormat="false" ht="15.75" hidden="false" customHeight="false" outlineLevel="0" collapsed="false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customFormat="false" ht="15.75" hidden="false" customHeight="false" outlineLevel="0" collapsed="false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customFormat="false" ht="15.75" hidden="false" customHeight="false" outlineLevel="0" collapsed="false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customFormat="false" ht="15.75" hidden="false" customHeight="false" outlineLevel="0" collapsed="false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customFormat="false" ht="15.75" hidden="false" customHeight="false" outlineLevel="0" collapsed="false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customFormat="false" ht="15.75" hidden="false" customHeight="false" outlineLevel="0" collapsed="false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customFormat="false" ht="15.75" hidden="false" customHeight="false" outlineLevel="0" collapsed="false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customFormat="false" ht="15.75" hidden="false" customHeight="false" outlineLevel="0" collapsed="false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customFormat="false" ht="15.75" hidden="false" customHeight="false" outlineLevel="0" collapsed="false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customFormat="false" ht="15.75" hidden="false" customHeight="false" outlineLevel="0" collapsed="false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customFormat="false" ht="15.75" hidden="false" customHeight="false" outlineLevel="0" collapsed="false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customFormat="false" ht="15.75" hidden="false" customHeight="false" outlineLevel="0" collapsed="false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customFormat="false" ht="15.75" hidden="false" customHeight="false" outlineLevel="0" collapsed="false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customFormat="false" ht="15.75" hidden="false" customHeight="false" outlineLevel="0" collapsed="false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customFormat="false" ht="15.75" hidden="false" customHeight="false" outlineLevel="0" collapsed="false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customFormat="false" ht="15.75" hidden="false" customHeight="false" outlineLevel="0" collapsed="false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customFormat="false" ht="15.75" hidden="false" customHeight="false" outlineLevel="0" collapsed="false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customFormat="false" ht="15.75" hidden="false" customHeight="false" outlineLevel="0" collapsed="false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customFormat="false" ht="15.75" hidden="false" customHeight="false" outlineLevel="0" collapsed="false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customFormat="false" ht="15.75" hidden="false" customHeight="false" outlineLevel="0" collapsed="false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customFormat="false" ht="15.75" hidden="false" customHeight="false" outlineLevel="0" collapsed="false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customFormat="false" ht="15.75" hidden="false" customHeight="false" outlineLevel="0" collapsed="false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customFormat="false" ht="15.75" hidden="false" customHeight="false" outlineLevel="0" collapsed="false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customFormat="false" ht="15.75" hidden="false" customHeight="false" outlineLevel="0" collapsed="false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customFormat="false" ht="15.75" hidden="false" customHeight="false" outlineLevel="0" collapsed="false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customFormat="false" ht="15.75" hidden="false" customHeight="false" outlineLevel="0" collapsed="false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customFormat="false" ht="15.75" hidden="false" customHeight="false" outlineLevel="0" collapsed="false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customFormat="false" ht="15.75" hidden="false" customHeight="false" outlineLevel="0" collapsed="false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customFormat="false" ht="15.75" hidden="false" customHeight="false" outlineLevel="0" collapsed="false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customFormat="false" ht="15.75" hidden="false" customHeight="false" outlineLevel="0" collapsed="false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customFormat="false" ht="15.75" hidden="false" customHeight="false" outlineLevel="0" collapsed="false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customFormat="false" ht="15.75" hidden="false" customHeight="false" outlineLevel="0" collapsed="false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customFormat="false" ht="15.75" hidden="false" customHeight="false" outlineLevel="0" collapsed="false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customFormat="false" ht="15.75" hidden="false" customHeight="false" outlineLevel="0" collapsed="false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customFormat="false" ht="15.75" hidden="false" customHeight="false" outlineLevel="0" collapsed="false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customFormat="false" ht="15.75" hidden="false" customHeight="false" outlineLevel="0" collapsed="false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customFormat="false" ht="15.75" hidden="false" customHeight="false" outlineLevel="0" collapsed="false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customFormat="false" ht="15.75" hidden="false" customHeight="false" outlineLevel="0" collapsed="false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customFormat="false" ht="15.75" hidden="false" customHeight="false" outlineLevel="0" collapsed="false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customFormat="false" ht="15.75" hidden="false" customHeight="false" outlineLevel="0" collapsed="false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customFormat="false" ht="15.75" hidden="false" customHeight="false" outlineLevel="0" collapsed="false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customFormat="false" ht="15.75" hidden="false" customHeight="false" outlineLevel="0" collapsed="false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customFormat="false" ht="15.75" hidden="false" customHeight="false" outlineLevel="0" collapsed="false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customFormat="false" ht="15.75" hidden="false" customHeight="false" outlineLevel="0" collapsed="false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customFormat="false" ht="15.75" hidden="false" customHeight="false" outlineLevel="0" collapsed="false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customFormat="false" ht="15.75" hidden="false" customHeight="false" outlineLevel="0" collapsed="false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customFormat="false" ht="15.75" hidden="false" customHeight="false" outlineLevel="0" collapsed="false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customFormat="false" ht="15.75" hidden="false" customHeight="false" outlineLevel="0" collapsed="false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customFormat="false" ht="15.75" hidden="false" customHeight="false" outlineLevel="0" collapsed="false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customFormat="false" ht="15.75" hidden="false" customHeight="false" outlineLevel="0" collapsed="false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customFormat="false" ht="15.75" hidden="false" customHeight="false" outlineLevel="0" collapsed="false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customFormat="false" ht="15.75" hidden="false" customHeight="false" outlineLevel="0" collapsed="false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customFormat="false" ht="15.75" hidden="false" customHeight="false" outlineLevel="0" collapsed="false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customFormat="false" ht="15.75" hidden="false" customHeight="false" outlineLevel="0" collapsed="false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customFormat="false" ht="15.75" hidden="false" customHeight="false" outlineLevel="0" collapsed="false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customFormat="false" ht="15.75" hidden="false" customHeight="false" outlineLevel="0" collapsed="false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customFormat="false" ht="15.75" hidden="false" customHeight="false" outlineLevel="0" collapsed="false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customFormat="false" ht="15.75" hidden="false" customHeight="false" outlineLevel="0" collapsed="false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customFormat="false" ht="15.75" hidden="false" customHeight="false" outlineLevel="0" collapsed="false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customFormat="false" ht="15.75" hidden="false" customHeight="false" outlineLevel="0" collapsed="false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customFormat="false" ht="15.75" hidden="false" customHeight="false" outlineLevel="0" collapsed="false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customFormat="false" ht="15.75" hidden="false" customHeight="false" outlineLevel="0" collapsed="false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customFormat="false" ht="15.75" hidden="false" customHeight="false" outlineLevel="0" collapsed="false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customFormat="false" ht="15.75" hidden="false" customHeight="false" outlineLevel="0" collapsed="false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customFormat="false" ht="15.75" hidden="false" customHeight="false" outlineLevel="0" collapsed="false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customFormat="false" ht="15.75" hidden="false" customHeight="false" outlineLevel="0" collapsed="false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customFormat="false" ht="15.75" hidden="false" customHeight="false" outlineLevel="0" collapsed="false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customFormat="false" ht="15.75" hidden="false" customHeight="false" outlineLevel="0" collapsed="false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customFormat="false" ht="15.75" hidden="false" customHeight="false" outlineLevel="0" collapsed="false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customFormat="false" ht="15.75" hidden="false" customHeight="false" outlineLevel="0" collapsed="false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customFormat="false" ht="15.75" hidden="false" customHeight="false" outlineLevel="0" collapsed="false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customFormat="false" ht="15.75" hidden="false" customHeight="false" outlineLevel="0" collapsed="false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customFormat="false" ht="15.75" hidden="false" customHeight="false" outlineLevel="0" collapsed="false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customFormat="false" ht="15.75" hidden="false" customHeight="false" outlineLevel="0" collapsed="false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customFormat="false" ht="15.75" hidden="false" customHeight="false" outlineLevel="0" collapsed="false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customFormat="false" ht="15.75" hidden="false" customHeight="false" outlineLevel="0" collapsed="false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customFormat="false" ht="15.75" hidden="false" customHeight="false" outlineLevel="0" collapsed="false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customFormat="false" ht="15.75" hidden="false" customHeight="false" outlineLevel="0" collapsed="false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customFormat="false" ht="15.75" hidden="false" customHeight="false" outlineLevel="0" collapsed="false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customFormat="false" ht="15.75" hidden="false" customHeight="false" outlineLevel="0" collapsed="false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customFormat="false" ht="15.75" hidden="false" customHeight="false" outlineLevel="0" collapsed="false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customFormat="false" ht="15.75" hidden="false" customHeight="false" outlineLevel="0" collapsed="false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customFormat="false" ht="15.75" hidden="false" customHeight="false" outlineLevel="0" collapsed="false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customFormat="false" ht="15.75" hidden="false" customHeight="false" outlineLevel="0" collapsed="false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customFormat="false" ht="15.75" hidden="false" customHeight="false" outlineLevel="0" collapsed="false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customFormat="false" ht="15.75" hidden="false" customHeight="false" outlineLevel="0" collapsed="false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customFormat="false" ht="15.75" hidden="false" customHeight="false" outlineLevel="0" collapsed="false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customFormat="false" ht="15.75" hidden="false" customHeight="false" outlineLevel="0" collapsed="false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customFormat="false" ht="15.75" hidden="false" customHeight="false" outlineLevel="0" collapsed="false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customFormat="false" ht="15.75" hidden="false" customHeight="false" outlineLevel="0" collapsed="false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customFormat="false" ht="15.75" hidden="false" customHeight="false" outlineLevel="0" collapsed="false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customFormat="false" ht="15.75" hidden="false" customHeight="false" outlineLevel="0" collapsed="false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customFormat="false" ht="15.75" hidden="false" customHeight="false" outlineLevel="0" collapsed="false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customFormat="false" ht="15.75" hidden="false" customHeight="false" outlineLevel="0" collapsed="false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customFormat="false" ht="15.75" hidden="false" customHeight="false" outlineLevel="0" collapsed="false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customFormat="false" ht="15.75" hidden="false" customHeight="false" outlineLevel="0" collapsed="false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customFormat="false" ht="15.75" hidden="false" customHeight="false" outlineLevel="0" collapsed="false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customFormat="false" ht="15.75" hidden="false" customHeight="false" outlineLevel="0" collapsed="false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customFormat="false" ht="15.75" hidden="false" customHeight="false" outlineLevel="0" collapsed="false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customFormat="false" ht="15.75" hidden="false" customHeight="false" outlineLevel="0" collapsed="false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customFormat="false" ht="15.75" hidden="false" customHeight="false" outlineLevel="0" collapsed="false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customFormat="false" ht="15.75" hidden="false" customHeight="false" outlineLevel="0" collapsed="false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customFormat="false" ht="15.75" hidden="false" customHeight="false" outlineLevel="0" collapsed="false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customFormat="false" ht="15.75" hidden="false" customHeight="false" outlineLevel="0" collapsed="false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customFormat="false" ht="15.75" hidden="false" customHeight="false" outlineLevel="0" collapsed="false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customFormat="false" ht="15.75" hidden="false" customHeight="false" outlineLevel="0" collapsed="false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customFormat="false" ht="15.75" hidden="false" customHeight="false" outlineLevel="0" collapsed="false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customFormat="false" ht="15.75" hidden="false" customHeight="false" outlineLevel="0" collapsed="false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customFormat="false" ht="15.75" hidden="false" customHeight="false" outlineLevel="0" collapsed="false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customFormat="false" ht="15.75" hidden="false" customHeight="false" outlineLevel="0" collapsed="false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customFormat="false" ht="15.75" hidden="false" customHeight="false" outlineLevel="0" collapsed="false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customFormat="false" ht="15.75" hidden="false" customHeight="false" outlineLevel="0" collapsed="false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customFormat="false" ht="15.75" hidden="false" customHeight="false" outlineLevel="0" collapsed="false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customFormat="false" ht="15.75" hidden="false" customHeight="false" outlineLevel="0" collapsed="false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customFormat="false" ht="15.75" hidden="false" customHeight="false" outlineLevel="0" collapsed="false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customFormat="false" ht="15.75" hidden="false" customHeight="false" outlineLevel="0" collapsed="false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customFormat="false" ht="15.75" hidden="false" customHeight="false" outlineLevel="0" collapsed="false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customFormat="false" ht="15.75" hidden="false" customHeight="false" outlineLevel="0" collapsed="false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customFormat="false" ht="15.75" hidden="false" customHeight="false" outlineLevel="0" collapsed="false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customFormat="false" ht="15.75" hidden="false" customHeight="false" outlineLevel="0" collapsed="false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customFormat="false" ht="15.75" hidden="false" customHeight="false" outlineLevel="0" collapsed="false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customFormat="false" ht="15.75" hidden="false" customHeight="false" outlineLevel="0" collapsed="false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customFormat="false" ht="15.75" hidden="false" customHeight="false" outlineLevel="0" collapsed="false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customFormat="false" ht="15.75" hidden="false" customHeight="false" outlineLevel="0" collapsed="false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customFormat="false" ht="15.75" hidden="false" customHeight="false" outlineLevel="0" collapsed="false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customFormat="false" ht="15.75" hidden="false" customHeight="false" outlineLevel="0" collapsed="false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customFormat="false" ht="15.75" hidden="false" customHeight="false" outlineLevel="0" collapsed="false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customFormat="false" ht="15.75" hidden="false" customHeight="false" outlineLevel="0" collapsed="false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customFormat="false" ht="15.75" hidden="false" customHeight="false" outlineLevel="0" collapsed="false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customFormat="false" ht="15.75" hidden="false" customHeight="false" outlineLevel="0" collapsed="false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customFormat="false" ht="15.75" hidden="false" customHeight="false" outlineLevel="0" collapsed="false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customFormat="false" ht="15.75" hidden="false" customHeight="false" outlineLevel="0" collapsed="false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customFormat="false" ht="15.75" hidden="false" customHeight="false" outlineLevel="0" collapsed="false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customFormat="false" ht="15.75" hidden="false" customHeight="false" outlineLevel="0" collapsed="false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customFormat="false" ht="15.75" hidden="false" customHeight="false" outlineLevel="0" collapsed="false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customFormat="false" ht="15.75" hidden="false" customHeight="false" outlineLevel="0" collapsed="false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customFormat="false" ht="15.75" hidden="false" customHeight="false" outlineLevel="0" collapsed="false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customFormat="false" ht="15.75" hidden="false" customHeight="false" outlineLevel="0" collapsed="false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customFormat="false" ht="15.75" hidden="false" customHeight="false" outlineLevel="0" collapsed="false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customFormat="false" ht="15.75" hidden="false" customHeight="false" outlineLevel="0" collapsed="false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customFormat="false" ht="15.75" hidden="false" customHeight="false" outlineLevel="0" collapsed="false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customFormat="false" ht="15.75" hidden="false" customHeight="false" outlineLevel="0" collapsed="false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customFormat="false" ht="15.75" hidden="false" customHeight="false" outlineLevel="0" collapsed="false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customFormat="false" ht="15.75" hidden="false" customHeight="false" outlineLevel="0" collapsed="false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customFormat="false" ht="15.75" hidden="false" customHeight="false" outlineLevel="0" collapsed="false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customFormat="false" ht="15.75" hidden="false" customHeight="false" outlineLevel="0" collapsed="false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customFormat="false" ht="15.75" hidden="false" customHeight="false" outlineLevel="0" collapsed="false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customFormat="false" ht="15.75" hidden="false" customHeight="false" outlineLevel="0" collapsed="false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customFormat="false" ht="15.75" hidden="false" customHeight="false" outlineLevel="0" collapsed="false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customFormat="false" ht="15.75" hidden="false" customHeight="false" outlineLevel="0" collapsed="false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customFormat="false" ht="15.75" hidden="false" customHeight="false" outlineLevel="0" collapsed="false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customFormat="false" ht="15.75" hidden="false" customHeight="false" outlineLevel="0" collapsed="false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customFormat="false" ht="15.75" hidden="false" customHeight="false" outlineLevel="0" collapsed="false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customFormat="false" ht="15.75" hidden="false" customHeight="false" outlineLevel="0" collapsed="false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customFormat="false" ht="15.75" hidden="false" customHeight="false" outlineLevel="0" collapsed="false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customFormat="false" ht="15.75" hidden="false" customHeight="false" outlineLevel="0" collapsed="false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customFormat="false" ht="15.75" hidden="false" customHeight="false" outlineLevel="0" collapsed="false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customFormat="false" ht="15.75" hidden="false" customHeight="false" outlineLevel="0" collapsed="false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customFormat="false" ht="15.75" hidden="false" customHeight="false" outlineLevel="0" collapsed="false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customFormat="false" ht="15.75" hidden="false" customHeight="false" outlineLevel="0" collapsed="false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customFormat="false" ht="15.75" hidden="false" customHeight="false" outlineLevel="0" collapsed="false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customFormat="false" ht="15.75" hidden="false" customHeight="false" outlineLevel="0" collapsed="false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customFormat="false" ht="15.75" hidden="false" customHeight="false" outlineLevel="0" collapsed="false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customFormat="false" ht="15.75" hidden="false" customHeight="false" outlineLevel="0" collapsed="false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customFormat="false" ht="15.75" hidden="false" customHeight="false" outlineLevel="0" collapsed="false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customFormat="false" ht="15.75" hidden="false" customHeight="false" outlineLevel="0" collapsed="false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customFormat="false" ht="15.75" hidden="false" customHeight="false" outlineLevel="0" collapsed="false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customFormat="false" ht="15.75" hidden="false" customHeight="false" outlineLevel="0" collapsed="false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customFormat="false" ht="15.75" hidden="false" customHeight="false" outlineLevel="0" collapsed="false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customFormat="false" ht="15.75" hidden="false" customHeight="false" outlineLevel="0" collapsed="false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customFormat="false" ht="15.75" hidden="false" customHeight="false" outlineLevel="0" collapsed="false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customFormat="false" ht="15.75" hidden="false" customHeight="false" outlineLevel="0" collapsed="false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customFormat="false" ht="15.75" hidden="false" customHeight="false" outlineLevel="0" collapsed="false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customFormat="false" ht="15.75" hidden="false" customHeight="false" outlineLevel="0" collapsed="false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customFormat="false" ht="15.75" hidden="false" customHeight="false" outlineLevel="0" collapsed="false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customFormat="false" ht="15.75" hidden="false" customHeight="false" outlineLevel="0" collapsed="false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customFormat="false" ht="15.75" hidden="false" customHeight="false" outlineLevel="0" collapsed="false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customFormat="false" ht="15.75" hidden="false" customHeight="false" outlineLevel="0" collapsed="false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customFormat="false" ht="15.75" hidden="false" customHeight="false" outlineLevel="0" collapsed="false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customFormat="false" ht="15.75" hidden="false" customHeight="false" outlineLevel="0" collapsed="false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customFormat="false" ht="15.75" hidden="false" customHeight="false" outlineLevel="0" collapsed="false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customFormat="false" ht="15.75" hidden="false" customHeight="false" outlineLevel="0" collapsed="false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customFormat="false" ht="15.75" hidden="false" customHeight="false" outlineLevel="0" collapsed="false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customFormat="false" ht="15.75" hidden="false" customHeight="false" outlineLevel="0" collapsed="false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customFormat="false" ht="15.75" hidden="false" customHeight="false" outlineLevel="0" collapsed="false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customFormat="false" ht="15.75" hidden="false" customHeight="false" outlineLevel="0" collapsed="false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customFormat="false" ht="15.75" hidden="false" customHeight="false" outlineLevel="0" collapsed="false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customFormat="false" ht="15.75" hidden="false" customHeight="false" outlineLevel="0" collapsed="false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customFormat="false" ht="15.75" hidden="false" customHeight="false" outlineLevel="0" collapsed="false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customFormat="false" ht="15.75" hidden="false" customHeight="false" outlineLevel="0" collapsed="false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customFormat="false" ht="15.75" hidden="false" customHeight="false" outlineLevel="0" collapsed="false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customFormat="false" ht="15.75" hidden="false" customHeight="false" outlineLevel="0" collapsed="false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customFormat="false" ht="15.75" hidden="false" customHeight="false" outlineLevel="0" collapsed="false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customFormat="false" ht="15.75" hidden="false" customHeight="false" outlineLevel="0" collapsed="false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customFormat="false" ht="15.75" hidden="false" customHeight="false" outlineLevel="0" collapsed="false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customFormat="false" ht="15.75" hidden="false" customHeight="false" outlineLevel="0" collapsed="false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customFormat="false" ht="15.75" hidden="false" customHeight="false" outlineLevel="0" collapsed="false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customFormat="false" ht="15.75" hidden="false" customHeight="false" outlineLevel="0" collapsed="false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customFormat="false" ht="15.75" hidden="false" customHeight="false" outlineLevel="0" collapsed="false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customFormat="false" ht="15.75" hidden="false" customHeight="false" outlineLevel="0" collapsed="false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customFormat="false" ht="15.75" hidden="false" customHeight="false" outlineLevel="0" collapsed="false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customFormat="false" ht="15.75" hidden="false" customHeight="false" outlineLevel="0" collapsed="false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customFormat="false" ht="15.75" hidden="false" customHeight="false" outlineLevel="0" collapsed="false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customFormat="false" ht="15.75" hidden="false" customHeight="false" outlineLevel="0" collapsed="false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customFormat="false" ht="15.75" hidden="false" customHeight="false" outlineLevel="0" collapsed="false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customFormat="false" ht="15.75" hidden="false" customHeight="false" outlineLevel="0" collapsed="false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customFormat="false" ht="15.75" hidden="false" customHeight="false" outlineLevel="0" collapsed="false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customFormat="false" ht="15.75" hidden="false" customHeight="false" outlineLevel="0" collapsed="false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customFormat="false" ht="15.75" hidden="false" customHeight="false" outlineLevel="0" collapsed="false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customFormat="false" ht="15.75" hidden="false" customHeight="false" outlineLevel="0" collapsed="false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customFormat="false" ht="15.75" hidden="false" customHeight="false" outlineLevel="0" collapsed="false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customFormat="false" ht="15.75" hidden="false" customHeight="false" outlineLevel="0" collapsed="false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customFormat="false" ht="15.75" hidden="false" customHeight="false" outlineLevel="0" collapsed="false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customFormat="false" ht="15.75" hidden="false" customHeight="false" outlineLevel="0" collapsed="false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customFormat="false" ht="15.75" hidden="false" customHeight="false" outlineLevel="0" collapsed="false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customFormat="false" ht="15.75" hidden="false" customHeight="false" outlineLevel="0" collapsed="false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customFormat="false" ht="15.75" hidden="false" customHeight="false" outlineLevel="0" collapsed="false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customFormat="false" ht="15.75" hidden="false" customHeight="false" outlineLevel="0" collapsed="false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customFormat="false" ht="15.75" hidden="false" customHeight="false" outlineLevel="0" collapsed="false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customFormat="false" ht="15.75" hidden="false" customHeight="false" outlineLevel="0" collapsed="false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customFormat="false" ht="15.75" hidden="false" customHeight="false" outlineLevel="0" collapsed="false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customFormat="false" ht="15.75" hidden="false" customHeight="false" outlineLevel="0" collapsed="false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customFormat="false" ht="15.75" hidden="false" customHeight="false" outlineLevel="0" collapsed="false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customFormat="false" ht="15.75" hidden="false" customHeight="false" outlineLevel="0" collapsed="false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customFormat="false" ht="15.75" hidden="false" customHeight="false" outlineLevel="0" collapsed="false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customFormat="false" ht="15.75" hidden="false" customHeight="false" outlineLevel="0" collapsed="false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customFormat="false" ht="15.75" hidden="false" customHeight="false" outlineLevel="0" collapsed="false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customFormat="false" ht="15.75" hidden="false" customHeight="false" outlineLevel="0" collapsed="false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customFormat="false" ht="15.75" hidden="false" customHeight="false" outlineLevel="0" collapsed="false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customFormat="false" ht="15.75" hidden="false" customHeight="false" outlineLevel="0" collapsed="false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customFormat="false" ht="15.75" hidden="false" customHeight="false" outlineLevel="0" collapsed="false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customFormat="false" ht="15.75" hidden="false" customHeight="false" outlineLevel="0" collapsed="false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customFormat="false" ht="15.75" hidden="false" customHeight="false" outlineLevel="0" collapsed="false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customFormat="false" ht="15.75" hidden="false" customHeight="false" outlineLevel="0" collapsed="false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customFormat="false" ht="15.75" hidden="false" customHeight="false" outlineLevel="0" collapsed="false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customFormat="false" ht="15.75" hidden="false" customHeight="false" outlineLevel="0" collapsed="false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customFormat="false" ht="15.75" hidden="false" customHeight="false" outlineLevel="0" collapsed="false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customFormat="false" ht="15.75" hidden="false" customHeight="false" outlineLevel="0" collapsed="false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customFormat="false" ht="15.75" hidden="false" customHeight="false" outlineLevel="0" collapsed="false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customFormat="false" ht="15.75" hidden="false" customHeight="false" outlineLevel="0" collapsed="false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customFormat="false" ht="15.75" hidden="false" customHeight="false" outlineLevel="0" collapsed="false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customFormat="false" ht="15.75" hidden="false" customHeight="false" outlineLevel="0" collapsed="false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customFormat="false" ht="15.75" hidden="false" customHeight="false" outlineLevel="0" collapsed="false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customFormat="false" ht="15.75" hidden="false" customHeight="false" outlineLevel="0" collapsed="false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customFormat="false" ht="15.75" hidden="false" customHeight="false" outlineLevel="0" collapsed="false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customFormat="false" ht="15.75" hidden="false" customHeight="false" outlineLevel="0" collapsed="false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customFormat="false" ht="15.75" hidden="false" customHeight="false" outlineLevel="0" collapsed="false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customFormat="false" ht="15.75" hidden="false" customHeight="false" outlineLevel="0" collapsed="false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customFormat="false" ht="15.75" hidden="false" customHeight="false" outlineLevel="0" collapsed="false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customFormat="false" ht="15.75" hidden="false" customHeight="false" outlineLevel="0" collapsed="false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customFormat="false" ht="15.75" hidden="false" customHeight="false" outlineLevel="0" collapsed="false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customFormat="false" ht="15.75" hidden="false" customHeight="false" outlineLevel="0" collapsed="false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customFormat="false" ht="15.75" hidden="false" customHeight="false" outlineLevel="0" collapsed="false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customFormat="false" ht="15.75" hidden="false" customHeight="false" outlineLevel="0" collapsed="false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customFormat="false" ht="15.75" hidden="false" customHeight="false" outlineLevel="0" collapsed="false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customFormat="false" ht="15.75" hidden="false" customHeight="false" outlineLevel="0" collapsed="false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customFormat="false" ht="15.75" hidden="false" customHeight="false" outlineLevel="0" collapsed="false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customFormat="false" ht="15.75" hidden="false" customHeight="false" outlineLevel="0" collapsed="false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customFormat="false" ht="15.75" hidden="false" customHeight="false" outlineLevel="0" collapsed="false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customFormat="false" ht="15.75" hidden="false" customHeight="false" outlineLevel="0" collapsed="false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customFormat="false" ht="15.75" hidden="false" customHeight="false" outlineLevel="0" collapsed="false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customFormat="false" ht="15.75" hidden="false" customHeight="false" outlineLevel="0" collapsed="false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customFormat="false" ht="15.75" hidden="false" customHeight="false" outlineLevel="0" collapsed="false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customFormat="false" ht="15.75" hidden="false" customHeight="false" outlineLevel="0" collapsed="false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customFormat="false" ht="15.75" hidden="false" customHeight="false" outlineLevel="0" collapsed="false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customFormat="false" ht="15.75" hidden="false" customHeight="false" outlineLevel="0" collapsed="false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customFormat="false" ht="15.75" hidden="false" customHeight="false" outlineLevel="0" collapsed="false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customFormat="false" ht="15.75" hidden="false" customHeight="false" outlineLevel="0" collapsed="false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customFormat="false" ht="15.75" hidden="false" customHeight="false" outlineLevel="0" collapsed="false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customFormat="false" ht="15.75" hidden="false" customHeight="false" outlineLevel="0" collapsed="false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customFormat="false" ht="15.75" hidden="false" customHeight="false" outlineLevel="0" collapsed="false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customFormat="false" ht="15.75" hidden="false" customHeight="false" outlineLevel="0" collapsed="false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customFormat="false" ht="15.75" hidden="false" customHeight="false" outlineLevel="0" collapsed="false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customFormat="false" ht="15.75" hidden="false" customHeight="false" outlineLevel="0" collapsed="false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customFormat="false" ht="15.75" hidden="false" customHeight="false" outlineLevel="0" collapsed="false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customFormat="false" ht="15.75" hidden="false" customHeight="false" outlineLevel="0" collapsed="false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customFormat="false" ht="15.75" hidden="false" customHeight="false" outlineLevel="0" collapsed="false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customFormat="false" ht="15.75" hidden="false" customHeight="false" outlineLevel="0" collapsed="false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customFormat="false" ht="15.75" hidden="false" customHeight="false" outlineLevel="0" collapsed="false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customFormat="false" ht="15.75" hidden="false" customHeight="false" outlineLevel="0" collapsed="false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customFormat="false" ht="15.75" hidden="false" customHeight="false" outlineLevel="0" collapsed="false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customFormat="false" ht="15.75" hidden="false" customHeight="false" outlineLevel="0" collapsed="false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customFormat="false" ht="15.75" hidden="false" customHeight="false" outlineLevel="0" collapsed="false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customFormat="false" ht="15.75" hidden="false" customHeight="false" outlineLevel="0" collapsed="false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customFormat="false" ht="15.75" hidden="false" customHeight="false" outlineLevel="0" collapsed="false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customFormat="false" ht="15.75" hidden="false" customHeight="false" outlineLevel="0" collapsed="false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customFormat="false" ht="15.75" hidden="false" customHeight="false" outlineLevel="0" collapsed="false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customFormat="false" ht="15.75" hidden="false" customHeight="false" outlineLevel="0" collapsed="false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customFormat="false" ht="15.75" hidden="false" customHeight="false" outlineLevel="0" collapsed="false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customFormat="false" ht="15.75" hidden="false" customHeight="false" outlineLevel="0" collapsed="false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customFormat="false" ht="15.75" hidden="false" customHeight="false" outlineLevel="0" collapsed="false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customFormat="false" ht="15.75" hidden="false" customHeight="false" outlineLevel="0" collapsed="false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customFormat="false" ht="15.75" hidden="false" customHeight="false" outlineLevel="0" collapsed="false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customFormat="false" ht="15.75" hidden="false" customHeight="false" outlineLevel="0" collapsed="false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customFormat="false" ht="15.75" hidden="false" customHeight="false" outlineLevel="0" collapsed="false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customFormat="false" ht="15.75" hidden="false" customHeight="false" outlineLevel="0" collapsed="false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customFormat="false" ht="15.75" hidden="false" customHeight="false" outlineLevel="0" collapsed="false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customFormat="false" ht="15.75" hidden="false" customHeight="false" outlineLevel="0" collapsed="false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customFormat="false" ht="15.75" hidden="false" customHeight="false" outlineLevel="0" collapsed="false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customFormat="false" ht="15.75" hidden="false" customHeight="false" outlineLevel="0" collapsed="false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customFormat="false" ht="15.75" hidden="false" customHeight="false" outlineLevel="0" collapsed="false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customFormat="false" ht="15.75" hidden="false" customHeight="false" outlineLevel="0" collapsed="false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customFormat="false" ht="15.75" hidden="false" customHeight="false" outlineLevel="0" collapsed="false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customFormat="false" ht="15.75" hidden="false" customHeight="false" outlineLevel="0" collapsed="false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customFormat="false" ht="15.75" hidden="false" customHeight="false" outlineLevel="0" collapsed="false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customFormat="false" ht="15.75" hidden="false" customHeight="false" outlineLevel="0" collapsed="false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customFormat="false" ht="15.75" hidden="false" customHeight="false" outlineLevel="0" collapsed="false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customFormat="false" ht="15.75" hidden="false" customHeight="false" outlineLevel="0" collapsed="false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customFormat="false" ht="15.75" hidden="false" customHeight="false" outlineLevel="0" collapsed="false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customFormat="false" ht="15.75" hidden="false" customHeight="false" outlineLevel="0" collapsed="false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customFormat="false" ht="15.75" hidden="false" customHeight="false" outlineLevel="0" collapsed="false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customFormat="false" ht="15.75" hidden="false" customHeight="false" outlineLevel="0" collapsed="false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customFormat="false" ht="15.75" hidden="false" customHeight="false" outlineLevel="0" collapsed="false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customFormat="false" ht="15.75" hidden="false" customHeight="false" outlineLevel="0" collapsed="false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customFormat="false" ht="15.75" hidden="false" customHeight="false" outlineLevel="0" collapsed="false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customFormat="false" ht="15.75" hidden="false" customHeight="false" outlineLevel="0" collapsed="false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customFormat="false" ht="15.75" hidden="false" customHeight="false" outlineLevel="0" collapsed="false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customFormat="false" ht="15.75" hidden="false" customHeight="false" outlineLevel="0" collapsed="false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customFormat="false" ht="15.75" hidden="false" customHeight="false" outlineLevel="0" collapsed="false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customFormat="false" ht="15.75" hidden="false" customHeight="false" outlineLevel="0" collapsed="false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customFormat="false" ht="15.75" hidden="false" customHeight="false" outlineLevel="0" collapsed="false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customFormat="false" ht="15.75" hidden="false" customHeight="false" outlineLevel="0" collapsed="false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customFormat="false" ht="15.75" hidden="false" customHeight="false" outlineLevel="0" collapsed="false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customFormat="false" ht="15.75" hidden="false" customHeight="false" outlineLevel="0" collapsed="false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customFormat="false" ht="15.75" hidden="false" customHeight="false" outlineLevel="0" collapsed="false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customFormat="false" ht="15.75" hidden="false" customHeight="false" outlineLevel="0" collapsed="false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customFormat="false" ht="15.75" hidden="false" customHeight="false" outlineLevel="0" collapsed="false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customFormat="false" ht="15.75" hidden="false" customHeight="false" outlineLevel="0" collapsed="false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customFormat="false" ht="15.75" hidden="false" customHeight="false" outlineLevel="0" collapsed="false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customFormat="false" ht="15.75" hidden="false" customHeight="false" outlineLevel="0" collapsed="false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customFormat="false" ht="15.75" hidden="false" customHeight="false" outlineLevel="0" collapsed="false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customFormat="false" ht="15.75" hidden="false" customHeight="false" outlineLevel="0" collapsed="false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customFormat="false" ht="15.75" hidden="false" customHeight="false" outlineLevel="0" collapsed="false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customFormat="false" ht="15.75" hidden="false" customHeight="false" outlineLevel="0" collapsed="false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customFormat="false" ht="15.75" hidden="false" customHeight="false" outlineLevel="0" collapsed="false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customFormat="false" ht="15.75" hidden="false" customHeight="false" outlineLevel="0" collapsed="false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customFormat="false" ht="15.75" hidden="false" customHeight="false" outlineLevel="0" collapsed="false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customFormat="false" ht="15.75" hidden="false" customHeight="false" outlineLevel="0" collapsed="false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customFormat="false" ht="15.75" hidden="false" customHeight="false" outlineLevel="0" collapsed="false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customFormat="false" ht="15.75" hidden="false" customHeight="false" outlineLevel="0" collapsed="false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customFormat="false" ht="15.75" hidden="false" customHeight="false" outlineLevel="0" collapsed="false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customFormat="false" ht="15.75" hidden="false" customHeight="false" outlineLevel="0" collapsed="false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customFormat="false" ht="15.75" hidden="false" customHeight="false" outlineLevel="0" collapsed="false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customFormat="false" ht="15.75" hidden="false" customHeight="false" outlineLevel="0" collapsed="false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customFormat="false" ht="15.75" hidden="false" customHeight="false" outlineLevel="0" collapsed="false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customFormat="false" ht="15.75" hidden="false" customHeight="false" outlineLevel="0" collapsed="false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customFormat="false" ht="15.75" hidden="false" customHeight="false" outlineLevel="0" collapsed="false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customFormat="false" ht="15.75" hidden="false" customHeight="false" outlineLevel="0" collapsed="false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customFormat="false" ht="15.75" hidden="false" customHeight="false" outlineLevel="0" collapsed="false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customFormat="false" ht="15.75" hidden="false" customHeight="false" outlineLevel="0" collapsed="false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customFormat="false" ht="15.75" hidden="false" customHeight="false" outlineLevel="0" collapsed="false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customFormat="false" ht="15.75" hidden="false" customHeight="false" outlineLevel="0" collapsed="false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customFormat="false" ht="15.75" hidden="false" customHeight="false" outlineLevel="0" collapsed="false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customFormat="false" ht="15.75" hidden="false" customHeight="false" outlineLevel="0" collapsed="false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customFormat="false" ht="15.75" hidden="false" customHeight="false" outlineLevel="0" collapsed="false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customFormat="false" ht="15.75" hidden="false" customHeight="false" outlineLevel="0" collapsed="false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customFormat="false" ht="15.75" hidden="false" customHeight="false" outlineLevel="0" collapsed="false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customFormat="false" ht="15.75" hidden="false" customHeight="false" outlineLevel="0" collapsed="false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customFormat="false" ht="15.75" hidden="false" customHeight="false" outlineLevel="0" collapsed="false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customFormat="false" ht="15.75" hidden="false" customHeight="false" outlineLevel="0" collapsed="false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customFormat="false" ht="15.75" hidden="false" customHeight="false" outlineLevel="0" collapsed="false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customFormat="false" ht="15.75" hidden="false" customHeight="false" outlineLevel="0" collapsed="false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customFormat="false" ht="15.75" hidden="false" customHeight="false" outlineLevel="0" collapsed="false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customFormat="false" ht="15.75" hidden="false" customHeight="false" outlineLevel="0" collapsed="false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customFormat="false" ht="15.75" hidden="false" customHeight="false" outlineLevel="0" collapsed="false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customFormat="false" ht="15.75" hidden="false" customHeight="false" outlineLevel="0" collapsed="false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customFormat="false" ht="15.75" hidden="false" customHeight="false" outlineLevel="0" collapsed="false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customFormat="false" ht="15.75" hidden="false" customHeight="false" outlineLevel="0" collapsed="false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customFormat="false" ht="15.75" hidden="false" customHeight="false" outlineLevel="0" collapsed="false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customFormat="false" ht="15.75" hidden="false" customHeight="false" outlineLevel="0" collapsed="false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customFormat="false" ht="15.75" hidden="false" customHeight="false" outlineLevel="0" collapsed="false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customFormat="false" ht="15.75" hidden="false" customHeight="false" outlineLevel="0" collapsed="false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customFormat="false" ht="15.75" hidden="false" customHeight="false" outlineLevel="0" collapsed="false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customFormat="false" ht="15.75" hidden="false" customHeight="false" outlineLevel="0" collapsed="false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customFormat="false" ht="15.75" hidden="false" customHeight="false" outlineLevel="0" collapsed="false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customFormat="false" ht="15.75" hidden="false" customHeight="false" outlineLevel="0" collapsed="false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customFormat="false" ht="15.75" hidden="false" customHeight="false" outlineLevel="0" collapsed="false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customFormat="false" ht="15.75" hidden="false" customHeight="false" outlineLevel="0" collapsed="false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customFormat="false" ht="15.75" hidden="false" customHeight="false" outlineLevel="0" collapsed="false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customFormat="false" ht="15.75" hidden="false" customHeight="false" outlineLevel="0" collapsed="false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customFormat="false" ht="15.75" hidden="false" customHeight="false" outlineLevel="0" collapsed="false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customFormat="false" ht="15.75" hidden="false" customHeight="false" outlineLevel="0" collapsed="false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customFormat="false" ht="15.75" hidden="false" customHeight="false" outlineLevel="0" collapsed="false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customFormat="false" ht="15.75" hidden="false" customHeight="false" outlineLevel="0" collapsed="false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customFormat="false" ht="15.75" hidden="false" customHeight="false" outlineLevel="0" collapsed="false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customFormat="false" ht="15.75" hidden="false" customHeight="false" outlineLevel="0" collapsed="false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customFormat="false" ht="15.75" hidden="false" customHeight="false" outlineLevel="0" collapsed="false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customFormat="false" ht="15.75" hidden="false" customHeight="false" outlineLevel="0" collapsed="false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customFormat="false" ht="15.75" hidden="false" customHeight="false" outlineLevel="0" collapsed="false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customFormat="false" ht="15.75" hidden="false" customHeight="false" outlineLevel="0" collapsed="false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customFormat="false" ht="15.75" hidden="false" customHeight="false" outlineLevel="0" collapsed="false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customFormat="false" ht="15.75" hidden="false" customHeight="false" outlineLevel="0" collapsed="false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customFormat="false" ht="15.75" hidden="false" customHeight="false" outlineLevel="0" collapsed="false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customFormat="false" ht="15.75" hidden="false" customHeight="false" outlineLevel="0" collapsed="false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customFormat="false" ht="15.75" hidden="false" customHeight="false" outlineLevel="0" collapsed="false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customFormat="false" ht="15.75" hidden="false" customHeight="false" outlineLevel="0" collapsed="false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customFormat="false" ht="15.75" hidden="false" customHeight="false" outlineLevel="0" collapsed="false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customFormat="false" ht="15.75" hidden="false" customHeight="false" outlineLevel="0" collapsed="false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customFormat="false" ht="15.75" hidden="false" customHeight="false" outlineLevel="0" collapsed="false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customFormat="false" ht="15.75" hidden="false" customHeight="false" outlineLevel="0" collapsed="false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customFormat="false" ht="15.75" hidden="false" customHeight="false" outlineLevel="0" collapsed="false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customFormat="false" ht="15.75" hidden="false" customHeight="false" outlineLevel="0" collapsed="false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customFormat="false" ht="15.75" hidden="false" customHeight="false" outlineLevel="0" collapsed="false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customFormat="false" ht="15.75" hidden="false" customHeight="false" outlineLevel="0" collapsed="false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customFormat="false" ht="15.75" hidden="false" customHeight="false" outlineLevel="0" collapsed="false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customFormat="false" ht="15.75" hidden="false" customHeight="false" outlineLevel="0" collapsed="false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customFormat="false" ht="15.75" hidden="false" customHeight="false" outlineLevel="0" collapsed="false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customFormat="false" ht="15.75" hidden="false" customHeight="false" outlineLevel="0" collapsed="false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customFormat="false" ht="15.75" hidden="false" customHeight="false" outlineLevel="0" collapsed="false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customFormat="false" ht="15.75" hidden="false" customHeight="false" outlineLevel="0" collapsed="false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customFormat="false" ht="15.75" hidden="false" customHeight="false" outlineLevel="0" collapsed="false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customFormat="false" ht="15.75" hidden="false" customHeight="false" outlineLevel="0" collapsed="false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customFormat="false" ht="15.75" hidden="false" customHeight="false" outlineLevel="0" collapsed="false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customFormat="false" ht="15.75" hidden="false" customHeight="false" outlineLevel="0" collapsed="false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customFormat="false" ht="15.75" hidden="false" customHeight="false" outlineLevel="0" collapsed="false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customFormat="false" ht="15.75" hidden="false" customHeight="false" outlineLevel="0" collapsed="false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customFormat="false" ht="15.75" hidden="false" customHeight="false" outlineLevel="0" collapsed="false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customFormat="false" ht="15.75" hidden="false" customHeight="false" outlineLevel="0" collapsed="false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customFormat="false" ht="15.75" hidden="false" customHeight="false" outlineLevel="0" collapsed="false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customFormat="false" ht="15.75" hidden="false" customHeight="false" outlineLevel="0" collapsed="false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customFormat="false" ht="15.75" hidden="false" customHeight="false" outlineLevel="0" collapsed="false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customFormat="false" ht="15.75" hidden="false" customHeight="false" outlineLevel="0" collapsed="false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customFormat="false" ht="15.75" hidden="false" customHeight="false" outlineLevel="0" collapsed="false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customFormat="false" ht="15.75" hidden="false" customHeight="false" outlineLevel="0" collapsed="false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customFormat="false" ht="15.75" hidden="false" customHeight="false" outlineLevel="0" collapsed="false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customFormat="false" ht="15.75" hidden="false" customHeight="false" outlineLevel="0" collapsed="false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customFormat="false" ht="15.75" hidden="false" customHeight="false" outlineLevel="0" collapsed="false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customFormat="false" ht="15.75" hidden="false" customHeight="false" outlineLevel="0" collapsed="false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customFormat="false" ht="15.75" hidden="false" customHeight="false" outlineLevel="0" collapsed="false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customFormat="false" ht="15.75" hidden="false" customHeight="false" outlineLevel="0" collapsed="false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customFormat="false" ht="15.75" hidden="false" customHeight="false" outlineLevel="0" collapsed="false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customFormat="false" ht="15.75" hidden="false" customHeight="false" outlineLevel="0" collapsed="false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customFormat="false" ht="15.75" hidden="false" customHeight="false" outlineLevel="0" collapsed="false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customFormat="false" ht="15.75" hidden="false" customHeight="false" outlineLevel="0" collapsed="false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customFormat="false" ht="15.75" hidden="false" customHeight="false" outlineLevel="0" collapsed="false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customFormat="false" ht="15.75" hidden="false" customHeight="false" outlineLevel="0" collapsed="false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customFormat="false" ht="15.75" hidden="false" customHeight="false" outlineLevel="0" collapsed="false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customFormat="false" ht="15.75" hidden="false" customHeight="false" outlineLevel="0" collapsed="false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customFormat="false" ht="15.75" hidden="false" customHeight="false" outlineLevel="0" collapsed="false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customFormat="false" ht="15.75" hidden="false" customHeight="false" outlineLevel="0" collapsed="false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customFormat="false" ht="15.75" hidden="false" customHeight="false" outlineLevel="0" collapsed="false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customFormat="false" ht="15.75" hidden="false" customHeight="false" outlineLevel="0" collapsed="false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customFormat="false" ht="15.75" hidden="false" customHeight="false" outlineLevel="0" collapsed="false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customFormat="false" ht="15.75" hidden="false" customHeight="false" outlineLevel="0" collapsed="false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customFormat="false" ht="15.75" hidden="false" customHeight="false" outlineLevel="0" collapsed="false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customFormat="false" ht="15.75" hidden="false" customHeight="false" outlineLevel="0" collapsed="false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customFormat="false" ht="15.75" hidden="false" customHeight="false" outlineLevel="0" collapsed="false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customFormat="false" ht="15.75" hidden="false" customHeight="false" outlineLevel="0" collapsed="false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customFormat="false" ht="15.75" hidden="false" customHeight="false" outlineLevel="0" collapsed="false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customFormat="false" ht="15.75" hidden="false" customHeight="false" outlineLevel="0" collapsed="false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customFormat="false" ht="15.75" hidden="false" customHeight="false" outlineLevel="0" collapsed="false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customFormat="false" ht="15.75" hidden="false" customHeight="false" outlineLevel="0" collapsed="false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customFormat="false" ht="15.75" hidden="false" customHeight="false" outlineLevel="0" collapsed="false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customFormat="false" ht="15.75" hidden="false" customHeight="false" outlineLevel="0" collapsed="false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customFormat="false" ht="15.75" hidden="false" customHeight="false" outlineLevel="0" collapsed="false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customFormat="false" ht="15.75" hidden="false" customHeight="false" outlineLevel="0" collapsed="false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customFormat="false" ht="15.75" hidden="false" customHeight="false" outlineLevel="0" collapsed="false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customFormat="false" ht="15.75" hidden="false" customHeight="false" outlineLevel="0" collapsed="false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customFormat="false" ht="15.75" hidden="false" customHeight="false" outlineLevel="0" collapsed="false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customFormat="false" ht="15.75" hidden="false" customHeight="false" outlineLevel="0" collapsed="false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customFormat="false" ht="15.75" hidden="false" customHeight="false" outlineLevel="0" collapsed="false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customFormat="false" ht="15.75" hidden="false" customHeight="false" outlineLevel="0" collapsed="false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customFormat="false" ht="15.75" hidden="false" customHeight="false" outlineLevel="0" collapsed="false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customFormat="false" ht="15.75" hidden="false" customHeight="false" outlineLevel="0" collapsed="false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customFormat="false" ht="15.75" hidden="false" customHeight="false" outlineLevel="0" collapsed="false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customFormat="false" ht="15.75" hidden="false" customHeight="false" outlineLevel="0" collapsed="false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customFormat="false" ht="15.75" hidden="false" customHeight="false" outlineLevel="0" collapsed="false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customFormat="false" ht="15.75" hidden="false" customHeight="false" outlineLevel="0" collapsed="false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customFormat="false" ht="15.75" hidden="false" customHeight="false" outlineLevel="0" collapsed="false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customFormat="false" ht="15.75" hidden="false" customHeight="false" outlineLevel="0" collapsed="false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customFormat="false" ht="15.75" hidden="false" customHeight="false" outlineLevel="0" collapsed="false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customFormat="false" ht="15.75" hidden="false" customHeight="false" outlineLevel="0" collapsed="false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customFormat="false" ht="15.75" hidden="false" customHeight="false" outlineLevel="0" collapsed="false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customFormat="false" ht="15.75" hidden="false" customHeight="false" outlineLevel="0" collapsed="false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customFormat="false" ht="15.75" hidden="false" customHeight="false" outlineLevel="0" collapsed="false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customFormat="false" ht="15.75" hidden="false" customHeight="false" outlineLevel="0" collapsed="false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customFormat="false" ht="15.75" hidden="false" customHeight="false" outlineLevel="0" collapsed="false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customFormat="false" ht="15.75" hidden="false" customHeight="false" outlineLevel="0" collapsed="false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customFormat="false" ht="15.75" hidden="false" customHeight="false" outlineLevel="0" collapsed="false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customFormat="false" ht="15.75" hidden="false" customHeight="false" outlineLevel="0" collapsed="false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customFormat="false" ht="15.75" hidden="false" customHeight="false" outlineLevel="0" collapsed="false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customFormat="false" ht="15.75" hidden="false" customHeight="false" outlineLevel="0" collapsed="false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customFormat="false" ht="15.75" hidden="false" customHeight="false" outlineLevel="0" collapsed="false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customFormat="false" ht="15.75" hidden="false" customHeight="false" outlineLevel="0" collapsed="false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customFormat="false" ht="15.75" hidden="false" customHeight="false" outlineLevel="0" collapsed="false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customFormat="false" ht="15.75" hidden="false" customHeight="false" outlineLevel="0" collapsed="false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customFormat="false" ht="15.75" hidden="false" customHeight="false" outlineLevel="0" collapsed="false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customFormat="false" ht="15.75" hidden="false" customHeight="false" outlineLevel="0" collapsed="false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customFormat="false" ht="15.75" hidden="false" customHeight="false" outlineLevel="0" collapsed="false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customFormat="false" ht="15.75" hidden="false" customHeight="false" outlineLevel="0" collapsed="false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customFormat="false" ht="15.75" hidden="false" customHeight="false" outlineLevel="0" collapsed="false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customFormat="false" ht="15.75" hidden="false" customHeight="false" outlineLevel="0" collapsed="false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customFormat="false" ht="15.75" hidden="false" customHeight="false" outlineLevel="0" collapsed="false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customFormat="false" ht="15.75" hidden="false" customHeight="false" outlineLevel="0" collapsed="false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customFormat="false" ht="15.75" hidden="false" customHeight="false" outlineLevel="0" collapsed="false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customFormat="false" ht="15.75" hidden="false" customHeight="false" outlineLevel="0" collapsed="false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customFormat="false" ht="15.75" hidden="false" customHeight="false" outlineLevel="0" collapsed="false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customFormat="false" ht="15.75" hidden="false" customHeight="false" outlineLevel="0" collapsed="false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customFormat="false" ht="15.75" hidden="false" customHeight="false" outlineLevel="0" collapsed="false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customFormat="false" ht="15.75" hidden="false" customHeight="false" outlineLevel="0" collapsed="false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customFormat="false" ht="15.75" hidden="false" customHeight="false" outlineLevel="0" collapsed="false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customFormat="false" ht="15.75" hidden="false" customHeight="false" outlineLevel="0" collapsed="false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customFormat="false" ht="15.75" hidden="false" customHeight="false" outlineLevel="0" collapsed="false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customFormat="false" ht="15.75" hidden="false" customHeight="false" outlineLevel="0" collapsed="false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customFormat="false" ht="15.75" hidden="false" customHeight="false" outlineLevel="0" collapsed="false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customFormat="false" ht="15.75" hidden="false" customHeight="false" outlineLevel="0" collapsed="false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customFormat="false" ht="15.75" hidden="false" customHeight="false" outlineLevel="0" collapsed="false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customFormat="false" ht="15.75" hidden="false" customHeight="false" outlineLevel="0" collapsed="false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customFormat="false" ht="15.75" hidden="false" customHeight="false" outlineLevel="0" collapsed="false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customFormat="false" ht="15.75" hidden="false" customHeight="false" outlineLevel="0" collapsed="false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customFormat="false" ht="15.75" hidden="false" customHeight="false" outlineLevel="0" collapsed="false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customFormat="false" ht="15.75" hidden="false" customHeight="false" outlineLevel="0" collapsed="false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customFormat="false" ht="15.75" hidden="false" customHeight="false" outlineLevel="0" collapsed="false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customFormat="false" ht="15.75" hidden="false" customHeight="false" outlineLevel="0" collapsed="false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customFormat="false" ht="15.75" hidden="false" customHeight="false" outlineLevel="0" collapsed="false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customFormat="false" ht="15.75" hidden="false" customHeight="false" outlineLevel="0" collapsed="false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customFormat="false" ht="15.75" hidden="false" customHeight="false" outlineLevel="0" collapsed="false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customFormat="false" ht="15.75" hidden="false" customHeight="false" outlineLevel="0" collapsed="false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customFormat="false" ht="15.75" hidden="false" customHeight="false" outlineLevel="0" collapsed="false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customFormat="false" ht="15.75" hidden="false" customHeight="false" outlineLevel="0" collapsed="false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customFormat="false" ht="15.75" hidden="false" customHeight="false" outlineLevel="0" collapsed="false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customFormat="false" ht="15.75" hidden="false" customHeight="false" outlineLevel="0" collapsed="false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customFormat="false" ht="15.75" hidden="false" customHeight="false" outlineLevel="0" collapsed="false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customFormat="false" ht="15.75" hidden="false" customHeight="false" outlineLevel="0" collapsed="false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customFormat="false" ht="15.75" hidden="false" customHeight="false" outlineLevel="0" collapsed="false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customFormat="false" ht="15.75" hidden="false" customHeight="false" outlineLevel="0" collapsed="false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customFormat="false" ht="15.75" hidden="false" customHeight="false" outlineLevel="0" collapsed="false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customFormat="false" ht="15.75" hidden="false" customHeight="false" outlineLevel="0" collapsed="false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customFormat="false" ht="15.75" hidden="false" customHeight="false" outlineLevel="0" collapsed="false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customFormat="false" ht="15.75" hidden="false" customHeight="false" outlineLevel="0" collapsed="false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customFormat="false" ht="15.75" hidden="false" customHeight="false" outlineLevel="0" collapsed="false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customFormat="false" ht="15.75" hidden="false" customHeight="false" outlineLevel="0" collapsed="false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customFormat="false" ht="15.75" hidden="false" customHeight="false" outlineLevel="0" collapsed="false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customFormat="false" ht="15.75" hidden="false" customHeight="false" outlineLevel="0" collapsed="false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customFormat="false" ht="15.75" hidden="false" customHeight="false" outlineLevel="0" collapsed="false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customFormat="false" ht="15.75" hidden="false" customHeight="false" outlineLevel="0" collapsed="false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customFormat="false" ht="15.75" hidden="false" customHeight="false" outlineLevel="0" collapsed="false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customFormat="false" ht="15.75" hidden="false" customHeight="false" outlineLevel="0" collapsed="false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customFormat="false" ht="15.75" hidden="false" customHeight="false" outlineLevel="0" collapsed="false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customFormat="false" ht="15.75" hidden="false" customHeight="false" outlineLevel="0" collapsed="false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customFormat="false" ht="15.75" hidden="false" customHeight="false" outlineLevel="0" collapsed="false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customFormat="false" ht="15.75" hidden="false" customHeight="false" outlineLevel="0" collapsed="false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customFormat="false" ht="15.75" hidden="false" customHeight="false" outlineLevel="0" collapsed="false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customFormat="false" ht="15.75" hidden="false" customHeight="false" outlineLevel="0" collapsed="false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customFormat="false" ht="15.75" hidden="false" customHeight="false" outlineLevel="0" collapsed="false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customFormat="false" ht="15.75" hidden="false" customHeight="false" outlineLevel="0" collapsed="false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customFormat="false" ht="15.75" hidden="false" customHeight="false" outlineLevel="0" collapsed="false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customFormat="false" ht="15.75" hidden="false" customHeight="false" outlineLevel="0" collapsed="false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customFormat="false" ht="15.75" hidden="false" customHeight="false" outlineLevel="0" collapsed="false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customFormat="false" ht="15.75" hidden="false" customHeight="false" outlineLevel="0" collapsed="false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customFormat="false" ht="15.75" hidden="false" customHeight="false" outlineLevel="0" collapsed="false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customFormat="false" ht="15.75" hidden="false" customHeight="false" outlineLevel="0" collapsed="false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customFormat="false" ht="15.75" hidden="false" customHeight="false" outlineLevel="0" collapsed="false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customFormat="false" ht="15.75" hidden="false" customHeight="false" outlineLevel="0" collapsed="false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customFormat="false" ht="15.75" hidden="false" customHeight="false" outlineLevel="0" collapsed="false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customFormat="false" ht="15.75" hidden="false" customHeight="false" outlineLevel="0" collapsed="false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customFormat="false" ht="15.75" hidden="false" customHeight="false" outlineLevel="0" collapsed="false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customFormat="false" ht="15.75" hidden="false" customHeight="false" outlineLevel="0" collapsed="false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customFormat="false" ht="15.75" hidden="false" customHeight="false" outlineLevel="0" collapsed="false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customFormat="false" ht="15.75" hidden="false" customHeight="false" outlineLevel="0" collapsed="false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customFormat="false" ht="15.75" hidden="false" customHeight="false" outlineLevel="0" collapsed="false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customFormat="false" ht="15.75" hidden="false" customHeight="false" outlineLevel="0" collapsed="false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customFormat="false" ht="15.75" hidden="false" customHeight="false" outlineLevel="0" collapsed="false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customFormat="false" ht="15.75" hidden="false" customHeight="false" outlineLevel="0" collapsed="false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customFormat="false" ht="15.75" hidden="false" customHeight="false" outlineLevel="0" collapsed="false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customFormat="false" ht="15.75" hidden="false" customHeight="false" outlineLevel="0" collapsed="false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customFormat="false" ht="15.75" hidden="false" customHeight="false" outlineLevel="0" collapsed="false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customFormat="false" ht="15.75" hidden="false" customHeight="false" outlineLevel="0" collapsed="false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customFormat="false" ht="15.75" hidden="false" customHeight="false" outlineLevel="0" collapsed="false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customFormat="false" ht="15.75" hidden="false" customHeight="false" outlineLevel="0" collapsed="false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customFormat="false" ht="15.75" hidden="false" customHeight="false" outlineLevel="0" collapsed="false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customFormat="false" ht="15.75" hidden="false" customHeight="false" outlineLevel="0" collapsed="false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customFormat="false" ht="15.75" hidden="false" customHeight="false" outlineLevel="0" collapsed="false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customFormat="false" ht="15.75" hidden="false" customHeight="false" outlineLevel="0" collapsed="false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customFormat="false" ht="15.75" hidden="false" customHeight="false" outlineLevel="0" collapsed="false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customFormat="false" ht="15.75" hidden="false" customHeight="false" outlineLevel="0" collapsed="false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customFormat="false" ht="15.75" hidden="false" customHeight="false" outlineLevel="0" collapsed="false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customFormat="false" ht="15.75" hidden="false" customHeight="false" outlineLevel="0" collapsed="false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customFormat="false" ht="15.75" hidden="false" customHeight="false" outlineLevel="0" collapsed="false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customFormat="false" ht="15.75" hidden="false" customHeight="false" outlineLevel="0" collapsed="false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customFormat="false" ht="15.75" hidden="false" customHeight="false" outlineLevel="0" collapsed="false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customFormat="false" ht="15.75" hidden="false" customHeight="false" outlineLevel="0" collapsed="false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customFormat="false" ht="15.75" hidden="false" customHeight="false" outlineLevel="0" collapsed="false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customFormat="false" ht="15.75" hidden="false" customHeight="false" outlineLevel="0" collapsed="false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customFormat="false" ht="15.75" hidden="false" customHeight="false" outlineLevel="0" collapsed="false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customFormat="false" ht="15.75" hidden="false" customHeight="false" outlineLevel="0" collapsed="false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customFormat="false" ht="15.75" hidden="false" customHeight="false" outlineLevel="0" collapsed="false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customFormat="false" ht="15.75" hidden="false" customHeight="false" outlineLevel="0" collapsed="false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customFormat="false" ht="15.75" hidden="false" customHeight="false" outlineLevel="0" collapsed="false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customFormat="false" ht="15.75" hidden="false" customHeight="false" outlineLevel="0" collapsed="false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customFormat="false" ht="15.75" hidden="false" customHeight="false" outlineLevel="0" collapsed="false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customFormat="false" ht="15.75" hidden="false" customHeight="false" outlineLevel="0" collapsed="false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customFormat="false" ht="15.75" hidden="false" customHeight="false" outlineLevel="0" collapsed="false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customFormat="false" ht="15.75" hidden="false" customHeight="false" outlineLevel="0" collapsed="false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customFormat="false" ht="15.75" hidden="false" customHeight="false" outlineLevel="0" collapsed="false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customFormat="false" ht="15.75" hidden="false" customHeight="false" outlineLevel="0" collapsed="false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customFormat="false" ht="15.75" hidden="false" customHeight="false" outlineLevel="0" collapsed="false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customFormat="false" ht="15.75" hidden="false" customHeight="false" outlineLevel="0" collapsed="false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customFormat="false" ht="15.75" hidden="false" customHeight="false" outlineLevel="0" collapsed="false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customFormat="false" ht="15.75" hidden="false" customHeight="false" outlineLevel="0" collapsed="false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customFormat="false" ht="15.75" hidden="false" customHeight="false" outlineLevel="0" collapsed="false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customFormat="false" ht="15.75" hidden="false" customHeight="false" outlineLevel="0" collapsed="false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customFormat="false" ht="15.75" hidden="false" customHeight="false" outlineLevel="0" collapsed="false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customFormat="false" ht="15.75" hidden="false" customHeight="false" outlineLevel="0" collapsed="false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customFormat="false" ht="15.75" hidden="false" customHeight="false" outlineLevel="0" collapsed="false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customFormat="false" ht="15.75" hidden="false" customHeight="false" outlineLevel="0" collapsed="false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customFormat="false" ht="15.75" hidden="false" customHeight="false" outlineLevel="0" collapsed="false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customFormat="false" ht="15.75" hidden="false" customHeight="false" outlineLevel="0" collapsed="false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customFormat="false" ht="15.75" hidden="false" customHeight="false" outlineLevel="0" collapsed="false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customFormat="false" ht="15.75" hidden="false" customHeight="false" outlineLevel="0" collapsed="false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customFormat="false" ht="15.75" hidden="false" customHeight="false" outlineLevel="0" collapsed="false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customFormat="false" ht="15.75" hidden="false" customHeight="false" outlineLevel="0" collapsed="false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customFormat="false" ht="15.75" hidden="false" customHeight="false" outlineLevel="0" collapsed="false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customFormat="false" ht="15.75" hidden="false" customHeight="false" outlineLevel="0" collapsed="false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customFormat="false" ht="15.75" hidden="false" customHeight="false" outlineLevel="0" collapsed="false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customFormat="false" ht="15.75" hidden="false" customHeight="false" outlineLevel="0" collapsed="false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customFormat="false" ht="15.75" hidden="false" customHeight="false" outlineLevel="0" collapsed="false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customFormat="false" ht="15.75" hidden="false" customHeight="false" outlineLevel="0" collapsed="false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customFormat="false" ht="15.75" hidden="false" customHeight="false" outlineLevel="0" collapsed="false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customFormat="false" ht="15.75" hidden="false" customHeight="false" outlineLevel="0" collapsed="false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customFormat="false" ht="15.75" hidden="false" customHeight="false" outlineLevel="0" collapsed="false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customFormat="false" ht="15.75" hidden="false" customHeight="false" outlineLevel="0" collapsed="false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customFormat="false" ht="15.75" hidden="false" customHeight="false" outlineLevel="0" collapsed="false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customFormat="false" ht="15.75" hidden="false" customHeight="false" outlineLevel="0" collapsed="false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customFormat="false" ht="15.75" hidden="false" customHeight="false" outlineLevel="0" collapsed="false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customFormat="false" ht="15.75" hidden="false" customHeight="false" outlineLevel="0" collapsed="false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customFormat="false" ht="15.75" hidden="false" customHeight="false" outlineLevel="0" collapsed="false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customFormat="false" ht="15.75" hidden="false" customHeight="false" outlineLevel="0" collapsed="false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customFormat="false" ht="15.75" hidden="false" customHeight="false" outlineLevel="0" collapsed="false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customFormat="false" ht="15.75" hidden="false" customHeight="false" outlineLevel="0" collapsed="false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customFormat="false" ht="15.75" hidden="false" customHeight="false" outlineLevel="0" collapsed="false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customFormat="false" ht="15.75" hidden="false" customHeight="false" outlineLevel="0" collapsed="false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customFormat="false" ht="15.75" hidden="false" customHeight="false" outlineLevel="0" collapsed="false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customFormat="false" ht="15.75" hidden="false" customHeight="false" outlineLevel="0" collapsed="false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customFormat="false" ht="15.75" hidden="false" customHeight="false" outlineLevel="0" collapsed="false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customFormat="false" ht="15.75" hidden="false" customHeight="false" outlineLevel="0" collapsed="false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customFormat="false" ht="15.75" hidden="false" customHeight="false" outlineLevel="0" collapsed="false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customFormat="false" ht="15.75" hidden="false" customHeight="false" outlineLevel="0" collapsed="false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customFormat="false" ht="15.75" hidden="false" customHeight="false" outlineLevel="0" collapsed="false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customFormat="false" ht="15.75" hidden="false" customHeight="false" outlineLevel="0" collapsed="false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customFormat="false" ht="15.75" hidden="false" customHeight="false" outlineLevel="0" collapsed="false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customFormat="false" ht="15.75" hidden="false" customHeight="false" outlineLevel="0" collapsed="false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customFormat="false" ht="15.75" hidden="false" customHeight="false" outlineLevel="0" collapsed="false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customFormat="false" ht="15.75" hidden="false" customHeight="false" outlineLevel="0" collapsed="false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customFormat="false" ht="15.75" hidden="false" customHeight="false" outlineLevel="0" collapsed="false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customFormat="false" ht="15.75" hidden="false" customHeight="false" outlineLevel="0" collapsed="false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customFormat="false" ht="15.75" hidden="false" customHeight="false" outlineLevel="0" collapsed="false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customFormat="false" ht="15.75" hidden="false" customHeight="false" outlineLevel="0" collapsed="false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customFormat="false" ht="15.75" hidden="false" customHeight="false" outlineLevel="0" collapsed="false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customFormat="false" ht="15.75" hidden="false" customHeight="false" outlineLevel="0" collapsed="false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customFormat="false" ht="15.75" hidden="false" customHeight="false" outlineLevel="0" collapsed="false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customFormat="false" ht="15.75" hidden="false" customHeight="false" outlineLevel="0" collapsed="false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customFormat="false" ht="15.75" hidden="false" customHeight="false" outlineLevel="0" collapsed="false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customFormat="false" ht="15.75" hidden="false" customHeight="false" outlineLevel="0" collapsed="false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customFormat="false" ht="15.75" hidden="false" customHeight="false" outlineLevel="0" collapsed="false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customFormat="false" ht="15.75" hidden="false" customHeight="false" outlineLevel="0" collapsed="false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customFormat="false" ht="15.75" hidden="false" customHeight="false" outlineLevel="0" collapsed="false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customFormat="false" ht="15.75" hidden="false" customHeight="false" outlineLevel="0" collapsed="false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customFormat="false" ht="15.75" hidden="false" customHeight="false" outlineLevel="0" collapsed="false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customFormat="false" ht="15.75" hidden="false" customHeight="false" outlineLevel="0" collapsed="false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customFormat="false" ht="15.75" hidden="false" customHeight="false" outlineLevel="0" collapsed="false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customFormat="false" ht="15.75" hidden="false" customHeight="false" outlineLevel="0" collapsed="false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customFormat="false" ht="15.75" hidden="false" customHeight="false" outlineLevel="0" collapsed="false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customFormat="false" ht="15.75" hidden="false" customHeight="false" outlineLevel="0" collapsed="false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customFormat="false" ht="15.75" hidden="false" customHeight="false" outlineLevel="0" collapsed="false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customFormat="false" ht="15.75" hidden="false" customHeight="false" outlineLevel="0" collapsed="false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customFormat="false" ht="15.75" hidden="false" customHeight="false" outlineLevel="0" collapsed="false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customFormat="false" ht="15.75" hidden="false" customHeight="false" outlineLevel="0" collapsed="false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customFormat="false" ht="15.75" hidden="false" customHeight="false" outlineLevel="0" collapsed="false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customFormat="false" ht="15.75" hidden="false" customHeight="false" outlineLevel="0" collapsed="false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customFormat="false" ht="15.75" hidden="false" customHeight="false" outlineLevel="0" collapsed="false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customFormat="false" ht="15.75" hidden="false" customHeight="false" outlineLevel="0" collapsed="false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customFormat="false" ht="15.75" hidden="false" customHeight="false" outlineLevel="0" collapsed="false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customFormat="false" ht="15.75" hidden="false" customHeight="false" outlineLevel="0" collapsed="false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customFormat="false" ht="15.75" hidden="false" customHeight="false" outlineLevel="0" collapsed="false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customFormat="false" ht="15.75" hidden="false" customHeight="false" outlineLevel="0" collapsed="false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customFormat="false" ht="15.75" hidden="false" customHeight="false" outlineLevel="0" collapsed="false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customFormat="false" ht="15.75" hidden="false" customHeight="false" outlineLevel="0" collapsed="false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customFormat="false" ht="15.75" hidden="false" customHeight="false" outlineLevel="0" collapsed="false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customFormat="false" ht="15.75" hidden="false" customHeight="false" outlineLevel="0" collapsed="false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customFormat="false" ht="15.75" hidden="false" customHeight="false" outlineLevel="0" collapsed="false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customFormat="false" ht="15.75" hidden="false" customHeight="false" outlineLevel="0" collapsed="false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customFormat="false" ht="15.75" hidden="false" customHeight="false" outlineLevel="0" collapsed="false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customFormat="false" ht="15.75" hidden="false" customHeight="false" outlineLevel="0" collapsed="false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customFormat="false" ht="15.75" hidden="false" customHeight="false" outlineLevel="0" collapsed="false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customFormat="false" ht="15.75" hidden="false" customHeight="false" outlineLevel="0" collapsed="false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customFormat="false" ht="15.75" hidden="false" customHeight="false" outlineLevel="0" collapsed="false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customFormat="false" ht="15.75" hidden="false" customHeight="false" outlineLevel="0" collapsed="false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customFormat="false" ht="15.75" hidden="false" customHeight="false" outlineLevel="0" collapsed="false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customFormat="false" ht="15.75" hidden="false" customHeight="false" outlineLevel="0" collapsed="false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customFormat="false" ht="15.75" hidden="false" customHeight="false" outlineLevel="0" collapsed="false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customFormat="false" ht="15.75" hidden="false" customHeight="false" outlineLevel="0" collapsed="false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customFormat="false" ht="15.75" hidden="false" customHeight="false" outlineLevel="0" collapsed="false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customFormat="false" ht="15.75" hidden="false" customHeight="false" outlineLevel="0" collapsed="false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customFormat="false" ht="15.75" hidden="false" customHeight="false" outlineLevel="0" collapsed="false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customFormat="false" ht="15.75" hidden="false" customHeight="false" outlineLevel="0" collapsed="false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customFormat="false" ht="15.75" hidden="false" customHeight="false" outlineLevel="0" collapsed="false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customFormat="false" ht="15.75" hidden="false" customHeight="false" outlineLevel="0" collapsed="false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customFormat="false" ht="15.75" hidden="false" customHeight="false" outlineLevel="0" collapsed="false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customFormat="false" ht="15.75" hidden="false" customHeight="false" outlineLevel="0" collapsed="false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customFormat="false" ht="15.75" hidden="false" customHeight="false" outlineLevel="0" collapsed="false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customFormat="false" ht="15.75" hidden="false" customHeight="false" outlineLevel="0" collapsed="false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customFormat="false" ht="15.75" hidden="false" customHeight="false" outlineLevel="0" collapsed="false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customFormat="false" ht="15.75" hidden="false" customHeight="false" outlineLevel="0" collapsed="false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customFormat="false" ht="15.75" hidden="false" customHeight="false" outlineLevel="0" collapsed="false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customFormat="false" ht="15.75" hidden="false" customHeight="false" outlineLevel="0" collapsed="false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customFormat="false" ht="15.75" hidden="false" customHeight="false" outlineLevel="0" collapsed="false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customFormat="false" ht="15.75" hidden="false" customHeight="false" outlineLevel="0" collapsed="false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customFormat="false" ht="15.75" hidden="false" customHeight="false" outlineLevel="0" collapsed="false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customFormat="false" ht="15.75" hidden="false" customHeight="false" outlineLevel="0" collapsed="false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customFormat="false" ht="15.75" hidden="false" customHeight="false" outlineLevel="0" collapsed="false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customFormat="false" ht="15.75" hidden="false" customHeight="false" outlineLevel="0" collapsed="false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customFormat="false" ht="15.75" hidden="false" customHeight="false" outlineLevel="0" collapsed="false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customFormat="false" ht="15.75" hidden="false" customHeight="false" outlineLevel="0" collapsed="false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customFormat="false" ht="15.75" hidden="false" customHeight="false" outlineLevel="0" collapsed="false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customFormat="false" ht="15.75" hidden="false" customHeight="false" outlineLevel="0" collapsed="false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customFormat="false" ht="15.75" hidden="false" customHeight="false" outlineLevel="0" collapsed="false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customFormat="false" ht="15.75" hidden="false" customHeight="false" outlineLevel="0" collapsed="false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customFormat="false" ht="15.75" hidden="false" customHeight="false" outlineLevel="0" collapsed="false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customFormat="false" ht="15.75" hidden="false" customHeight="false" outlineLevel="0" collapsed="false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customFormat="false" ht="15.75" hidden="false" customHeight="false" outlineLevel="0" collapsed="false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customFormat="false" ht="15.75" hidden="false" customHeight="false" outlineLevel="0" collapsed="false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customFormat="false" ht="15.75" hidden="false" customHeight="false" outlineLevel="0" collapsed="false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customFormat="false" ht="15.75" hidden="false" customHeight="false" outlineLevel="0" collapsed="false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customFormat="false" ht="15.75" hidden="false" customHeight="false" outlineLevel="0" collapsed="false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customFormat="false" ht="15.75" hidden="false" customHeight="false" outlineLevel="0" collapsed="false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customFormat="false" ht="15.75" hidden="false" customHeight="false" outlineLevel="0" collapsed="false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customFormat="false" ht="15.75" hidden="false" customHeight="false" outlineLevel="0" collapsed="false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customFormat="false" ht="15.75" hidden="false" customHeight="false" outlineLevel="0" collapsed="false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customFormat="false" ht="15.75" hidden="false" customHeight="false" outlineLevel="0" collapsed="false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customFormat="false" ht="15.75" hidden="false" customHeight="false" outlineLevel="0" collapsed="false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customFormat="false" ht="15.75" hidden="false" customHeight="false" outlineLevel="0" collapsed="false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customFormat="false" ht="15.75" hidden="false" customHeight="false" outlineLevel="0" collapsed="false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customFormat="false" ht="15.75" hidden="false" customHeight="false" outlineLevel="0" collapsed="false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customFormat="false" ht="15.75" hidden="false" customHeight="false" outlineLevel="0" collapsed="false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customFormat="false" ht="15.75" hidden="false" customHeight="false" outlineLevel="0" collapsed="false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customFormat="false" ht="15.75" hidden="false" customHeight="false" outlineLevel="0" collapsed="false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customFormat="false" ht="15.75" hidden="false" customHeight="false" outlineLevel="0" collapsed="false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customFormat="false" ht="15.75" hidden="false" customHeight="false" outlineLevel="0" collapsed="false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customFormat="false" ht="15.75" hidden="false" customHeight="false" outlineLevel="0" collapsed="false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customFormat="false" ht="15.75" hidden="false" customHeight="false" outlineLevel="0" collapsed="false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customFormat="false" ht="15.75" hidden="false" customHeight="false" outlineLevel="0" collapsed="false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customFormat="false" ht="15.75" hidden="false" customHeight="false" outlineLevel="0" collapsed="false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customFormat="false" ht="15.75" hidden="false" customHeight="false" outlineLevel="0" collapsed="false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customFormat="false" ht="15.75" hidden="false" customHeight="false" outlineLevel="0" collapsed="false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customFormat="false" ht="15.75" hidden="false" customHeight="false" outlineLevel="0" collapsed="false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customFormat="false" ht="15.75" hidden="false" customHeight="false" outlineLevel="0" collapsed="false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customFormat="false" ht="15.75" hidden="false" customHeight="false" outlineLevel="0" collapsed="false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  <row r="1000" customFormat="false" ht="15.75" hidden="false" customHeight="false" outlineLevel="0" collapsed="false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38" t="s">
        <v>28</v>
      </c>
      <c r="B1" s="138" t="s">
        <v>27</v>
      </c>
      <c r="C1" s="138" t="s">
        <v>30</v>
      </c>
      <c r="D1" s="138" t="s">
        <v>24</v>
      </c>
      <c r="E1" s="138" t="s">
        <v>44</v>
      </c>
      <c r="F1" s="138" t="s">
        <v>29</v>
      </c>
      <c r="G1" s="138" t="s">
        <v>31</v>
      </c>
      <c r="H1" s="138" t="s">
        <v>26</v>
      </c>
      <c r="I1" s="138" t="s">
        <v>25</v>
      </c>
    </row>
    <row r="2" customFormat="false" ht="15.75" hidden="false" customHeight="false" outlineLevel="0" collapsed="false">
      <c r="A2" s="138" t="str">
        <f aca="false">Scoring!BI8</f>
        <v/>
      </c>
      <c r="B2" s="138" t="str">
        <f aca="false">Scoring!BH8</f>
        <v/>
      </c>
      <c r="C2" s="138" t="n">
        <f aca="false">Scoring!C8</f>
        <v>0</v>
      </c>
      <c r="D2" s="139" t="str">
        <f aca="false">Scoring!BE8</f>
        <v/>
      </c>
      <c r="E2" s="138" t="str">
        <f aca="false">Scoring!AJ8</f>
        <v/>
      </c>
      <c r="F2" s="138" t="n">
        <f aca="false">Scoring!B8</f>
        <v>0</v>
      </c>
      <c r="G2" s="138" t="n">
        <f aca="false">Scoring!D8</f>
        <v>0</v>
      </c>
      <c r="H2" s="138" t="str">
        <f aca="false">Scoring!BG8</f>
        <v/>
      </c>
      <c r="I2" s="140" t="str">
        <f aca="false">Scoring!BF8</f>
        <v/>
      </c>
    </row>
    <row r="3" customFormat="false" ht="15.75" hidden="false" customHeight="false" outlineLevel="0" collapsed="false">
      <c r="A3" s="138" t="str">
        <f aca="false">Scoring!BI9</f>
        <v/>
      </c>
      <c r="B3" s="138" t="str">
        <f aca="false">Scoring!BH9</f>
        <v/>
      </c>
      <c r="C3" s="138" t="n">
        <f aca="false">Scoring!C9</f>
        <v>0</v>
      </c>
      <c r="D3" s="139" t="str">
        <f aca="false">Scoring!BE9</f>
        <v/>
      </c>
      <c r="E3" s="138" t="str">
        <f aca="false">Scoring!AJ9</f>
        <v/>
      </c>
      <c r="F3" s="138" t="n">
        <f aca="false">Scoring!B9</f>
        <v>0</v>
      </c>
      <c r="G3" s="138" t="n">
        <f aca="false">Scoring!D9</f>
        <v>0</v>
      </c>
      <c r="H3" s="138" t="str">
        <f aca="false">Scoring!BG9</f>
        <v/>
      </c>
      <c r="I3" s="140" t="str">
        <f aca="false">Scoring!BF9</f>
        <v/>
      </c>
    </row>
    <row r="4" customFormat="false" ht="15.75" hidden="false" customHeight="false" outlineLevel="0" collapsed="false">
      <c r="A4" s="138" t="str">
        <f aca="false">Scoring!BI10</f>
        <v/>
      </c>
      <c r="B4" s="138" t="str">
        <f aca="false">Scoring!BH10</f>
        <v/>
      </c>
      <c r="C4" s="138" t="n">
        <f aca="false">Scoring!C10</f>
        <v>0</v>
      </c>
      <c r="D4" s="139" t="str">
        <f aca="false">Scoring!BE10</f>
        <v/>
      </c>
      <c r="E4" s="138" t="str">
        <f aca="false">Scoring!AJ10</f>
        <v/>
      </c>
      <c r="F4" s="138" t="n">
        <f aca="false">Scoring!B10</f>
        <v>0</v>
      </c>
      <c r="G4" s="138" t="n">
        <f aca="false">Scoring!D10</f>
        <v>0</v>
      </c>
      <c r="H4" s="138" t="str">
        <f aca="false">Scoring!BG10</f>
        <v/>
      </c>
      <c r="I4" s="140" t="str">
        <f aca="false">Scoring!BF10</f>
        <v/>
      </c>
    </row>
    <row r="5" customFormat="false" ht="15.75" hidden="false" customHeight="false" outlineLevel="0" collapsed="false">
      <c r="A5" s="138" t="str">
        <f aca="false">Scoring!BI11</f>
        <v/>
      </c>
      <c r="B5" s="138" t="str">
        <f aca="false">Scoring!BH11</f>
        <v/>
      </c>
      <c r="C5" s="138" t="n">
        <f aca="false">Scoring!C11</f>
        <v>0</v>
      </c>
      <c r="D5" s="139" t="str">
        <f aca="false">Scoring!BE11</f>
        <v/>
      </c>
      <c r="E5" s="138" t="str">
        <f aca="false">Scoring!AJ11</f>
        <v/>
      </c>
      <c r="F5" s="138" t="n">
        <f aca="false">Scoring!B11</f>
        <v>0</v>
      </c>
      <c r="G5" s="138" t="n">
        <f aca="false">Scoring!D11</f>
        <v>0</v>
      </c>
      <c r="H5" s="138" t="str">
        <f aca="false">Scoring!BG11</f>
        <v/>
      </c>
      <c r="I5" s="140" t="str">
        <f aca="false">Scoring!BF11</f>
        <v/>
      </c>
    </row>
    <row r="6" customFormat="false" ht="15.75" hidden="false" customHeight="false" outlineLevel="0" collapsed="false">
      <c r="A6" s="138" t="str">
        <f aca="false">Scoring!BI12</f>
        <v/>
      </c>
      <c r="B6" s="138" t="str">
        <f aca="false">Scoring!BH12</f>
        <v/>
      </c>
      <c r="C6" s="138" t="n">
        <f aca="false">Scoring!C12</f>
        <v>0</v>
      </c>
      <c r="D6" s="139" t="str">
        <f aca="false">Scoring!BE12</f>
        <v/>
      </c>
      <c r="E6" s="138" t="str">
        <f aca="false">Scoring!AJ12</f>
        <v/>
      </c>
      <c r="F6" s="138" t="n">
        <f aca="false">Scoring!B12</f>
        <v>0</v>
      </c>
      <c r="G6" s="138" t="n">
        <f aca="false">Scoring!D12</f>
        <v>0</v>
      </c>
      <c r="H6" s="138" t="str">
        <f aca="false">Scoring!BG12</f>
        <v/>
      </c>
      <c r="I6" s="140" t="str">
        <f aca="false">Scoring!BF12</f>
        <v/>
      </c>
    </row>
    <row r="7" customFormat="false" ht="15.75" hidden="false" customHeight="false" outlineLevel="0" collapsed="false">
      <c r="A7" s="138" t="str">
        <f aca="false">Scoring!BI13</f>
        <v/>
      </c>
      <c r="B7" s="138" t="str">
        <f aca="false">Scoring!BH13</f>
        <v/>
      </c>
      <c r="C7" s="138" t="n">
        <f aca="false">Scoring!C13</f>
        <v>0</v>
      </c>
      <c r="D7" s="139" t="str">
        <f aca="false">Scoring!BE13</f>
        <v/>
      </c>
      <c r="E7" s="138" t="str">
        <f aca="false">Scoring!AJ13</f>
        <v/>
      </c>
      <c r="F7" s="138" t="n">
        <f aca="false">Scoring!B13</f>
        <v>0</v>
      </c>
      <c r="G7" s="138" t="n">
        <f aca="false">Scoring!D13</f>
        <v>0</v>
      </c>
      <c r="H7" s="138" t="str">
        <f aca="false">Scoring!BG13</f>
        <v/>
      </c>
      <c r="I7" s="140" t="str">
        <f aca="false">Scoring!BF13</f>
        <v/>
      </c>
    </row>
    <row r="8" customFormat="false" ht="15.75" hidden="false" customHeight="false" outlineLevel="0" collapsed="false">
      <c r="A8" s="138" t="str">
        <f aca="false">Scoring!BI14</f>
        <v/>
      </c>
      <c r="B8" s="138" t="str">
        <f aca="false">Scoring!BH14</f>
        <v/>
      </c>
      <c r="C8" s="138" t="n">
        <f aca="false">Scoring!C14</f>
        <v>0</v>
      </c>
      <c r="D8" s="139" t="str">
        <f aca="false">Scoring!BE14</f>
        <v/>
      </c>
      <c r="E8" s="138" t="str">
        <f aca="false">Scoring!AJ14</f>
        <v/>
      </c>
      <c r="F8" s="138" t="n">
        <f aca="false">Scoring!B14</f>
        <v>0</v>
      </c>
      <c r="G8" s="138" t="n">
        <f aca="false">Scoring!D14</f>
        <v>0</v>
      </c>
      <c r="H8" s="138" t="str">
        <f aca="false">Scoring!BG14</f>
        <v/>
      </c>
      <c r="I8" s="140" t="str">
        <f aca="false">Scoring!BF14</f>
        <v/>
      </c>
    </row>
    <row r="9" customFormat="false" ht="15.75" hidden="false" customHeight="false" outlineLevel="0" collapsed="false">
      <c r="A9" s="138" t="str">
        <f aca="false">Scoring!BI15</f>
        <v/>
      </c>
      <c r="B9" s="138" t="str">
        <f aca="false">Scoring!BH15</f>
        <v/>
      </c>
      <c r="C9" s="138" t="n">
        <f aca="false">Scoring!C15</f>
        <v>0</v>
      </c>
      <c r="D9" s="139" t="str">
        <f aca="false">Scoring!BE15</f>
        <v/>
      </c>
      <c r="E9" s="138" t="str">
        <f aca="false">Scoring!AJ15</f>
        <v/>
      </c>
      <c r="F9" s="138" t="n">
        <f aca="false">Scoring!B15</f>
        <v>0</v>
      </c>
      <c r="G9" s="138" t="n">
        <f aca="false">Scoring!D15</f>
        <v>0</v>
      </c>
      <c r="H9" s="138" t="str">
        <f aca="false">Scoring!BG15</f>
        <v/>
      </c>
      <c r="I9" s="140" t="str">
        <f aca="false">Scoring!BF15</f>
        <v/>
      </c>
    </row>
    <row r="10" customFormat="false" ht="15.75" hidden="false" customHeight="false" outlineLevel="0" collapsed="false">
      <c r="A10" s="138" t="str">
        <f aca="false">Scoring!BI16</f>
        <v/>
      </c>
      <c r="B10" s="138" t="str">
        <f aca="false">Scoring!BH16</f>
        <v/>
      </c>
      <c r="C10" s="138" t="n">
        <f aca="false">Scoring!C16</f>
        <v>0</v>
      </c>
      <c r="D10" s="139" t="str">
        <f aca="false">Scoring!BE16</f>
        <v/>
      </c>
      <c r="E10" s="138" t="str">
        <f aca="false">Scoring!AJ16</f>
        <v/>
      </c>
      <c r="F10" s="138" t="n">
        <f aca="false">Scoring!B16</f>
        <v>0</v>
      </c>
      <c r="G10" s="138" t="n">
        <f aca="false">Scoring!D16</f>
        <v>0</v>
      </c>
      <c r="H10" s="138" t="str">
        <f aca="false">Scoring!BG16</f>
        <v/>
      </c>
      <c r="I10" s="140" t="str">
        <f aca="false">Scoring!BF16</f>
        <v/>
      </c>
    </row>
    <row r="11" customFormat="false" ht="15.75" hidden="false" customHeight="false" outlineLevel="0" collapsed="false">
      <c r="A11" s="138" t="str">
        <f aca="false">Scoring!BI17</f>
        <v/>
      </c>
      <c r="B11" s="138" t="str">
        <f aca="false">Scoring!BH17</f>
        <v/>
      </c>
      <c r="C11" s="138" t="n">
        <f aca="false">Scoring!C17</f>
        <v>0</v>
      </c>
      <c r="D11" s="139" t="str">
        <f aca="false">Scoring!BE17</f>
        <v/>
      </c>
      <c r="E11" s="138" t="str">
        <f aca="false">Scoring!AJ17</f>
        <v/>
      </c>
      <c r="F11" s="138" t="n">
        <f aca="false">Scoring!B17</f>
        <v>0</v>
      </c>
      <c r="G11" s="138" t="n">
        <f aca="false">Scoring!D17</f>
        <v>0</v>
      </c>
      <c r="H11" s="138" t="str">
        <f aca="false">Scoring!BG17</f>
        <v/>
      </c>
      <c r="I11" s="140" t="str">
        <f aca="false">Scoring!BF17</f>
        <v/>
      </c>
    </row>
    <row r="12" customFormat="false" ht="15.75" hidden="false" customHeight="false" outlineLevel="0" collapsed="false">
      <c r="A12" s="138" t="str">
        <f aca="false">Scoring!BI18</f>
        <v/>
      </c>
      <c r="B12" s="138" t="str">
        <f aca="false">Scoring!BH18</f>
        <v/>
      </c>
      <c r="C12" s="138" t="n">
        <f aca="false">Scoring!C18</f>
        <v>0</v>
      </c>
      <c r="D12" s="139" t="str">
        <f aca="false">Scoring!BE18</f>
        <v/>
      </c>
      <c r="E12" s="138" t="str">
        <f aca="false">Scoring!AJ18</f>
        <v/>
      </c>
      <c r="F12" s="138" t="n">
        <f aca="false">Scoring!B18</f>
        <v>0</v>
      </c>
      <c r="G12" s="138" t="n">
        <f aca="false">Scoring!D18</f>
        <v>0</v>
      </c>
      <c r="H12" s="138" t="str">
        <f aca="false">Scoring!BG18</f>
        <v/>
      </c>
      <c r="I12" s="140" t="str">
        <f aca="false">Scoring!BF18</f>
        <v/>
      </c>
    </row>
    <row r="13" customFormat="false" ht="15.75" hidden="false" customHeight="false" outlineLevel="0" collapsed="false">
      <c r="A13" s="138" t="str">
        <f aca="false">Scoring!BI19</f>
        <v/>
      </c>
      <c r="B13" s="138" t="str">
        <f aca="false">Scoring!BH19</f>
        <v/>
      </c>
      <c r="C13" s="138" t="n">
        <f aca="false">Scoring!C19</f>
        <v>0</v>
      </c>
      <c r="D13" s="139" t="str">
        <f aca="false">Scoring!BE19</f>
        <v/>
      </c>
      <c r="E13" s="138" t="str">
        <f aca="false">Scoring!AJ19</f>
        <v/>
      </c>
      <c r="F13" s="138" t="n">
        <f aca="false">Scoring!B19</f>
        <v>0</v>
      </c>
      <c r="G13" s="138" t="n">
        <f aca="false">Scoring!D19</f>
        <v>0</v>
      </c>
      <c r="H13" s="138" t="str">
        <f aca="false">Scoring!BG19</f>
        <v/>
      </c>
      <c r="I13" s="140" t="str">
        <f aca="false">Scoring!BF19</f>
        <v/>
      </c>
    </row>
    <row r="14" customFormat="false" ht="15.75" hidden="false" customHeight="false" outlineLevel="0" collapsed="false">
      <c r="A14" s="138" t="str">
        <f aca="false">Scoring!BI20</f>
        <v/>
      </c>
      <c r="B14" s="138" t="str">
        <f aca="false">Scoring!BH20</f>
        <v/>
      </c>
      <c r="C14" s="138" t="n">
        <f aca="false">Scoring!C20</f>
        <v>0</v>
      </c>
      <c r="D14" s="139" t="str">
        <f aca="false">Scoring!BE20</f>
        <v/>
      </c>
      <c r="E14" s="138" t="str">
        <f aca="false">Scoring!AJ20</f>
        <v/>
      </c>
      <c r="F14" s="138" t="n">
        <f aca="false">Scoring!B20</f>
        <v>0</v>
      </c>
      <c r="G14" s="138" t="n">
        <f aca="false">Scoring!D20</f>
        <v>0</v>
      </c>
      <c r="H14" s="138" t="str">
        <f aca="false">Scoring!BG20</f>
        <v/>
      </c>
      <c r="I14" s="140" t="str">
        <f aca="false">Scoring!BF20</f>
        <v/>
      </c>
    </row>
    <row r="15" customFormat="false" ht="15.75" hidden="false" customHeight="false" outlineLevel="0" collapsed="false">
      <c r="A15" s="138" t="str">
        <f aca="false">Scoring!BI21</f>
        <v/>
      </c>
      <c r="B15" s="138" t="str">
        <f aca="false">Scoring!BH21</f>
        <v/>
      </c>
      <c r="C15" s="138" t="n">
        <f aca="false">Scoring!C21</f>
        <v>0</v>
      </c>
      <c r="D15" s="139" t="str">
        <f aca="false">Scoring!BE21</f>
        <v/>
      </c>
      <c r="E15" s="138" t="str">
        <f aca="false">Scoring!AJ21</f>
        <v/>
      </c>
      <c r="F15" s="138" t="n">
        <f aca="false">Scoring!B21</f>
        <v>0</v>
      </c>
      <c r="G15" s="138" t="n">
        <f aca="false">Scoring!D21</f>
        <v>0</v>
      </c>
      <c r="H15" s="138" t="str">
        <f aca="false">Scoring!BG21</f>
        <v/>
      </c>
      <c r="I15" s="140" t="str">
        <f aca="false">Scoring!BF21</f>
        <v/>
      </c>
    </row>
    <row r="16" customFormat="false" ht="15.75" hidden="false" customHeight="false" outlineLevel="0" collapsed="false">
      <c r="A16" s="138" t="str">
        <f aca="false">Scoring!BI22</f>
        <v/>
      </c>
      <c r="B16" s="138" t="str">
        <f aca="false">Scoring!BH22</f>
        <v/>
      </c>
      <c r="C16" s="138" t="n">
        <f aca="false">Scoring!C22</f>
        <v>0</v>
      </c>
      <c r="D16" s="139" t="str">
        <f aca="false">Scoring!BE22</f>
        <v/>
      </c>
      <c r="E16" s="138" t="str">
        <f aca="false">Scoring!AJ22</f>
        <v/>
      </c>
      <c r="F16" s="138" t="n">
        <f aca="false">Scoring!B22</f>
        <v>0</v>
      </c>
      <c r="G16" s="138" t="n">
        <f aca="false">Scoring!D22</f>
        <v>0</v>
      </c>
      <c r="H16" s="138" t="str">
        <f aca="false">Scoring!BG22</f>
        <v/>
      </c>
      <c r="I16" s="140" t="str">
        <f aca="false">Scoring!BF22</f>
        <v/>
      </c>
    </row>
    <row r="17" customFormat="false" ht="15.75" hidden="false" customHeight="false" outlineLevel="0" collapsed="false">
      <c r="A17" s="138" t="str">
        <f aca="false">Scoring!BI23</f>
        <v/>
      </c>
      <c r="B17" s="138" t="str">
        <f aca="false">Scoring!BH23</f>
        <v/>
      </c>
      <c r="C17" s="138" t="n">
        <f aca="false">Scoring!C23</f>
        <v>0</v>
      </c>
      <c r="D17" s="139" t="str">
        <f aca="false">Scoring!BE23</f>
        <v/>
      </c>
      <c r="E17" s="138" t="str">
        <f aca="false">Scoring!AJ23</f>
        <v/>
      </c>
      <c r="F17" s="138" t="n">
        <f aca="false">Scoring!B23</f>
        <v>0</v>
      </c>
      <c r="G17" s="138" t="n">
        <f aca="false">Scoring!D23</f>
        <v>0</v>
      </c>
      <c r="H17" s="138" t="str">
        <f aca="false">Scoring!BG23</f>
        <v/>
      </c>
      <c r="I17" s="140" t="str">
        <f aca="false">Scoring!BF23</f>
        <v/>
      </c>
    </row>
    <row r="18" customFormat="false" ht="15.75" hidden="false" customHeight="false" outlineLevel="0" collapsed="false">
      <c r="A18" s="138" t="str">
        <f aca="false">Scoring!BI24</f>
        <v/>
      </c>
      <c r="B18" s="138" t="str">
        <f aca="false">Scoring!BH24</f>
        <v/>
      </c>
      <c r="C18" s="138" t="n">
        <f aca="false">Scoring!C24</f>
        <v>0</v>
      </c>
      <c r="D18" s="139" t="str">
        <f aca="false">Scoring!BE24</f>
        <v/>
      </c>
      <c r="E18" s="138" t="str">
        <f aca="false">Scoring!AJ24</f>
        <v/>
      </c>
      <c r="F18" s="138" t="n">
        <f aca="false">Scoring!B24</f>
        <v>0</v>
      </c>
      <c r="G18" s="138" t="n">
        <f aca="false">Scoring!D24</f>
        <v>0</v>
      </c>
      <c r="H18" s="138" t="str">
        <f aca="false">Scoring!BG24</f>
        <v/>
      </c>
      <c r="I18" s="140" t="str">
        <f aca="false">Scoring!BF24</f>
        <v/>
      </c>
    </row>
    <row r="19" customFormat="false" ht="15.75" hidden="false" customHeight="false" outlineLevel="0" collapsed="false">
      <c r="A19" s="138" t="str">
        <f aca="false">Scoring!BI25</f>
        <v/>
      </c>
      <c r="B19" s="138" t="str">
        <f aca="false">Scoring!BH25</f>
        <v/>
      </c>
      <c r="C19" s="138" t="n">
        <f aca="false">Scoring!C25</f>
        <v>0</v>
      </c>
      <c r="D19" s="139" t="str">
        <f aca="false">Scoring!BE25</f>
        <v/>
      </c>
      <c r="E19" s="138" t="str">
        <f aca="false">Scoring!AJ25</f>
        <v/>
      </c>
      <c r="F19" s="138" t="n">
        <f aca="false">Scoring!B25</f>
        <v>0</v>
      </c>
      <c r="G19" s="138" t="n">
        <f aca="false">Scoring!D25</f>
        <v>0</v>
      </c>
      <c r="H19" s="138" t="str">
        <f aca="false">Scoring!BG25</f>
        <v/>
      </c>
      <c r="I19" s="140" t="str">
        <f aca="false">Scoring!BF25</f>
        <v/>
      </c>
    </row>
    <row r="20" customFormat="false" ht="15.75" hidden="false" customHeight="false" outlineLevel="0" collapsed="false">
      <c r="A20" s="138" t="str">
        <f aca="false">Scoring!BI26</f>
        <v/>
      </c>
      <c r="B20" s="138" t="str">
        <f aca="false">Scoring!BH26</f>
        <v/>
      </c>
      <c r="C20" s="138" t="n">
        <f aca="false">Scoring!C26</f>
        <v>0</v>
      </c>
      <c r="D20" s="139" t="str">
        <f aca="false">Scoring!BE26</f>
        <v/>
      </c>
      <c r="E20" s="138" t="str">
        <f aca="false">Scoring!AJ26</f>
        <v/>
      </c>
      <c r="F20" s="138" t="n">
        <f aca="false">Scoring!B26</f>
        <v>0</v>
      </c>
      <c r="G20" s="138" t="n">
        <f aca="false">Scoring!D26</f>
        <v>0</v>
      </c>
      <c r="H20" s="138" t="str">
        <f aca="false">Scoring!BG26</f>
        <v/>
      </c>
      <c r="I20" s="140" t="str">
        <f aca="false">Scoring!BF26</f>
        <v/>
      </c>
    </row>
    <row r="21" customFormat="false" ht="15.75" hidden="false" customHeight="false" outlineLevel="0" collapsed="false">
      <c r="A21" s="138" t="str">
        <f aca="false">Scoring!BI27</f>
        <v/>
      </c>
      <c r="B21" s="138" t="str">
        <f aca="false">Scoring!BH27</f>
        <v/>
      </c>
      <c r="C21" s="138" t="n">
        <f aca="false">Scoring!C27</f>
        <v>0</v>
      </c>
      <c r="D21" s="139" t="str">
        <f aca="false">Scoring!BE27</f>
        <v/>
      </c>
      <c r="E21" s="138" t="str">
        <f aca="false">Scoring!AJ27</f>
        <v/>
      </c>
      <c r="F21" s="138" t="n">
        <f aca="false">Scoring!B27</f>
        <v>0</v>
      </c>
      <c r="G21" s="138" t="n">
        <f aca="false">Scoring!D27</f>
        <v>0</v>
      </c>
      <c r="H21" s="138" t="str">
        <f aca="false">Scoring!BG27</f>
        <v/>
      </c>
      <c r="I21" s="140" t="str">
        <f aca="false">Scoring!BF27</f>
        <v/>
      </c>
    </row>
    <row r="22" customFormat="false" ht="15.75" hidden="false" customHeight="false" outlineLevel="0" collapsed="false">
      <c r="A22" s="138" t="str">
        <f aca="false">Scoring!BI28</f>
        <v/>
      </c>
      <c r="B22" s="138" t="str">
        <f aca="false">Scoring!BH28</f>
        <v/>
      </c>
      <c r="C22" s="138" t="n">
        <f aca="false">Scoring!C28</f>
        <v>0</v>
      </c>
      <c r="D22" s="139" t="str">
        <f aca="false">Scoring!BE28</f>
        <v/>
      </c>
      <c r="E22" s="138" t="str">
        <f aca="false">Scoring!AJ28</f>
        <v/>
      </c>
      <c r="F22" s="138" t="n">
        <f aca="false">Scoring!B28</f>
        <v>0</v>
      </c>
      <c r="G22" s="138" t="n">
        <f aca="false">Scoring!D28</f>
        <v>0</v>
      </c>
      <c r="H22" s="138" t="str">
        <f aca="false">Scoring!BG28</f>
        <v/>
      </c>
      <c r="I22" s="140" t="str">
        <f aca="false">Scoring!BF28</f>
        <v/>
      </c>
    </row>
    <row r="23" customFormat="false" ht="15.75" hidden="false" customHeight="false" outlineLevel="0" collapsed="false">
      <c r="A23" s="138" t="str">
        <f aca="false">Scoring!BI29</f>
        <v/>
      </c>
      <c r="B23" s="138" t="str">
        <f aca="false">Scoring!BH29</f>
        <v/>
      </c>
      <c r="C23" s="138" t="n">
        <f aca="false">Scoring!C29</f>
        <v>0</v>
      </c>
      <c r="D23" s="139" t="str">
        <f aca="false">Scoring!BE29</f>
        <v/>
      </c>
      <c r="E23" s="138" t="str">
        <f aca="false">Scoring!AJ29</f>
        <v/>
      </c>
      <c r="F23" s="138" t="n">
        <f aca="false">Scoring!B29</f>
        <v>0</v>
      </c>
      <c r="G23" s="138" t="n">
        <f aca="false">Scoring!D29</f>
        <v>0</v>
      </c>
      <c r="H23" s="138" t="str">
        <f aca="false">Scoring!BG29</f>
        <v/>
      </c>
      <c r="I23" s="140" t="str">
        <f aca="false">Scoring!BF29</f>
        <v/>
      </c>
    </row>
    <row r="24" customFormat="false" ht="15.75" hidden="false" customHeight="false" outlineLevel="0" collapsed="false">
      <c r="A24" s="138" t="str">
        <f aca="false">Scoring!BI30</f>
        <v/>
      </c>
      <c r="B24" s="138" t="str">
        <f aca="false">Scoring!BH30</f>
        <v/>
      </c>
      <c r="C24" s="138" t="n">
        <f aca="false">Scoring!C30</f>
        <v>0</v>
      </c>
      <c r="D24" s="139" t="str">
        <f aca="false">Scoring!BE30</f>
        <v/>
      </c>
      <c r="E24" s="138" t="str">
        <f aca="false">Scoring!AJ30</f>
        <v/>
      </c>
      <c r="F24" s="138" t="n">
        <f aca="false">Scoring!B30</f>
        <v>0</v>
      </c>
      <c r="G24" s="138" t="n">
        <f aca="false">Scoring!D30</f>
        <v>0</v>
      </c>
      <c r="H24" s="138" t="str">
        <f aca="false">Scoring!BG30</f>
        <v/>
      </c>
      <c r="I24" s="140" t="str">
        <f aca="false">Scoring!BF30</f>
        <v/>
      </c>
    </row>
    <row r="25" customFormat="false" ht="15.75" hidden="false" customHeight="false" outlineLevel="0" collapsed="false">
      <c r="A25" s="138" t="str">
        <f aca="false">Scoring!BI31</f>
        <v/>
      </c>
      <c r="B25" s="138" t="str">
        <f aca="false">Scoring!BH31</f>
        <v/>
      </c>
      <c r="C25" s="138" t="n">
        <f aca="false">Scoring!C31</f>
        <v>0</v>
      </c>
      <c r="D25" s="139" t="str">
        <f aca="false">Scoring!BE31</f>
        <v/>
      </c>
      <c r="E25" s="138" t="str">
        <f aca="false">Scoring!AJ31</f>
        <v/>
      </c>
      <c r="F25" s="138" t="n">
        <f aca="false">Scoring!B31</f>
        <v>0</v>
      </c>
      <c r="G25" s="138" t="n">
        <f aca="false">Scoring!D31</f>
        <v>0</v>
      </c>
      <c r="H25" s="138" t="str">
        <f aca="false">Scoring!BG31</f>
        <v/>
      </c>
      <c r="I25" s="140" t="str">
        <f aca="false">Scoring!BF31</f>
        <v/>
      </c>
    </row>
    <row r="26" customFormat="false" ht="15.75" hidden="false" customHeight="false" outlineLevel="0" collapsed="false">
      <c r="A26" s="138" t="str">
        <f aca="false">Scoring!BI32</f>
        <v/>
      </c>
      <c r="B26" s="138" t="str">
        <f aca="false">Scoring!BH32</f>
        <v/>
      </c>
      <c r="C26" s="138" t="n">
        <f aca="false">Scoring!C32</f>
        <v>0</v>
      </c>
      <c r="D26" s="139" t="str">
        <f aca="false">Scoring!BE32</f>
        <v/>
      </c>
      <c r="E26" s="138" t="str">
        <f aca="false">Scoring!AJ32</f>
        <v/>
      </c>
      <c r="F26" s="138" t="n">
        <f aca="false">Scoring!B32</f>
        <v>0</v>
      </c>
      <c r="G26" s="138" t="n">
        <f aca="false">Scoring!D32</f>
        <v>0</v>
      </c>
      <c r="H26" s="138" t="str">
        <f aca="false">Scoring!BG32</f>
        <v/>
      </c>
      <c r="I26" s="140" t="str">
        <f aca="false">Scoring!BF32</f>
        <v/>
      </c>
    </row>
    <row r="27" customFormat="false" ht="15.75" hidden="false" customHeight="false" outlineLevel="0" collapsed="false">
      <c r="A27" s="138" t="str">
        <f aca="false">Scoring!BI33</f>
        <v/>
      </c>
      <c r="B27" s="138" t="str">
        <f aca="false">Scoring!BH33</f>
        <v/>
      </c>
      <c r="C27" s="138" t="n">
        <f aca="false">Scoring!C33</f>
        <v>0</v>
      </c>
      <c r="D27" s="139" t="str">
        <f aca="false">Scoring!BE33</f>
        <v/>
      </c>
      <c r="E27" s="138" t="str">
        <f aca="false">Scoring!AJ33</f>
        <v/>
      </c>
      <c r="F27" s="138" t="n">
        <f aca="false">Scoring!B33</f>
        <v>0</v>
      </c>
      <c r="G27" s="138" t="n">
        <f aca="false">Scoring!D33</f>
        <v>0</v>
      </c>
      <c r="H27" s="138" t="str">
        <f aca="false">Scoring!BG33</f>
        <v/>
      </c>
      <c r="I27" s="140" t="str">
        <f aca="false">Scoring!BF33</f>
        <v/>
      </c>
    </row>
    <row r="28" customFormat="false" ht="15.75" hidden="false" customHeight="false" outlineLevel="0" collapsed="false">
      <c r="A28" s="138" t="str">
        <f aca="false">Scoring!BI34</f>
        <v/>
      </c>
      <c r="B28" s="138" t="str">
        <f aca="false">Scoring!BH34</f>
        <v/>
      </c>
      <c r="C28" s="138" t="n">
        <f aca="false">Scoring!C34</f>
        <v>0</v>
      </c>
      <c r="D28" s="139" t="str">
        <f aca="false">Scoring!BE34</f>
        <v/>
      </c>
      <c r="E28" s="138" t="str">
        <f aca="false">Scoring!AJ34</f>
        <v/>
      </c>
      <c r="F28" s="138" t="n">
        <f aca="false">Scoring!B34</f>
        <v>0</v>
      </c>
      <c r="G28" s="138" t="n">
        <f aca="false">Scoring!D34</f>
        <v>0</v>
      </c>
      <c r="H28" s="138" t="str">
        <f aca="false">Scoring!BG34</f>
        <v/>
      </c>
      <c r="I28" s="140" t="str">
        <f aca="false">Scoring!BF34</f>
        <v/>
      </c>
    </row>
    <row r="29" customFormat="false" ht="15.75" hidden="false" customHeight="false" outlineLevel="0" collapsed="false">
      <c r="A29" s="138" t="str">
        <f aca="false">Scoring!BI35</f>
        <v/>
      </c>
      <c r="B29" s="138" t="str">
        <f aca="false">Scoring!BH35</f>
        <v/>
      </c>
      <c r="C29" s="138" t="n">
        <f aca="false">Scoring!C35</f>
        <v>0</v>
      </c>
      <c r="D29" s="139" t="str">
        <f aca="false">Scoring!BE35</f>
        <v/>
      </c>
      <c r="E29" s="138" t="str">
        <f aca="false">Scoring!AJ35</f>
        <v/>
      </c>
      <c r="F29" s="138" t="n">
        <f aca="false">Scoring!B35</f>
        <v>0</v>
      </c>
      <c r="G29" s="138" t="n">
        <f aca="false">Scoring!D35</f>
        <v>0</v>
      </c>
      <c r="H29" s="138" t="str">
        <f aca="false">Scoring!BG35</f>
        <v/>
      </c>
      <c r="I29" s="140" t="str">
        <f aca="false">Scoring!BF35</f>
        <v/>
      </c>
    </row>
    <row r="30" customFormat="false" ht="15.75" hidden="false" customHeight="false" outlineLevel="0" collapsed="false">
      <c r="A30" s="138" t="str">
        <f aca="false">Scoring!BI36</f>
        <v/>
      </c>
      <c r="B30" s="138" t="str">
        <f aca="false">Scoring!BH36</f>
        <v/>
      </c>
      <c r="C30" s="138" t="n">
        <f aca="false">Scoring!C36</f>
        <v>0</v>
      </c>
      <c r="D30" s="139" t="str">
        <f aca="false">Scoring!BE36</f>
        <v/>
      </c>
      <c r="E30" s="138" t="str">
        <f aca="false">Scoring!AJ36</f>
        <v/>
      </c>
      <c r="F30" s="138" t="n">
        <f aca="false">Scoring!B36</f>
        <v>0</v>
      </c>
      <c r="G30" s="138" t="n">
        <f aca="false">Scoring!D36</f>
        <v>0</v>
      </c>
      <c r="H30" s="138" t="str">
        <f aca="false">Scoring!BG36</f>
        <v/>
      </c>
      <c r="I30" s="140" t="str">
        <f aca="false">Scoring!BF36</f>
        <v/>
      </c>
    </row>
    <row r="31" customFormat="false" ht="15.75" hidden="false" customHeight="false" outlineLevel="0" collapsed="false">
      <c r="A31" s="138" t="str">
        <f aca="false">Scoring!BI37</f>
        <v/>
      </c>
      <c r="B31" s="138" t="str">
        <f aca="false">Scoring!BH37</f>
        <v/>
      </c>
      <c r="C31" s="138" t="n">
        <f aca="false">Scoring!C37</f>
        <v>0</v>
      </c>
      <c r="D31" s="139" t="str">
        <f aca="false">Scoring!BE37</f>
        <v/>
      </c>
      <c r="E31" s="138" t="str">
        <f aca="false">Scoring!AJ37</f>
        <v/>
      </c>
      <c r="F31" s="138" t="n">
        <f aca="false">Scoring!B37</f>
        <v>0</v>
      </c>
      <c r="G31" s="138" t="n">
        <f aca="false">Scoring!D37</f>
        <v>0</v>
      </c>
      <c r="H31" s="138" t="str">
        <f aca="false">Scoring!BG37</f>
        <v/>
      </c>
      <c r="I31" s="140" t="str">
        <f aca="false">Scoring!BF37</f>
        <v/>
      </c>
    </row>
    <row r="32" customFormat="false" ht="15.75" hidden="false" customHeight="false" outlineLevel="0" collapsed="false">
      <c r="A32" s="138" t="str">
        <f aca="false">Scoring!BI38</f>
        <v/>
      </c>
      <c r="B32" s="138" t="str">
        <f aca="false">Scoring!BH38</f>
        <v/>
      </c>
      <c r="C32" s="138" t="n">
        <f aca="false">Scoring!C38</f>
        <v>0</v>
      </c>
      <c r="D32" s="139" t="str">
        <f aca="false">Scoring!BE38</f>
        <v/>
      </c>
      <c r="E32" s="138" t="str">
        <f aca="false">Scoring!AJ38</f>
        <v/>
      </c>
      <c r="F32" s="138" t="n">
        <f aca="false">Scoring!B38</f>
        <v>0</v>
      </c>
      <c r="G32" s="138" t="n">
        <f aca="false">Scoring!D38</f>
        <v>0</v>
      </c>
      <c r="H32" s="138" t="str">
        <f aca="false">Scoring!BG38</f>
        <v/>
      </c>
      <c r="I32" s="140" t="str">
        <f aca="false">Scoring!BF38</f>
        <v/>
      </c>
    </row>
    <row r="33" customFormat="false" ht="15.75" hidden="false" customHeight="false" outlineLevel="0" collapsed="false">
      <c r="A33" s="138" t="str">
        <f aca="false">Scoring!BI39</f>
        <v/>
      </c>
      <c r="B33" s="138" t="str">
        <f aca="false">Scoring!BH39</f>
        <v/>
      </c>
      <c r="C33" s="138" t="n">
        <f aca="false">Scoring!C39</f>
        <v>0</v>
      </c>
      <c r="D33" s="139" t="str">
        <f aca="false">Scoring!BE39</f>
        <v/>
      </c>
      <c r="E33" s="138" t="str">
        <f aca="false">Scoring!AJ39</f>
        <v/>
      </c>
      <c r="F33" s="138" t="n">
        <f aca="false">Scoring!B39</f>
        <v>0</v>
      </c>
      <c r="G33" s="138" t="n">
        <f aca="false">Scoring!D39</f>
        <v>0</v>
      </c>
      <c r="H33" s="138" t="str">
        <f aca="false">Scoring!BG39</f>
        <v/>
      </c>
      <c r="I33" s="140" t="str">
        <f aca="false">Scoring!BF39</f>
        <v/>
      </c>
    </row>
    <row r="34" customFormat="false" ht="15.75" hidden="false" customHeight="false" outlineLevel="0" collapsed="false">
      <c r="A34" s="138" t="str">
        <f aca="false">Scoring!BI40</f>
        <v/>
      </c>
      <c r="B34" s="138" t="str">
        <f aca="false">Scoring!BH40</f>
        <v/>
      </c>
      <c r="C34" s="138" t="n">
        <f aca="false">Scoring!C40</f>
        <v>0</v>
      </c>
      <c r="D34" s="139" t="str">
        <f aca="false">Scoring!BE40</f>
        <v/>
      </c>
      <c r="E34" s="138" t="str">
        <f aca="false">Scoring!AJ40</f>
        <v/>
      </c>
      <c r="F34" s="138" t="n">
        <f aca="false">Scoring!B40</f>
        <v>0</v>
      </c>
      <c r="G34" s="138" t="n">
        <f aca="false">Scoring!D40</f>
        <v>0</v>
      </c>
      <c r="H34" s="138" t="str">
        <f aca="false">Scoring!BG40</f>
        <v/>
      </c>
      <c r="I34" s="140" t="str">
        <f aca="false">Scoring!BF40</f>
        <v/>
      </c>
    </row>
    <row r="35" customFormat="false" ht="15.75" hidden="false" customHeight="false" outlineLevel="0" collapsed="false">
      <c r="A35" s="138" t="str">
        <f aca="false">Scoring!BI41</f>
        <v/>
      </c>
      <c r="B35" s="138" t="str">
        <f aca="false">Scoring!BH41</f>
        <v/>
      </c>
      <c r="C35" s="138" t="n">
        <f aca="false">Scoring!C41</f>
        <v>0</v>
      </c>
      <c r="D35" s="139" t="str">
        <f aca="false">Scoring!BE41</f>
        <v/>
      </c>
      <c r="E35" s="138" t="str">
        <f aca="false">Scoring!AJ41</f>
        <v/>
      </c>
      <c r="F35" s="138" t="n">
        <f aca="false">Scoring!B41</f>
        <v>0</v>
      </c>
      <c r="G35" s="138" t="n">
        <f aca="false">Scoring!D41</f>
        <v>0</v>
      </c>
      <c r="H35" s="138" t="str">
        <f aca="false">Scoring!BG41</f>
        <v/>
      </c>
      <c r="I35" s="140" t="str">
        <f aca="false">Scoring!BF41</f>
        <v/>
      </c>
    </row>
    <row r="36" customFormat="false" ht="15.75" hidden="false" customHeight="false" outlineLevel="0" collapsed="false">
      <c r="A36" s="138" t="str">
        <f aca="false">Scoring!BI42</f>
        <v/>
      </c>
      <c r="B36" s="138" t="str">
        <f aca="false">Scoring!BH42</f>
        <v/>
      </c>
      <c r="C36" s="138" t="n">
        <f aca="false">Scoring!C42</f>
        <v>0</v>
      </c>
      <c r="D36" s="139" t="str">
        <f aca="false">Scoring!BE42</f>
        <v/>
      </c>
      <c r="E36" s="138" t="str">
        <f aca="false">Scoring!AJ42</f>
        <v/>
      </c>
      <c r="F36" s="138" t="n">
        <f aca="false">Scoring!B42</f>
        <v>0</v>
      </c>
      <c r="G36" s="138" t="n">
        <f aca="false">Scoring!D42</f>
        <v>0</v>
      </c>
      <c r="H36" s="138" t="str">
        <f aca="false">Scoring!BG42</f>
        <v/>
      </c>
      <c r="I36" s="140" t="str">
        <f aca="false">Scoring!BF42</f>
        <v/>
      </c>
    </row>
    <row r="37" customFormat="false" ht="15.75" hidden="false" customHeight="false" outlineLevel="0" collapsed="false">
      <c r="A37" s="138" t="str">
        <f aca="false">Scoring!BI43</f>
        <v/>
      </c>
      <c r="B37" s="138" t="str">
        <f aca="false">Scoring!BH43</f>
        <v/>
      </c>
      <c r="C37" s="138" t="n">
        <f aca="false">Scoring!C43</f>
        <v>0</v>
      </c>
      <c r="D37" s="139" t="str">
        <f aca="false">Scoring!BE43</f>
        <v/>
      </c>
      <c r="E37" s="138" t="str">
        <f aca="false">Scoring!AJ43</f>
        <v/>
      </c>
      <c r="F37" s="138" t="n">
        <f aca="false">Scoring!B43</f>
        <v>0</v>
      </c>
      <c r="G37" s="138" t="n">
        <f aca="false">Scoring!D43</f>
        <v>0</v>
      </c>
      <c r="H37" s="138" t="str">
        <f aca="false">Scoring!BG43</f>
        <v/>
      </c>
      <c r="I37" s="140" t="str">
        <f aca="false">Scoring!BF43</f>
        <v/>
      </c>
    </row>
    <row r="38" customFormat="false" ht="15.75" hidden="false" customHeight="false" outlineLevel="0" collapsed="false">
      <c r="A38" s="138" t="str">
        <f aca="false">Scoring!BI44</f>
        <v/>
      </c>
      <c r="B38" s="138" t="str">
        <f aca="false">Scoring!BH44</f>
        <v/>
      </c>
      <c r="C38" s="138" t="n">
        <f aca="false">Scoring!C44</f>
        <v>0</v>
      </c>
      <c r="D38" s="139" t="str">
        <f aca="false">Scoring!BE44</f>
        <v/>
      </c>
      <c r="E38" s="138" t="str">
        <f aca="false">Scoring!AJ44</f>
        <v/>
      </c>
      <c r="F38" s="138" t="n">
        <f aca="false">Scoring!B44</f>
        <v>0</v>
      </c>
      <c r="G38" s="138" t="n">
        <f aca="false">Scoring!D44</f>
        <v>0</v>
      </c>
      <c r="H38" s="138" t="str">
        <f aca="false">Scoring!BG44</f>
        <v/>
      </c>
      <c r="I38" s="140" t="str">
        <f aca="false">Scoring!BF44</f>
        <v/>
      </c>
    </row>
    <row r="39" customFormat="false" ht="15.75" hidden="false" customHeight="false" outlineLevel="0" collapsed="false">
      <c r="A39" s="138" t="str">
        <f aca="false">Scoring!BI45</f>
        <v/>
      </c>
      <c r="B39" s="138" t="str">
        <f aca="false">Scoring!BH45</f>
        <v/>
      </c>
      <c r="C39" s="138" t="n">
        <f aca="false">Scoring!C45</f>
        <v>0</v>
      </c>
      <c r="D39" s="139" t="str">
        <f aca="false">Scoring!BE45</f>
        <v/>
      </c>
      <c r="E39" s="138" t="str">
        <f aca="false">Scoring!AJ45</f>
        <v/>
      </c>
      <c r="F39" s="138" t="n">
        <f aca="false">Scoring!B45</f>
        <v>0</v>
      </c>
      <c r="G39" s="138" t="n">
        <f aca="false">Scoring!D45</f>
        <v>0</v>
      </c>
      <c r="H39" s="138" t="str">
        <f aca="false">Scoring!BG45</f>
        <v/>
      </c>
      <c r="I39" s="140" t="str">
        <f aca="false">Scoring!BF45</f>
        <v/>
      </c>
    </row>
    <row r="40" customFormat="false" ht="15.75" hidden="false" customHeight="false" outlineLevel="0" collapsed="false">
      <c r="A40" s="138" t="str">
        <f aca="false">Scoring!BI46</f>
        <v/>
      </c>
      <c r="B40" s="138" t="str">
        <f aca="false">Scoring!BH46</f>
        <v/>
      </c>
      <c r="C40" s="138" t="n">
        <f aca="false">Scoring!C46</f>
        <v>0</v>
      </c>
      <c r="D40" s="139" t="str">
        <f aca="false">Scoring!BE46</f>
        <v/>
      </c>
      <c r="E40" s="138" t="str">
        <f aca="false">Scoring!AJ46</f>
        <v/>
      </c>
      <c r="F40" s="138" t="n">
        <f aca="false">Scoring!B46</f>
        <v>0</v>
      </c>
      <c r="G40" s="138" t="n">
        <f aca="false">Scoring!D46</f>
        <v>0</v>
      </c>
      <c r="H40" s="138" t="str">
        <f aca="false">Scoring!BG46</f>
        <v/>
      </c>
      <c r="I40" s="140" t="str">
        <f aca="false">Scoring!BF46</f>
        <v/>
      </c>
    </row>
    <row r="41" customFormat="false" ht="15.75" hidden="false" customHeight="false" outlineLevel="0" collapsed="false">
      <c r="A41" s="138" t="str">
        <f aca="false">Scoring!BI47</f>
        <v/>
      </c>
      <c r="B41" s="138" t="str">
        <f aca="false">Scoring!BH47</f>
        <v/>
      </c>
      <c r="C41" s="138" t="n">
        <f aca="false">Scoring!C47</f>
        <v>0</v>
      </c>
      <c r="D41" s="139" t="str">
        <f aca="false">Scoring!BE47</f>
        <v/>
      </c>
      <c r="E41" s="138" t="str">
        <f aca="false">Scoring!AJ47</f>
        <v/>
      </c>
      <c r="F41" s="138" t="n">
        <f aca="false">Scoring!B47</f>
        <v>0</v>
      </c>
      <c r="G41" s="138" t="n">
        <f aca="false">Scoring!D47</f>
        <v>0</v>
      </c>
      <c r="H41" s="138" t="str">
        <f aca="false">Scoring!BG47</f>
        <v/>
      </c>
      <c r="I41" s="140" t="str">
        <f aca="false">Scoring!BF47</f>
        <v/>
      </c>
    </row>
    <row r="42" customFormat="false" ht="15.75" hidden="false" customHeight="false" outlineLevel="0" collapsed="false">
      <c r="A42" s="138" t="str">
        <f aca="false">Scoring!BI48</f>
        <v/>
      </c>
      <c r="B42" s="138" t="str">
        <f aca="false">Scoring!BH48</f>
        <v/>
      </c>
      <c r="C42" s="138" t="n">
        <f aca="false">Scoring!C48</f>
        <v>0</v>
      </c>
      <c r="D42" s="139" t="str">
        <f aca="false">Scoring!BE48</f>
        <v/>
      </c>
      <c r="E42" s="138" t="str">
        <f aca="false">Scoring!AJ48</f>
        <v/>
      </c>
      <c r="F42" s="138" t="n">
        <f aca="false">Scoring!B48</f>
        <v>0</v>
      </c>
      <c r="G42" s="138" t="n">
        <f aca="false">Scoring!D48</f>
        <v>0</v>
      </c>
      <c r="H42" s="138" t="str">
        <f aca="false">Scoring!BG48</f>
        <v/>
      </c>
      <c r="I42" s="140" t="str">
        <f aca="false">Scoring!BF48</f>
        <v/>
      </c>
    </row>
    <row r="43" customFormat="false" ht="15.75" hidden="false" customHeight="false" outlineLevel="0" collapsed="false">
      <c r="A43" s="138" t="str">
        <f aca="false">Scoring!BI49</f>
        <v/>
      </c>
      <c r="B43" s="138" t="str">
        <f aca="false">Scoring!BH49</f>
        <v/>
      </c>
      <c r="C43" s="138" t="n">
        <f aca="false">Scoring!C49</f>
        <v>0</v>
      </c>
      <c r="D43" s="139" t="str">
        <f aca="false">Scoring!BE49</f>
        <v/>
      </c>
      <c r="E43" s="138" t="str">
        <f aca="false">Scoring!AJ49</f>
        <v/>
      </c>
      <c r="F43" s="138" t="n">
        <f aca="false">Scoring!B49</f>
        <v>0</v>
      </c>
      <c r="G43" s="138" t="n">
        <f aca="false">Scoring!D49</f>
        <v>0</v>
      </c>
      <c r="H43" s="138" t="str">
        <f aca="false">Scoring!BG49</f>
        <v/>
      </c>
      <c r="I43" s="140" t="str">
        <f aca="false">Scoring!BF49</f>
        <v/>
      </c>
    </row>
    <row r="44" customFormat="false" ht="15.75" hidden="false" customHeight="false" outlineLevel="0" collapsed="false">
      <c r="A44" s="138" t="str">
        <f aca="false">Scoring!BI50</f>
        <v/>
      </c>
      <c r="B44" s="138" t="str">
        <f aca="false">Scoring!BH50</f>
        <v/>
      </c>
      <c r="C44" s="138" t="n">
        <f aca="false">Scoring!C50</f>
        <v>0</v>
      </c>
      <c r="D44" s="139" t="str">
        <f aca="false">Scoring!BE50</f>
        <v/>
      </c>
      <c r="E44" s="138" t="str">
        <f aca="false">Scoring!AJ50</f>
        <v/>
      </c>
      <c r="F44" s="138" t="n">
        <f aca="false">Scoring!B50</f>
        <v>0</v>
      </c>
      <c r="G44" s="138" t="n">
        <f aca="false">Scoring!D50</f>
        <v>0</v>
      </c>
      <c r="H44" s="138" t="str">
        <f aca="false">Scoring!BG50</f>
        <v/>
      </c>
      <c r="I44" s="140" t="str">
        <f aca="false">Scoring!BF50</f>
        <v/>
      </c>
    </row>
    <row r="45" customFormat="false" ht="15.75" hidden="false" customHeight="false" outlineLevel="0" collapsed="false">
      <c r="A45" s="138" t="str">
        <f aca="false">Scoring!BI51</f>
        <v/>
      </c>
      <c r="B45" s="138" t="str">
        <f aca="false">Scoring!BH51</f>
        <v/>
      </c>
      <c r="C45" s="138" t="n">
        <f aca="false">Scoring!C51</f>
        <v>0</v>
      </c>
      <c r="D45" s="139" t="str">
        <f aca="false">Scoring!BE51</f>
        <v/>
      </c>
      <c r="E45" s="138" t="str">
        <f aca="false">Scoring!AJ51</f>
        <v/>
      </c>
      <c r="F45" s="138" t="n">
        <f aca="false">Scoring!B51</f>
        <v>0</v>
      </c>
      <c r="G45" s="138" t="n">
        <f aca="false">Scoring!D51</f>
        <v>0</v>
      </c>
      <c r="H45" s="138" t="str">
        <f aca="false">Scoring!BG51</f>
        <v/>
      </c>
      <c r="I45" s="140" t="str">
        <f aca="false">Scoring!BF51</f>
        <v/>
      </c>
    </row>
    <row r="46" customFormat="false" ht="15.75" hidden="false" customHeight="false" outlineLevel="0" collapsed="false">
      <c r="A46" s="138" t="str">
        <f aca="false">Scoring!BI52</f>
        <v/>
      </c>
      <c r="B46" s="138" t="str">
        <f aca="false">Scoring!BH52</f>
        <v/>
      </c>
      <c r="C46" s="138" t="n">
        <f aca="false">Scoring!C52</f>
        <v>0</v>
      </c>
      <c r="D46" s="139" t="str">
        <f aca="false">Scoring!BE52</f>
        <v/>
      </c>
      <c r="E46" s="138" t="str">
        <f aca="false">Scoring!AJ52</f>
        <v/>
      </c>
      <c r="F46" s="138" t="n">
        <f aca="false">Scoring!B52</f>
        <v>0</v>
      </c>
      <c r="G46" s="138" t="n">
        <f aca="false">Scoring!D52</f>
        <v>0</v>
      </c>
      <c r="H46" s="138" t="str">
        <f aca="false">Scoring!BG52</f>
        <v/>
      </c>
      <c r="I46" s="140" t="str">
        <f aca="false">Scoring!BF52</f>
        <v/>
      </c>
    </row>
    <row r="47" customFormat="false" ht="15.75" hidden="false" customHeight="false" outlineLevel="0" collapsed="false">
      <c r="A47" s="138" t="str">
        <f aca="false">Scoring!BI53</f>
        <v/>
      </c>
      <c r="B47" s="138" t="str">
        <f aca="false">Scoring!BH53</f>
        <v/>
      </c>
      <c r="C47" s="138" t="n">
        <f aca="false">Scoring!C53</f>
        <v>0</v>
      </c>
      <c r="D47" s="139" t="str">
        <f aca="false">Scoring!BE53</f>
        <v/>
      </c>
      <c r="E47" s="138" t="str">
        <f aca="false">Scoring!AJ53</f>
        <v/>
      </c>
      <c r="F47" s="138" t="n">
        <f aca="false">Scoring!B53</f>
        <v>0</v>
      </c>
      <c r="G47" s="138" t="n">
        <f aca="false">Scoring!D53</f>
        <v>0</v>
      </c>
      <c r="H47" s="138" t="str">
        <f aca="false">Scoring!BG53</f>
        <v/>
      </c>
      <c r="I47" s="140" t="str">
        <f aca="false">Scoring!BF53</f>
        <v/>
      </c>
    </row>
    <row r="48" customFormat="false" ht="15.75" hidden="false" customHeight="false" outlineLevel="0" collapsed="false">
      <c r="A48" s="138" t="str">
        <f aca="false">Scoring!BI54</f>
        <v/>
      </c>
      <c r="B48" s="138" t="str">
        <f aca="false">Scoring!BH54</f>
        <v/>
      </c>
      <c r="C48" s="138" t="n">
        <f aca="false">Scoring!C54</f>
        <v>0</v>
      </c>
      <c r="D48" s="139" t="str">
        <f aca="false">Scoring!BE54</f>
        <v/>
      </c>
      <c r="E48" s="138" t="str">
        <f aca="false">Scoring!AJ54</f>
        <v/>
      </c>
      <c r="F48" s="138" t="n">
        <f aca="false">Scoring!B54</f>
        <v>0</v>
      </c>
      <c r="G48" s="138" t="n">
        <f aca="false">Scoring!D54</f>
        <v>0</v>
      </c>
      <c r="H48" s="138" t="str">
        <f aca="false">Scoring!BG54</f>
        <v/>
      </c>
      <c r="I48" s="140" t="str">
        <f aca="false">Scoring!BF54</f>
        <v/>
      </c>
    </row>
    <row r="49" customFormat="false" ht="15.75" hidden="false" customHeight="false" outlineLevel="0" collapsed="false">
      <c r="A49" s="138" t="str">
        <f aca="false">Scoring!BI55</f>
        <v/>
      </c>
      <c r="B49" s="138" t="str">
        <f aca="false">Scoring!BH55</f>
        <v/>
      </c>
      <c r="C49" s="138" t="n">
        <f aca="false">Scoring!C55</f>
        <v>0</v>
      </c>
      <c r="D49" s="139" t="str">
        <f aca="false">Scoring!BE55</f>
        <v/>
      </c>
      <c r="E49" s="138" t="str">
        <f aca="false">Scoring!AJ55</f>
        <v/>
      </c>
      <c r="F49" s="138" t="n">
        <f aca="false">Scoring!B55</f>
        <v>0</v>
      </c>
      <c r="G49" s="138" t="n">
        <f aca="false">Scoring!D55</f>
        <v>0</v>
      </c>
      <c r="H49" s="138" t="str">
        <f aca="false">Scoring!BG55</f>
        <v/>
      </c>
      <c r="I49" s="140" t="str">
        <f aca="false">Scoring!BF55</f>
        <v/>
      </c>
    </row>
    <row r="50" customFormat="false" ht="15.75" hidden="false" customHeight="false" outlineLevel="0" collapsed="false">
      <c r="A50" s="138" t="str">
        <f aca="false">Scoring!BI56</f>
        <v/>
      </c>
      <c r="B50" s="138" t="str">
        <f aca="false">Scoring!BH56</f>
        <v/>
      </c>
      <c r="C50" s="138" t="n">
        <f aca="false">Scoring!C56</f>
        <v>0</v>
      </c>
      <c r="D50" s="139" t="str">
        <f aca="false">Scoring!BE56</f>
        <v/>
      </c>
      <c r="E50" s="138" t="str">
        <f aca="false">Scoring!AJ56</f>
        <v/>
      </c>
      <c r="F50" s="138" t="n">
        <f aca="false">Scoring!B56</f>
        <v>0</v>
      </c>
      <c r="G50" s="138" t="n">
        <f aca="false">Scoring!D56</f>
        <v>0</v>
      </c>
      <c r="H50" s="138" t="str">
        <f aca="false">Scoring!BG56</f>
        <v/>
      </c>
      <c r="I50" s="140" t="str">
        <f aca="false">Scoring!BF56</f>
        <v/>
      </c>
    </row>
    <row r="51" customFormat="false" ht="15.75" hidden="false" customHeight="false" outlineLevel="0" collapsed="false">
      <c r="A51" s="138" t="str">
        <f aca="false">Scoring!BI57</f>
        <v/>
      </c>
      <c r="B51" s="138" t="str">
        <f aca="false">Scoring!BH57</f>
        <v/>
      </c>
      <c r="C51" s="138" t="n">
        <f aca="false">Scoring!C57</f>
        <v>0</v>
      </c>
      <c r="D51" s="139" t="str">
        <f aca="false">Scoring!BE57</f>
        <v/>
      </c>
      <c r="E51" s="138" t="str">
        <f aca="false">Scoring!AJ57</f>
        <v/>
      </c>
      <c r="F51" s="138" t="n">
        <f aca="false">Scoring!B57</f>
        <v>0</v>
      </c>
      <c r="G51" s="138" t="n">
        <f aca="false">Scoring!D57</f>
        <v>0</v>
      </c>
      <c r="H51" s="138" t="str">
        <f aca="false">Scoring!BG57</f>
        <v/>
      </c>
      <c r="I51" s="140" t="str">
        <f aca="false">Scoring!BF57</f>
        <v/>
      </c>
    </row>
    <row r="52" customFormat="false" ht="15.75" hidden="false" customHeight="false" outlineLevel="0" collapsed="false">
      <c r="A52" s="138" t="str">
        <f aca="false">Scoring!BI58</f>
        <v/>
      </c>
      <c r="B52" s="138" t="str">
        <f aca="false">Scoring!BH58</f>
        <v/>
      </c>
      <c r="C52" s="138" t="n">
        <f aca="false">Scoring!C58</f>
        <v>0</v>
      </c>
      <c r="D52" s="139" t="str">
        <f aca="false">Scoring!BE58</f>
        <v/>
      </c>
      <c r="E52" s="138" t="str">
        <f aca="false">Scoring!AJ58</f>
        <v/>
      </c>
      <c r="F52" s="138" t="n">
        <f aca="false">Scoring!B58</f>
        <v>0</v>
      </c>
      <c r="G52" s="138" t="n">
        <f aca="false">Scoring!D58</f>
        <v>0</v>
      </c>
      <c r="H52" s="138" t="str">
        <f aca="false">Scoring!BG58</f>
        <v/>
      </c>
      <c r="I52" s="140" t="str">
        <f aca="false">Scoring!BF58</f>
        <v/>
      </c>
    </row>
    <row r="53" customFormat="false" ht="15.75" hidden="false" customHeight="false" outlineLevel="0" collapsed="false">
      <c r="A53" s="138" t="str">
        <f aca="false">Scoring!BI59</f>
        <v/>
      </c>
      <c r="B53" s="138" t="str">
        <f aca="false">Scoring!BH59</f>
        <v/>
      </c>
      <c r="C53" s="138" t="n">
        <f aca="false">Scoring!C59</f>
        <v>0</v>
      </c>
      <c r="D53" s="139" t="str">
        <f aca="false">Scoring!BE59</f>
        <v/>
      </c>
      <c r="E53" s="138" t="str">
        <f aca="false">Scoring!AJ59</f>
        <v/>
      </c>
      <c r="F53" s="138" t="n">
        <f aca="false">Scoring!B59</f>
        <v>0</v>
      </c>
      <c r="G53" s="138" t="n">
        <f aca="false">Scoring!D59</f>
        <v>0</v>
      </c>
      <c r="H53" s="138" t="str">
        <f aca="false">Scoring!BG59</f>
        <v/>
      </c>
      <c r="I53" s="140" t="str">
        <f aca="false">Scoring!BF59</f>
        <v/>
      </c>
    </row>
    <row r="54" customFormat="false" ht="15.75" hidden="false" customHeight="false" outlineLevel="0" collapsed="false">
      <c r="A54" s="138" t="str">
        <f aca="false">Scoring!BI60</f>
        <v/>
      </c>
      <c r="B54" s="138" t="str">
        <f aca="false">Scoring!BH60</f>
        <v/>
      </c>
      <c r="C54" s="138" t="n">
        <f aca="false">Scoring!C60</f>
        <v>0</v>
      </c>
      <c r="D54" s="139" t="str">
        <f aca="false">Scoring!BE60</f>
        <v/>
      </c>
      <c r="E54" s="138" t="str">
        <f aca="false">Scoring!AJ60</f>
        <v/>
      </c>
      <c r="F54" s="138" t="n">
        <f aca="false">Scoring!B60</f>
        <v>0</v>
      </c>
      <c r="G54" s="138" t="n">
        <f aca="false">Scoring!D60</f>
        <v>0</v>
      </c>
      <c r="H54" s="138" t="str">
        <f aca="false">Scoring!BG60</f>
        <v/>
      </c>
      <c r="I54" s="140" t="str">
        <f aca="false">Scoring!BF60</f>
        <v/>
      </c>
    </row>
    <row r="55" customFormat="false" ht="15.75" hidden="false" customHeight="false" outlineLevel="0" collapsed="false">
      <c r="A55" s="138" t="str">
        <f aca="false">Scoring!BI61</f>
        <v/>
      </c>
      <c r="B55" s="138" t="str">
        <f aca="false">Scoring!BH61</f>
        <v/>
      </c>
      <c r="C55" s="138" t="n">
        <f aca="false">Scoring!C61</f>
        <v>0</v>
      </c>
      <c r="D55" s="139" t="str">
        <f aca="false">Scoring!BE61</f>
        <v/>
      </c>
      <c r="E55" s="138" t="str">
        <f aca="false">Scoring!AJ61</f>
        <v/>
      </c>
      <c r="F55" s="138" t="n">
        <f aca="false">Scoring!B61</f>
        <v>0</v>
      </c>
      <c r="G55" s="138" t="n">
        <f aca="false">Scoring!D61</f>
        <v>0</v>
      </c>
      <c r="H55" s="138" t="str">
        <f aca="false">Scoring!BG61</f>
        <v/>
      </c>
      <c r="I55" s="140" t="str">
        <f aca="false">Scoring!BF61</f>
        <v/>
      </c>
    </row>
    <row r="56" customFormat="false" ht="15.75" hidden="false" customHeight="false" outlineLevel="0" collapsed="false">
      <c r="A56" s="138" t="str">
        <f aca="false">Scoring!BI62</f>
        <v/>
      </c>
      <c r="B56" s="138" t="str">
        <f aca="false">Scoring!BH62</f>
        <v/>
      </c>
      <c r="C56" s="138" t="n">
        <f aca="false">Scoring!C62</f>
        <v>0</v>
      </c>
      <c r="D56" s="139" t="str">
        <f aca="false">Scoring!BE62</f>
        <v/>
      </c>
      <c r="E56" s="138" t="str">
        <f aca="false">Scoring!AJ62</f>
        <v/>
      </c>
      <c r="F56" s="138" t="n">
        <f aca="false">Scoring!B62</f>
        <v>0</v>
      </c>
      <c r="G56" s="138" t="n">
        <f aca="false">Scoring!D62</f>
        <v>0</v>
      </c>
      <c r="H56" s="138" t="str">
        <f aca="false">Scoring!BG62</f>
        <v/>
      </c>
      <c r="I56" s="140" t="str">
        <f aca="false">Scoring!BF62</f>
        <v/>
      </c>
    </row>
    <row r="57" customFormat="false" ht="15.75" hidden="false" customHeight="false" outlineLevel="0" collapsed="false">
      <c r="A57" s="138" t="str">
        <f aca="false">Scoring!BI63</f>
        <v/>
      </c>
      <c r="B57" s="138" t="str">
        <f aca="false">Scoring!BH63</f>
        <v/>
      </c>
      <c r="C57" s="138" t="n">
        <f aca="false">Scoring!C63</f>
        <v>0</v>
      </c>
      <c r="D57" s="139" t="str">
        <f aca="false">Scoring!BE63</f>
        <v/>
      </c>
      <c r="E57" s="138" t="str">
        <f aca="false">Scoring!AJ63</f>
        <v/>
      </c>
      <c r="F57" s="138" t="n">
        <f aca="false">Scoring!B63</f>
        <v>0</v>
      </c>
      <c r="G57" s="138" t="n">
        <f aca="false">Scoring!D63</f>
        <v>0</v>
      </c>
      <c r="H57" s="138" t="str">
        <f aca="false">Scoring!BG63</f>
        <v/>
      </c>
      <c r="I57" s="140" t="str">
        <f aca="false">Scoring!BF63</f>
        <v/>
      </c>
    </row>
    <row r="58" customFormat="false" ht="15.75" hidden="false" customHeight="false" outlineLevel="0" collapsed="false">
      <c r="A58" s="138" t="str">
        <f aca="false">Scoring!BI64</f>
        <v/>
      </c>
      <c r="B58" s="138" t="str">
        <f aca="false">Scoring!BH64</f>
        <v/>
      </c>
      <c r="C58" s="138" t="n">
        <f aca="false">Scoring!C64</f>
        <v>0</v>
      </c>
      <c r="D58" s="139" t="str">
        <f aca="false">Scoring!BE64</f>
        <v/>
      </c>
      <c r="E58" s="138" t="str">
        <f aca="false">Scoring!AJ64</f>
        <v/>
      </c>
      <c r="F58" s="138" t="n">
        <f aca="false">Scoring!B64</f>
        <v>0</v>
      </c>
      <c r="G58" s="138" t="n">
        <f aca="false">Scoring!D64</f>
        <v>0</v>
      </c>
      <c r="H58" s="138" t="str">
        <f aca="false">Scoring!BG64</f>
        <v/>
      </c>
      <c r="I58" s="140" t="str">
        <f aca="false">Scoring!BF64</f>
        <v/>
      </c>
    </row>
    <row r="59" customFormat="false" ht="15.75" hidden="false" customHeight="false" outlineLevel="0" collapsed="false">
      <c r="A59" s="138" t="str">
        <f aca="false">Scoring!BI65</f>
        <v/>
      </c>
      <c r="B59" s="138" t="str">
        <f aca="false">Scoring!BH65</f>
        <v/>
      </c>
      <c r="C59" s="138" t="n">
        <f aca="false">Scoring!C65</f>
        <v>0</v>
      </c>
      <c r="D59" s="139" t="str">
        <f aca="false">Scoring!BE65</f>
        <v/>
      </c>
      <c r="E59" s="138" t="str">
        <f aca="false">Scoring!AJ65</f>
        <v/>
      </c>
      <c r="F59" s="138" t="n">
        <f aca="false">Scoring!B65</f>
        <v>0</v>
      </c>
      <c r="G59" s="138" t="n">
        <f aca="false">Scoring!D65</f>
        <v>0</v>
      </c>
      <c r="H59" s="138" t="str">
        <f aca="false">Scoring!BG65</f>
        <v/>
      </c>
      <c r="I59" s="140" t="str">
        <f aca="false">Scoring!BF65</f>
        <v/>
      </c>
    </row>
    <row r="60" customFormat="false" ht="15.75" hidden="false" customHeight="false" outlineLevel="0" collapsed="false">
      <c r="A60" s="138" t="str">
        <f aca="false">Scoring!BI66</f>
        <v/>
      </c>
      <c r="B60" s="138" t="str">
        <f aca="false">Scoring!BH66</f>
        <v/>
      </c>
      <c r="C60" s="138" t="n">
        <f aca="false">Scoring!C66</f>
        <v>0</v>
      </c>
      <c r="D60" s="139" t="str">
        <f aca="false">Scoring!BE66</f>
        <v/>
      </c>
      <c r="E60" s="138" t="str">
        <f aca="false">Scoring!AJ66</f>
        <v/>
      </c>
      <c r="F60" s="138" t="n">
        <f aca="false">Scoring!B66</f>
        <v>0</v>
      </c>
      <c r="G60" s="138" t="n">
        <f aca="false">Scoring!D66</f>
        <v>0</v>
      </c>
      <c r="H60" s="138" t="str">
        <f aca="false">Scoring!BG66</f>
        <v/>
      </c>
      <c r="I60" s="140" t="str">
        <f aca="false">Scoring!BF66</f>
        <v/>
      </c>
    </row>
    <row r="61" customFormat="false" ht="15.75" hidden="false" customHeight="false" outlineLevel="0" collapsed="false">
      <c r="A61" s="138" t="str">
        <f aca="false">Scoring!BI67</f>
        <v/>
      </c>
      <c r="B61" s="138" t="str">
        <f aca="false">Scoring!BH67</f>
        <v/>
      </c>
      <c r="C61" s="138" t="n">
        <f aca="false">Scoring!C67</f>
        <v>0</v>
      </c>
      <c r="D61" s="139" t="str">
        <f aca="false">Scoring!BE67</f>
        <v/>
      </c>
      <c r="E61" s="138" t="str">
        <f aca="false">Scoring!AJ67</f>
        <v/>
      </c>
      <c r="F61" s="138" t="n">
        <f aca="false">Scoring!B67</f>
        <v>0</v>
      </c>
      <c r="G61" s="138" t="n">
        <f aca="false">Scoring!D67</f>
        <v>0</v>
      </c>
      <c r="H61" s="138" t="str">
        <f aca="false">Scoring!BG67</f>
        <v/>
      </c>
      <c r="I61" s="140" t="str">
        <f aca="false">Scoring!BF67</f>
        <v/>
      </c>
    </row>
    <row r="62" customFormat="false" ht="15.75" hidden="false" customHeight="false" outlineLevel="0" collapsed="false">
      <c r="A62" s="138" t="str">
        <f aca="false">Scoring!BI68</f>
        <v/>
      </c>
      <c r="B62" s="138" t="str">
        <f aca="false">Scoring!BH68</f>
        <v/>
      </c>
      <c r="C62" s="138" t="n">
        <f aca="false">Scoring!C68</f>
        <v>0</v>
      </c>
      <c r="D62" s="139" t="str">
        <f aca="false">Scoring!BE68</f>
        <v/>
      </c>
      <c r="E62" s="138" t="str">
        <f aca="false">Scoring!AJ68</f>
        <v/>
      </c>
      <c r="F62" s="138" t="n">
        <f aca="false">Scoring!B68</f>
        <v>0</v>
      </c>
      <c r="G62" s="138" t="n">
        <f aca="false">Scoring!D68</f>
        <v>0</v>
      </c>
      <c r="H62" s="138" t="str">
        <f aca="false">Scoring!BG68</f>
        <v/>
      </c>
      <c r="I62" s="140" t="str">
        <f aca="false">Scoring!BF68</f>
        <v/>
      </c>
    </row>
    <row r="63" customFormat="false" ht="15.75" hidden="false" customHeight="false" outlineLevel="0" collapsed="false">
      <c r="A63" s="138" t="str">
        <f aca="false">Scoring!BI69</f>
        <v/>
      </c>
      <c r="B63" s="138" t="str">
        <f aca="false">Scoring!BH69</f>
        <v/>
      </c>
      <c r="C63" s="138" t="n">
        <f aca="false">Scoring!C69</f>
        <v>0</v>
      </c>
      <c r="D63" s="139" t="str">
        <f aca="false">Scoring!BE69</f>
        <v/>
      </c>
      <c r="E63" s="138" t="str">
        <f aca="false">Scoring!AJ69</f>
        <v/>
      </c>
      <c r="F63" s="138" t="n">
        <f aca="false">Scoring!B69</f>
        <v>0</v>
      </c>
      <c r="G63" s="138" t="n">
        <f aca="false">Scoring!D69</f>
        <v>0</v>
      </c>
      <c r="H63" s="138" t="str">
        <f aca="false">Scoring!BG69</f>
        <v/>
      </c>
      <c r="I63" s="140" t="str">
        <f aca="false">Scoring!BF69</f>
        <v/>
      </c>
    </row>
    <row r="64" customFormat="false" ht="15.75" hidden="false" customHeight="false" outlineLevel="0" collapsed="false">
      <c r="A64" s="138" t="str">
        <f aca="false">Scoring!BI70</f>
        <v/>
      </c>
      <c r="B64" s="138" t="str">
        <f aca="false">Scoring!BH70</f>
        <v/>
      </c>
      <c r="C64" s="138" t="n">
        <f aca="false">Scoring!C70</f>
        <v>0</v>
      </c>
      <c r="D64" s="139" t="str">
        <f aca="false">Scoring!BE70</f>
        <v/>
      </c>
      <c r="E64" s="138" t="str">
        <f aca="false">Scoring!AJ70</f>
        <v/>
      </c>
      <c r="F64" s="138" t="n">
        <f aca="false">Scoring!B70</f>
        <v>0</v>
      </c>
      <c r="G64" s="138" t="n">
        <f aca="false">Scoring!D70</f>
        <v>0</v>
      </c>
      <c r="H64" s="138" t="str">
        <f aca="false">Scoring!BG70</f>
        <v/>
      </c>
      <c r="I64" s="140" t="str">
        <f aca="false">Scoring!BF70</f>
        <v/>
      </c>
    </row>
    <row r="65" customFormat="false" ht="15.75" hidden="false" customHeight="false" outlineLevel="0" collapsed="false">
      <c r="A65" s="138" t="str">
        <f aca="false">Scoring!BI71</f>
        <v/>
      </c>
      <c r="B65" s="138" t="str">
        <f aca="false">Scoring!BH71</f>
        <v/>
      </c>
      <c r="C65" s="138" t="n">
        <f aca="false">Scoring!C71</f>
        <v>0</v>
      </c>
      <c r="D65" s="139" t="str">
        <f aca="false">Scoring!BE71</f>
        <v/>
      </c>
      <c r="E65" s="138" t="str">
        <f aca="false">Scoring!AJ71</f>
        <v/>
      </c>
      <c r="F65" s="138" t="n">
        <f aca="false">Scoring!B71</f>
        <v>0</v>
      </c>
      <c r="G65" s="138" t="n">
        <f aca="false">Scoring!D71</f>
        <v>0</v>
      </c>
      <c r="H65" s="138" t="str">
        <f aca="false">Scoring!BG71</f>
        <v/>
      </c>
      <c r="I65" s="140" t="str">
        <f aca="false">Scoring!BF71</f>
        <v/>
      </c>
    </row>
    <row r="66" customFormat="false" ht="15.75" hidden="false" customHeight="false" outlineLevel="0" collapsed="false">
      <c r="A66" s="138" t="str">
        <f aca="false">Scoring!BI72</f>
        <v/>
      </c>
      <c r="B66" s="138" t="str">
        <f aca="false">Scoring!BH72</f>
        <v/>
      </c>
      <c r="C66" s="138" t="n">
        <f aca="false">Scoring!C72</f>
        <v>0</v>
      </c>
      <c r="D66" s="139" t="str">
        <f aca="false">Scoring!BE72</f>
        <v/>
      </c>
      <c r="E66" s="138" t="str">
        <f aca="false">Scoring!AJ72</f>
        <v/>
      </c>
      <c r="F66" s="138" t="n">
        <f aca="false">Scoring!B72</f>
        <v>0</v>
      </c>
      <c r="G66" s="138" t="n">
        <f aca="false">Scoring!D72</f>
        <v>0</v>
      </c>
      <c r="H66" s="138" t="str">
        <f aca="false">Scoring!BG72</f>
        <v/>
      </c>
      <c r="I66" s="140" t="str">
        <f aca="false">Scoring!BF72</f>
        <v/>
      </c>
    </row>
    <row r="67" customFormat="false" ht="15.75" hidden="false" customHeight="false" outlineLevel="0" collapsed="false">
      <c r="A67" s="138" t="str">
        <f aca="false">Scoring!BI73</f>
        <v/>
      </c>
      <c r="B67" s="138" t="str">
        <f aca="false">Scoring!BH73</f>
        <v/>
      </c>
      <c r="C67" s="138" t="n">
        <f aca="false">Scoring!C73</f>
        <v>0</v>
      </c>
      <c r="D67" s="139" t="str">
        <f aca="false">Scoring!BE73</f>
        <v/>
      </c>
      <c r="E67" s="138" t="str">
        <f aca="false">Scoring!AJ73</f>
        <v/>
      </c>
      <c r="F67" s="138" t="n">
        <f aca="false">Scoring!B73</f>
        <v>0</v>
      </c>
      <c r="G67" s="138" t="n">
        <f aca="false">Scoring!D73</f>
        <v>0</v>
      </c>
      <c r="H67" s="138" t="str">
        <f aca="false">Scoring!BG73</f>
        <v/>
      </c>
      <c r="I67" s="140" t="str">
        <f aca="false">Scoring!BF73</f>
        <v/>
      </c>
    </row>
    <row r="68" customFormat="false" ht="15.75" hidden="false" customHeight="false" outlineLevel="0" collapsed="false">
      <c r="A68" s="138" t="str">
        <f aca="false">Scoring!BI74</f>
        <v/>
      </c>
      <c r="B68" s="138" t="str">
        <f aca="false">Scoring!BH74</f>
        <v/>
      </c>
      <c r="C68" s="138" t="n">
        <f aca="false">Scoring!C74</f>
        <v>0</v>
      </c>
      <c r="D68" s="139" t="str">
        <f aca="false">Scoring!BE74</f>
        <v/>
      </c>
      <c r="E68" s="138" t="str">
        <f aca="false">Scoring!AJ74</f>
        <v/>
      </c>
      <c r="F68" s="138" t="n">
        <f aca="false">Scoring!B74</f>
        <v>0</v>
      </c>
      <c r="G68" s="138" t="n">
        <f aca="false">Scoring!D74</f>
        <v>0</v>
      </c>
      <c r="H68" s="138" t="str">
        <f aca="false">Scoring!BG74</f>
        <v/>
      </c>
      <c r="I68" s="140" t="str">
        <f aca="false">Scoring!BF74</f>
        <v/>
      </c>
    </row>
    <row r="69" customFormat="false" ht="15.75" hidden="false" customHeight="false" outlineLevel="0" collapsed="false">
      <c r="A69" s="138" t="str">
        <f aca="false">Scoring!BI75</f>
        <v/>
      </c>
      <c r="B69" s="138" t="str">
        <f aca="false">Scoring!BH75</f>
        <v/>
      </c>
      <c r="C69" s="138" t="n">
        <f aca="false">Scoring!C75</f>
        <v>0</v>
      </c>
      <c r="D69" s="139" t="str">
        <f aca="false">Scoring!BE75</f>
        <v/>
      </c>
      <c r="E69" s="138" t="str">
        <f aca="false">Scoring!AJ75</f>
        <v/>
      </c>
      <c r="F69" s="138" t="n">
        <f aca="false">Scoring!B75</f>
        <v>0</v>
      </c>
      <c r="G69" s="138" t="n">
        <f aca="false">Scoring!D75</f>
        <v>0</v>
      </c>
      <c r="H69" s="138" t="str">
        <f aca="false">Scoring!BG75</f>
        <v/>
      </c>
      <c r="I69" s="140" t="str">
        <f aca="false">Scoring!BF75</f>
        <v/>
      </c>
    </row>
    <row r="70" customFormat="false" ht="15.75" hidden="false" customHeight="false" outlineLevel="0" collapsed="false">
      <c r="A70" s="138" t="str">
        <f aca="false">Scoring!BI76</f>
        <v/>
      </c>
      <c r="B70" s="138" t="str">
        <f aca="false">Scoring!BH76</f>
        <v/>
      </c>
      <c r="C70" s="138" t="n">
        <f aca="false">Scoring!C76</f>
        <v>0</v>
      </c>
      <c r="D70" s="139" t="str">
        <f aca="false">Scoring!BE76</f>
        <v/>
      </c>
      <c r="E70" s="138" t="str">
        <f aca="false">Scoring!AJ76</f>
        <v/>
      </c>
      <c r="F70" s="138" t="n">
        <f aca="false">Scoring!B76</f>
        <v>0</v>
      </c>
      <c r="G70" s="138" t="n">
        <f aca="false">Scoring!D76</f>
        <v>0</v>
      </c>
      <c r="H70" s="138" t="str">
        <f aca="false">Scoring!BG76</f>
        <v/>
      </c>
      <c r="I70" s="140" t="str">
        <f aca="false">Scoring!BF76</f>
        <v/>
      </c>
    </row>
    <row r="71" customFormat="false" ht="15.75" hidden="false" customHeight="false" outlineLevel="0" collapsed="false">
      <c r="A71" s="138" t="str">
        <f aca="false">Scoring!BI77</f>
        <v/>
      </c>
      <c r="B71" s="138" t="str">
        <f aca="false">Scoring!BH77</f>
        <v/>
      </c>
      <c r="C71" s="138" t="n">
        <f aca="false">Scoring!C77</f>
        <v>0</v>
      </c>
      <c r="D71" s="139" t="str">
        <f aca="false">Scoring!BE77</f>
        <v/>
      </c>
      <c r="E71" s="138" t="str">
        <f aca="false">Scoring!AJ77</f>
        <v/>
      </c>
      <c r="F71" s="138" t="n">
        <f aca="false">Scoring!B77</f>
        <v>0</v>
      </c>
      <c r="G71" s="138" t="n">
        <f aca="false">Scoring!D77</f>
        <v>0</v>
      </c>
      <c r="H71" s="138" t="str">
        <f aca="false">Scoring!BG77</f>
        <v/>
      </c>
      <c r="I71" s="140" t="str">
        <f aca="false">Scoring!BF77</f>
        <v/>
      </c>
    </row>
    <row r="72" customFormat="false" ht="15.75" hidden="false" customHeight="false" outlineLevel="0" collapsed="false">
      <c r="A72" s="138" t="str">
        <f aca="false">Scoring!BI78</f>
        <v/>
      </c>
      <c r="B72" s="138" t="str">
        <f aca="false">Scoring!BH78</f>
        <v/>
      </c>
      <c r="C72" s="138" t="n">
        <f aca="false">Scoring!C78</f>
        <v>0</v>
      </c>
      <c r="D72" s="139" t="str">
        <f aca="false">Scoring!BE78</f>
        <v/>
      </c>
      <c r="E72" s="138" t="str">
        <f aca="false">Scoring!AJ78</f>
        <v/>
      </c>
      <c r="F72" s="138" t="n">
        <f aca="false">Scoring!B78</f>
        <v>0</v>
      </c>
      <c r="G72" s="138" t="n">
        <f aca="false">Scoring!D78</f>
        <v>0</v>
      </c>
      <c r="H72" s="138" t="str">
        <f aca="false">Scoring!BG78</f>
        <v/>
      </c>
      <c r="I72" s="140" t="str">
        <f aca="false">Scoring!BF78</f>
        <v/>
      </c>
    </row>
    <row r="73" customFormat="false" ht="15.75" hidden="false" customHeight="false" outlineLevel="0" collapsed="false">
      <c r="A73" s="138" t="str">
        <f aca="false">Scoring!BI79</f>
        <v/>
      </c>
      <c r="B73" s="138" t="str">
        <f aca="false">Scoring!BH79</f>
        <v/>
      </c>
      <c r="C73" s="138" t="n">
        <f aca="false">Scoring!C79</f>
        <v>0</v>
      </c>
      <c r="D73" s="139" t="str">
        <f aca="false">Scoring!BE79</f>
        <v/>
      </c>
      <c r="E73" s="138" t="str">
        <f aca="false">Scoring!AJ79</f>
        <v/>
      </c>
      <c r="F73" s="138" t="n">
        <f aca="false">Scoring!B79</f>
        <v>0</v>
      </c>
      <c r="G73" s="138" t="n">
        <f aca="false">Scoring!D79</f>
        <v>0</v>
      </c>
      <c r="H73" s="138" t="str">
        <f aca="false">Scoring!BG79</f>
        <v/>
      </c>
      <c r="I73" s="140" t="str">
        <f aca="false">Scoring!BF79</f>
        <v/>
      </c>
    </row>
    <row r="74" customFormat="false" ht="15.75" hidden="false" customHeight="false" outlineLevel="0" collapsed="false">
      <c r="A74" s="138" t="str">
        <f aca="false">Scoring!BI80</f>
        <v/>
      </c>
      <c r="B74" s="138" t="str">
        <f aca="false">Scoring!BH80</f>
        <v/>
      </c>
      <c r="C74" s="138" t="n">
        <f aca="false">Scoring!C80</f>
        <v>0</v>
      </c>
      <c r="D74" s="139" t="str">
        <f aca="false">Scoring!BE80</f>
        <v/>
      </c>
      <c r="E74" s="138" t="str">
        <f aca="false">Scoring!AJ80</f>
        <v/>
      </c>
      <c r="F74" s="138" t="n">
        <f aca="false">Scoring!B80</f>
        <v>0</v>
      </c>
      <c r="G74" s="138" t="n">
        <f aca="false">Scoring!D80</f>
        <v>0</v>
      </c>
      <c r="H74" s="138" t="str">
        <f aca="false">Scoring!BG80</f>
        <v/>
      </c>
      <c r="I74" s="140" t="str">
        <f aca="false">Scoring!BF80</f>
        <v/>
      </c>
    </row>
    <row r="75" customFormat="false" ht="15.75" hidden="false" customHeight="false" outlineLevel="0" collapsed="false">
      <c r="A75" s="138" t="str">
        <f aca="false">Scoring!BI81</f>
        <v/>
      </c>
      <c r="B75" s="138" t="str">
        <f aca="false">Scoring!BH81</f>
        <v/>
      </c>
      <c r="C75" s="138" t="n">
        <f aca="false">Scoring!C81</f>
        <v>0</v>
      </c>
      <c r="D75" s="139" t="str">
        <f aca="false">Scoring!BE81</f>
        <v/>
      </c>
      <c r="E75" s="138" t="str">
        <f aca="false">Scoring!AJ81</f>
        <v/>
      </c>
      <c r="F75" s="138" t="n">
        <f aca="false">Scoring!B81</f>
        <v>0</v>
      </c>
      <c r="G75" s="138" t="n">
        <f aca="false">Scoring!D81</f>
        <v>0</v>
      </c>
      <c r="H75" s="138" t="str">
        <f aca="false">Scoring!BG81</f>
        <v/>
      </c>
      <c r="I75" s="140" t="str">
        <f aca="false">Scoring!BF81</f>
        <v/>
      </c>
    </row>
    <row r="76" customFormat="false" ht="15.75" hidden="false" customHeight="false" outlineLevel="0" collapsed="false">
      <c r="A76" s="138" t="str">
        <f aca="false">Scoring!BI82</f>
        <v/>
      </c>
      <c r="B76" s="138" t="str">
        <f aca="false">Scoring!BH82</f>
        <v/>
      </c>
      <c r="C76" s="138" t="n">
        <f aca="false">Scoring!C82</f>
        <v>0</v>
      </c>
      <c r="D76" s="139" t="str">
        <f aca="false">Scoring!BE82</f>
        <v/>
      </c>
      <c r="E76" s="138" t="str">
        <f aca="false">Scoring!AJ82</f>
        <v/>
      </c>
      <c r="F76" s="138" t="n">
        <f aca="false">Scoring!B82</f>
        <v>0</v>
      </c>
      <c r="G76" s="138" t="n">
        <f aca="false">Scoring!D82</f>
        <v>0</v>
      </c>
      <c r="H76" s="138" t="str">
        <f aca="false">Scoring!BG82</f>
        <v/>
      </c>
      <c r="I76" s="140" t="str">
        <f aca="false">Scoring!BF82</f>
        <v/>
      </c>
    </row>
    <row r="77" customFormat="false" ht="15.75" hidden="false" customHeight="false" outlineLevel="0" collapsed="false">
      <c r="A77" s="138" t="str">
        <f aca="false">Scoring!BI83</f>
        <v/>
      </c>
      <c r="B77" s="138" t="str">
        <f aca="false">Scoring!BH83</f>
        <v/>
      </c>
      <c r="C77" s="138" t="n">
        <f aca="false">Scoring!C83</f>
        <v>0</v>
      </c>
      <c r="D77" s="139" t="str">
        <f aca="false">Scoring!BE83</f>
        <v/>
      </c>
      <c r="E77" s="138" t="str">
        <f aca="false">Scoring!AJ83</f>
        <v/>
      </c>
      <c r="F77" s="138" t="n">
        <f aca="false">Scoring!B83</f>
        <v>0</v>
      </c>
      <c r="G77" s="138" t="n">
        <f aca="false">Scoring!D83</f>
        <v>0</v>
      </c>
      <c r="H77" s="138" t="str">
        <f aca="false">Scoring!BG83</f>
        <v/>
      </c>
      <c r="I77" s="140" t="str">
        <f aca="false">Scoring!BF83</f>
        <v/>
      </c>
    </row>
    <row r="78" customFormat="false" ht="15.75" hidden="false" customHeight="false" outlineLevel="0" collapsed="false">
      <c r="A78" s="138" t="str">
        <f aca="false">Scoring!BI84</f>
        <v/>
      </c>
      <c r="B78" s="138" t="str">
        <f aca="false">Scoring!BH84</f>
        <v/>
      </c>
      <c r="C78" s="138" t="n">
        <f aca="false">Scoring!C84</f>
        <v>0</v>
      </c>
      <c r="D78" s="139" t="str">
        <f aca="false">Scoring!BE84</f>
        <v/>
      </c>
      <c r="E78" s="138" t="str">
        <f aca="false">Scoring!AJ84</f>
        <v/>
      </c>
      <c r="F78" s="138" t="n">
        <f aca="false">Scoring!B84</f>
        <v>0</v>
      </c>
      <c r="G78" s="138" t="n">
        <f aca="false">Scoring!D84</f>
        <v>0</v>
      </c>
      <c r="H78" s="138" t="str">
        <f aca="false">Scoring!BG84</f>
        <v/>
      </c>
      <c r="I78" s="140" t="str">
        <f aca="false">Scoring!BF84</f>
        <v/>
      </c>
    </row>
    <row r="79" customFormat="false" ht="15.75" hidden="false" customHeight="false" outlineLevel="0" collapsed="false">
      <c r="A79" s="138" t="str">
        <f aca="false">Scoring!BI85</f>
        <v/>
      </c>
      <c r="B79" s="138" t="str">
        <f aca="false">Scoring!BH85</f>
        <v/>
      </c>
      <c r="C79" s="138" t="n">
        <f aca="false">Scoring!C85</f>
        <v>0</v>
      </c>
      <c r="D79" s="139" t="str">
        <f aca="false">Scoring!BE85</f>
        <v/>
      </c>
      <c r="E79" s="138" t="str">
        <f aca="false">Scoring!AJ85</f>
        <v/>
      </c>
      <c r="F79" s="138" t="n">
        <f aca="false">Scoring!B85</f>
        <v>0</v>
      </c>
      <c r="G79" s="138" t="n">
        <f aca="false">Scoring!D85</f>
        <v>0</v>
      </c>
      <c r="H79" s="138" t="str">
        <f aca="false">Scoring!BG85</f>
        <v/>
      </c>
      <c r="I79" s="140" t="str">
        <f aca="false">Scoring!BF85</f>
        <v/>
      </c>
    </row>
    <row r="80" customFormat="false" ht="15.75" hidden="false" customHeight="false" outlineLevel="0" collapsed="false">
      <c r="A80" s="138" t="str">
        <f aca="false">Scoring!BI86</f>
        <v/>
      </c>
      <c r="B80" s="138" t="str">
        <f aca="false">Scoring!BH86</f>
        <v/>
      </c>
      <c r="C80" s="138" t="n">
        <f aca="false">Scoring!C86</f>
        <v>0</v>
      </c>
      <c r="D80" s="139" t="str">
        <f aca="false">Scoring!BE86</f>
        <v/>
      </c>
      <c r="E80" s="138" t="str">
        <f aca="false">Scoring!AJ86</f>
        <v/>
      </c>
      <c r="F80" s="138" t="n">
        <f aca="false">Scoring!B86</f>
        <v>0</v>
      </c>
      <c r="G80" s="138" t="n">
        <f aca="false">Scoring!D86</f>
        <v>0</v>
      </c>
      <c r="H80" s="138" t="str">
        <f aca="false">Scoring!BG86</f>
        <v/>
      </c>
      <c r="I80" s="140" t="str">
        <f aca="false">Scoring!BF86</f>
        <v/>
      </c>
    </row>
    <row r="81" customFormat="false" ht="15.75" hidden="false" customHeight="false" outlineLevel="0" collapsed="false">
      <c r="A81" s="138" t="str">
        <f aca="false">Scoring!BI87</f>
        <v/>
      </c>
      <c r="B81" s="138" t="str">
        <f aca="false">Scoring!BH87</f>
        <v/>
      </c>
      <c r="C81" s="138" t="n">
        <f aca="false">Scoring!C87</f>
        <v>0</v>
      </c>
      <c r="D81" s="139" t="str">
        <f aca="false">Scoring!BE87</f>
        <v/>
      </c>
      <c r="E81" s="138" t="str">
        <f aca="false">Scoring!AJ87</f>
        <v/>
      </c>
      <c r="F81" s="138" t="n">
        <f aca="false">Scoring!B87</f>
        <v>0</v>
      </c>
      <c r="G81" s="138" t="n">
        <f aca="false">Scoring!D87</f>
        <v>0</v>
      </c>
      <c r="H81" s="138" t="str">
        <f aca="false">Scoring!BG87</f>
        <v/>
      </c>
      <c r="I81" s="140" t="str">
        <f aca="false">Scoring!BF87</f>
        <v/>
      </c>
    </row>
    <row r="82" customFormat="false" ht="15.75" hidden="false" customHeight="false" outlineLevel="0" collapsed="false">
      <c r="A82" s="138" t="str">
        <f aca="false">Scoring!BI88</f>
        <v/>
      </c>
      <c r="B82" s="138" t="str">
        <f aca="false">Scoring!BH88</f>
        <v/>
      </c>
      <c r="C82" s="138" t="n">
        <f aca="false">Scoring!C88</f>
        <v>0</v>
      </c>
      <c r="D82" s="139" t="str">
        <f aca="false">Scoring!BE88</f>
        <v/>
      </c>
      <c r="E82" s="138" t="str">
        <f aca="false">Scoring!AJ88</f>
        <v/>
      </c>
      <c r="F82" s="138" t="n">
        <f aca="false">Scoring!B88</f>
        <v>0</v>
      </c>
      <c r="G82" s="138" t="n">
        <f aca="false">Scoring!D88</f>
        <v>0</v>
      </c>
      <c r="H82" s="138" t="str">
        <f aca="false">Scoring!BG88</f>
        <v/>
      </c>
      <c r="I82" s="140" t="str">
        <f aca="false">Scoring!BF88</f>
        <v/>
      </c>
    </row>
    <row r="83" customFormat="false" ht="15.75" hidden="false" customHeight="false" outlineLevel="0" collapsed="false">
      <c r="A83" s="138" t="str">
        <f aca="false">Scoring!BI89</f>
        <v/>
      </c>
      <c r="B83" s="138" t="str">
        <f aca="false">Scoring!BH89</f>
        <v/>
      </c>
      <c r="C83" s="138" t="n">
        <f aca="false">Scoring!C89</f>
        <v>0</v>
      </c>
      <c r="D83" s="139" t="str">
        <f aca="false">Scoring!BE89</f>
        <v/>
      </c>
      <c r="E83" s="138" t="str">
        <f aca="false">Scoring!AJ89</f>
        <v/>
      </c>
      <c r="F83" s="138" t="n">
        <f aca="false">Scoring!B89</f>
        <v>0</v>
      </c>
      <c r="G83" s="138" t="n">
        <f aca="false">Scoring!D89</f>
        <v>0</v>
      </c>
      <c r="H83" s="138" t="str">
        <f aca="false">Scoring!BG89</f>
        <v/>
      </c>
      <c r="I83" s="140" t="str">
        <f aca="false">Scoring!BF89</f>
        <v/>
      </c>
    </row>
    <row r="84" customFormat="false" ht="15.75" hidden="false" customHeight="false" outlineLevel="0" collapsed="false">
      <c r="A84" s="138" t="str">
        <f aca="false">Scoring!BI90</f>
        <v/>
      </c>
      <c r="B84" s="138" t="str">
        <f aca="false">Scoring!BH90</f>
        <v/>
      </c>
      <c r="C84" s="138" t="n">
        <f aca="false">Scoring!C90</f>
        <v>0</v>
      </c>
      <c r="D84" s="139" t="str">
        <f aca="false">Scoring!BE90</f>
        <v/>
      </c>
      <c r="E84" s="138" t="str">
        <f aca="false">Scoring!AJ90</f>
        <v/>
      </c>
      <c r="F84" s="138" t="n">
        <f aca="false">Scoring!B90</f>
        <v>0</v>
      </c>
      <c r="G84" s="138" t="n">
        <f aca="false">Scoring!D90</f>
        <v>0</v>
      </c>
      <c r="H84" s="138" t="str">
        <f aca="false">Scoring!BG90</f>
        <v/>
      </c>
      <c r="I84" s="140" t="str">
        <f aca="false">Scoring!BF90</f>
        <v/>
      </c>
    </row>
    <row r="85" customFormat="false" ht="15.75" hidden="false" customHeight="false" outlineLevel="0" collapsed="false">
      <c r="A85" s="138" t="str">
        <f aca="false">Scoring!BI91</f>
        <v/>
      </c>
      <c r="B85" s="138" t="str">
        <f aca="false">Scoring!BH91</f>
        <v/>
      </c>
      <c r="C85" s="138" t="n">
        <f aca="false">Scoring!C91</f>
        <v>0</v>
      </c>
      <c r="D85" s="139" t="str">
        <f aca="false">Scoring!BE91</f>
        <v/>
      </c>
      <c r="E85" s="138" t="str">
        <f aca="false">Scoring!AJ91</f>
        <v/>
      </c>
      <c r="F85" s="138" t="n">
        <f aca="false">Scoring!B91</f>
        <v>0</v>
      </c>
      <c r="G85" s="138" t="n">
        <f aca="false">Scoring!D91</f>
        <v>0</v>
      </c>
      <c r="H85" s="138" t="str">
        <f aca="false">Scoring!BG91</f>
        <v/>
      </c>
      <c r="I85" s="140" t="str">
        <f aca="false">Scoring!BF91</f>
        <v/>
      </c>
    </row>
    <row r="86" customFormat="false" ht="15.75" hidden="false" customHeight="false" outlineLevel="0" collapsed="false">
      <c r="A86" s="138" t="str">
        <f aca="false">Scoring!BI92</f>
        <v/>
      </c>
      <c r="B86" s="138" t="str">
        <f aca="false">Scoring!BH92</f>
        <v/>
      </c>
      <c r="C86" s="138" t="n">
        <f aca="false">Scoring!C92</f>
        <v>0</v>
      </c>
      <c r="D86" s="139" t="str">
        <f aca="false">Scoring!BE92</f>
        <v/>
      </c>
      <c r="E86" s="138" t="str">
        <f aca="false">Scoring!AJ92</f>
        <v/>
      </c>
      <c r="F86" s="138" t="n">
        <f aca="false">Scoring!B92</f>
        <v>0</v>
      </c>
      <c r="G86" s="138" t="n">
        <f aca="false">Scoring!D92</f>
        <v>0</v>
      </c>
      <c r="H86" s="138" t="str">
        <f aca="false">Scoring!BG92</f>
        <v/>
      </c>
      <c r="I86" s="140" t="str">
        <f aca="false">Scoring!BF92</f>
        <v/>
      </c>
    </row>
    <row r="87" customFormat="false" ht="15.75" hidden="false" customHeight="false" outlineLevel="0" collapsed="false">
      <c r="A87" s="138" t="str">
        <f aca="false">Scoring!BI93</f>
        <v/>
      </c>
      <c r="B87" s="138" t="str">
        <f aca="false">Scoring!BH93</f>
        <v/>
      </c>
      <c r="C87" s="138" t="n">
        <f aca="false">Scoring!C93</f>
        <v>0</v>
      </c>
      <c r="D87" s="139" t="str">
        <f aca="false">Scoring!BE93</f>
        <v/>
      </c>
      <c r="E87" s="138" t="str">
        <f aca="false">Scoring!AJ93</f>
        <v/>
      </c>
      <c r="F87" s="138" t="n">
        <f aca="false">Scoring!B93</f>
        <v>0</v>
      </c>
      <c r="G87" s="138" t="n">
        <f aca="false">Scoring!D93</f>
        <v>0</v>
      </c>
      <c r="H87" s="138" t="str">
        <f aca="false">Scoring!BG93</f>
        <v/>
      </c>
      <c r="I87" s="140" t="str">
        <f aca="false">Scoring!BF93</f>
        <v/>
      </c>
    </row>
    <row r="88" customFormat="false" ht="15.75" hidden="false" customHeight="false" outlineLevel="0" collapsed="false">
      <c r="A88" s="138" t="str">
        <f aca="false">Scoring!BI94</f>
        <v/>
      </c>
      <c r="B88" s="138" t="str">
        <f aca="false">Scoring!BH94</f>
        <v/>
      </c>
      <c r="C88" s="138" t="n">
        <f aca="false">Scoring!C94</f>
        <v>0</v>
      </c>
      <c r="D88" s="139" t="str">
        <f aca="false">Scoring!BE94</f>
        <v/>
      </c>
      <c r="E88" s="138" t="str">
        <f aca="false">Scoring!AJ94</f>
        <v/>
      </c>
      <c r="F88" s="138" t="n">
        <f aca="false">Scoring!B94</f>
        <v>0</v>
      </c>
      <c r="G88" s="138" t="n">
        <f aca="false">Scoring!D94</f>
        <v>0</v>
      </c>
      <c r="H88" s="138" t="str">
        <f aca="false">Scoring!BG94</f>
        <v/>
      </c>
      <c r="I88" s="140" t="str">
        <f aca="false">Scoring!BF94</f>
        <v/>
      </c>
    </row>
    <row r="89" customFormat="false" ht="15.75" hidden="false" customHeight="false" outlineLevel="0" collapsed="false">
      <c r="A89" s="138" t="str">
        <f aca="false">Scoring!BI95</f>
        <v/>
      </c>
      <c r="B89" s="138" t="str">
        <f aca="false">Scoring!BH95</f>
        <v/>
      </c>
      <c r="C89" s="138" t="n">
        <f aca="false">Scoring!C95</f>
        <v>0</v>
      </c>
      <c r="D89" s="139" t="str">
        <f aca="false">Scoring!BE95</f>
        <v/>
      </c>
      <c r="E89" s="138" t="str">
        <f aca="false">Scoring!AJ95</f>
        <v/>
      </c>
      <c r="F89" s="138" t="n">
        <f aca="false">Scoring!B95</f>
        <v>0</v>
      </c>
      <c r="G89" s="138" t="n">
        <f aca="false">Scoring!D95</f>
        <v>0</v>
      </c>
      <c r="H89" s="138" t="str">
        <f aca="false">Scoring!BG95</f>
        <v/>
      </c>
      <c r="I89" s="140" t="str">
        <f aca="false">Scoring!BF95</f>
        <v/>
      </c>
    </row>
    <row r="90" customFormat="false" ht="15.75" hidden="false" customHeight="false" outlineLevel="0" collapsed="false">
      <c r="A90" s="138" t="str">
        <f aca="false">Scoring!BI96</f>
        <v/>
      </c>
      <c r="B90" s="138" t="str">
        <f aca="false">Scoring!BH96</f>
        <v/>
      </c>
      <c r="C90" s="138" t="n">
        <f aca="false">Scoring!C96</f>
        <v>0</v>
      </c>
      <c r="D90" s="139" t="str">
        <f aca="false">Scoring!BE96</f>
        <v/>
      </c>
      <c r="E90" s="138" t="str">
        <f aca="false">Scoring!AJ96</f>
        <v/>
      </c>
      <c r="F90" s="138" t="n">
        <f aca="false">Scoring!B96</f>
        <v>0</v>
      </c>
      <c r="G90" s="138" t="n">
        <f aca="false">Scoring!D96</f>
        <v>0</v>
      </c>
      <c r="H90" s="138" t="str">
        <f aca="false">Scoring!BG96</f>
        <v/>
      </c>
      <c r="I90" s="140" t="str">
        <f aca="false">Scoring!BF96</f>
        <v/>
      </c>
    </row>
    <row r="91" customFormat="false" ht="15.75" hidden="false" customHeight="false" outlineLevel="0" collapsed="false">
      <c r="A91" s="138" t="str">
        <f aca="false">Scoring!BI97</f>
        <v/>
      </c>
      <c r="B91" s="138" t="str">
        <f aca="false">Scoring!BH97</f>
        <v/>
      </c>
      <c r="C91" s="138" t="n">
        <f aca="false">Scoring!C97</f>
        <v>0</v>
      </c>
      <c r="D91" s="139" t="str">
        <f aca="false">Scoring!BE97</f>
        <v/>
      </c>
      <c r="E91" s="138" t="str">
        <f aca="false">Scoring!AJ97</f>
        <v/>
      </c>
      <c r="F91" s="138" t="n">
        <f aca="false">Scoring!B97</f>
        <v>0</v>
      </c>
      <c r="G91" s="138" t="n">
        <f aca="false">Scoring!D97</f>
        <v>0</v>
      </c>
      <c r="H91" s="138" t="str">
        <f aca="false">Scoring!BG97</f>
        <v/>
      </c>
      <c r="I91" s="140" t="str">
        <f aca="false">Scoring!BF97</f>
        <v/>
      </c>
    </row>
    <row r="92" customFormat="false" ht="15.75" hidden="false" customHeight="false" outlineLevel="0" collapsed="false">
      <c r="A92" s="138" t="str">
        <f aca="false">Scoring!BI98</f>
        <v/>
      </c>
      <c r="B92" s="138" t="str">
        <f aca="false">Scoring!BH98</f>
        <v/>
      </c>
      <c r="C92" s="138" t="n">
        <f aca="false">Scoring!C98</f>
        <v>0</v>
      </c>
      <c r="D92" s="139" t="str">
        <f aca="false">Scoring!BE98</f>
        <v/>
      </c>
      <c r="E92" s="138" t="str">
        <f aca="false">Scoring!AJ98</f>
        <v/>
      </c>
      <c r="F92" s="138" t="n">
        <f aca="false">Scoring!B98</f>
        <v>0</v>
      </c>
      <c r="G92" s="138" t="n">
        <f aca="false">Scoring!D98</f>
        <v>0</v>
      </c>
      <c r="H92" s="138" t="str">
        <f aca="false">Scoring!BG98</f>
        <v/>
      </c>
      <c r="I92" s="140" t="str">
        <f aca="false">Scoring!BF98</f>
        <v/>
      </c>
    </row>
    <row r="93" customFormat="false" ht="15.75" hidden="false" customHeight="false" outlineLevel="0" collapsed="false">
      <c r="A93" s="138" t="str">
        <f aca="false">Scoring!BI99</f>
        <v/>
      </c>
      <c r="B93" s="138" t="str">
        <f aca="false">Scoring!BH99</f>
        <v/>
      </c>
      <c r="C93" s="138" t="n">
        <f aca="false">Scoring!C99</f>
        <v>0</v>
      </c>
      <c r="D93" s="139" t="str">
        <f aca="false">Scoring!BE99</f>
        <v/>
      </c>
      <c r="E93" s="138" t="str">
        <f aca="false">Scoring!AJ99</f>
        <v/>
      </c>
      <c r="F93" s="138" t="n">
        <f aca="false">Scoring!B99</f>
        <v>0</v>
      </c>
      <c r="G93" s="138" t="n">
        <f aca="false">Scoring!D99</f>
        <v>0</v>
      </c>
      <c r="H93" s="138" t="str">
        <f aca="false">Scoring!BG99</f>
        <v/>
      </c>
      <c r="I93" s="140" t="str">
        <f aca="false">Scoring!BF99</f>
        <v/>
      </c>
    </row>
    <row r="94" customFormat="false" ht="15.75" hidden="false" customHeight="false" outlineLevel="0" collapsed="false">
      <c r="A94" s="138" t="str">
        <f aca="false">Scoring!BI100</f>
        <v/>
      </c>
      <c r="B94" s="138" t="str">
        <f aca="false">Scoring!BH100</f>
        <v/>
      </c>
      <c r="C94" s="138" t="n">
        <f aca="false">Scoring!C100</f>
        <v>0</v>
      </c>
      <c r="D94" s="139" t="str">
        <f aca="false">Scoring!BE100</f>
        <v/>
      </c>
      <c r="E94" s="138" t="str">
        <f aca="false">Scoring!AJ100</f>
        <v/>
      </c>
      <c r="F94" s="138" t="n">
        <f aca="false">Scoring!B100</f>
        <v>0</v>
      </c>
      <c r="G94" s="138" t="n">
        <f aca="false">Scoring!D100</f>
        <v>0</v>
      </c>
      <c r="H94" s="138" t="str">
        <f aca="false">Scoring!BG100</f>
        <v/>
      </c>
      <c r="I94" s="140" t="str">
        <f aca="false">Scoring!BF100</f>
        <v/>
      </c>
    </row>
    <row r="95" customFormat="false" ht="15.75" hidden="false" customHeight="false" outlineLevel="0" collapsed="false">
      <c r="A95" s="138" t="str">
        <f aca="false">Scoring!BI101</f>
        <v/>
      </c>
      <c r="B95" s="138" t="str">
        <f aca="false">Scoring!BH101</f>
        <v/>
      </c>
      <c r="C95" s="138" t="n">
        <f aca="false">Scoring!C101</f>
        <v>0</v>
      </c>
      <c r="D95" s="139" t="str">
        <f aca="false">Scoring!BE101</f>
        <v/>
      </c>
      <c r="E95" s="138" t="str">
        <f aca="false">Scoring!AJ101</f>
        <v/>
      </c>
      <c r="F95" s="138" t="n">
        <f aca="false">Scoring!B101</f>
        <v>0</v>
      </c>
      <c r="G95" s="138" t="n">
        <f aca="false">Scoring!D101</f>
        <v>0</v>
      </c>
      <c r="H95" s="138" t="str">
        <f aca="false">Scoring!BG101</f>
        <v/>
      </c>
      <c r="I95" s="140" t="str">
        <f aca="false">Scoring!BF101</f>
        <v/>
      </c>
    </row>
    <row r="96" customFormat="false" ht="15.75" hidden="false" customHeight="false" outlineLevel="0" collapsed="false">
      <c r="A96" s="138" t="str">
        <f aca="false">Scoring!BI102</f>
        <v/>
      </c>
      <c r="B96" s="138" t="str">
        <f aca="false">Scoring!BH102</f>
        <v/>
      </c>
      <c r="C96" s="138" t="n">
        <f aca="false">Scoring!C102</f>
        <v>0</v>
      </c>
      <c r="D96" s="139" t="str">
        <f aca="false">Scoring!BE102</f>
        <v/>
      </c>
      <c r="E96" s="138" t="str">
        <f aca="false">Scoring!AJ102</f>
        <v/>
      </c>
      <c r="F96" s="138" t="n">
        <f aca="false">Scoring!B102</f>
        <v>0</v>
      </c>
      <c r="G96" s="138" t="n">
        <f aca="false">Scoring!D102</f>
        <v>0</v>
      </c>
      <c r="H96" s="138" t="str">
        <f aca="false">Scoring!BG102</f>
        <v/>
      </c>
      <c r="I96" s="140" t="str">
        <f aca="false">Scoring!BF102</f>
        <v/>
      </c>
    </row>
    <row r="97" customFormat="false" ht="15.75" hidden="false" customHeight="false" outlineLevel="0" collapsed="false">
      <c r="A97" s="138" t="str">
        <f aca="false">Scoring!BI103</f>
        <v/>
      </c>
      <c r="B97" s="138" t="str">
        <f aca="false">Scoring!BH103</f>
        <v/>
      </c>
      <c r="C97" s="138" t="n">
        <f aca="false">Scoring!C103</f>
        <v>0</v>
      </c>
      <c r="D97" s="139" t="str">
        <f aca="false">Scoring!BE103</f>
        <v/>
      </c>
      <c r="E97" s="138" t="str">
        <f aca="false">Scoring!AJ103</f>
        <v/>
      </c>
      <c r="F97" s="138" t="n">
        <f aca="false">Scoring!B103</f>
        <v>0</v>
      </c>
      <c r="G97" s="138" t="n">
        <f aca="false">Scoring!D103</f>
        <v>0</v>
      </c>
      <c r="H97" s="138" t="str">
        <f aca="false">Scoring!BG103</f>
        <v/>
      </c>
      <c r="I97" s="140" t="str">
        <f aca="false">Scoring!BF103</f>
        <v/>
      </c>
    </row>
    <row r="98" customFormat="false" ht="15.75" hidden="false" customHeight="false" outlineLevel="0" collapsed="false">
      <c r="A98" s="138" t="str">
        <f aca="false">Scoring!BI104</f>
        <v/>
      </c>
      <c r="B98" s="138" t="str">
        <f aca="false">Scoring!BH104</f>
        <v/>
      </c>
      <c r="C98" s="138" t="n">
        <f aca="false">Scoring!C104</f>
        <v>0</v>
      </c>
      <c r="D98" s="139" t="str">
        <f aca="false">Scoring!BE104</f>
        <v/>
      </c>
      <c r="E98" s="138" t="str">
        <f aca="false">Scoring!AJ104</f>
        <v/>
      </c>
      <c r="F98" s="138" t="n">
        <f aca="false">Scoring!B104</f>
        <v>0</v>
      </c>
      <c r="G98" s="138" t="n">
        <f aca="false">Scoring!D104</f>
        <v>0</v>
      </c>
      <c r="H98" s="138" t="str">
        <f aca="false">Scoring!BG104</f>
        <v/>
      </c>
      <c r="I98" s="140" t="str">
        <f aca="false">Scoring!BF104</f>
        <v/>
      </c>
    </row>
    <row r="99" customFormat="false" ht="15.75" hidden="false" customHeight="false" outlineLevel="0" collapsed="false">
      <c r="A99" s="138" t="str">
        <f aca="false">Scoring!BI105</f>
        <v/>
      </c>
      <c r="B99" s="138" t="str">
        <f aca="false">Scoring!BH105</f>
        <v/>
      </c>
      <c r="C99" s="138" t="n">
        <f aca="false">Scoring!C105</f>
        <v>0</v>
      </c>
      <c r="D99" s="139" t="str">
        <f aca="false">Scoring!BE105</f>
        <v/>
      </c>
      <c r="E99" s="138" t="str">
        <f aca="false">Scoring!AJ105</f>
        <v/>
      </c>
      <c r="F99" s="138" t="n">
        <f aca="false">Scoring!B105</f>
        <v>0</v>
      </c>
      <c r="G99" s="138" t="n">
        <f aca="false">Scoring!D105</f>
        <v>0</v>
      </c>
      <c r="H99" s="138" t="str">
        <f aca="false">Scoring!BG105</f>
        <v/>
      </c>
      <c r="I99" s="140" t="str">
        <f aca="false">Scoring!BF105</f>
        <v/>
      </c>
    </row>
    <row r="100" customFormat="false" ht="15.75" hidden="false" customHeight="false" outlineLevel="0" collapsed="false">
      <c r="A100" s="138" t="str">
        <f aca="false">Scoring!BI106</f>
        <v/>
      </c>
      <c r="B100" s="138" t="str">
        <f aca="false">Scoring!BH106</f>
        <v/>
      </c>
      <c r="C100" s="138" t="n">
        <f aca="false">Scoring!C106</f>
        <v>0</v>
      </c>
      <c r="D100" s="139" t="str">
        <f aca="false">Scoring!BE106</f>
        <v/>
      </c>
      <c r="E100" s="138" t="str">
        <f aca="false">Scoring!AJ106</f>
        <v/>
      </c>
      <c r="F100" s="138" t="n">
        <f aca="false">Scoring!B106</f>
        <v>0</v>
      </c>
      <c r="G100" s="138" t="n">
        <f aca="false">Scoring!D106</f>
        <v>0</v>
      </c>
      <c r="H100" s="138" t="str">
        <f aca="false">Scoring!BG106</f>
        <v/>
      </c>
      <c r="I100" s="140" t="str">
        <f aca="false">Scoring!BF106</f>
        <v/>
      </c>
    </row>
    <row r="101" customFormat="false" ht="15.75" hidden="false" customHeight="false" outlineLevel="0" collapsed="false">
      <c r="A101" s="138" t="str">
        <f aca="false">Scoring!BI107</f>
        <v/>
      </c>
      <c r="B101" s="138" t="str">
        <f aca="false">Scoring!BH107</f>
        <v/>
      </c>
      <c r="C101" s="138" t="n">
        <f aca="false">Scoring!C107</f>
        <v>0</v>
      </c>
      <c r="D101" s="139" t="str">
        <f aca="false">Scoring!BE107</f>
        <v/>
      </c>
      <c r="E101" s="138" t="str">
        <f aca="false">Scoring!AJ107</f>
        <v/>
      </c>
      <c r="F101" s="138" t="n">
        <f aca="false">Scoring!B107</f>
        <v>0</v>
      </c>
      <c r="G101" s="138" t="n">
        <f aca="false">Scoring!D107</f>
        <v>0</v>
      </c>
      <c r="H101" s="138" t="str">
        <f aca="false">Scoring!BG107</f>
        <v/>
      </c>
      <c r="I101" s="140" t="str">
        <f aca="false">Scoring!BF107</f>
        <v/>
      </c>
    </row>
    <row r="102" customFormat="false" ht="15.75" hidden="false" customHeight="false" outlineLevel="0" collapsed="false">
      <c r="A102" s="138" t="str">
        <f aca="false">Scoring!BI108</f>
        <v/>
      </c>
      <c r="B102" s="138" t="str">
        <f aca="false">Scoring!BH108</f>
        <v/>
      </c>
      <c r="C102" s="138" t="n">
        <f aca="false">Scoring!C108</f>
        <v>0</v>
      </c>
      <c r="D102" s="139" t="str">
        <f aca="false">Scoring!BE108</f>
        <v/>
      </c>
      <c r="E102" s="138" t="str">
        <f aca="false">Scoring!AJ108</f>
        <v/>
      </c>
      <c r="F102" s="138" t="n">
        <f aca="false">Scoring!B108</f>
        <v>0</v>
      </c>
      <c r="G102" s="138" t="n">
        <f aca="false">Scoring!D108</f>
        <v>0</v>
      </c>
      <c r="H102" s="138" t="str">
        <f aca="false">Scoring!BG108</f>
        <v/>
      </c>
      <c r="I102" s="140" t="str">
        <f aca="false">Scoring!BF108</f>
        <v/>
      </c>
    </row>
    <row r="103" customFormat="false" ht="15.75" hidden="false" customHeight="false" outlineLevel="0" collapsed="false">
      <c r="A103" s="138" t="str">
        <f aca="false">Scoring!BI109</f>
        <v/>
      </c>
      <c r="B103" s="138" t="str">
        <f aca="false">Scoring!BH109</f>
        <v/>
      </c>
      <c r="C103" s="138" t="n">
        <f aca="false">Scoring!C109</f>
        <v>0</v>
      </c>
      <c r="D103" s="139" t="str">
        <f aca="false">Scoring!BE109</f>
        <v/>
      </c>
      <c r="E103" s="138" t="str">
        <f aca="false">Scoring!AJ109</f>
        <v/>
      </c>
      <c r="F103" s="138" t="n">
        <f aca="false">Scoring!B109</f>
        <v>0</v>
      </c>
      <c r="G103" s="138" t="n">
        <f aca="false">Scoring!D109</f>
        <v>0</v>
      </c>
      <c r="H103" s="138" t="str">
        <f aca="false">Scoring!BG109</f>
        <v/>
      </c>
      <c r="I103" s="140" t="str">
        <f aca="false">Scoring!BF109</f>
        <v/>
      </c>
    </row>
    <row r="104" customFormat="false" ht="15.75" hidden="false" customHeight="false" outlineLevel="0" collapsed="false">
      <c r="A104" s="138" t="str">
        <f aca="false">Scoring!BI110</f>
        <v/>
      </c>
      <c r="B104" s="138" t="str">
        <f aca="false">Scoring!BH110</f>
        <v/>
      </c>
      <c r="C104" s="138" t="n">
        <f aca="false">Scoring!C110</f>
        <v>0</v>
      </c>
      <c r="D104" s="139" t="str">
        <f aca="false">Scoring!BE110</f>
        <v/>
      </c>
      <c r="E104" s="138" t="str">
        <f aca="false">Scoring!AJ110</f>
        <v/>
      </c>
      <c r="F104" s="138" t="n">
        <f aca="false">Scoring!B110</f>
        <v>0</v>
      </c>
      <c r="G104" s="138" t="n">
        <f aca="false">Scoring!D110</f>
        <v>0</v>
      </c>
      <c r="H104" s="138" t="str">
        <f aca="false">Scoring!BG110</f>
        <v/>
      </c>
      <c r="I104" s="140" t="str">
        <f aca="false">Scoring!BF110</f>
        <v/>
      </c>
    </row>
    <row r="105" customFormat="false" ht="15.75" hidden="false" customHeight="false" outlineLevel="0" collapsed="false">
      <c r="A105" s="138" t="str">
        <f aca="false">Scoring!BI111</f>
        <v/>
      </c>
      <c r="B105" s="138" t="str">
        <f aca="false">Scoring!BH111</f>
        <v/>
      </c>
      <c r="C105" s="138" t="n">
        <f aca="false">Scoring!C111</f>
        <v>0</v>
      </c>
      <c r="D105" s="139" t="str">
        <f aca="false">Scoring!BE111</f>
        <v/>
      </c>
      <c r="E105" s="138" t="str">
        <f aca="false">Scoring!AJ111</f>
        <v/>
      </c>
      <c r="F105" s="138" t="n">
        <f aca="false">Scoring!B111</f>
        <v>0</v>
      </c>
      <c r="G105" s="138" t="n">
        <f aca="false">Scoring!D111</f>
        <v>0</v>
      </c>
      <c r="H105" s="138" t="str">
        <f aca="false">Scoring!BG111</f>
        <v/>
      </c>
      <c r="I105" s="140" t="str">
        <f aca="false">Scoring!BF111</f>
        <v/>
      </c>
    </row>
    <row r="106" customFormat="false" ht="15.75" hidden="false" customHeight="false" outlineLevel="0" collapsed="false">
      <c r="A106" s="138" t="str">
        <f aca="false">Scoring!BI112</f>
        <v/>
      </c>
      <c r="B106" s="138" t="str">
        <f aca="false">Scoring!BH112</f>
        <v/>
      </c>
      <c r="C106" s="138" t="n">
        <f aca="false">Scoring!C112</f>
        <v>0</v>
      </c>
      <c r="D106" s="139" t="str">
        <f aca="false">Scoring!BE112</f>
        <v/>
      </c>
      <c r="E106" s="138" t="str">
        <f aca="false">Scoring!AJ112</f>
        <v/>
      </c>
      <c r="F106" s="138" t="n">
        <f aca="false">Scoring!B112</f>
        <v>0</v>
      </c>
      <c r="G106" s="138" t="n">
        <f aca="false">Scoring!D112</f>
        <v>0</v>
      </c>
      <c r="H106" s="138" t="str">
        <f aca="false">Scoring!BG112</f>
        <v/>
      </c>
      <c r="I106" s="140" t="str">
        <f aca="false">Scoring!BF112</f>
        <v/>
      </c>
    </row>
    <row r="107" customFormat="false" ht="15.75" hidden="false" customHeight="false" outlineLevel="0" collapsed="false">
      <c r="A107" s="138" t="str">
        <f aca="false">Scoring!BI113</f>
        <v/>
      </c>
      <c r="B107" s="138" t="str">
        <f aca="false">Scoring!BH113</f>
        <v/>
      </c>
      <c r="C107" s="138" t="n">
        <f aca="false">Scoring!C113</f>
        <v>0</v>
      </c>
      <c r="D107" s="139" t="str">
        <f aca="false">Scoring!BE113</f>
        <v/>
      </c>
      <c r="E107" s="138" t="str">
        <f aca="false">Scoring!AJ113</f>
        <v/>
      </c>
      <c r="F107" s="138" t="n">
        <f aca="false">Scoring!B113</f>
        <v>0</v>
      </c>
      <c r="G107" s="138" t="n">
        <f aca="false">Scoring!D113</f>
        <v>0</v>
      </c>
      <c r="H107" s="138" t="str">
        <f aca="false">Scoring!BG113</f>
        <v/>
      </c>
      <c r="I107" s="140" t="str">
        <f aca="false">Scoring!BF113</f>
        <v/>
      </c>
    </row>
    <row r="108" customFormat="false" ht="15.75" hidden="false" customHeight="false" outlineLevel="0" collapsed="false">
      <c r="A108" s="138" t="str">
        <f aca="false">Scoring!BI114</f>
        <v/>
      </c>
      <c r="B108" s="138" t="str">
        <f aca="false">Scoring!BH114</f>
        <v/>
      </c>
      <c r="C108" s="138" t="n">
        <f aca="false">Scoring!C114</f>
        <v>0</v>
      </c>
      <c r="D108" s="139" t="str">
        <f aca="false">Scoring!BE114</f>
        <v/>
      </c>
      <c r="E108" s="138" t="str">
        <f aca="false">Scoring!AJ114</f>
        <v/>
      </c>
      <c r="F108" s="138" t="n">
        <f aca="false">Scoring!B114</f>
        <v>0</v>
      </c>
      <c r="G108" s="138" t="n">
        <f aca="false">Scoring!D114</f>
        <v>0</v>
      </c>
      <c r="H108" s="138" t="str">
        <f aca="false">Scoring!BG114</f>
        <v/>
      </c>
      <c r="I108" s="140" t="str">
        <f aca="false">Scoring!BF114</f>
        <v/>
      </c>
    </row>
    <row r="109" customFormat="false" ht="15.75" hidden="false" customHeight="false" outlineLevel="0" collapsed="false">
      <c r="A109" s="138" t="str">
        <f aca="false">Scoring!BI115</f>
        <v/>
      </c>
      <c r="B109" s="138" t="str">
        <f aca="false">Scoring!BH115</f>
        <v/>
      </c>
      <c r="C109" s="138" t="n">
        <f aca="false">Scoring!C115</f>
        <v>0</v>
      </c>
      <c r="D109" s="139" t="str">
        <f aca="false">Scoring!BE115</f>
        <v/>
      </c>
      <c r="E109" s="138" t="str">
        <f aca="false">Scoring!AJ115</f>
        <v/>
      </c>
      <c r="F109" s="138" t="n">
        <f aca="false">Scoring!B115</f>
        <v>0</v>
      </c>
      <c r="G109" s="138" t="n">
        <f aca="false">Scoring!D115</f>
        <v>0</v>
      </c>
      <c r="H109" s="138" t="str">
        <f aca="false">Scoring!BG115</f>
        <v/>
      </c>
      <c r="I109" s="140" t="str">
        <f aca="false">Scoring!BF115</f>
        <v/>
      </c>
    </row>
    <row r="110" customFormat="false" ht="15.75" hidden="false" customHeight="false" outlineLevel="0" collapsed="false">
      <c r="A110" s="138" t="str">
        <f aca="false">Scoring!BI116</f>
        <v/>
      </c>
      <c r="B110" s="138" t="str">
        <f aca="false">Scoring!BH116</f>
        <v/>
      </c>
      <c r="C110" s="138" t="n">
        <f aca="false">Scoring!C116</f>
        <v>0</v>
      </c>
      <c r="D110" s="139" t="str">
        <f aca="false">Scoring!BE116</f>
        <v/>
      </c>
      <c r="E110" s="138" t="str">
        <f aca="false">Scoring!AJ116</f>
        <v/>
      </c>
      <c r="F110" s="138" t="n">
        <f aca="false">Scoring!B116</f>
        <v>0</v>
      </c>
      <c r="G110" s="138" t="n">
        <f aca="false">Scoring!D116</f>
        <v>0</v>
      </c>
      <c r="H110" s="138" t="str">
        <f aca="false">Scoring!BG116</f>
        <v/>
      </c>
      <c r="I110" s="140" t="str">
        <f aca="false">Scoring!BF116</f>
        <v/>
      </c>
    </row>
    <row r="111" customFormat="false" ht="15.75" hidden="false" customHeight="false" outlineLevel="0" collapsed="false">
      <c r="A111" s="138" t="str">
        <f aca="false">Scoring!BI117</f>
        <v/>
      </c>
      <c r="B111" s="138" t="str">
        <f aca="false">Scoring!BH117</f>
        <v/>
      </c>
      <c r="C111" s="138" t="n">
        <f aca="false">Scoring!C117</f>
        <v>0</v>
      </c>
      <c r="D111" s="139" t="str">
        <f aca="false">Scoring!BE117</f>
        <v/>
      </c>
      <c r="E111" s="138" t="str">
        <f aca="false">Scoring!AJ117</f>
        <v/>
      </c>
      <c r="F111" s="138" t="n">
        <f aca="false">Scoring!B117</f>
        <v>0</v>
      </c>
      <c r="G111" s="138" t="n">
        <f aca="false">Scoring!D117</f>
        <v>0</v>
      </c>
      <c r="H111" s="138" t="str">
        <f aca="false">Scoring!BG117</f>
        <v/>
      </c>
      <c r="I111" s="140" t="str">
        <f aca="false">Scoring!BF117</f>
        <v/>
      </c>
    </row>
    <row r="112" customFormat="false" ht="15.75" hidden="false" customHeight="false" outlineLevel="0" collapsed="false">
      <c r="A112" s="138" t="str">
        <f aca="false">Scoring!BI118</f>
        <v/>
      </c>
      <c r="B112" s="138" t="str">
        <f aca="false">Scoring!BH118</f>
        <v/>
      </c>
      <c r="C112" s="138" t="n">
        <f aca="false">Scoring!C118</f>
        <v>0</v>
      </c>
      <c r="D112" s="139" t="str">
        <f aca="false">Scoring!BE118</f>
        <v/>
      </c>
      <c r="E112" s="138" t="str">
        <f aca="false">Scoring!AJ118</f>
        <v/>
      </c>
      <c r="F112" s="138" t="n">
        <f aca="false">Scoring!B118</f>
        <v>0</v>
      </c>
      <c r="G112" s="138" t="n">
        <f aca="false">Scoring!D118</f>
        <v>0</v>
      </c>
      <c r="H112" s="138" t="str">
        <f aca="false">Scoring!BG118</f>
        <v/>
      </c>
      <c r="I112" s="140" t="str">
        <f aca="false">Scoring!BF118</f>
        <v/>
      </c>
    </row>
    <row r="113" customFormat="false" ht="15.75" hidden="false" customHeight="false" outlineLevel="0" collapsed="false">
      <c r="A113" s="138" t="str">
        <f aca="false">Scoring!BI119</f>
        <v/>
      </c>
      <c r="B113" s="138" t="str">
        <f aca="false">Scoring!BH119</f>
        <v/>
      </c>
      <c r="C113" s="138" t="n">
        <f aca="false">Scoring!C119</f>
        <v>0</v>
      </c>
      <c r="D113" s="139" t="str">
        <f aca="false">Scoring!BE119</f>
        <v/>
      </c>
      <c r="E113" s="138" t="str">
        <f aca="false">Scoring!AJ119</f>
        <v/>
      </c>
      <c r="F113" s="138" t="n">
        <f aca="false">Scoring!B119</f>
        <v>0</v>
      </c>
      <c r="G113" s="138" t="n">
        <f aca="false">Scoring!D119</f>
        <v>0</v>
      </c>
      <c r="H113" s="138" t="str">
        <f aca="false">Scoring!BG119</f>
        <v/>
      </c>
      <c r="I113" s="140" t="str">
        <f aca="false">Scoring!BF119</f>
        <v/>
      </c>
    </row>
    <row r="114" customFormat="false" ht="15.75" hidden="false" customHeight="false" outlineLevel="0" collapsed="false">
      <c r="A114" s="138" t="str">
        <f aca="false">Scoring!BI120</f>
        <v/>
      </c>
      <c r="B114" s="138" t="str">
        <f aca="false">Scoring!BH120</f>
        <v/>
      </c>
      <c r="C114" s="138" t="n">
        <f aca="false">Scoring!C120</f>
        <v>0</v>
      </c>
      <c r="D114" s="139" t="str">
        <f aca="false">Scoring!BE120</f>
        <v/>
      </c>
      <c r="E114" s="138" t="str">
        <f aca="false">Scoring!AJ120</f>
        <v/>
      </c>
      <c r="F114" s="138" t="n">
        <f aca="false">Scoring!B120</f>
        <v>0</v>
      </c>
      <c r="G114" s="138" t="n">
        <f aca="false">Scoring!D120</f>
        <v>0</v>
      </c>
      <c r="H114" s="138" t="str">
        <f aca="false">Scoring!BG120</f>
        <v/>
      </c>
      <c r="I114" s="140" t="str">
        <f aca="false">Scoring!BF120</f>
        <v/>
      </c>
    </row>
    <row r="115" customFormat="false" ht="15.75" hidden="false" customHeight="false" outlineLevel="0" collapsed="false">
      <c r="A115" s="138" t="str">
        <f aca="false">Scoring!BI121</f>
        <v/>
      </c>
      <c r="B115" s="138" t="str">
        <f aca="false">Scoring!BH121</f>
        <v/>
      </c>
      <c r="C115" s="138" t="n">
        <f aca="false">Scoring!C121</f>
        <v>0</v>
      </c>
      <c r="D115" s="139" t="str">
        <f aca="false">Scoring!BE121</f>
        <v/>
      </c>
      <c r="E115" s="138" t="str">
        <f aca="false">Scoring!AJ121</f>
        <v/>
      </c>
      <c r="F115" s="138" t="n">
        <f aca="false">Scoring!B121</f>
        <v>0</v>
      </c>
      <c r="G115" s="138" t="n">
        <f aca="false">Scoring!D121</f>
        <v>0</v>
      </c>
      <c r="H115" s="138" t="str">
        <f aca="false">Scoring!BG121</f>
        <v/>
      </c>
      <c r="I115" s="140" t="str">
        <f aca="false">Scoring!BF121</f>
        <v/>
      </c>
    </row>
    <row r="116" customFormat="false" ht="15.75" hidden="false" customHeight="false" outlineLevel="0" collapsed="false">
      <c r="A116" s="138" t="str">
        <f aca="false">Scoring!BI122</f>
        <v/>
      </c>
      <c r="B116" s="138" t="str">
        <f aca="false">Scoring!BH122</f>
        <v/>
      </c>
      <c r="C116" s="138" t="n">
        <f aca="false">Scoring!C122</f>
        <v>0</v>
      </c>
      <c r="D116" s="139" t="str">
        <f aca="false">Scoring!BE122</f>
        <v/>
      </c>
      <c r="E116" s="138" t="str">
        <f aca="false">Scoring!AJ122</f>
        <v/>
      </c>
      <c r="F116" s="138" t="n">
        <f aca="false">Scoring!B122</f>
        <v>0</v>
      </c>
      <c r="G116" s="138" t="n">
        <f aca="false">Scoring!D122</f>
        <v>0</v>
      </c>
      <c r="H116" s="138" t="str">
        <f aca="false">Scoring!BG122</f>
        <v/>
      </c>
      <c r="I116" s="140" t="str">
        <f aca="false">Scoring!BF122</f>
        <v/>
      </c>
    </row>
    <row r="117" customFormat="false" ht="15.75" hidden="false" customHeight="false" outlineLevel="0" collapsed="false">
      <c r="A117" s="138" t="str">
        <f aca="false">Scoring!BI123</f>
        <v/>
      </c>
      <c r="B117" s="138" t="str">
        <f aca="false">Scoring!BH123</f>
        <v/>
      </c>
      <c r="C117" s="138" t="n">
        <f aca="false">Scoring!C123</f>
        <v>0</v>
      </c>
      <c r="D117" s="139" t="str">
        <f aca="false">Scoring!BE123</f>
        <v/>
      </c>
      <c r="E117" s="138" t="str">
        <f aca="false">Scoring!AJ123</f>
        <v/>
      </c>
      <c r="F117" s="138" t="n">
        <f aca="false">Scoring!B123</f>
        <v>0</v>
      </c>
      <c r="G117" s="138" t="n">
        <f aca="false">Scoring!D123</f>
        <v>0</v>
      </c>
      <c r="H117" s="138" t="str">
        <f aca="false">Scoring!BG123</f>
        <v/>
      </c>
      <c r="I117" s="140" t="str">
        <f aca="false">Scoring!BF123</f>
        <v/>
      </c>
    </row>
    <row r="118" customFormat="false" ht="15.75" hidden="false" customHeight="false" outlineLevel="0" collapsed="false">
      <c r="A118" s="138" t="str">
        <f aca="false">Scoring!BI124</f>
        <v/>
      </c>
      <c r="B118" s="138" t="str">
        <f aca="false">Scoring!BH124</f>
        <v/>
      </c>
      <c r="C118" s="138" t="n">
        <f aca="false">Scoring!C124</f>
        <v>0</v>
      </c>
      <c r="D118" s="139" t="str">
        <f aca="false">Scoring!BE124</f>
        <v/>
      </c>
      <c r="E118" s="138" t="str">
        <f aca="false">Scoring!AJ124</f>
        <v/>
      </c>
      <c r="F118" s="138" t="n">
        <f aca="false">Scoring!B124</f>
        <v>0</v>
      </c>
      <c r="G118" s="138" t="n">
        <f aca="false">Scoring!D124</f>
        <v>0</v>
      </c>
      <c r="H118" s="138" t="str">
        <f aca="false">Scoring!BG124</f>
        <v/>
      </c>
      <c r="I118" s="140" t="str">
        <f aca="false">Scoring!BF124</f>
        <v/>
      </c>
    </row>
    <row r="119" customFormat="false" ht="15.75" hidden="false" customHeight="false" outlineLevel="0" collapsed="false">
      <c r="A119" s="138" t="str">
        <f aca="false">Scoring!BI125</f>
        <v/>
      </c>
      <c r="B119" s="138" t="str">
        <f aca="false">Scoring!BH125</f>
        <v/>
      </c>
      <c r="C119" s="138" t="n">
        <f aca="false">Scoring!C125</f>
        <v>0</v>
      </c>
      <c r="D119" s="139" t="str">
        <f aca="false">Scoring!BE125</f>
        <v/>
      </c>
      <c r="E119" s="138" t="str">
        <f aca="false">Scoring!AJ125</f>
        <v/>
      </c>
      <c r="F119" s="138" t="n">
        <f aca="false">Scoring!B125</f>
        <v>0</v>
      </c>
      <c r="G119" s="138" t="n">
        <f aca="false">Scoring!D125</f>
        <v>0</v>
      </c>
      <c r="H119" s="138" t="str">
        <f aca="false">Scoring!BG125</f>
        <v/>
      </c>
      <c r="I119" s="140" t="str">
        <f aca="false">Scoring!BF125</f>
        <v/>
      </c>
    </row>
    <row r="120" customFormat="false" ht="15.75" hidden="false" customHeight="false" outlineLevel="0" collapsed="false">
      <c r="A120" s="138" t="str">
        <f aca="false">Scoring!BI126</f>
        <v/>
      </c>
      <c r="B120" s="138" t="str">
        <f aca="false">Scoring!BH126</f>
        <v/>
      </c>
      <c r="C120" s="138" t="n">
        <f aca="false">Scoring!C126</f>
        <v>0</v>
      </c>
      <c r="D120" s="139" t="str">
        <f aca="false">Scoring!BE126</f>
        <v/>
      </c>
      <c r="E120" s="138" t="str">
        <f aca="false">Scoring!AJ126</f>
        <v/>
      </c>
      <c r="F120" s="138" t="n">
        <f aca="false">Scoring!B126</f>
        <v>0</v>
      </c>
      <c r="G120" s="138" t="n">
        <f aca="false">Scoring!D126</f>
        <v>0</v>
      </c>
      <c r="H120" s="138" t="str">
        <f aca="false">Scoring!BG126</f>
        <v/>
      </c>
      <c r="I120" s="140" t="str">
        <f aca="false">Scoring!BF126</f>
        <v/>
      </c>
    </row>
    <row r="121" customFormat="false" ht="15.75" hidden="false" customHeight="false" outlineLevel="0" collapsed="false">
      <c r="A121" s="138" t="str">
        <f aca="false">Scoring!BI127</f>
        <v/>
      </c>
      <c r="B121" s="138" t="str">
        <f aca="false">Scoring!BH127</f>
        <v/>
      </c>
      <c r="C121" s="138" t="n">
        <f aca="false">Scoring!C127</f>
        <v>0</v>
      </c>
      <c r="D121" s="139" t="str">
        <f aca="false">Scoring!BE127</f>
        <v/>
      </c>
      <c r="E121" s="138" t="str">
        <f aca="false">Scoring!AJ127</f>
        <v/>
      </c>
      <c r="F121" s="138" t="n">
        <f aca="false">Scoring!B127</f>
        <v>0</v>
      </c>
      <c r="G121" s="138" t="n">
        <f aca="false">Scoring!D127</f>
        <v>0</v>
      </c>
      <c r="H121" s="138" t="str">
        <f aca="false">Scoring!BG127</f>
        <v/>
      </c>
      <c r="I121" s="140" t="str">
        <f aca="false">Scoring!BF127</f>
        <v/>
      </c>
    </row>
    <row r="122" customFormat="false" ht="15.75" hidden="false" customHeight="false" outlineLevel="0" collapsed="false">
      <c r="A122" s="138" t="str">
        <f aca="false">Scoring!BI128</f>
        <v/>
      </c>
      <c r="B122" s="138" t="str">
        <f aca="false">Scoring!BH128</f>
        <v/>
      </c>
      <c r="C122" s="138" t="n">
        <f aca="false">Scoring!C128</f>
        <v>0</v>
      </c>
      <c r="D122" s="139" t="str">
        <f aca="false">Scoring!BE128</f>
        <v/>
      </c>
      <c r="E122" s="138" t="str">
        <f aca="false">Scoring!AJ128</f>
        <v/>
      </c>
      <c r="F122" s="138" t="n">
        <f aca="false">Scoring!B128</f>
        <v>0</v>
      </c>
      <c r="G122" s="138" t="n">
        <f aca="false">Scoring!D128</f>
        <v>0</v>
      </c>
      <c r="H122" s="138" t="str">
        <f aca="false">Scoring!BG128</f>
        <v/>
      </c>
      <c r="I122" s="140" t="str">
        <f aca="false">Scoring!BF128</f>
        <v/>
      </c>
    </row>
    <row r="123" customFormat="false" ht="15.75" hidden="false" customHeight="false" outlineLevel="0" collapsed="false">
      <c r="A123" s="138" t="str">
        <f aca="false">Scoring!BI129</f>
        <v/>
      </c>
      <c r="B123" s="138" t="str">
        <f aca="false">Scoring!BH129</f>
        <v/>
      </c>
      <c r="C123" s="138" t="n">
        <f aca="false">Scoring!C129</f>
        <v>0</v>
      </c>
      <c r="D123" s="139" t="str">
        <f aca="false">Scoring!BE129</f>
        <v/>
      </c>
      <c r="E123" s="138" t="str">
        <f aca="false">Scoring!AJ129</f>
        <v/>
      </c>
      <c r="F123" s="138" t="n">
        <f aca="false">Scoring!B129</f>
        <v>0</v>
      </c>
      <c r="G123" s="138" t="n">
        <f aca="false">Scoring!D129</f>
        <v>0</v>
      </c>
      <c r="H123" s="138" t="str">
        <f aca="false">Scoring!BG129</f>
        <v/>
      </c>
      <c r="I123" s="140" t="str">
        <f aca="false">Scoring!BF129</f>
        <v/>
      </c>
    </row>
    <row r="124" customFormat="false" ht="15.75" hidden="false" customHeight="false" outlineLevel="0" collapsed="false">
      <c r="A124" s="138" t="str">
        <f aca="false">Scoring!BI130</f>
        <v/>
      </c>
      <c r="B124" s="138" t="str">
        <f aca="false">Scoring!BH130</f>
        <v/>
      </c>
      <c r="C124" s="138" t="n">
        <f aca="false">Scoring!C130</f>
        <v>0</v>
      </c>
      <c r="D124" s="139" t="str">
        <f aca="false">Scoring!BE130</f>
        <v/>
      </c>
      <c r="E124" s="138" t="str">
        <f aca="false">Scoring!AJ130</f>
        <v/>
      </c>
      <c r="F124" s="138" t="n">
        <f aca="false">Scoring!B130</f>
        <v>0</v>
      </c>
      <c r="G124" s="138" t="n">
        <f aca="false">Scoring!D130</f>
        <v>0</v>
      </c>
      <c r="H124" s="138" t="str">
        <f aca="false">Scoring!BG130</f>
        <v/>
      </c>
      <c r="I124" s="140" t="str">
        <f aca="false">Scoring!BF130</f>
        <v/>
      </c>
    </row>
    <row r="125" customFormat="false" ht="15.75" hidden="false" customHeight="false" outlineLevel="0" collapsed="false">
      <c r="A125" s="138" t="str">
        <f aca="false">Scoring!BI131</f>
        <v/>
      </c>
      <c r="B125" s="138" t="str">
        <f aca="false">Scoring!BH131</f>
        <v/>
      </c>
      <c r="C125" s="138" t="n">
        <f aca="false">Scoring!C131</f>
        <v>0</v>
      </c>
      <c r="D125" s="139" t="str">
        <f aca="false">Scoring!BE131</f>
        <v/>
      </c>
      <c r="E125" s="138" t="str">
        <f aca="false">Scoring!AJ131</f>
        <v/>
      </c>
      <c r="F125" s="138" t="n">
        <f aca="false">Scoring!B131</f>
        <v>0</v>
      </c>
      <c r="G125" s="138" t="n">
        <f aca="false">Scoring!D131</f>
        <v>0</v>
      </c>
      <c r="H125" s="138" t="str">
        <f aca="false">Scoring!BG131</f>
        <v/>
      </c>
      <c r="I125" s="140" t="str">
        <f aca="false">Scoring!BF131</f>
        <v/>
      </c>
    </row>
    <row r="126" customFormat="false" ht="15.75" hidden="false" customHeight="false" outlineLevel="0" collapsed="false">
      <c r="A126" s="138" t="str">
        <f aca="false">Scoring!BI132</f>
        <v/>
      </c>
      <c r="B126" s="138" t="str">
        <f aca="false">Scoring!BH132</f>
        <v/>
      </c>
      <c r="C126" s="138" t="n">
        <f aca="false">Scoring!C132</f>
        <v>0</v>
      </c>
      <c r="D126" s="139" t="str">
        <f aca="false">Scoring!BE132</f>
        <v/>
      </c>
      <c r="E126" s="138" t="str">
        <f aca="false">Scoring!AJ132</f>
        <v/>
      </c>
      <c r="F126" s="138" t="n">
        <f aca="false">Scoring!B132</f>
        <v>0</v>
      </c>
      <c r="G126" s="138" t="n">
        <f aca="false">Scoring!D132</f>
        <v>0</v>
      </c>
      <c r="H126" s="138" t="str">
        <f aca="false">Scoring!BG132</f>
        <v/>
      </c>
      <c r="I126" s="140" t="str">
        <f aca="false">Scoring!BF132</f>
        <v/>
      </c>
    </row>
    <row r="127" customFormat="false" ht="15.75" hidden="false" customHeight="false" outlineLevel="0" collapsed="false">
      <c r="A127" s="138" t="str">
        <f aca="false">Scoring!BI133</f>
        <v/>
      </c>
      <c r="B127" s="138" t="str">
        <f aca="false">Scoring!BH133</f>
        <v/>
      </c>
      <c r="C127" s="138" t="n">
        <f aca="false">Scoring!C133</f>
        <v>0</v>
      </c>
      <c r="D127" s="139" t="str">
        <f aca="false">Scoring!BE133</f>
        <v/>
      </c>
      <c r="E127" s="138" t="str">
        <f aca="false">Scoring!AJ133</f>
        <v/>
      </c>
      <c r="F127" s="138" t="n">
        <f aca="false">Scoring!B133</f>
        <v>0</v>
      </c>
      <c r="G127" s="138" t="n">
        <f aca="false">Scoring!D133</f>
        <v>0</v>
      </c>
      <c r="H127" s="138" t="str">
        <f aca="false">Scoring!BG133</f>
        <v/>
      </c>
      <c r="I127" s="140" t="str">
        <f aca="false">Scoring!BF133</f>
        <v/>
      </c>
    </row>
    <row r="128" customFormat="false" ht="15.75" hidden="false" customHeight="false" outlineLevel="0" collapsed="false">
      <c r="A128" s="138" t="str">
        <f aca="false">Scoring!BI134</f>
        <v/>
      </c>
      <c r="B128" s="138" t="str">
        <f aca="false">Scoring!BH134</f>
        <v/>
      </c>
      <c r="C128" s="138" t="n">
        <f aca="false">Scoring!C134</f>
        <v>0</v>
      </c>
      <c r="D128" s="139" t="str">
        <f aca="false">Scoring!BE134</f>
        <v/>
      </c>
      <c r="E128" s="138" t="str">
        <f aca="false">Scoring!AJ134</f>
        <v/>
      </c>
      <c r="F128" s="138" t="n">
        <f aca="false">Scoring!B134</f>
        <v>0</v>
      </c>
      <c r="G128" s="138" t="n">
        <f aca="false">Scoring!D134</f>
        <v>0</v>
      </c>
      <c r="H128" s="138" t="str">
        <f aca="false">Scoring!BG134</f>
        <v/>
      </c>
      <c r="I128" s="140" t="str">
        <f aca="false">Scoring!BF134</f>
        <v/>
      </c>
    </row>
    <row r="129" customFormat="false" ht="15.75" hidden="false" customHeight="false" outlineLevel="0" collapsed="false">
      <c r="A129" s="138" t="str">
        <f aca="false">Scoring!BI135</f>
        <v/>
      </c>
      <c r="B129" s="138" t="str">
        <f aca="false">Scoring!BH135</f>
        <v/>
      </c>
      <c r="C129" s="138" t="n">
        <f aca="false">Scoring!C135</f>
        <v>0</v>
      </c>
      <c r="D129" s="139" t="str">
        <f aca="false">Scoring!BE135</f>
        <v/>
      </c>
      <c r="E129" s="138" t="str">
        <f aca="false">Scoring!AJ135</f>
        <v/>
      </c>
      <c r="F129" s="138" t="n">
        <f aca="false">Scoring!B135</f>
        <v>0</v>
      </c>
      <c r="G129" s="138" t="n">
        <f aca="false">Scoring!D135</f>
        <v>0</v>
      </c>
      <c r="H129" s="138" t="str">
        <f aca="false">Scoring!BG135</f>
        <v/>
      </c>
      <c r="I129" s="140" t="str">
        <f aca="false">Scoring!BF135</f>
        <v/>
      </c>
    </row>
    <row r="130" customFormat="false" ht="15.75" hidden="false" customHeight="false" outlineLevel="0" collapsed="false">
      <c r="A130" s="138" t="str">
        <f aca="false">Scoring!BI136</f>
        <v/>
      </c>
      <c r="B130" s="138" t="str">
        <f aca="false">Scoring!BH136</f>
        <v/>
      </c>
      <c r="C130" s="138" t="n">
        <f aca="false">Scoring!C136</f>
        <v>0</v>
      </c>
      <c r="D130" s="139" t="str">
        <f aca="false">Scoring!BE136</f>
        <v/>
      </c>
      <c r="E130" s="138" t="str">
        <f aca="false">Scoring!AJ136</f>
        <v/>
      </c>
      <c r="F130" s="138" t="n">
        <f aca="false">Scoring!B136</f>
        <v>0</v>
      </c>
      <c r="G130" s="138" t="n">
        <f aca="false">Scoring!D136</f>
        <v>0</v>
      </c>
      <c r="H130" s="138" t="str">
        <f aca="false">Scoring!BG136</f>
        <v/>
      </c>
      <c r="I130" s="140" t="str">
        <f aca="false">Scoring!BF136</f>
        <v/>
      </c>
    </row>
    <row r="131" customFormat="false" ht="15.75" hidden="false" customHeight="false" outlineLevel="0" collapsed="false">
      <c r="A131" s="138" t="str">
        <f aca="false">Scoring!BI137</f>
        <v/>
      </c>
      <c r="B131" s="138" t="str">
        <f aca="false">Scoring!BH137</f>
        <v/>
      </c>
      <c r="C131" s="138" t="n">
        <f aca="false">Scoring!C137</f>
        <v>0</v>
      </c>
      <c r="D131" s="139" t="str">
        <f aca="false">Scoring!BE137</f>
        <v/>
      </c>
      <c r="E131" s="138" t="str">
        <f aca="false">Scoring!AJ137</f>
        <v/>
      </c>
      <c r="F131" s="138" t="n">
        <f aca="false">Scoring!B137</f>
        <v>0</v>
      </c>
      <c r="G131" s="138" t="n">
        <f aca="false">Scoring!D137</f>
        <v>0</v>
      </c>
      <c r="H131" s="138" t="str">
        <f aca="false">Scoring!BG137</f>
        <v/>
      </c>
      <c r="I131" s="140" t="str">
        <f aca="false">Scoring!BF137</f>
        <v/>
      </c>
    </row>
    <row r="132" customFormat="false" ht="15.75" hidden="false" customHeight="false" outlineLevel="0" collapsed="false">
      <c r="A132" s="138" t="str">
        <f aca="false">Scoring!BI138</f>
        <v/>
      </c>
      <c r="B132" s="138" t="str">
        <f aca="false">Scoring!BH138</f>
        <v/>
      </c>
      <c r="C132" s="138" t="n">
        <f aca="false">Scoring!C138</f>
        <v>0</v>
      </c>
      <c r="D132" s="139" t="str">
        <f aca="false">Scoring!BE138</f>
        <v/>
      </c>
      <c r="E132" s="138" t="str">
        <f aca="false">Scoring!AJ138</f>
        <v/>
      </c>
      <c r="F132" s="138" t="n">
        <f aca="false">Scoring!B138</f>
        <v>0</v>
      </c>
      <c r="G132" s="138" t="n">
        <f aca="false">Scoring!D138</f>
        <v>0</v>
      </c>
      <c r="H132" s="138" t="str">
        <f aca="false">Scoring!BG138</f>
        <v/>
      </c>
      <c r="I132" s="140" t="str">
        <f aca="false">Scoring!BF138</f>
        <v/>
      </c>
    </row>
    <row r="133" customFormat="false" ht="15.75" hidden="false" customHeight="false" outlineLevel="0" collapsed="false">
      <c r="A133" s="138" t="str">
        <f aca="false">Scoring!BI139</f>
        <v/>
      </c>
      <c r="B133" s="138" t="str">
        <f aca="false">Scoring!BH139</f>
        <v/>
      </c>
      <c r="C133" s="138" t="n">
        <f aca="false">Scoring!C139</f>
        <v>0</v>
      </c>
      <c r="D133" s="139" t="str">
        <f aca="false">Scoring!BE139</f>
        <v/>
      </c>
      <c r="E133" s="138" t="str">
        <f aca="false">Scoring!AJ139</f>
        <v/>
      </c>
      <c r="F133" s="138" t="n">
        <f aca="false">Scoring!B139</f>
        <v>0</v>
      </c>
      <c r="G133" s="138" t="n">
        <f aca="false">Scoring!D139</f>
        <v>0</v>
      </c>
      <c r="H133" s="138" t="str">
        <f aca="false">Scoring!BG139</f>
        <v/>
      </c>
      <c r="I133" s="140" t="str">
        <f aca="false">Scoring!BF139</f>
        <v/>
      </c>
    </row>
    <row r="134" customFormat="false" ht="15.75" hidden="false" customHeight="false" outlineLevel="0" collapsed="false">
      <c r="A134" s="138" t="str">
        <f aca="false">Scoring!BI140</f>
        <v/>
      </c>
      <c r="B134" s="138" t="str">
        <f aca="false">Scoring!BH140</f>
        <v/>
      </c>
      <c r="C134" s="138" t="n">
        <f aca="false">Scoring!C140</f>
        <v>0</v>
      </c>
      <c r="D134" s="139" t="str">
        <f aca="false">Scoring!BE140</f>
        <v/>
      </c>
      <c r="E134" s="138" t="str">
        <f aca="false">Scoring!AJ140</f>
        <v/>
      </c>
      <c r="F134" s="138" t="n">
        <f aca="false">Scoring!B140</f>
        <v>0</v>
      </c>
      <c r="G134" s="138" t="n">
        <f aca="false">Scoring!D140</f>
        <v>0</v>
      </c>
      <c r="H134" s="138" t="str">
        <f aca="false">Scoring!BG140</f>
        <v/>
      </c>
      <c r="I134" s="140" t="str">
        <f aca="false">Scoring!BF140</f>
        <v/>
      </c>
    </row>
    <row r="135" customFormat="false" ht="15.75" hidden="false" customHeight="false" outlineLevel="0" collapsed="false">
      <c r="A135" s="138" t="str">
        <f aca="false">Scoring!BI141</f>
        <v/>
      </c>
      <c r="B135" s="138" t="str">
        <f aca="false">Scoring!BH141</f>
        <v/>
      </c>
      <c r="C135" s="138" t="n">
        <f aca="false">Scoring!C141</f>
        <v>0</v>
      </c>
      <c r="D135" s="139" t="str">
        <f aca="false">Scoring!BE141</f>
        <v/>
      </c>
      <c r="E135" s="138" t="str">
        <f aca="false">Scoring!AJ141</f>
        <v/>
      </c>
      <c r="F135" s="138" t="n">
        <f aca="false">Scoring!B141</f>
        <v>0</v>
      </c>
      <c r="G135" s="138" t="n">
        <f aca="false">Scoring!D141</f>
        <v>0</v>
      </c>
      <c r="H135" s="138" t="str">
        <f aca="false">Scoring!BG141</f>
        <v/>
      </c>
      <c r="I135" s="140" t="str">
        <f aca="false">Scoring!BF141</f>
        <v/>
      </c>
    </row>
    <row r="136" customFormat="false" ht="15.75" hidden="false" customHeight="false" outlineLevel="0" collapsed="false">
      <c r="A136" s="138" t="str">
        <f aca="false">Scoring!BI142</f>
        <v/>
      </c>
      <c r="B136" s="138" t="str">
        <f aca="false">Scoring!BH142</f>
        <v/>
      </c>
      <c r="C136" s="138" t="n">
        <f aca="false">Scoring!C142</f>
        <v>0</v>
      </c>
      <c r="D136" s="139" t="str">
        <f aca="false">Scoring!BE142</f>
        <v/>
      </c>
      <c r="E136" s="138" t="str">
        <f aca="false">Scoring!AJ142</f>
        <v/>
      </c>
      <c r="F136" s="138" t="n">
        <f aca="false">Scoring!B142</f>
        <v>0</v>
      </c>
      <c r="G136" s="138" t="n">
        <f aca="false">Scoring!D142</f>
        <v>0</v>
      </c>
      <c r="H136" s="138" t="str">
        <f aca="false">Scoring!BG142</f>
        <v/>
      </c>
      <c r="I136" s="140" t="str">
        <f aca="false">Scoring!BF142</f>
        <v/>
      </c>
    </row>
    <row r="137" customFormat="false" ht="15.75" hidden="false" customHeight="false" outlineLevel="0" collapsed="false">
      <c r="A137" s="138" t="str">
        <f aca="false">Scoring!BI143</f>
        <v/>
      </c>
      <c r="B137" s="138" t="str">
        <f aca="false">Scoring!BH143</f>
        <v/>
      </c>
      <c r="C137" s="138" t="n">
        <f aca="false">Scoring!C143</f>
        <v>0</v>
      </c>
      <c r="D137" s="139" t="str">
        <f aca="false">Scoring!BE143</f>
        <v/>
      </c>
      <c r="E137" s="138" t="str">
        <f aca="false">Scoring!AJ143</f>
        <v/>
      </c>
      <c r="F137" s="138" t="n">
        <f aca="false">Scoring!B143</f>
        <v>0</v>
      </c>
      <c r="G137" s="138" t="n">
        <f aca="false">Scoring!D143</f>
        <v>0</v>
      </c>
      <c r="H137" s="138" t="str">
        <f aca="false">Scoring!BG143</f>
        <v/>
      </c>
      <c r="I137" s="140" t="str">
        <f aca="false">Scoring!BF143</f>
        <v/>
      </c>
    </row>
    <row r="138" customFormat="false" ht="15.75" hidden="false" customHeight="false" outlineLevel="0" collapsed="false">
      <c r="A138" s="138" t="str">
        <f aca="false">Scoring!BI144</f>
        <v/>
      </c>
      <c r="B138" s="138" t="str">
        <f aca="false">Scoring!BH144</f>
        <v/>
      </c>
      <c r="C138" s="138" t="n">
        <f aca="false">Scoring!C144</f>
        <v>0</v>
      </c>
      <c r="D138" s="139" t="str">
        <f aca="false">Scoring!BE144</f>
        <v/>
      </c>
      <c r="E138" s="138" t="str">
        <f aca="false">Scoring!AJ144</f>
        <v/>
      </c>
      <c r="F138" s="138" t="n">
        <f aca="false">Scoring!B144</f>
        <v>0</v>
      </c>
      <c r="G138" s="138" t="n">
        <f aca="false">Scoring!D144</f>
        <v>0</v>
      </c>
      <c r="H138" s="138" t="str">
        <f aca="false">Scoring!BG144</f>
        <v/>
      </c>
      <c r="I138" s="140" t="str">
        <f aca="false">Scoring!BF144</f>
        <v/>
      </c>
    </row>
    <row r="139" customFormat="false" ht="15.75" hidden="false" customHeight="false" outlineLevel="0" collapsed="false">
      <c r="A139" s="138" t="str">
        <f aca="false">Scoring!BI145</f>
        <v/>
      </c>
      <c r="B139" s="138" t="str">
        <f aca="false">Scoring!BH145</f>
        <v/>
      </c>
      <c r="C139" s="138" t="n">
        <f aca="false">Scoring!C145</f>
        <v>0</v>
      </c>
      <c r="D139" s="139" t="str">
        <f aca="false">Scoring!BE145</f>
        <v/>
      </c>
      <c r="E139" s="138" t="str">
        <f aca="false">Scoring!AJ145</f>
        <v/>
      </c>
      <c r="F139" s="138" t="n">
        <f aca="false">Scoring!B145</f>
        <v>0</v>
      </c>
      <c r="G139" s="138" t="n">
        <f aca="false">Scoring!D145</f>
        <v>0</v>
      </c>
      <c r="H139" s="138" t="str">
        <f aca="false">Scoring!BG145</f>
        <v/>
      </c>
      <c r="I139" s="140" t="str">
        <f aca="false">Scoring!BF145</f>
        <v/>
      </c>
    </row>
    <row r="140" customFormat="false" ht="15.75" hidden="false" customHeight="false" outlineLevel="0" collapsed="false">
      <c r="A140" s="138" t="str">
        <f aca="false">Scoring!BI146</f>
        <v/>
      </c>
      <c r="B140" s="138" t="str">
        <f aca="false">Scoring!BH146</f>
        <v/>
      </c>
      <c r="C140" s="138" t="n">
        <f aca="false">Scoring!C146</f>
        <v>0</v>
      </c>
      <c r="D140" s="139" t="str">
        <f aca="false">Scoring!BE146</f>
        <v/>
      </c>
      <c r="E140" s="138" t="str">
        <f aca="false">Scoring!AJ146</f>
        <v/>
      </c>
      <c r="F140" s="138" t="n">
        <f aca="false">Scoring!B146</f>
        <v>0</v>
      </c>
      <c r="G140" s="138" t="n">
        <f aca="false">Scoring!D146</f>
        <v>0</v>
      </c>
      <c r="H140" s="138" t="str">
        <f aca="false">Scoring!BG146</f>
        <v/>
      </c>
      <c r="I140" s="140" t="str">
        <f aca="false">Scoring!BF146</f>
        <v/>
      </c>
    </row>
    <row r="141" customFormat="false" ht="15.75" hidden="false" customHeight="false" outlineLevel="0" collapsed="false">
      <c r="A141" s="138" t="str">
        <f aca="false">Scoring!BI147</f>
        <v/>
      </c>
      <c r="B141" s="138" t="str">
        <f aca="false">Scoring!BH147</f>
        <v/>
      </c>
      <c r="C141" s="138" t="n">
        <f aca="false">Scoring!C147</f>
        <v>0</v>
      </c>
      <c r="D141" s="139" t="str">
        <f aca="false">Scoring!BE147</f>
        <v/>
      </c>
      <c r="E141" s="138" t="str">
        <f aca="false">Scoring!AJ147</f>
        <v/>
      </c>
      <c r="F141" s="138" t="n">
        <f aca="false">Scoring!B147</f>
        <v>0</v>
      </c>
      <c r="G141" s="138" t="n">
        <f aca="false">Scoring!D147</f>
        <v>0</v>
      </c>
      <c r="H141" s="138" t="str">
        <f aca="false">Scoring!BG147</f>
        <v/>
      </c>
      <c r="I141" s="140" t="str">
        <f aca="false">Scoring!BF147</f>
        <v/>
      </c>
    </row>
    <row r="142" customFormat="false" ht="15.75" hidden="false" customHeight="false" outlineLevel="0" collapsed="false">
      <c r="A142" s="138" t="str">
        <f aca="false">Scoring!BI148</f>
        <v/>
      </c>
      <c r="B142" s="138" t="str">
        <f aca="false">Scoring!BH148</f>
        <v/>
      </c>
      <c r="C142" s="138" t="n">
        <f aca="false">Scoring!C148</f>
        <v>0</v>
      </c>
      <c r="D142" s="139" t="str">
        <f aca="false">Scoring!BE148</f>
        <v/>
      </c>
      <c r="E142" s="138" t="str">
        <f aca="false">Scoring!AJ148</f>
        <v/>
      </c>
      <c r="F142" s="138" t="n">
        <f aca="false">Scoring!B148</f>
        <v>0</v>
      </c>
      <c r="G142" s="138" t="n">
        <f aca="false">Scoring!D148</f>
        <v>0</v>
      </c>
      <c r="H142" s="138" t="str">
        <f aca="false">Scoring!BG148</f>
        <v/>
      </c>
      <c r="I142" s="140" t="str">
        <f aca="false">Scoring!BF148</f>
        <v/>
      </c>
    </row>
    <row r="143" customFormat="false" ht="15.75" hidden="false" customHeight="false" outlineLevel="0" collapsed="false">
      <c r="A143" s="138" t="str">
        <f aca="false">Scoring!BI149</f>
        <v/>
      </c>
      <c r="B143" s="138" t="str">
        <f aca="false">Scoring!BH149</f>
        <v/>
      </c>
      <c r="C143" s="138" t="n">
        <f aca="false">Scoring!C149</f>
        <v>0</v>
      </c>
      <c r="D143" s="139" t="str">
        <f aca="false">Scoring!BE149</f>
        <v/>
      </c>
      <c r="E143" s="138" t="str">
        <f aca="false">Scoring!AJ149</f>
        <v/>
      </c>
      <c r="F143" s="138" t="n">
        <f aca="false">Scoring!B149</f>
        <v>0</v>
      </c>
      <c r="G143" s="138" t="n">
        <f aca="false">Scoring!D149</f>
        <v>0</v>
      </c>
      <c r="H143" s="138" t="str">
        <f aca="false">Scoring!BG149</f>
        <v/>
      </c>
      <c r="I143" s="140" t="str">
        <f aca="false">Scoring!BF149</f>
        <v/>
      </c>
    </row>
    <row r="144" customFormat="false" ht="15.75" hidden="false" customHeight="false" outlineLevel="0" collapsed="false">
      <c r="A144" s="138" t="str">
        <f aca="false">Scoring!BI150</f>
        <v/>
      </c>
      <c r="B144" s="138" t="str">
        <f aca="false">Scoring!BH150</f>
        <v/>
      </c>
      <c r="C144" s="138" t="n">
        <f aca="false">Scoring!C150</f>
        <v>0</v>
      </c>
      <c r="D144" s="139" t="str">
        <f aca="false">Scoring!BE150</f>
        <v/>
      </c>
      <c r="E144" s="138" t="str">
        <f aca="false">Scoring!AJ150</f>
        <v/>
      </c>
      <c r="F144" s="138" t="n">
        <f aca="false">Scoring!B150</f>
        <v>0</v>
      </c>
      <c r="G144" s="138" t="n">
        <f aca="false">Scoring!D150</f>
        <v>0</v>
      </c>
      <c r="H144" s="138" t="str">
        <f aca="false">Scoring!BG150</f>
        <v/>
      </c>
      <c r="I144" s="140" t="str">
        <f aca="false">Scoring!BF150</f>
        <v/>
      </c>
    </row>
    <row r="145" customFormat="false" ht="15.75" hidden="false" customHeight="false" outlineLevel="0" collapsed="false">
      <c r="A145" s="138" t="str">
        <f aca="false">Scoring!BI151</f>
        <v/>
      </c>
      <c r="B145" s="138" t="str">
        <f aca="false">Scoring!BH151</f>
        <v/>
      </c>
      <c r="C145" s="138" t="n">
        <f aca="false">Scoring!C151</f>
        <v>0</v>
      </c>
      <c r="D145" s="139" t="str">
        <f aca="false">Scoring!BE151</f>
        <v/>
      </c>
      <c r="E145" s="138" t="str">
        <f aca="false">Scoring!AJ151</f>
        <v/>
      </c>
      <c r="F145" s="138" t="n">
        <f aca="false">Scoring!B151</f>
        <v>0</v>
      </c>
      <c r="G145" s="138" t="n">
        <f aca="false">Scoring!D151</f>
        <v>0</v>
      </c>
      <c r="H145" s="138" t="str">
        <f aca="false">Scoring!BG151</f>
        <v/>
      </c>
      <c r="I145" s="140" t="str">
        <f aca="false">Scoring!BF151</f>
        <v/>
      </c>
    </row>
    <row r="146" customFormat="false" ht="15.75" hidden="false" customHeight="false" outlineLevel="0" collapsed="false">
      <c r="A146" s="138" t="str">
        <f aca="false">Scoring!BI152</f>
        <v/>
      </c>
      <c r="B146" s="138" t="str">
        <f aca="false">Scoring!BH152</f>
        <v/>
      </c>
      <c r="C146" s="138" t="n">
        <f aca="false">Scoring!C152</f>
        <v>0</v>
      </c>
      <c r="D146" s="139" t="str">
        <f aca="false">Scoring!BE152</f>
        <v/>
      </c>
      <c r="E146" s="138" t="str">
        <f aca="false">Scoring!AJ152</f>
        <v/>
      </c>
      <c r="F146" s="138" t="n">
        <f aca="false">Scoring!B152</f>
        <v>0</v>
      </c>
      <c r="G146" s="138" t="n">
        <f aca="false">Scoring!D152</f>
        <v>0</v>
      </c>
      <c r="H146" s="138" t="str">
        <f aca="false">Scoring!BG152</f>
        <v/>
      </c>
      <c r="I146" s="140" t="str">
        <f aca="false">Scoring!BF152</f>
        <v/>
      </c>
    </row>
    <row r="147" customFormat="false" ht="15.75" hidden="false" customHeight="false" outlineLevel="0" collapsed="false">
      <c r="A147" s="138" t="str">
        <f aca="false">Scoring!BI153</f>
        <v/>
      </c>
      <c r="B147" s="138" t="str">
        <f aca="false">Scoring!BH153</f>
        <v/>
      </c>
      <c r="C147" s="138" t="n">
        <f aca="false">Scoring!C153</f>
        <v>0</v>
      </c>
      <c r="D147" s="139" t="str">
        <f aca="false">Scoring!BE153</f>
        <v/>
      </c>
      <c r="E147" s="138" t="str">
        <f aca="false">Scoring!AJ153</f>
        <v/>
      </c>
      <c r="F147" s="138" t="n">
        <f aca="false">Scoring!B153</f>
        <v>0</v>
      </c>
      <c r="G147" s="138" t="n">
        <f aca="false">Scoring!D153</f>
        <v>0</v>
      </c>
      <c r="H147" s="138" t="str">
        <f aca="false">Scoring!BG153</f>
        <v/>
      </c>
      <c r="I147" s="140" t="str">
        <f aca="false">Scoring!BF153</f>
        <v/>
      </c>
    </row>
    <row r="148" customFormat="false" ht="15.75" hidden="false" customHeight="false" outlineLevel="0" collapsed="false">
      <c r="A148" s="138" t="str">
        <f aca="false">Scoring!BI154</f>
        <v/>
      </c>
      <c r="B148" s="138" t="str">
        <f aca="false">Scoring!BH154</f>
        <v/>
      </c>
      <c r="C148" s="138" t="n">
        <f aca="false">Scoring!C154</f>
        <v>0</v>
      </c>
      <c r="D148" s="139" t="str">
        <f aca="false">Scoring!BE154</f>
        <v/>
      </c>
      <c r="E148" s="138" t="str">
        <f aca="false">Scoring!AJ154</f>
        <v/>
      </c>
      <c r="F148" s="138" t="n">
        <f aca="false">Scoring!B154</f>
        <v>0</v>
      </c>
      <c r="G148" s="138" t="n">
        <f aca="false">Scoring!D154</f>
        <v>0</v>
      </c>
      <c r="H148" s="138" t="str">
        <f aca="false">Scoring!BG154</f>
        <v/>
      </c>
      <c r="I148" s="140" t="str">
        <f aca="false">Scoring!BF154</f>
        <v/>
      </c>
    </row>
    <row r="149" customFormat="false" ht="15.75" hidden="false" customHeight="false" outlineLevel="0" collapsed="false">
      <c r="A149" s="138" t="str">
        <f aca="false">Scoring!BI155</f>
        <v/>
      </c>
      <c r="B149" s="138" t="str">
        <f aca="false">Scoring!BH155</f>
        <v/>
      </c>
      <c r="C149" s="138" t="n">
        <f aca="false">Scoring!C155</f>
        <v>0</v>
      </c>
      <c r="D149" s="139" t="str">
        <f aca="false">Scoring!BE155</f>
        <v/>
      </c>
      <c r="E149" s="138" t="str">
        <f aca="false">Scoring!AJ155</f>
        <v/>
      </c>
      <c r="F149" s="138" t="n">
        <f aca="false">Scoring!B155</f>
        <v>0</v>
      </c>
      <c r="G149" s="138" t="n">
        <f aca="false">Scoring!D155</f>
        <v>0</v>
      </c>
      <c r="H149" s="138" t="str">
        <f aca="false">Scoring!BG155</f>
        <v/>
      </c>
      <c r="I149" s="140" t="str">
        <f aca="false">Scoring!BF155</f>
        <v/>
      </c>
    </row>
    <row r="150" customFormat="false" ht="15.75" hidden="false" customHeight="false" outlineLevel="0" collapsed="false">
      <c r="A150" s="138" t="str">
        <f aca="false">Scoring!BI156</f>
        <v/>
      </c>
      <c r="B150" s="138" t="str">
        <f aca="false">Scoring!BH156</f>
        <v/>
      </c>
      <c r="C150" s="138" t="n">
        <f aca="false">Scoring!C156</f>
        <v>0</v>
      </c>
      <c r="D150" s="139" t="str">
        <f aca="false">Scoring!BE156</f>
        <v/>
      </c>
      <c r="E150" s="138" t="str">
        <f aca="false">Scoring!AJ156</f>
        <v/>
      </c>
      <c r="F150" s="138" t="n">
        <f aca="false">Scoring!B156</f>
        <v>0</v>
      </c>
      <c r="G150" s="138" t="n">
        <f aca="false">Scoring!D156</f>
        <v>0</v>
      </c>
      <c r="H150" s="138" t="str">
        <f aca="false">Scoring!BG156</f>
        <v/>
      </c>
      <c r="I150" s="140" t="str">
        <f aca="false">Scoring!BF156</f>
        <v/>
      </c>
    </row>
    <row r="151" customFormat="false" ht="15.75" hidden="false" customHeight="false" outlineLevel="0" collapsed="false">
      <c r="A151" s="138" t="str">
        <f aca="false">Scoring!BI157</f>
        <v/>
      </c>
      <c r="B151" s="138" t="str">
        <f aca="false">Scoring!BH157</f>
        <v/>
      </c>
      <c r="C151" s="138" t="n">
        <f aca="false">Scoring!C157</f>
        <v>0</v>
      </c>
      <c r="D151" s="139" t="str">
        <f aca="false">Scoring!BE157</f>
        <v/>
      </c>
      <c r="E151" s="138" t="str">
        <f aca="false">Scoring!AJ157</f>
        <v/>
      </c>
      <c r="F151" s="138" t="n">
        <f aca="false">Scoring!B157</f>
        <v>0</v>
      </c>
      <c r="G151" s="138" t="n">
        <f aca="false">Scoring!D157</f>
        <v>0</v>
      </c>
      <c r="H151" s="138" t="str">
        <f aca="false">Scoring!BG157</f>
        <v/>
      </c>
      <c r="I151" s="140" t="str">
        <f aca="false">Scoring!BF157</f>
        <v/>
      </c>
    </row>
    <row r="152" customFormat="false" ht="15.75" hidden="false" customHeight="false" outlineLevel="0" collapsed="false">
      <c r="A152" s="138" t="str">
        <f aca="false">Scoring!BI158</f>
        <v/>
      </c>
      <c r="B152" s="138" t="str">
        <f aca="false">Scoring!BH158</f>
        <v/>
      </c>
      <c r="C152" s="138" t="n">
        <f aca="false">Scoring!C158</f>
        <v>0</v>
      </c>
      <c r="D152" s="139" t="str">
        <f aca="false">Scoring!BE158</f>
        <v/>
      </c>
      <c r="E152" s="138" t="str">
        <f aca="false">Scoring!AJ158</f>
        <v/>
      </c>
      <c r="F152" s="138" t="n">
        <f aca="false">Scoring!B158</f>
        <v>0</v>
      </c>
      <c r="G152" s="138" t="n">
        <f aca="false">Scoring!D158</f>
        <v>0</v>
      </c>
      <c r="H152" s="138" t="str">
        <f aca="false">Scoring!BG158</f>
        <v/>
      </c>
      <c r="I152" s="140" t="str">
        <f aca="false">Scoring!BF158</f>
        <v/>
      </c>
    </row>
    <row r="153" customFormat="false" ht="15.75" hidden="false" customHeight="false" outlineLevel="0" collapsed="false">
      <c r="A153" s="138" t="str">
        <f aca="false">Scoring!BI159</f>
        <v/>
      </c>
      <c r="B153" s="138" t="str">
        <f aca="false">Scoring!BH159</f>
        <v/>
      </c>
      <c r="C153" s="138" t="n">
        <f aca="false">Scoring!C159</f>
        <v>0</v>
      </c>
      <c r="D153" s="139" t="str">
        <f aca="false">Scoring!BE159</f>
        <v/>
      </c>
      <c r="E153" s="138" t="str">
        <f aca="false">Scoring!AJ159</f>
        <v/>
      </c>
      <c r="F153" s="138" t="n">
        <f aca="false">Scoring!B159</f>
        <v>0</v>
      </c>
      <c r="G153" s="138" t="n">
        <f aca="false">Scoring!D159</f>
        <v>0</v>
      </c>
      <c r="H153" s="138" t="str">
        <f aca="false">Scoring!BG159</f>
        <v/>
      </c>
      <c r="I153" s="140" t="str">
        <f aca="false">Scoring!BF159</f>
        <v/>
      </c>
    </row>
    <row r="154" customFormat="false" ht="15.75" hidden="false" customHeight="false" outlineLevel="0" collapsed="false">
      <c r="A154" s="138" t="str">
        <f aca="false">Scoring!BI160</f>
        <v/>
      </c>
      <c r="B154" s="138" t="str">
        <f aca="false">Scoring!BH160</f>
        <v/>
      </c>
      <c r="C154" s="138" t="n">
        <f aca="false">Scoring!C160</f>
        <v>0</v>
      </c>
      <c r="D154" s="139" t="str">
        <f aca="false">Scoring!BE160</f>
        <v/>
      </c>
      <c r="E154" s="138" t="str">
        <f aca="false">Scoring!AJ160</f>
        <v/>
      </c>
      <c r="F154" s="138" t="n">
        <f aca="false">Scoring!B160</f>
        <v>0</v>
      </c>
      <c r="G154" s="138" t="n">
        <f aca="false">Scoring!D160</f>
        <v>0</v>
      </c>
      <c r="H154" s="138" t="str">
        <f aca="false">Scoring!BG160</f>
        <v/>
      </c>
      <c r="I154" s="140" t="str">
        <f aca="false">Scoring!BF160</f>
        <v/>
      </c>
    </row>
    <row r="155" customFormat="false" ht="15.75" hidden="false" customHeight="false" outlineLevel="0" collapsed="false">
      <c r="A155" s="138" t="str">
        <f aca="false">Scoring!BI161</f>
        <v/>
      </c>
      <c r="B155" s="138" t="str">
        <f aca="false">Scoring!BH161</f>
        <v/>
      </c>
      <c r="C155" s="138" t="n">
        <f aca="false">Scoring!C161</f>
        <v>0</v>
      </c>
      <c r="D155" s="139" t="str">
        <f aca="false">Scoring!BE161</f>
        <v/>
      </c>
      <c r="E155" s="138" t="str">
        <f aca="false">Scoring!AJ161</f>
        <v/>
      </c>
      <c r="F155" s="138" t="n">
        <f aca="false">Scoring!B161</f>
        <v>0</v>
      </c>
      <c r="G155" s="138" t="n">
        <f aca="false">Scoring!D161</f>
        <v>0</v>
      </c>
      <c r="H155" s="138" t="str">
        <f aca="false">Scoring!BG161</f>
        <v/>
      </c>
      <c r="I155" s="140" t="str">
        <f aca="false">Scoring!BF161</f>
        <v/>
      </c>
    </row>
    <row r="156" customFormat="false" ht="15.75" hidden="false" customHeight="false" outlineLevel="0" collapsed="false">
      <c r="A156" s="138" t="str">
        <f aca="false">Scoring!BI162</f>
        <v/>
      </c>
      <c r="B156" s="138" t="str">
        <f aca="false">Scoring!BH162</f>
        <v/>
      </c>
      <c r="C156" s="138" t="n">
        <f aca="false">Scoring!C162</f>
        <v>0</v>
      </c>
      <c r="D156" s="139" t="str">
        <f aca="false">Scoring!BE162</f>
        <v/>
      </c>
      <c r="E156" s="138" t="str">
        <f aca="false">Scoring!AJ162</f>
        <v/>
      </c>
      <c r="F156" s="138" t="n">
        <f aca="false">Scoring!B162</f>
        <v>0</v>
      </c>
      <c r="G156" s="138" t="n">
        <f aca="false">Scoring!D162</f>
        <v>0</v>
      </c>
      <c r="H156" s="138" t="str">
        <f aca="false">Scoring!BG162</f>
        <v/>
      </c>
      <c r="I156" s="140" t="str">
        <f aca="false">Scoring!BF162</f>
        <v/>
      </c>
    </row>
    <row r="157" customFormat="false" ht="15.75" hidden="false" customHeight="false" outlineLevel="0" collapsed="false">
      <c r="A157" s="138" t="str">
        <f aca="false">Scoring!BI163</f>
        <v/>
      </c>
      <c r="B157" s="138" t="str">
        <f aca="false">Scoring!BH163</f>
        <v/>
      </c>
      <c r="C157" s="138" t="n">
        <f aca="false">Scoring!C163</f>
        <v>0</v>
      </c>
      <c r="D157" s="139" t="str">
        <f aca="false">Scoring!BE163</f>
        <v/>
      </c>
      <c r="E157" s="138" t="str">
        <f aca="false">Scoring!AJ163</f>
        <v/>
      </c>
      <c r="F157" s="138" t="n">
        <f aca="false">Scoring!B163</f>
        <v>0</v>
      </c>
      <c r="G157" s="138" t="n">
        <f aca="false">Scoring!D163</f>
        <v>0</v>
      </c>
      <c r="H157" s="138" t="str">
        <f aca="false">Scoring!BG163</f>
        <v/>
      </c>
      <c r="I157" s="140" t="str">
        <f aca="false">Scoring!BF163</f>
        <v/>
      </c>
    </row>
    <row r="158" customFormat="false" ht="15.75" hidden="false" customHeight="false" outlineLevel="0" collapsed="false">
      <c r="A158" s="138" t="str">
        <f aca="false">Scoring!BI164</f>
        <v/>
      </c>
      <c r="B158" s="138" t="str">
        <f aca="false">Scoring!BH164</f>
        <v/>
      </c>
      <c r="C158" s="138" t="n">
        <f aca="false">Scoring!C164</f>
        <v>0</v>
      </c>
      <c r="D158" s="139" t="str">
        <f aca="false">Scoring!BE164</f>
        <v/>
      </c>
      <c r="E158" s="138" t="str">
        <f aca="false">Scoring!AJ164</f>
        <v/>
      </c>
      <c r="F158" s="138" t="n">
        <f aca="false">Scoring!B164</f>
        <v>0</v>
      </c>
      <c r="G158" s="138" t="n">
        <f aca="false">Scoring!D164</f>
        <v>0</v>
      </c>
      <c r="H158" s="138" t="str">
        <f aca="false">Scoring!BG164</f>
        <v/>
      </c>
      <c r="I158" s="140" t="str">
        <f aca="false">Scoring!BF164</f>
        <v/>
      </c>
    </row>
    <row r="159" customFormat="false" ht="15.75" hidden="false" customHeight="false" outlineLevel="0" collapsed="false">
      <c r="A159" s="138" t="str">
        <f aca="false">Scoring!BI165</f>
        <v/>
      </c>
      <c r="B159" s="138" t="str">
        <f aca="false">Scoring!BH165</f>
        <v/>
      </c>
      <c r="C159" s="138" t="n">
        <f aca="false">Scoring!C165</f>
        <v>0</v>
      </c>
      <c r="D159" s="139" t="str">
        <f aca="false">Scoring!BE165</f>
        <v/>
      </c>
      <c r="E159" s="138" t="str">
        <f aca="false">Scoring!AJ165</f>
        <v/>
      </c>
      <c r="F159" s="138" t="n">
        <f aca="false">Scoring!B165</f>
        <v>0</v>
      </c>
      <c r="G159" s="138" t="n">
        <f aca="false">Scoring!D165</f>
        <v>0</v>
      </c>
      <c r="H159" s="138" t="str">
        <f aca="false">Scoring!BG165</f>
        <v/>
      </c>
      <c r="I159" s="140" t="str">
        <f aca="false">Scoring!BF165</f>
        <v/>
      </c>
    </row>
    <row r="160" customFormat="false" ht="15.75" hidden="false" customHeight="false" outlineLevel="0" collapsed="false">
      <c r="A160" s="138" t="str">
        <f aca="false">Scoring!BI166</f>
        <v/>
      </c>
      <c r="B160" s="138" t="str">
        <f aca="false">Scoring!BH166</f>
        <v/>
      </c>
      <c r="C160" s="138" t="n">
        <f aca="false">Scoring!C166</f>
        <v>0</v>
      </c>
      <c r="D160" s="139" t="str">
        <f aca="false">Scoring!BE166</f>
        <v/>
      </c>
      <c r="E160" s="138" t="str">
        <f aca="false">Scoring!AJ166</f>
        <v/>
      </c>
      <c r="F160" s="138" t="n">
        <f aca="false">Scoring!B166</f>
        <v>0</v>
      </c>
      <c r="G160" s="138" t="n">
        <f aca="false">Scoring!D166</f>
        <v>0</v>
      </c>
      <c r="H160" s="138" t="str">
        <f aca="false">Scoring!BG166</f>
        <v/>
      </c>
      <c r="I160" s="140" t="str">
        <f aca="false">Scoring!BF166</f>
        <v/>
      </c>
    </row>
    <row r="161" customFormat="false" ht="15.75" hidden="false" customHeight="false" outlineLevel="0" collapsed="false">
      <c r="A161" s="138" t="str">
        <f aca="false">Scoring!BI167</f>
        <v/>
      </c>
      <c r="B161" s="138" t="str">
        <f aca="false">Scoring!BH167</f>
        <v/>
      </c>
      <c r="C161" s="138" t="n">
        <f aca="false">Scoring!C167</f>
        <v>0</v>
      </c>
      <c r="D161" s="139" t="str">
        <f aca="false">Scoring!BE167</f>
        <v/>
      </c>
      <c r="E161" s="138" t="str">
        <f aca="false">Scoring!AJ167</f>
        <v/>
      </c>
      <c r="F161" s="138" t="n">
        <f aca="false">Scoring!B167</f>
        <v>0</v>
      </c>
      <c r="G161" s="138" t="n">
        <f aca="false">Scoring!D167</f>
        <v>0</v>
      </c>
      <c r="H161" s="138" t="str">
        <f aca="false">Scoring!BG167</f>
        <v/>
      </c>
      <c r="I161" s="140" t="str">
        <f aca="false">Scoring!BF167</f>
        <v/>
      </c>
    </row>
    <row r="162" customFormat="false" ht="15.75" hidden="false" customHeight="false" outlineLevel="0" collapsed="false">
      <c r="A162" s="138" t="str">
        <f aca="false">Scoring!BI168</f>
        <v/>
      </c>
      <c r="B162" s="138" t="str">
        <f aca="false">Scoring!BH168</f>
        <v/>
      </c>
      <c r="C162" s="138" t="n">
        <f aca="false">Scoring!C168</f>
        <v>0</v>
      </c>
      <c r="D162" s="139" t="str">
        <f aca="false">Scoring!BE168</f>
        <v/>
      </c>
      <c r="E162" s="138" t="str">
        <f aca="false">Scoring!AJ168</f>
        <v/>
      </c>
      <c r="F162" s="138" t="n">
        <f aca="false">Scoring!B168</f>
        <v>0</v>
      </c>
      <c r="G162" s="138" t="n">
        <f aca="false">Scoring!D168</f>
        <v>0</v>
      </c>
      <c r="H162" s="138" t="str">
        <f aca="false">Scoring!BG168</f>
        <v/>
      </c>
      <c r="I162" s="140" t="str">
        <f aca="false">Scoring!BF168</f>
        <v/>
      </c>
    </row>
    <row r="163" customFormat="false" ht="15.75" hidden="false" customHeight="false" outlineLevel="0" collapsed="false">
      <c r="A163" s="138" t="str">
        <f aca="false">Scoring!BI169</f>
        <v/>
      </c>
      <c r="B163" s="138" t="str">
        <f aca="false">Scoring!BH169</f>
        <v/>
      </c>
      <c r="C163" s="138" t="n">
        <f aca="false">Scoring!C169</f>
        <v>0</v>
      </c>
      <c r="D163" s="139" t="str">
        <f aca="false">Scoring!BE169</f>
        <v/>
      </c>
      <c r="E163" s="138" t="str">
        <f aca="false">Scoring!AJ169</f>
        <v/>
      </c>
      <c r="F163" s="138" t="n">
        <f aca="false">Scoring!B169</f>
        <v>0</v>
      </c>
      <c r="G163" s="138" t="n">
        <f aca="false">Scoring!D169</f>
        <v>0</v>
      </c>
      <c r="H163" s="138" t="str">
        <f aca="false">Scoring!BG169</f>
        <v/>
      </c>
      <c r="I163" s="140" t="str">
        <f aca="false">Scoring!BF169</f>
        <v/>
      </c>
    </row>
    <row r="164" customFormat="false" ht="15.75" hidden="false" customHeight="false" outlineLevel="0" collapsed="false">
      <c r="A164" s="138" t="str">
        <f aca="false">Scoring!BI170</f>
        <v/>
      </c>
      <c r="B164" s="138" t="str">
        <f aca="false">Scoring!BH170</f>
        <v/>
      </c>
      <c r="C164" s="138" t="n">
        <f aca="false">Scoring!C170</f>
        <v>0</v>
      </c>
      <c r="D164" s="139" t="str">
        <f aca="false">Scoring!BE170</f>
        <v/>
      </c>
      <c r="E164" s="138" t="str">
        <f aca="false">Scoring!AJ170</f>
        <v/>
      </c>
      <c r="F164" s="138" t="n">
        <f aca="false">Scoring!B170</f>
        <v>0</v>
      </c>
      <c r="G164" s="138" t="n">
        <f aca="false">Scoring!D170</f>
        <v>0</v>
      </c>
      <c r="H164" s="138" t="str">
        <f aca="false">Scoring!BG170</f>
        <v/>
      </c>
      <c r="I164" s="140" t="str">
        <f aca="false">Scoring!BF170</f>
        <v/>
      </c>
    </row>
    <row r="165" customFormat="false" ht="15.75" hidden="false" customHeight="false" outlineLevel="0" collapsed="false">
      <c r="A165" s="138" t="str">
        <f aca="false">Scoring!BI171</f>
        <v/>
      </c>
      <c r="B165" s="138" t="str">
        <f aca="false">Scoring!BH171</f>
        <v/>
      </c>
      <c r="C165" s="138" t="n">
        <f aca="false">Scoring!C171</f>
        <v>0</v>
      </c>
      <c r="D165" s="139" t="str">
        <f aca="false">Scoring!BE171</f>
        <v/>
      </c>
      <c r="E165" s="138" t="str">
        <f aca="false">Scoring!AJ171</f>
        <v/>
      </c>
      <c r="F165" s="138" t="n">
        <f aca="false">Scoring!B171</f>
        <v>0</v>
      </c>
      <c r="G165" s="138" t="n">
        <f aca="false">Scoring!D171</f>
        <v>0</v>
      </c>
      <c r="H165" s="138" t="str">
        <f aca="false">Scoring!BG171</f>
        <v/>
      </c>
      <c r="I165" s="140" t="str">
        <f aca="false">Scoring!BF171</f>
        <v/>
      </c>
    </row>
    <row r="166" customFormat="false" ht="15.75" hidden="false" customHeight="false" outlineLevel="0" collapsed="false">
      <c r="A166" s="138" t="str">
        <f aca="false">Scoring!BI172</f>
        <v/>
      </c>
      <c r="B166" s="138" t="str">
        <f aca="false">Scoring!BH172</f>
        <v/>
      </c>
      <c r="C166" s="138" t="n">
        <f aca="false">Scoring!C172</f>
        <v>0</v>
      </c>
      <c r="D166" s="139" t="str">
        <f aca="false">Scoring!BE172</f>
        <v/>
      </c>
      <c r="E166" s="138" t="str">
        <f aca="false">Scoring!AJ172</f>
        <v/>
      </c>
      <c r="F166" s="138" t="n">
        <f aca="false">Scoring!B172</f>
        <v>0</v>
      </c>
      <c r="G166" s="138" t="n">
        <f aca="false">Scoring!D172</f>
        <v>0</v>
      </c>
      <c r="H166" s="138" t="str">
        <f aca="false">Scoring!BG172</f>
        <v/>
      </c>
      <c r="I166" s="140" t="str">
        <f aca="false">Scoring!BF172</f>
        <v/>
      </c>
    </row>
    <row r="167" customFormat="false" ht="15.75" hidden="false" customHeight="false" outlineLevel="0" collapsed="false">
      <c r="A167" s="138" t="str">
        <f aca="false">Scoring!BI173</f>
        <v/>
      </c>
      <c r="B167" s="138" t="str">
        <f aca="false">Scoring!BH173</f>
        <v/>
      </c>
      <c r="C167" s="138" t="n">
        <f aca="false">Scoring!C173</f>
        <v>0</v>
      </c>
      <c r="D167" s="139" t="str">
        <f aca="false">Scoring!BE173</f>
        <v/>
      </c>
      <c r="E167" s="138" t="str">
        <f aca="false">Scoring!AJ173</f>
        <v/>
      </c>
      <c r="F167" s="138" t="n">
        <f aca="false">Scoring!B173</f>
        <v>0</v>
      </c>
      <c r="G167" s="138" t="n">
        <f aca="false">Scoring!D173</f>
        <v>0</v>
      </c>
      <c r="H167" s="138" t="str">
        <f aca="false">Scoring!BG173</f>
        <v/>
      </c>
      <c r="I167" s="140" t="str">
        <f aca="false">Scoring!BF173</f>
        <v/>
      </c>
    </row>
    <row r="168" customFormat="false" ht="15.75" hidden="false" customHeight="false" outlineLevel="0" collapsed="false">
      <c r="A168" s="138" t="str">
        <f aca="false">Scoring!BI174</f>
        <v/>
      </c>
      <c r="B168" s="138" t="str">
        <f aca="false">Scoring!BH174</f>
        <v/>
      </c>
      <c r="C168" s="138" t="n">
        <f aca="false">Scoring!C174</f>
        <v>0</v>
      </c>
      <c r="D168" s="139" t="str">
        <f aca="false">Scoring!BE174</f>
        <v/>
      </c>
      <c r="E168" s="138" t="str">
        <f aca="false">Scoring!AJ174</f>
        <v/>
      </c>
      <c r="F168" s="138" t="n">
        <f aca="false">Scoring!B174</f>
        <v>0</v>
      </c>
      <c r="G168" s="138" t="n">
        <f aca="false">Scoring!D174</f>
        <v>0</v>
      </c>
      <c r="H168" s="138" t="str">
        <f aca="false">Scoring!BG174</f>
        <v/>
      </c>
      <c r="I168" s="140" t="str">
        <f aca="false">Scoring!BF174</f>
        <v/>
      </c>
    </row>
    <row r="169" customFormat="false" ht="15.75" hidden="false" customHeight="false" outlineLevel="0" collapsed="false">
      <c r="A169" s="138" t="str">
        <f aca="false">Scoring!BI175</f>
        <v/>
      </c>
      <c r="B169" s="138" t="str">
        <f aca="false">Scoring!BH175</f>
        <v/>
      </c>
      <c r="C169" s="138" t="n">
        <f aca="false">Scoring!C175</f>
        <v>0</v>
      </c>
      <c r="D169" s="139" t="str">
        <f aca="false">Scoring!BE175</f>
        <v/>
      </c>
      <c r="E169" s="138" t="str">
        <f aca="false">Scoring!AJ175</f>
        <v/>
      </c>
      <c r="F169" s="138" t="n">
        <f aca="false">Scoring!B175</f>
        <v>0</v>
      </c>
      <c r="G169" s="138" t="n">
        <f aca="false">Scoring!D175</f>
        <v>0</v>
      </c>
      <c r="H169" s="138" t="str">
        <f aca="false">Scoring!BG175</f>
        <v/>
      </c>
      <c r="I169" s="140" t="str">
        <f aca="false">Scoring!BF175</f>
        <v/>
      </c>
    </row>
    <row r="170" customFormat="false" ht="15.75" hidden="false" customHeight="false" outlineLevel="0" collapsed="false">
      <c r="A170" s="138" t="str">
        <f aca="false">Scoring!BI176</f>
        <v/>
      </c>
      <c r="B170" s="138" t="str">
        <f aca="false">Scoring!BH176</f>
        <v/>
      </c>
      <c r="C170" s="138" t="n">
        <f aca="false">Scoring!C176</f>
        <v>0</v>
      </c>
      <c r="D170" s="139" t="str">
        <f aca="false">Scoring!BE176</f>
        <v/>
      </c>
      <c r="E170" s="138" t="str">
        <f aca="false">Scoring!AJ176</f>
        <v/>
      </c>
      <c r="F170" s="138" t="n">
        <f aca="false">Scoring!B176</f>
        <v>0</v>
      </c>
      <c r="G170" s="138" t="n">
        <f aca="false">Scoring!D176</f>
        <v>0</v>
      </c>
      <c r="H170" s="138" t="str">
        <f aca="false">Scoring!BG176</f>
        <v/>
      </c>
      <c r="I170" s="140" t="str">
        <f aca="false">Scoring!BF176</f>
        <v/>
      </c>
    </row>
    <row r="171" customFormat="false" ht="15.75" hidden="false" customHeight="false" outlineLevel="0" collapsed="false">
      <c r="A171" s="138" t="str">
        <f aca="false">Scoring!BI177</f>
        <v/>
      </c>
      <c r="B171" s="138" t="str">
        <f aca="false">Scoring!BH177</f>
        <v/>
      </c>
      <c r="C171" s="138" t="n">
        <f aca="false">Scoring!C177</f>
        <v>0</v>
      </c>
      <c r="D171" s="139" t="str">
        <f aca="false">Scoring!BE177</f>
        <v/>
      </c>
      <c r="E171" s="138" t="str">
        <f aca="false">Scoring!AJ177</f>
        <v/>
      </c>
      <c r="F171" s="138" t="n">
        <f aca="false">Scoring!B177</f>
        <v>0</v>
      </c>
      <c r="G171" s="138" t="n">
        <f aca="false">Scoring!D177</f>
        <v>0</v>
      </c>
      <c r="H171" s="138" t="str">
        <f aca="false">Scoring!BG177</f>
        <v/>
      </c>
      <c r="I171" s="140" t="str">
        <f aca="false">Scoring!BF177</f>
        <v/>
      </c>
    </row>
    <row r="172" customFormat="false" ht="15.75" hidden="false" customHeight="false" outlineLevel="0" collapsed="false">
      <c r="A172" s="138" t="str">
        <f aca="false">Scoring!BI178</f>
        <v/>
      </c>
      <c r="B172" s="138" t="str">
        <f aca="false">Scoring!BH178</f>
        <v/>
      </c>
      <c r="C172" s="138" t="n">
        <f aca="false">Scoring!C178</f>
        <v>0</v>
      </c>
      <c r="D172" s="139" t="str">
        <f aca="false">Scoring!BE178</f>
        <v/>
      </c>
      <c r="E172" s="138" t="str">
        <f aca="false">Scoring!AJ178</f>
        <v/>
      </c>
      <c r="F172" s="138" t="n">
        <f aca="false">Scoring!B178</f>
        <v>0</v>
      </c>
      <c r="G172" s="138" t="n">
        <f aca="false">Scoring!D178</f>
        <v>0</v>
      </c>
      <c r="H172" s="138" t="str">
        <f aca="false">Scoring!BG178</f>
        <v/>
      </c>
      <c r="I172" s="140" t="str">
        <f aca="false">Scoring!BF178</f>
        <v/>
      </c>
    </row>
    <row r="173" customFormat="false" ht="15.75" hidden="false" customHeight="false" outlineLevel="0" collapsed="false">
      <c r="A173" s="138" t="str">
        <f aca="false">Scoring!BI179</f>
        <v/>
      </c>
      <c r="B173" s="138" t="str">
        <f aca="false">Scoring!BH179</f>
        <v/>
      </c>
      <c r="C173" s="138" t="n">
        <f aca="false">Scoring!C179</f>
        <v>0</v>
      </c>
      <c r="D173" s="139" t="str">
        <f aca="false">Scoring!BE179</f>
        <v/>
      </c>
      <c r="E173" s="138" t="str">
        <f aca="false">Scoring!AJ179</f>
        <v/>
      </c>
      <c r="F173" s="138" t="n">
        <f aca="false">Scoring!B179</f>
        <v>0</v>
      </c>
      <c r="G173" s="138" t="n">
        <f aca="false">Scoring!D179</f>
        <v>0</v>
      </c>
      <c r="H173" s="138" t="str">
        <f aca="false">Scoring!BG179</f>
        <v/>
      </c>
      <c r="I173" s="140" t="str">
        <f aca="false">Scoring!BF179</f>
        <v/>
      </c>
    </row>
    <row r="174" customFormat="false" ht="15.75" hidden="false" customHeight="false" outlineLevel="0" collapsed="false">
      <c r="A174" s="138" t="str">
        <f aca="false">Scoring!BI180</f>
        <v/>
      </c>
      <c r="B174" s="138" t="str">
        <f aca="false">Scoring!BH180</f>
        <v/>
      </c>
      <c r="C174" s="138" t="n">
        <f aca="false">Scoring!C180</f>
        <v>0</v>
      </c>
      <c r="D174" s="139" t="str">
        <f aca="false">Scoring!BE180</f>
        <v/>
      </c>
      <c r="E174" s="138" t="str">
        <f aca="false">Scoring!AJ180</f>
        <v/>
      </c>
      <c r="F174" s="138" t="n">
        <f aca="false">Scoring!B180</f>
        <v>0</v>
      </c>
      <c r="G174" s="138" t="n">
        <f aca="false">Scoring!D180</f>
        <v>0</v>
      </c>
      <c r="H174" s="138" t="str">
        <f aca="false">Scoring!BG180</f>
        <v/>
      </c>
      <c r="I174" s="140" t="str">
        <f aca="false">Scoring!BF180</f>
        <v/>
      </c>
    </row>
    <row r="175" customFormat="false" ht="15.75" hidden="false" customHeight="false" outlineLevel="0" collapsed="false">
      <c r="A175" s="138" t="str">
        <f aca="false">Scoring!BI181</f>
        <v/>
      </c>
      <c r="B175" s="138" t="str">
        <f aca="false">Scoring!BH181</f>
        <v/>
      </c>
      <c r="C175" s="138" t="n">
        <f aca="false">Scoring!C181</f>
        <v>0</v>
      </c>
      <c r="D175" s="139" t="str">
        <f aca="false">Scoring!BE181</f>
        <v/>
      </c>
      <c r="E175" s="138" t="str">
        <f aca="false">Scoring!AJ181</f>
        <v/>
      </c>
      <c r="F175" s="138" t="n">
        <f aca="false">Scoring!B181</f>
        <v>0</v>
      </c>
      <c r="G175" s="138" t="n">
        <f aca="false">Scoring!D181</f>
        <v>0</v>
      </c>
      <c r="H175" s="138" t="str">
        <f aca="false">Scoring!BG181</f>
        <v/>
      </c>
      <c r="I175" s="140" t="str">
        <f aca="false">Scoring!BF181</f>
        <v/>
      </c>
    </row>
    <row r="176" customFormat="false" ht="15.75" hidden="false" customHeight="false" outlineLevel="0" collapsed="false">
      <c r="A176" s="138" t="str">
        <f aca="false">Scoring!BI182</f>
        <v/>
      </c>
      <c r="B176" s="138" t="str">
        <f aca="false">Scoring!BH182</f>
        <v/>
      </c>
      <c r="C176" s="138" t="n">
        <f aca="false">Scoring!C182</f>
        <v>0</v>
      </c>
      <c r="D176" s="139" t="str">
        <f aca="false">Scoring!BE182</f>
        <v/>
      </c>
      <c r="E176" s="138" t="str">
        <f aca="false">Scoring!AJ182</f>
        <v/>
      </c>
      <c r="F176" s="138" t="n">
        <f aca="false">Scoring!B182</f>
        <v>0</v>
      </c>
      <c r="G176" s="138" t="n">
        <f aca="false">Scoring!D182</f>
        <v>0</v>
      </c>
      <c r="H176" s="138" t="str">
        <f aca="false">Scoring!BG182</f>
        <v/>
      </c>
      <c r="I176" s="140" t="str">
        <f aca="false">Scoring!BF182</f>
        <v/>
      </c>
    </row>
    <row r="177" customFormat="false" ht="15.75" hidden="false" customHeight="false" outlineLevel="0" collapsed="false">
      <c r="A177" s="138" t="str">
        <f aca="false">Scoring!BI183</f>
        <v/>
      </c>
      <c r="B177" s="138" t="str">
        <f aca="false">Scoring!BH183</f>
        <v/>
      </c>
      <c r="C177" s="138" t="n">
        <f aca="false">Scoring!C183</f>
        <v>0</v>
      </c>
      <c r="D177" s="139" t="str">
        <f aca="false">Scoring!BE183</f>
        <v/>
      </c>
      <c r="E177" s="138" t="str">
        <f aca="false">Scoring!AJ183</f>
        <v/>
      </c>
      <c r="F177" s="138" t="n">
        <f aca="false">Scoring!B183</f>
        <v>0</v>
      </c>
      <c r="G177" s="138" t="n">
        <f aca="false">Scoring!D183</f>
        <v>0</v>
      </c>
      <c r="H177" s="138" t="str">
        <f aca="false">Scoring!BG183</f>
        <v/>
      </c>
      <c r="I177" s="140" t="str">
        <f aca="false">Scoring!BF183</f>
        <v/>
      </c>
    </row>
    <row r="178" customFormat="false" ht="15.75" hidden="false" customHeight="false" outlineLevel="0" collapsed="false">
      <c r="A178" s="138" t="str">
        <f aca="false">Scoring!BI184</f>
        <v/>
      </c>
      <c r="B178" s="138" t="str">
        <f aca="false">Scoring!BH184</f>
        <v/>
      </c>
      <c r="C178" s="138" t="n">
        <f aca="false">Scoring!C184</f>
        <v>0</v>
      </c>
      <c r="D178" s="139" t="str">
        <f aca="false">Scoring!BE184</f>
        <v/>
      </c>
      <c r="E178" s="138" t="str">
        <f aca="false">Scoring!AJ184</f>
        <v/>
      </c>
      <c r="F178" s="138" t="n">
        <f aca="false">Scoring!B184</f>
        <v>0</v>
      </c>
      <c r="G178" s="138" t="n">
        <f aca="false">Scoring!D184</f>
        <v>0</v>
      </c>
      <c r="H178" s="138" t="str">
        <f aca="false">Scoring!BG184</f>
        <v/>
      </c>
      <c r="I178" s="140" t="str">
        <f aca="false">Scoring!BF184</f>
        <v/>
      </c>
    </row>
    <row r="179" customFormat="false" ht="15.75" hidden="false" customHeight="false" outlineLevel="0" collapsed="false">
      <c r="A179" s="138" t="str">
        <f aca="false">Scoring!BI185</f>
        <v/>
      </c>
      <c r="B179" s="138" t="str">
        <f aca="false">Scoring!BH185</f>
        <v/>
      </c>
      <c r="C179" s="138" t="n">
        <f aca="false">Scoring!C185</f>
        <v>0</v>
      </c>
      <c r="D179" s="139" t="str">
        <f aca="false">Scoring!BE185</f>
        <v/>
      </c>
      <c r="E179" s="138" t="str">
        <f aca="false">Scoring!AJ185</f>
        <v/>
      </c>
      <c r="F179" s="138" t="n">
        <f aca="false">Scoring!B185</f>
        <v>0</v>
      </c>
      <c r="G179" s="138" t="n">
        <f aca="false">Scoring!D185</f>
        <v>0</v>
      </c>
      <c r="H179" s="138" t="str">
        <f aca="false">Scoring!BG185</f>
        <v/>
      </c>
      <c r="I179" s="140" t="str">
        <f aca="false">Scoring!BF185</f>
        <v/>
      </c>
    </row>
    <row r="180" customFormat="false" ht="15.75" hidden="false" customHeight="false" outlineLevel="0" collapsed="false">
      <c r="A180" s="138" t="str">
        <f aca="false">Scoring!BI186</f>
        <v/>
      </c>
      <c r="B180" s="138" t="str">
        <f aca="false">Scoring!BH186</f>
        <v/>
      </c>
      <c r="C180" s="138" t="n">
        <f aca="false">Scoring!C186</f>
        <v>0</v>
      </c>
      <c r="D180" s="139" t="str">
        <f aca="false">Scoring!BE186</f>
        <v/>
      </c>
      <c r="E180" s="138" t="str">
        <f aca="false">Scoring!AJ186</f>
        <v/>
      </c>
      <c r="F180" s="138" t="n">
        <f aca="false">Scoring!B186</f>
        <v>0</v>
      </c>
      <c r="G180" s="138" t="n">
        <f aca="false">Scoring!D186</f>
        <v>0</v>
      </c>
      <c r="H180" s="138" t="str">
        <f aca="false">Scoring!BG186</f>
        <v/>
      </c>
      <c r="I180" s="140" t="str">
        <f aca="false">Scoring!BF186</f>
        <v/>
      </c>
    </row>
    <row r="181" customFormat="false" ht="15.75" hidden="false" customHeight="false" outlineLevel="0" collapsed="false">
      <c r="A181" s="138" t="str">
        <f aca="false">Scoring!BI187</f>
        <v/>
      </c>
      <c r="B181" s="138" t="str">
        <f aca="false">Scoring!BH187</f>
        <v/>
      </c>
      <c r="C181" s="138" t="n">
        <f aca="false">Scoring!C187</f>
        <v>0</v>
      </c>
      <c r="D181" s="139" t="str">
        <f aca="false">Scoring!BE187</f>
        <v/>
      </c>
      <c r="E181" s="138" t="str">
        <f aca="false">Scoring!AJ187</f>
        <v/>
      </c>
      <c r="F181" s="138" t="n">
        <f aca="false">Scoring!B187</f>
        <v>0</v>
      </c>
      <c r="G181" s="138" t="n">
        <f aca="false">Scoring!D187</f>
        <v>0</v>
      </c>
      <c r="H181" s="138" t="str">
        <f aca="false">Scoring!BG187</f>
        <v/>
      </c>
      <c r="I181" s="140" t="str">
        <f aca="false">Scoring!BF187</f>
        <v/>
      </c>
    </row>
    <row r="182" customFormat="false" ht="15.75" hidden="false" customHeight="false" outlineLevel="0" collapsed="false">
      <c r="A182" s="138" t="str">
        <f aca="false">Scoring!BI188</f>
        <v/>
      </c>
      <c r="B182" s="138" t="str">
        <f aca="false">Scoring!BH188</f>
        <v/>
      </c>
      <c r="C182" s="138" t="n">
        <f aca="false">Scoring!C188</f>
        <v>0</v>
      </c>
      <c r="D182" s="139" t="str">
        <f aca="false">Scoring!BE188</f>
        <v/>
      </c>
      <c r="E182" s="138" t="str">
        <f aca="false">Scoring!AJ188</f>
        <v/>
      </c>
      <c r="F182" s="138" t="n">
        <f aca="false">Scoring!B188</f>
        <v>0</v>
      </c>
      <c r="G182" s="138" t="n">
        <f aca="false">Scoring!D188</f>
        <v>0</v>
      </c>
      <c r="H182" s="138" t="str">
        <f aca="false">Scoring!BG188</f>
        <v/>
      </c>
      <c r="I182" s="140" t="str">
        <f aca="false">Scoring!BF188</f>
        <v/>
      </c>
    </row>
    <row r="183" customFormat="false" ht="15.75" hidden="false" customHeight="false" outlineLevel="0" collapsed="false">
      <c r="A183" s="138" t="str">
        <f aca="false">Scoring!BI189</f>
        <v/>
      </c>
      <c r="B183" s="138" t="str">
        <f aca="false">Scoring!BH189</f>
        <v/>
      </c>
      <c r="C183" s="138" t="n">
        <f aca="false">Scoring!C189</f>
        <v>0</v>
      </c>
      <c r="D183" s="139" t="str">
        <f aca="false">Scoring!BE189</f>
        <v/>
      </c>
      <c r="E183" s="138" t="str">
        <f aca="false">Scoring!AJ189</f>
        <v/>
      </c>
      <c r="F183" s="138" t="n">
        <f aca="false">Scoring!B189</f>
        <v>0</v>
      </c>
      <c r="G183" s="138" t="n">
        <f aca="false">Scoring!D189</f>
        <v>0</v>
      </c>
      <c r="H183" s="138" t="str">
        <f aca="false">Scoring!BG189</f>
        <v/>
      </c>
      <c r="I183" s="140" t="str">
        <f aca="false">Scoring!BF189</f>
        <v/>
      </c>
    </row>
    <row r="184" customFormat="false" ht="15.75" hidden="false" customHeight="false" outlineLevel="0" collapsed="false">
      <c r="A184" s="138" t="str">
        <f aca="false">Scoring!BI190</f>
        <v/>
      </c>
      <c r="B184" s="138" t="str">
        <f aca="false">Scoring!BH190</f>
        <v/>
      </c>
      <c r="C184" s="138" t="n">
        <f aca="false">Scoring!C190</f>
        <v>0</v>
      </c>
      <c r="D184" s="139" t="str">
        <f aca="false">Scoring!BE190</f>
        <v/>
      </c>
      <c r="E184" s="138" t="str">
        <f aca="false">Scoring!AJ190</f>
        <v/>
      </c>
      <c r="F184" s="138" t="n">
        <f aca="false">Scoring!B190</f>
        <v>0</v>
      </c>
      <c r="G184" s="138" t="n">
        <f aca="false">Scoring!D190</f>
        <v>0</v>
      </c>
      <c r="H184" s="138" t="str">
        <f aca="false">Scoring!BG190</f>
        <v/>
      </c>
      <c r="I184" s="140" t="str">
        <f aca="false">Scoring!BF190</f>
        <v/>
      </c>
    </row>
    <row r="185" customFormat="false" ht="15.75" hidden="false" customHeight="false" outlineLevel="0" collapsed="false">
      <c r="A185" s="138" t="str">
        <f aca="false">Scoring!BI191</f>
        <v/>
      </c>
      <c r="B185" s="138" t="str">
        <f aca="false">Scoring!BH191</f>
        <v/>
      </c>
      <c r="C185" s="138" t="n">
        <f aca="false">Scoring!C191</f>
        <v>0</v>
      </c>
      <c r="D185" s="139" t="str">
        <f aca="false">Scoring!BE191</f>
        <v/>
      </c>
      <c r="E185" s="138" t="str">
        <f aca="false">Scoring!AJ191</f>
        <v/>
      </c>
      <c r="F185" s="138" t="n">
        <f aca="false">Scoring!B191</f>
        <v>0</v>
      </c>
      <c r="G185" s="138" t="n">
        <f aca="false">Scoring!D191</f>
        <v>0</v>
      </c>
      <c r="H185" s="138" t="str">
        <f aca="false">Scoring!BG191</f>
        <v/>
      </c>
      <c r="I185" s="140" t="str">
        <f aca="false">Scoring!BF191</f>
        <v/>
      </c>
    </row>
    <row r="186" customFormat="false" ht="15.75" hidden="false" customHeight="false" outlineLevel="0" collapsed="false">
      <c r="A186" s="138" t="str">
        <f aca="false">Scoring!BI192</f>
        <v/>
      </c>
      <c r="B186" s="138" t="str">
        <f aca="false">Scoring!BH192</f>
        <v/>
      </c>
      <c r="C186" s="138" t="n">
        <f aca="false">Scoring!C192</f>
        <v>0</v>
      </c>
      <c r="D186" s="139" t="str">
        <f aca="false">Scoring!BE192</f>
        <v/>
      </c>
      <c r="E186" s="138" t="str">
        <f aca="false">Scoring!AJ192</f>
        <v/>
      </c>
      <c r="F186" s="138" t="n">
        <f aca="false">Scoring!B192</f>
        <v>0</v>
      </c>
      <c r="G186" s="138" t="n">
        <f aca="false">Scoring!D192</f>
        <v>0</v>
      </c>
      <c r="H186" s="138" t="str">
        <f aca="false">Scoring!BG192</f>
        <v/>
      </c>
      <c r="I186" s="140" t="str">
        <f aca="false">Scoring!BF192</f>
        <v/>
      </c>
    </row>
    <row r="187" customFormat="false" ht="15.75" hidden="false" customHeight="false" outlineLevel="0" collapsed="false">
      <c r="A187" s="138" t="str">
        <f aca="false">Scoring!BI193</f>
        <v/>
      </c>
      <c r="B187" s="138" t="str">
        <f aca="false">Scoring!BH193</f>
        <v/>
      </c>
      <c r="C187" s="138" t="n">
        <f aca="false">Scoring!C193</f>
        <v>0</v>
      </c>
      <c r="D187" s="139" t="str">
        <f aca="false">Scoring!BE193</f>
        <v/>
      </c>
      <c r="E187" s="138" t="str">
        <f aca="false">Scoring!AJ193</f>
        <v/>
      </c>
      <c r="F187" s="138" t="n">
        <f aca="false">Scoring!B193</f>
        <v>0</v>
      </c>
      <c r="G187" s="138" t="n">
        <f aca="false">Scoring!D193</f>
        <v>0</v>
      </c>
      <c r="H187" s="138" t="str">
        <f aca="false">Scoring!BG193</f>
        <v/>
      </c>
      <c r="I187" s="140" t="str">
        <f aca="false">Scoring!BF193</f>
        <v/>
      </c>
    </row>
    <row r="188" customFormat="false" ht="15.75" hidden="false" customHeight="false" outlineLevel="0" collapsed="false">
      <c r="A188" s="138" t="str">
        <f aca="false">Scoring!BI194</f>
        <v/>
      </c>
      <c r="B188" s="138" t="str">
        <f aca="false">Scoring!BH194</f>
        <v/>
      </c>
      <c r="C188" s="138" t="n">
        <f aca="false">Scoring!C194</f>
        <v>0</v>
      </c>
      <c r="D188" s="139" t="str">
        <f aca="false">Scoring!BE194</f>
        <v/>
      </c>
      <c r="E188" s="138" t="str">
        <f aca="false">Scoring!AJ194</f>
        <v/>
      </c>
      <c r="F188" s="138" t="n">
        <f aca="false">Scoring!B194</f>
        <v>0</v>
      </c>
      <c r="G188" s="138" t="n">
        <f aca="false">Scoring!D194</f>
        <v>0</v>
      </c>
      <c r="H188" s="138" t="str">
        <f aca="false">Scoring!BG194</f>
        <v/>
      </c>
      <c r="I188" s="140" t="str">
        <f aca="false">Scoring!BF194</f>
        <v/>
      </c>
    </row>
    <row r="189" customFormat="false" ht="15.75" hidden="false" customHeight="false" outlineLevel="0" collapsed="false">
      <c r="A189" s="138" t="str">
        <f aca="false">Scoring!BI195</f>
        <v/>
      </c>
      <c r="B189" s="138" t="str">
        <f aca="false">Scoring!BH195</f>
        <v/>
      </c>
      <c r="C189" s="138" t="n">
        <f aca="false">Scoring!C195</f>
        <v>0</v>
      </c>
      <c r="D189" s="139" t="str">
        <f aca="false">Scoring!BE195</f>
        <v/>
      </c>
      <c r="E189" s="138" t="str">
        <f aca="false">Scoring!AJ195</f>
        <v/>
      </c>
      <c r="F189" s="138" t="n">
        <f aca="false">Scoring!B195</f>
        <v>0</v>
      </c>
      <c r="G189" s="138" t="n">
        <f aca="false">Scoring!D195</f>
        <v>0</v>
      </c>
      <c r="H189" s="138" t="str">
        <f aca="false">Scoring!BG195</f>
        <v/>
      </c>
      <c r="I189" s="140" t="str">
        <f aca="false">Scoring!BF195</f>
        <v/>
      </c>
    </row>
    <row r="190" customFormat="false" ht="15.75" hidden="false" customHeight="false" outlineLevel="0" collapsed="false">
      <c r="A190" s="138" t="str">
        <f aca="false">Scoring!BI196</f>
        <v/>
      </c>
      <c r="B190" s="138" t="str">
        <f aca="false">Scoring!BH196</f>
        <v/>
      </c>
      <c r="C190" s="138" t="n">
        <f aca="false">Scoring!C196</f>
        <v>0</v>
      </c>
      <c r="D190" s="139" t="str">
        <f aca="false">Scoring!BE196</f>
        <v/>
      </c>
      <c r="E190" s="138" t="str">
        <f aca="false">Scoring!AJ196</f>
        <v/>
      </c>
      <c r="F190" s="138" t="n">
        <f aca="false">Scoring!B196</f>
        <v>0</v>
      </c>
      <c r="G190" s="138" t="n">
        <f aca="false">Scoring!D196</f>
        <v>0</v>
      </c>
      <c r="H190" s="138" t="str">
        <f aca="false">Scoring!BG196</f>
        <v/>
      </c>
      <c r="I190" s="140" t="str">
        <f aca="false">Scoring!BF196</f>
        <v/>
      </c>
    </row>
    <row r="191" customFormat="false" ht="15.75" hidden="false" customHeight="false" outlineLevel="0" collapsed="false">
      <c r="A191" s="138" t="str">
        <f aca="false">Scoring!BI197</f>
        <v/>
      </c>
      <c r="B191" s="138" t="str">
        <f aca="false">Scoring!BH197</f>
        <v/>
      </c>
      <c r="C191" s="138" t="n">
        <f aca="false">Scoring!C197</f>
        <v>0</v>
      </c>
      <c r="D191" s="139" t="str">
        <f aca="false">Scoring!BE197</f>
        <v/>
      </c>
      <c r="E191" s="138" t="str">
        <f aca="false">Scoring!AJ197</f>
        <v/>
      </c>
      <c r="F191" s="138" t="n">
        <f aca="false">Scoring!B197</f>
        <v>0</v>
      </c>
      <c r="G191" s="138" t="n">
        <f aca="false">Scoring!D197</f>
        <v>0</v>
      </c>
      <c r="H191" s="138" t="str">
        <f aca="false">Scoring!BG197</f>
        <v/>
      </c>
      <c r="I191" s="140" t="str">
        <f aca="false">Scoring!BF197</f>
        <v/>
      </c>
    </row>
    <row r="192" customFormat="false" ht="15.75" hidden="false" customHeight="false" outlineLevel="0" collapsed="false">
      <c r="A192" s="138" t="str">
        <f aca="false">Scoring!BI198</f>
        <v/>
      </c>
      <c r="B192" s="138" t="str">
        <f aca="false">Scoring!BH198</f>
        <v/>
      </c>
      <c r="C192" s="138" t="n">
        <f aca="false">Scoring!C198</f>
        <v>0</v>
      </c>
      <c r="D192" s="139" t="str">
        <f aca="false">Scoring!BE198</f>
        <v/>
      </c>
      <c r="E192" s="138" t="str">
        <f aca="false">Scoring!AJ198</f>
        <v/>
      </c>
      <c r="F192" s="138" t="n">
        <f aca="false">Scoring!B198</f>
        <v>0</v>
      </c>
      <c r="G192" s="138" t="n">
        <f aca="false">Scoring!D198</f>
        <v>0</v>
      </c>
      <c r="H192" s="138" t="str">
        <f aca="false">Scoring!BG198</f>
        <v/>
      </c>
      <c r="I192" s="140" t="str">
        <f aca="false">Scoring!BF198</f>
        <v/>
      </c>
    </row>
    <row r="193" customFormat="false" ht="15.75" hidden="false" customHeight="false" outlineLevel="0" collapsed="false">
      <c r="A193" s="138" t="str">
        <f aca="false">Scoring!BI199</f>
        <v/>
      </c>
      <c r="B193" s="138" t="str">
        <f aca="false">Scoring!BH199</f>
        <v/>
      </c>
      <c r="C193" s="138" t="n">
        <f aca="false">Scoring!C199</f>
        <v>0</v>
      </c>
      <c r="D193" s="139" t="str">
        <f aca="false">Scoring!BE199</f>
        <v/>
      </c>
      <c r="E193" s="138" t="str">
        <f aca="false">Scoring!AJ199</f>
        <v/>
      </c>
      <c r="F193" s="138" t="n">
        <f aca="false">Scoring!B199</f>
        <v>0</v>
      </c>
      <c r="G193" s="138" t="n">
        <f aca="false">Scoring!D199</f>
        <v>0</v>
      </c>
      <c r="H193" s="138" t="str">
        <f aca="false">Scoring!BG199</f>
        <v/>
      </c>
      <c r="I193" s="140" t="str">
        <f aca="false">Scoring!BF199</f>
        <v/>
      </c>
    </row>
    <row r="194" customFormat="false" ht="15.75" hidden="false" customHeight="false" outlineLevel="0" collapsed="false">
      <c r="A194" s="138" t="str">
        <f aca="false">Scoring!BI200</f>
        <v/>
      </c>
      <c r="B194" s="138" t="str">
        <f aca="false">Scoring!BH200</f>
        <v/>
      </c>
      <c r="C194" s="138" t="n">
        <f aca="false">Scoring!C200</f>
        <v>0</v>
      </c>
      <c r="D194" s="139" t="str">
        <f aca="false">Scoring!BE200</f>
        <v/>
      </c>
      <c r="E194" s="138" t="str">
        <f aca="false">Scoring!AJ200</f>
        <v/>
      </c>
      <c r="F194" s="138" t="n">
        <f aca="false">Scoring!B200</f>
        <v>0</v>
      </c>
      <c r="G194" s="138" t="n">
        <f aca="false">Scoring!D200</f>
        <v>0</v>
      </c>
      <c r="H194" s="138" t="str">
        <f aca="false">Scoring!BG200</f>
        <v/>
      </c>
      <c r="I194" s="140" t="str">
        <f aca="false">Scoring!BF200</f>
        <v/>
      </c>
    </row>
    <row r="195" customFormat="false" ht="15.75" hidden="false" customHeight="false" outlineLevel="0" collapsed="false">
      <c r="A195" s="138" t="str">
        <f aca="false">Scoring!BI201</f>
        <v/>
      </c>
      <c r="B195" s="138" t="str">
        <f aca="false">Scoring!BH201</f>
        <v/>
      </c>
      <c r="C195" s="138" t="n">
        <f aca="false">Scoring!C201</f>
        <v>0</v>
      </c>
      <c r="D195" s="139" t="str">
        <f aca="false">Scoring!BE201</f>
        <v/>
      </c>
      <c r="E195" s="138" t="str">
        <f aca="false">Scoring!AJ201</f>
        <v/>
      </c>
      <c r="F195" s="138" t="n">
        <f aca="false">Scoring!B201</f>
        <v>0</v>
      </c>
      <c r="G195" s="138" t="n">
        <f aca="false">Scoring!D201</f>
        <v>0</v>
      </c>
      <c r="H195" s="138" t="str">
        <f aca="false">Scoring!BG201</f>
        <v/>
      </c>
      <c r="I195" s="140" t="str">
        <f aca="false">Scoring!BF201</f>
        <v/>
      </c>
    </row>
    <row r="196" customFormat="false" ht="15.75" hidden="false" customHeight="false" outlineLevel="0" collapsed="false">
      <c r="A196" s="138" t="str">
        <f aca="false">Scoring!BI202</f>
        <v/>
      </c>
      <c r="B196" s="138" t="str">
        <f aca="false">Scoring!BH202</f>
        <v/>
      </c>
      <c r="C196" s="138" t="n">
        <f aca="false">Scoring!C202</f>
        <v>0</v>
      </c>
      <c r="D196" s="139" t="str">
        <f aca="false">Scoring!BE202</f>
        <v/>
      </c>
      <c r="E196" s="138" t="str">
        <f aca="false">Scoring!AJ202</f>
        <v/>
      </c>
      <c r="F196" s="138" t="n">
        <f aca="false">Scoring!B202</f>
        <v>0</v>
      </c>
      <c r="G196" s="138" t="n">
        <f aca="false">Scoring!D202</f>
        <v>0</v>
      </c>
      <c r="H196" s="138" t="str">
        <f aca="false">Scoring!BG202</f>
        <v/>
      </c>
      <c r="I196" s="140" t="str">
        <f aca="false">Scoring!BF202</f>
        <v/>
      </c>
    </row>
    <row r="197" customFormat="false" ht="15.75" hidden="false" customHeight="false" outlineLevel="0" collapsed="false">
      <c r="A197" s="138" t="str">
        <f aca="false">Scoring!BI203</f>
        <v/>
      </c>
      <c r="B197" s="138" t="str">
        <f aca="false">Scoring!BH203</f>
        <v/>
      </c>
      <c r="C197" s="138" t="n">
        <f aca="false">Scoring!C203</f>
        <v>0</v>
      </c>
      <c r="D197" s="139" t="str">
        <f aca="false">Scoring!BE203</f>
        <v/>
      </c>
      <c r="E197" s="138" t="str">
        <f aca="false">Scoring!AJ203</f>
        <v/>
      </c>
      <c r="F197" s="138" t="n">
        <f aca="false">Scoring!B203</f>
        <v>0</v>
      </c>
      <c r="G197" s="138" t="n">
        <f aca="false">Scoring!D203</f>
        <v>0</v>
      </c>
      <c r="H197" s="138" t="str">
        <f aca="false">Scoring!BG203</f>
        <v/>
      </c>
      <c r="I197" s="140" t="str">
        <f aca="false">Scoring!BF203</f>
        <v/>
      </c>
    </row>
    <row r="198" customFormat="false" ht="15.75" hidden="false" customHeight="false" outlineLevel="0" collapsed="false">
      <c r="A198" s="138" t="str">
        <f aca="false">Scoring!BI204</f>
        <v/>
      </c>
      <c r="B198" s="138" t="str">
        <f aca="false">Scoring!BH204</f>
        <v/>
      </c>
      <c r="C198" s="138" t="n">
        <f aca="false">Scoring!C204</f>
        <v>0</v>
      </c>
      <c r="D198" s="139" t="str">
        <f aca="false">Scoring!BE204</f>
        <v/>
      </c>
      <c r="E198" s="138" t="str">
        <f aca="false">Scoring!AJ204</f>
        <v/>
      </c>
      <c r="F198" s="138" t="n">
        <f aca="false">Scoring!B204</f>
        <v>0</v>
      </c>
      <c r="G198" s="138" t="n">
        <f aca="false">Scoring!D204</f>
        <v>0</v>
      </c>
      <c r="H198" s="138" t="str">
        <f aca="false">Scoring!BG204</f>
        <v/>
      </c>
      <c r="I198" s="140" t="str">
        <f aca="false">Scoring!BF204</f>
        <v/>
      </c>
    </row>
    <row r="199" customFormat="false" ht="15.75" hidden="false" customHeight="false" outlineLevel="0" collapsed="false">
      <c r="A199" s="138" t="str">
        <f aca="false">Scoring!BI205</f>
        <v/>
      </c>
      <c r="B199" s="138" t="str">
        <f aca="false">Scoring!BH205</f>
        <v/>
      </c>
      <c r="C199" s="138" t="n">
        <f aca="false">Scoring!C205</f>
        <v>0</v>
      </c>
      <c r="D199" s="139" t="str">
        <f aca="false">Scoring!BE205</f>
        <v/>
      </c>
      <c r="E199" s="138" t="str">
        <f aca="false">Scoring!AJ205</f>
        <v/>
      </c>
      <c r="F199" s="138" t="n">
        <f aca="false">Scoring!B205</f>
        <v>0</v>
      </c>
      <c r="G199" s="138" t="n">
        <f aca="false">Scoring!D205</f>
        <v>0</v>
      </c>
      <c r="H199" s="138" t="str">
        <f aca="false">Scoring!BG205</f>
        <v/>
      </c>
      <c r="I199" s="140" t="str">
        <f aca="false">Scoring!BF205</f>
        <v/>
      </c>
    </row>
    <row r="200" customFormat="false" ht="15.75" hidden="false" customHeight="false" outlineLevel="0" collapsed="false">
      <c r="A200" s="138" t="str">
        <f aca="false">Scoring!BI206</f>
        <v/>
      </c>
      <c r="B200" s="138" t="str">
        <f aca="false">Scoring!BH206</f>
        <v/>
      </c>
      <c r="C200" s="138" t="n">
        <f aca="false">Scoring!C206</f>
        <v>0</v>
      </c>
      <c r="D200" s="139" t="str">
        <f aca="false">Scoring!BE206</f>
        <v/>
      </c>
      <c r="E200" s="138" t="str">
        <f aca="false">Scoring!AJ206</f>
        <v/>
      </c>
      <c r="F200" s="138" t="n">
        <f aca="false">Scoring!B206</f>
        <v>0</v>
      </c>
      <c r="G200" s="138" t="n">
        <f aca="false">Scoring!D206</f>
        <v>0</v>
      </c>
      <c r="H200" s="138" t="str">
        <f aca="false">Scoring!BG206</f>
        <v/>
      </c>
      <c r="I200" s="140" t="str">
        <f aca="false">Scoring!BF206</f>
        <v/>
      </c>
    </row>
    <row r="201" customFormat="false" ht="15.75" hidden="false" customHeight="false" outlineLevel="0" collapsed="false">
      <c r="A201" s="138" t="str">
        <f aca="false">Scoring!BI207</f>
        <v/>
      </c>
      <c r="B201" s="138" t="str">
        <f aca="false">Scoring!BH207</f>
        <v/>
      </c>
      <c r="C201" s="138" t="n">
        <f aca="false">Scoring!C207</f>
        <v>0</v>
      </c>
      <c r="D201" s="139" t="str">
        <f aca="false">Scoring!BE207</f>
        <v/>
      </c>
      <c r="E201" s="138" t="str">
        <f aca="false">Scoring!AJ207</f>
        <v/>
      </c>
      <c r="F201" s="138" t="n">
        <f aca="false">Scoring!B207</f>
        <v>0</v>
      </c>
      <c r="G201" s="138" t="n">
        <f aca="false">Scoring!D207</f>
        <v>0</v>
      </c>
      <c r="H201" s="138" t="str">
        <f aca="false">Scoring!BG207</f>
        <v/>
      </c>
      <c r="I201" s="140" t="str">
        <f aca="false">Scoring!BF207</f>
        <v/>
      </c>
    </row>
    <row r="202" customFormat="false" ht="15.75" hidden="false" customHeight="false" outlineLevel="0" collapsed="false">
      <c r="A202" s="138" t="str">
        <f aca="false">Scoring!BI208</f>
        <v/>
      </c>
      <c r="B202" s="138" t="str">
        <f aca="false">Scoring!BH208</f>
        <v/>
      </c>
      <c r="C202" s="138" t="n">
        <f aca="false">Scoring!C208</f>
        <v>0</v>
      </c>
      <c r="D202" s="139" t="str">
        <f aca="false">Scoring!BE208</f>
        <v/>
      </c>
      <c r="E202" s="138" t="str">
        <f aca="false">Scoring!AJ208</f>
        <v/>
      </c>
      <c r="F202" s="138" t="n">
        <f aca="false">Scoring!B208</f>
        <v>0</v>
      </c>
      <c r="G202" s="138" t="n">
        <f aca="false">Scoring!D208</f>
        <v>0</v>
      </c>
      <c r="H202" s="138" t="str">
        <f aca="false">Scoring!BG208</f>
        <v/>
      </c>
      <c r="I202" s="140" t="str">
        <f aca="false">Scoring!BF208</f>
        <v/>
      </c>
    </row>
    <row r="203" customFormat="false" ht="15.75" hidden="false" customHeight="false" outlineLevel="0" collapsed="false">
      <c r="A203" s="138" t="str">
        <f aca="false">Scoring!BI209</f>
        <v/>
      </c>
      <c r="B203" s="138" t="str">
        <f aca="false">Scoring!BH209</f>
        <v/>
      </c>
      <c r="C203" s="138" t="n">
        <f aca="false">Scoring!C209</f>
        <v>0</v>
      </c>
      <c r="D203" s="139" t="str">
        <f aca="false">Scoring!BE209</f>
        <v/>
      </c>
      <c r="E203" s="138" t="str">
        <f aca="false">Scoring!AJ209</f>
        <v/>
      </c>
      <c r="F203" s="138" t="n">
        <f aca="false">Scoring!B209</f>
        <v>0</v>
      </c>
      <c r="G203" s="138" t="n">
        <f aca="false">Scoring!D209</f>
        <v>0</v>
      </c>
      <c r="H203" s="138" t="str">
        <f aca="false">Scoring!BG209</f>
        <v/>
      </c>
      <c r="I203" s="140" t="str">
        <f aca="false">Scoring!BF209</f>
        <v/>
      </c>
    </row>
    <row r="204" customFormat="false" ht="15.75" hidden="false" customHeight="false" outlineLevel="0" collapsed="false">
      <c r="A204" s="138" t="str">
        <f aca="false">Scoring!BI210</f>
        <v/>
      </c>
      <c r="B204" s="138" t="str">
        <f aca="false">Scoring!BH210</f>
        <v/>
      </c>
      <c r="C204" s="138" t="n">
        <f aca="false">Scoring!C210</f>
        <v>0</v>
      </c>
      <c r="D204" s="139" t="str">
        <f aca="false">Scoring!BE210</f>
        <v/>
      </c>
      <c r="E204" s="138" t="str">
        <f aca="false">Scoring!AJ210</f>
        <v/>
      </c>
      <c r="F204" s="138" t="n">
        <f aca="false">Scoring!B210</f>
        <v>0</v>
      </c>
      <c r="G204" s="138" t="n">
        <f aca="false">Scoring!D210</f>
        <v>0</v>
      </c>
      <c r="H204" s="138" t="str">
        <f aca="false">Scoring!BG210</f>
        <v/>
      </c>
      <c r="I204" s="140" t="str">
        <f aca="false">Scoring!BF210</f>
        <v/>
      </c>
    </row>
    <row r="205" customFormat="false" ht="15.75" hidden="false" customHeight="false" outlineLevel="0" collapsed="false">
      <c r="A205" s="138" t="str">
        <f aca="false">Scoring!BI211</f>
        <v/>
      </c>
      <c r="B205" s="138" t="str">
        <f aca="false">Scoring!BH211</f>
        <v/>
      </c>
      <c r="C205" s="138" t="n">
        <f aca="false">Scoring!C211</f>
        <v>0</v>
      </c>
      <c r="D205" s="139" t="str">
        <f aca="false">Scoring!BE211</f>
        <v/>
      </c>
      <c r="E205" s="138" t="str">
        <f aca="false">Scoring!AJ211</f>
        <v/>
      </c>
      <c r="F205" s="138" t="n">
        <f aca="false">Scoring!B211</f>
        <v>0</v>
      </c>
      <c r="G205" s="138" t="n">
        <f aca="false">Scoring!D211</f>
        <v>0</v>
      </c>
      <c r="H205" s="138" t="str">
        <f aca="false">Scoring!BG211</f>
        <v/>
      </c>
      <c r="I205" s="140" t="str">
        <f aca="false">Scoring!BF211</f>
        <v/>
      </c>
    </row>
    <row r="206" customFormat="false" ht="15.75" hidden="false" customHeight="false" outlineLevel="0" collapsed="false">
      <c r="A206" s="138" t="str">
        <f aca="false">Scoring!BI212</f>
        <v/>
      </c>
      <c r="B206" s="138" t="str">
        <f aca="false">Scoring!BH212</f>
        <v/>
      </c>
      <c r="C206" s="138" t="n">
        <f aca="false">Scoring!C212</f>
        <v>0</v>
      </c>
      <c r="D206" s="139" t="str">
        <f aca="false">Scoring!BE212</f>
        <v/>
      </c>
      <c r="E206" s="138" t="str">
        <f aca="false">Scoring!AJ212</f>
        <v/>
      </c>
      <c r="F206" s="138" t="n">
        <f aca="false">Scoring!B212</f>
        <v>0</v>
      </c>
      <c r="G206" s="138" t="n">
        <f aca="false">Scoring!D212</f>
        <v>0</v>
      </c>
      <c r="H206" s="138" t="str">
        <f aca="false">Scoring!BG212</f>
        <v/>
      </c>
      <c r="I206" s="140" t="str">
        <f aca="false">Scoring!BF212</f>
        <v/>
      </c>
    </row>
    <row r="207" customFormat="false" ht="15.75" hidden="false" customHeight="false" outlineLevel="0" collapsed="false">
      <c r="A207" s="138" t="str">
        <f aca="false">Scoring!BI213</f>
        <v/>
      </c>
      <c r="B207" s="138" t="str">
        <f aca="false">Scoring!BH213</f>
        <v/>
      </c>
      <c r="C207" s="138" t="n">
        <f aca="false">Scoring!C213</f>
        <v>0</v>
      </c>
      <c r="D207" s="139" t="str">
        <f aca="false">Scoring!BE213</f>
        <v/>
      </c>
      <c r="E207" s="138" t="str">
        <f aca="false">Scoring!AJ213</f>
        <v/>
      </c>
      <c r="F207" s="138" t="n">
        <f aca="false">Scoring!B213</f>
        <v>0</v>
      </c>
      <c r="G207" s="138" t="n">
        <f aca="false">Scoring!D213</f>
        <v>0</v>
      </c>
      <c r="H207" s="138" t="str">
        <f aca="false">Scoring!BG213</f>
        <v/>
      </c>
      <c r="I207" s="140" t="str">
        <f aca="false">Scoring!BF213</f>
        <v/>
      </c>
    </row>
    <row r="208" customFormat="false" ht="15.75" hidden="false" customHeight="false" outlineLevel="0" collapsed="false">
      <c r="A208" s="138" t="str">
        <f aca="false">Scoring!BI214</f>
        <v/>
      </c>
      <c r="B208" s="138" t="str">
        <f aca="false">Scoring!BH214</f>
        <v/>
      </c>
      <c r="C208" s="138" t="n">
        <f aca="false">Scoring!C214</f>
        <v>0</v>
      </c>
      <c r="D208" s="139" t="str">
        <f aca="false">Scoring!BE214</f>
        <v/>
      </c>
      <c r="E208" s="138" t="str">
        <f aca="false">Scoring!AJ214</f>
        <v/>
      </c>
      <c r="F208" s="138" t="n">
        <f aca="false">Scoring!B214</f>
        <v>0</v>
      </c>
      <c r="G208" s="138" t="n">
        <f aca="false">Scoring!D214</f>
        <v>0</v>
      </c>
      <c r="H208" s="138" t="str">
        <f aca="false">Scoring!BG214</f>
        <v/>
      </c>
      <c r="I208" s="140" t="str">
        <f aca="false">Scoring!BF214</f>
        <v/>
      </c>
    </row>
    <row r="209" customFormat="false" ht="15.75" hidden="false" customHeight="false" outlineLevel="0" collapsed="false">
      <c r="A209" s="138" t="str">
        <f aca="false">Scoring!BI215</f>
        <v/>
      </c>
      <c r="B209" s="138" t="str">
        <f aca="false">Scoring!BH215</f>
        <v/>
      </c>
      <c r="C209" s="138" t="n">
        <f aca="false">Scoring!C215</f>
        <v>0</v>
      </c>
      <c r="D209" s="139" t="str">
        <f aca="false">Scoring!BE215</f>
        <v/>
      </c>
      <c r="E209" s="138" t="str">
        <f aca="false">Scoring!AJ215</f>
        <v/>
      </c>
      <c r="F209" s="138" t="n">
        <f aca="false">Scoring!B215</f>
        <v>0</v>
      </c>
      <c r="G209" s="138" t="n">
        <f aca="false">Scoring!D215</f>
        <v>0</v>
      </c>
      <c r="H209" s="138" t="str">
        <f aca="false">Scoring!BG215</f>
        <v/>
      </c>
      <c r="I209" s="140" t="str">
        <f aca="false">Scoring!BF215</f>
        <v/>
      </c>
    </row>
    <row r="210" customFormat="false" ht="15.75" hidden="false" customHeight="false" outlineLevel="0" collapsed="false">
      <c r="A210" s="138" t="str">
        <f aca="false">Scoring!BI216</f>
        <v/>
      </c>
      <c r="B210" s="138" t="str">
        <f aca="false">Scoring!BH216</f>
        <v/>
      </c>
      <c r="C210" s="138" t="n">
        <f aca="false">Scoring!C216</f>
        <v>0</v>
      </c>
      <c r="D210" s="139" t="str">
        <f aca="false">Scoring!BE216</f>
        <v/>
      </c>
      <c r="E210" s="138" t="str">
        <f aca="false">Scoring!AJ216</f>
        <v/>
      </c>
      <c r="F210" s="138" t="n">
        <f aca="false">Scoring!B216</f>
        <v>0</v>
      </c>
      <c r="G210" s="138" t="n">
        <f aca="false">Scoring!D216</f>
        <v>0</v>
      </c>
      <c r="H210" s="138" t="str">
        <f aca="false">Scoring!BG216</f>
        <v/>
      </c>
      <c r="I210" s="140" t="str">
        <f aca="false">Scoring!BF216</f>
        <v/>
      </c>
    </row>
    <row r="211" customFormat="false" ht="15.75" hidden="false" customHeight="false" outlineLevel="0" collapsed="false">
      <c r="A211" s="138" t="str">
        <f aca="false">Scoring!BI217</f>
        <v/>
      </c>
      <c r="B211" s="138" t="str">
        <f aca="false">Scoring!BH217</f>
        <v/>
      </c>
      <c r="C211" s="138" t="n">
        <f aca="false">Scoring!C217</f>
        <v>0</v>
      </c>
      <c r="D211" s="139" t="str">
        <f aca="false">Scoring!BE217</f>
        <v/>
      </c>
      <c r="E211" s="138" t="str">
        <f aca="false">Scoring!AJ217</f>
        <v/>
      </c>
      <c r="F211" s="138" t="n">
        <f aca="false">Scoring!B217</f>
        <v>0</v>
      </c>
      <c r="G211" s="138" t="n">
        <f aca="false">Scoring!D217</f>
        <v>0</v>
      </c>
      <c r="H211" s="138" t="str">
        <f aca="false">Scoring!BG217</f>
        <v/>
      </c>
      <c r="I211" s="140" t="str">
        <f aca="false">Scoring!BF217</f>
        <v/>
      </c>
    </row>
    <row r="212" customFormat="false" ht="15.75" hidden="false" customHeight="false" outlineLevel="0" collapsed="false">
      <c r="A212" s="138" t="str">
        <f aca="false">Scoring!BI218</f>
        <v/>
      </c>
      <c r="B212" s="138" t="str">
        <f aca="false">Scoring!BH218</f>
        <v/>
      </c>
      <c r="C212" s="138" t="n">
        <f aca="false">Scoring!C218</f>
        <v>0</v>
      </c>
      <c r="D212" s="139" t="str">
        <f aca="false">Scoring!BE218</f>
        <v/>
      </c>
      <c r="E212" s="138" t="str">
        <f aca="false">Scoring!AJ218</f>
        <v/>
      </c>
      <c r="F212" s="138" t="n">
        <f aca="false">Scoring!B218</f>
        <v>0</v>
      </c>
      <c r="G212" s="138" t="n">
        <f aca="false">Scoring!D218</f>
        <v>0</v>
      </c>
      <c r="H212" s="138" t="str">
        <f aca="false">Scoring!BG218</f>
        <v/>
      </c>
      <c r="I212" s="140" t="str">
        <f aca="false">Scoring!BF218</f>
        <v/>
      </c>
    </row>
    <row r="213" customFormat="false" ht="15.75" hidden="false" customHeight="false" outlineLevel="0" collapsed="false">
      <c r="A213" s="138" t="str">
        <f aca="false">Scoring!BI219</f>
        <v/>
      </c>
      <c r="B213" s="138" t="str">
        <f aca="false">Scoring!BH219</f>
        <v/>
      </c>
      <c r="C213" s="138" t="n">
        <f aca="false">Scoring!C219</f>
        <v>0</v>
      </c>
      <c r="D213" s="139" t="str">
        <f aca="false">Scoring!BE219</f>
        <v/>
      </c>
      <c r="E213" s="138" t="str">
        <f aca="false">Scoring!AJ219</f>
        <v/>
      </c>
      <c r="F213" s="138" t="n">
        <f aca="false">Scoring!B219</f>
        <v>0</v>
      </c>
      <c r="G213" s="138" t="n">
        <f aca="false">Scoring!D219</f>
        <v>0</v>
      </c>
      <c r="H213" s="138" t="str">
        <f aca="false">Scoring!BG219</f>
        <v/>
      </c>
      <c r="I213" s="140" t="str">
        <f aca="false">Scoring!BF219</f>
        <v/>
      </c>
    </row>
    <row r="214" customFormat="false" ht="15.75" hidden="false" customHeight="false" outlineLevel="0" collapsed="false">
      <c r="A214" s="138" t="str">
        <f aca="false">Scoring!BI220</f>
        <v/>
      </c>
      <c r="B214" s="138" t="str">
        <f aca="false">Scoring!BH220</f>
        <v/>
      </c>
      <c r="C214" s="138" t="n">
        <f aca="false">Scoring!C220</f>
        <v>0</v>
      </c>
      <c r="D214" s="139" t="str">
        <f aca="false">Scoring!BE220</f>
        <v/>
      </c>
      <c r="E214" s="138" t="str">
        <f aca="false">Scoring!AJ220</f>
        <v/>
      </c>
      <c r="F214" s="138" t="n">
        <f aca="false">Scoring!B220</f>
        <v>0</v>
      </c>
      <c r="G214" s="138" t="n">
        <f aca="false">Scoring!D220</f>
        <v>0</v>
      </c>
      <c r="H214" s="138" t="str">
        <f aca="false">Scoring!BG220</f>
        <v/>
      </c>
      <c r="I214" s="140" t="str">
        <f aca="false">Scoring!BF220</f>
        <v/>
      </c>
    </row>
    <row r="215" customFormat="false" ht="15.75" hidden="false" customHeight="false" outlineLevel="0" collapsed="false">
      <c r="A215" s="138" t="str">
        <f aca="false">Scoring!BI221</f>
        <v/>
      </c>
      <c r="B215" s="138" t="str">
        <f aca="false">Scoring!BH221</f>
        <v/>
      </c>
      <c r="C215" s="138" t="n">
        <f aca="false">Scoring!C221</f>
        <v>0</v>
      </c>
      <c r="D215" s="139" t="str">
        <f aca="false">Scoring!BE221</f>
        <v/>
      </c>
      <c r="E215" s="138" t="str">
        <f aca="false">Scoring!AJ221</f>
        <v/>
      </c>
      <c r="F215" s="138" t="n">
        <f aca="false">Scoring!B221</f>
        <v>0</v>
      </c>
      <c r="G215" s="138" t="n">
        <f aca="false">Scoring!D221</f>
        <v>0</v>
      </c>
      <c r="H215" s="138" t="str">
        <f aca="false">Scoring!BG221</f>
        <v/>
      </c>
      <c r="I215" s="140" t="str">
        <f aca="false">Scoring!BF221</f>
        <v/>
      </c>
    </row>
    <row r="216" customFormat="false" ht="15.75" hidden="false" customHeight="false" outlineLevel="0" collapsed="false">
      <c r="A216" s="138" t="str">
        <f aca="false">Scoring!BI222</f>
        <v/>
      </c>
      <c r="B216" s="138" t="str">
        <f aca="false">Scoring!BH222</f>
        <v/>
      </c>
      <c r="C216" s="138" t="n">
        <f aca="false">Scoring!C222</f>
        <v>0</v>
      </c>
      <c r="D216" s="139" t="str">
        <f aca="false">Scoring!BE222</f>
        <v/>
      </c>
      <c r="E216" s="138" t="str">
        <f aca="false">Scoring!AJ222</f>
        <v/>
      </c>
      <c r="F216" s="138" t="n">
        <f aca="false">Scoring!B222</f>
        <v>0</v>
      </c>
      <c r="G216" s="138" t="n">
        <f aca="false">Scoring!D222</f>
        <v>0</v>
      </c>
      <c r="H216" s="138" t="str">
        <f aca="false">Scoring!BG222</f>
        <v/>
      </c>
      <c r="I216" s="140" t="str">
        <f aca="false">Scoring!BF222</f>
        <v/>
      </c>
    </row>
    <row r="217" customFormat="false" ht="15.75" hidden="false" customHeight="false" outlineLevel="0" collapsed="false">
      <c r="A217" s="138" t="str">
        <f aca="false">Scoring!BI223</f>
        <v/>
      </c>
      <c r="B217" s="138" t="str">
        <f aca="false">Scoring!BH223</f>
        <v/>
      </c>
      <c r="C217" s="138" t="n">
        <f aca="false">Scoring!C223</f>
        <v>0</v>
      </c>
      <c r="D217" s="139" t="str">
        <f aca="false">Scoring!BE223</f>
        <v/>
      </c>
      <c r="E217" s="138" t="str">
        <f aca="false">Scoring!AJ223</f>
        <v/>
      </c>
      <c r="F217" s="138" t="n">
        <f aca="false">Scoring!B223</f>
        <v>0</v>
      </c>
      <c r="G217" s="138" t="n">
        <f aca="false">Scoring!D223</f>
        <v>0</v>
      </c>
      <c r="H217" s="138" t="str">
        <f aca="false">Scoring!BG223</f>
        <v/>
      </c>
      <c r="I217" s="140" t="str">
        <f aca="false">Scoring!BF223</f>
        <v/>
      </c>
    </row>
    <row r="218" customFormat="false" ht="15.75" hidden="false" customHeight="false" outlineLevel="0" collapsed="false">
      <c r="A218" s="138" t="str">
        <f aca="false">Scoring!BI224</f>
        <v/>
      </c>
      <c r="B218" s="138" t="str">
        <f aca="false">Scoring!BH224</f>
        <v/>
      </c>
      <c r="C218" s="138" t="n">
        <f aca="false">Scoring!C224</f>
        <v>0</v>
      </c>
      <c r="D218" s="139" t="str">
        <f aca="false">Scoring!BE224</f>
        <v/>
      </c>
      <c r="E218" s="138" t="str">
        <f aca="false">Scoring!AJ224</f>
        <v/>
      </c>
      <c r="F218" s="138" t="n">
        <f aca="false">Scoring!B224</f>
        <v>0</v>
      </c>
      <c r="G218" s="138" t="n">
        <f aca="false">Scoring!D224</f>
        <v>0</v>
      </c>
      <c r="H218" s="138" t="str">
        <f aca="false">Scoring!BG224</f>
        <v/>
      </c>
      <c r="I218" s="140" t="str">
        <f aca="false">Scoring!BF224</f>
        <v/>
      </c>
    </row>
    <row r="219" customFormat="false" ht="15.75" hidden="false" customHeight="false" outlineLevel="0" collapsed="false">
      <c r="A219" s="138" t="str">
        <f aca="false">Scoring!BI225</f>
        <v/>
      </c>
      <c r="B219" s="138" t="str">
        <f aca="false">Scoring!BH225</f>
        <v/>
      </c>
      <c r="C219" s="138" t="n">
        <f aca="false">Scoring!C225</f>
        <v>0</v>
      </c>
      <c r="D219" s="139" t="str">
        <f aca="false">Scoring!BE225</f>
        <v/>
      </c>
      <c r="E219" s="138" t="str">
        <f aca="false">Scoring!AJ225</f>
        <v/>
      </c>
      <c r="F219" s="138" t="n">
        <f aca="false">Scoring!B225</f>
        <v>0</v>
      </c>
      <c r="G219" s="138" t="n">
        <f aca="false">Scoring!D225</f>
        <v>0</v>
      </c>
      <c r="H219" s="138" t="str">
        <f aca="false">Scoring!BG225</f>
        <v/>
      </c>
      <c r="I219" s="140" t="str">
        <f aca="false">Scoring!BF225</f>
        <v/>
      </c>
    </row>
    <row r="220" customFormat="false" ht="15.75" hidden="false" customHeight="false" outlineLevel="0" collapsed="false">
      <c r="A220" s="138" t="str">
        <f aca="false">Scoring!BI226</f>
        <v/>
      </c>
      <c r="B220" s="138" t="str">
        <f aca="false">Scoring!BH226</f>
        <v/>
      </c>
      <c r="C220" s="138" t="n">
        <f aca="false">Scoring!C226</f>
        <v>0</v>
      </c>
      <c r="D220" s="139" t="str">
        <f aca="false">Scoring!BE226</f>
        <v/>
      </c>
      <c r="E220" s="138" t="str">
        <f aca="false">Scoring!AJ226</f>
        <v/>
      </c>
      <c r="F220" s="138" t="n">
        <f aca="false">Scoring!B226</f>
        <v>0</v>
      </c>
      <c r="G220" s="138" t="n">
        <f aca="false">Scoring!D226</f>
        <v>0</v>
      </c>
      <c r="H220" s="138" t="str">
        <f aca="false">Scoring!BG226</f>
        <v/>
      </c>
      <c r="I220" s="140" t="str">
        <f aca="false">Scoring!BF226</f>
        <v/>
      </c>
    </row>
    <row r="221" customFormat="false" ht="15.75" hidden="false" customHeight="false" outlineLevel="0" collapsed="false">
      <c r="A221" s="138" t="str">
        <f aca="false">Scoring!BI227</f>
        <v/>
      </c>
      <c r="B221" s="138" t="str">
        <f aca="false">Scoring!BH227</f>
        <v/>
      </c>
      <c r="C221" s="138" t="n">
        <f aca="false">Scoring!C227</f>
        <v>0</v>
      </c>
      <c r="D221" s="139" t="str">
        <f aca="false">Scoring!BE227</f>
        <v/>
      </c>
      <c r="E221" s="138" t="str">
        <f aca="false">Scoring!AJ227</f>
        <v/>
      </c>
      <c r="F221" s="138" t="n">
        <f aca="false">Scoring!B227</f>
        <v>0</v>
      </c>
      <c r="G221" s="138" t="n">
        <f aca="false">Scoring!D227</f>
        <v>0</v>
      </c>
      <c r="H221" s="138" t="str">
        <f aca="false">Scoring!BG227</f>
        <v/>
      </c>
      <c r="I221" s="140" t="str">
        <f aca="false">Scoring!BF227</f>
        <v/>
      </c>
    </row>
    <row r="222" customFormat="false" ht="15.75" hidden="false" customHeight="false" outlineLevel="0" collapsed="false">
      <c r="A222" s="138" t="str">
        <f aca="false">Scoring!BI228</f>
        <v/>
      </c>
      <c r="B222" s="138" t="str">
        <f aca="false">Scoring!BH228</f>
        <v/>
      </c>
      <c r="C222" s="138" t="n">
        <f aca="false">Scoring!C228</f>
        <v>0</v>
      </c>
      <c r="D222" s="139" t="str">
        <f aca="false">Scoring!BE228</f>
        <v/>
      </c>
      <c r="E222" s="138" t="str">
        <f aca="false">Scoring!AJ228</f>
        <v/>
      </c>
      <c r="F222" s="138" t="n">
        <f aca="false">Scoring!B228</f>
        <v>0</v>
      </c>
      <c r="G222" s="138" t="n">
        <f aca="false">Scoring!D228</f>
        <v>0</v>
      </c>
      <c r="H222" s="138" t="str">
        <f aca="false">Scoring!BG228</f>
        <v/>
      </c>
      <c r="I222" s="140" t="str">
        <f aca="false">Scoring!BF228</f>
        <v/>
      </c>
    </row>
    <row r="223" customFormat="false" ht="15.75" hidden="false" customHeight="false" outlineLevel="0" collapsed="false">
      <c r="A223" s="138" t="str">
        <f aca="false">Scoring!BI229</f>
        <v/>
      </c>
      <c r="B223" s="138" t="str">
        <f aca="false">Scoring!BH229</f>
        <v/>
      </c>
      <c r="C223" s="138" t="n">
        <f aca="false">Scoring!C229</f>
        <v>0</v>
      </c>
      <c r="D223" s="139" t="str">
        <f aca="false">Scoring!BE229</f>
        <v/>
      </c>
      <c r="E223" s="138" t="str">
        <f aca="false">Scoring!AJ229</f>
        <v/>
      </c>
      <c r="F223" s="138" t="n">
        <f aca="false">Scoring!B229</f>
        <v>0</v>
      </c>
      <c r="G223" s="138" t="n">
        <f aca="false">Scoring!D229</f>
        <v>0</v>
      </c>
      <c r="H223" s="138" t="str">
        <f aca="false">Scoring!BG229</f>
        <v/>
      </c>
      <c r="I223" s="140" t="str">
        <f aca="false">Scoring!BF229</f>
        <v/>
      </c>
    </row>
    <row r="224" customFormat="false" ht="15.75" hidden="false" customHeight="false" outlineLevel="0" collapsed="false">
      <c r="A224" s="138" t="str">
        <f aca="false">Scoring!BI230</f>
        <v/>
      </c>
      <c r="B224" s="138" t="str">
        <f aca="false">Scoring!BH230</f>
        <v/>
      </c>
      <c r="C224" s="138" t="n">
        <f aca="false">Scoring!C230</f>
        <v>0</v>
      </c>
      <c r="D224" s="139" t="str">
        <f aca="false">Scoring!BE230</f>
        <v/>
      </c>
      <c r="E224" s="138" t="str">
        <f aca="false">Scoring!AJ230</f>
        <v/>
      </c>
      <c r="F224" s="138" t="n">
        <f aca="false">Scoring!B230</f>
        <v>0</v>
      </c>
      <c r="G224" s="138" t="n">
        <f aca="false">Scoring!D230</f>
        <v>0</v>
      </c>
      <c r="H224" s="138" t="str">
        <f aca="false">Scoring!BG230</f>
        <v/>
      </c>
      <c r="I224" s="140" t="str">
        <f aca="false">Scoring!BF230</f>
        <v/>
      </c>
    </row>
    <row r="225" customFormat="false" ht="15.75" hidden="false" customHeight="false" outlineLevel="0" collapsed="false">
      <c r="A225" s="138" t="str">
        <f aca="false">Scoring!BI231</f>
        <v/>
      </c>
      <c r="B225" s="138" t="str">
        <f aca="false">Scoring!BH231</f>
        <v/>
      </c>
      <c r="C225" s="138" t="n">
        <f aca="false">Scoring!C231</f>
        <v>0</v>
      </c>
      <c r="D225" s="139" t="str">
        <f aca="false">Scoring!BE231</f>
        <v/>
      </c>
      <c r="E225" s="138" t="str">
        <f aca="false">Scoring!AJ231</f>
        <v/>
      </c>
      <c r="F225" s="138" t="n">
        <f aca="false">Scoring!B231</f>
        <v>0</v>
      </c>
      <c r="G225" s="138" t="n">
        <f aca="false">Scoring!D231</f>
        <v>0</v>
      </c>
      <c r="H225" s="138" t="str">
        <f aca="false">Scoring!BG231</f>
        <v/>
      </c>
      <c r="I225" s="140" t="str">
        <f aca="false">Scoring!BF231</f>
        <v/>
      </c>
    </row>
    <row r="226" customFormat="false" ht="15.75" hidden="false" customHeight="false" outlineLevel="0" collapsed="false">
      <c r="A226" s="138" t="str">
        <f aca="false">Scoring!BI232</f>
        <v/>
      </c>
      <c r="B226" s="138" t="str">
        <f aca="false">Scoring!BH232</f>
        <v/>
      </c>
      <c r="C226" s="138" t="n">
        <f aca="false">Scoring!C232</f>
        <v>0</v>
      </c>
      <c r="D226" s="139" t="str">
        <f aca="false">Scoring!BE232</f>
        <v/>
      </c>
      <c r="E226" s="138" t="str">
        <f aca="false">Scoring!AJ232</f>
        <v/>
      </c>
      <c r="F226" s="138" t="n">
        <f aca="false">Scoring!B232</f>
        <v>0</v>
      </c>
      <c r="G226" s="138" t="n">
        <f aca="false">Scoring!D232</f>
        <v>0</v>
      </c>
      <c r="H226" s="138" t="str">
        <f aca="false">Scoring!BG232</f>
        <v/>
      </c>
      <c r="I226" s="140" t="str">
        <f aca="false">Scoring!BF232</f>
        <v/>
      </c>
    </row>
    <row r="227" customFormat="false" ht="15.75" hidden="false" customHeight="false" outlineLevel="0" collapsed="false">
      <c r="A227" s="138" t="str">
        <f aca="false">Scoring!BI233</f>
        <v/>
      </c>
      <c r="B227" s="138" t="str">
        <f aca="false">Scoring!BH233</f>
        <v/>
      </c>
      <c r="C227" s="138" t="n">
        <f aca="false">Scoring!C233</f>
        <v>0</v>
      </c>
      <c r="D227" s="139" t="str">
        <f aca="false">Scoring!BE233</f>
        <v/>
      </c>
      <c r="E227" s="138" t="str">
        <f aca="false">Scoring!AJ233</f>
        <v/>
      </c>
      <c r="F227" s="138" t="n">
        <f aca="false">Scoring!B233</f>
        <v>0</v>
      </c>
      <c r="G227" s="138" t="n">
        <f aca="false">Scoring!D233</f>
        <v>0</v>
      </c>
      <c r="H227" s="138" t="str">
        <f aca="false">Scoring!BG233</f>
        <v/>
      </c>
      <c r="I227" s="140" t="str">
        <f aca="false">Scoring!BF233</f>
        <v/>
      </c>
    </row>
    <row r="228" customFormat="false" ht="15.75" hidden="false" customHeight="false" outlineLevel="0" collapsed="false">
      <c r="A228" s="138" t="str">
        <f aca="false">Scoring!BI234</f>
        <v/>
      </c>
      <c r="B228" s="138" t="str">
        <f aca="false">Scoring!BH234</f>
        <v/>
      </c>
      <c r="C228" s="138" t="n">
        <f aca="false">Scoring!C234</f>
        <v>0</v>
      </c>
      <c r="D228" s="139" t="str">
        <f aca="false">Scoring!BE234</f>
        <v/>
      </c>
      <c r="E228" s="138" t="str">
        <f aca="false">Scoring!AJ234</f>
        <v/>
      </c>
      <c r="F228" s="138" t="n">
        <f aca="false">Scoring!B234</f>
        <v>0</v>
      </c>
      <c r="G228" s="138" t="n">
        <f aca="false">Scoring!D234</f>
        <v>0</v>
      </c>
      <c r="H228" s="138" t="str">
        <f aca="false">Scoring!BG234</f>
        <v/>
      </c>
      <c r="I228" s="140" t="str">
        <f aca="false">Scoring!BF234</f>
        <v/>
      </c>
    </row>
    <row r="229" customFormat="false" ht="15.75" hidden="false" customHeight="false" outlineLevel="0" collapsed="false">
      <c r="A229" s="138" t="str">
        <f aca="false">Scoring!BI235</f>
        <v/>
      </c>
      <c r="B229" s="138" t="str">
        <f aca="false">Scoring!BH235</f>
        <v/>
      </c>
      <c r="C229" s="138" t="n">
        <f aca="false">Scoring!C235</f>
        <v>0</v>
      </c>
      <c r="D229" s="139" t="str">
        <f aca="false">Scoring!BE235</f>
        <v/>
      </c>
      <c r="E229" s="138" t="str">
        <f aca="false">Scoring!AJ235</f>
        <v/>
      </c>
      <c r="F229" s="138" t="n">
        <f aca="false">Scoring!B235</f>
        <v>0</v>
      </c>
      <c r="G229" s="138" t="n">
        <f aca="false">Scoring!D235</f>
        <v>0</v>
      </c>
      <c r="H229" s="138" t="str">
        <f aca="false">Scoring!BG235</f>
        <v/>
      </c>
      <c r="I229" s="140" t="str">
        <f aca="false">Scoring!BF235</f>
        <v/>
      </c>
    </row>
    <row r="230" customFormat="false" ht="15.75" hidden="false" customHeight="false" outlineLevel="0" collapsed="false">
      <c r="A230" s="138" t="str">
        <f aca="false">Scoring!BI236</f>
        <v/>
      </c>
      <c r="B230" s="138" t="str">
        <f aca="false">Scoring!BH236</f>
        <v/>
      </c>
      <c r="C230" s="138" t="n">
        <f aca="false">Scoring!C236</f>
        <v>0</v>
      </c>
      <c r="D230" s="139" t="str">
        <f aca="false">Scoring!BE236</f>
        <v/>
      </c>
      <c r="E230" s="138" t="str">
        <f aca="false">Scoring!AJ236</f>
        <v/>
      </c>
      <c r="F230" s="138" t="n">
        <f aca="false">Scoring!B236</f>
        <v>0</v>
      </c>
      <c r="G230" s="138" t="n">
        <f aca="false">Scoring!D236</f>
        <v>0</v>
      </c>
      <c r="H230" s="138" t="str">
        <f aca="false">Scoring!BG236</f>
        <v/>
      </c>
      <c r="I230" s="140" t="str">
        <f aca="false">Scoring!BF236</f>
        <v/>
      </c>
    </row>
    <row r="231" customFormat="false" ht="15.75" hidden="false" customHeight="false" outlineLevel="0" collapsed="false">
      <c r="A231" s="138" t="str">
        <f aca="false">Scoring!BI237</f>
        <v/>
      </c>
      <c r="B231" s="138" t="str">
        <f aca="false">Scoring!BH237</f>
        <v/>
      </c>
      <c r="C231" s="138" t="n">
        <f aca="false">Scoring!C237</f>
        <v>0</v>
      </c>
      <c r="D231" s="139" t="str">
        <f aca="false">Scoring!BE237</f>
        <v/>
      </c>
      <c r="E231" s="138" t="str">
        <f aca="false">Scoring!AJ237</f>
        <v/>
      </c>
      <c r="F231" s="138" t="n">
        <f aca="false">Scoring!B237</f>
        <v>0</v>
      </c>
      <c r="G231" s="138" t="n">
        <f aca="false">Scoring!D237</f>
        <v>0</v>
      </c>
      <c r="H231" s="138" t="str">
        <f aca="false">Scoring!BG237</f>
        <v/>
      </c>
      <c r="I231" s="140" t="str">
        <f aca="false">Scoring!BF237</f>
        <v/>
      </c>
    </row>
    <row r="232" customFormat="false" ht="15.75" hidden="false" customHeight="false" outlineLevel="0" collapsed="false">
      <c r="A232" s="138" t="str">
        <f aca="false">Scoring!BI238</f>
        <v/>
      </c>
      <c r="B232" s="138" t="str">
        <f aca="false">Scoring!BH238</f>
        <v/>
      </c>
      <c r="C232" s="138" t="n">
        <f aca="false">Scoring!C238</f>
        <v>0</v>
      </c>
      <c r="D232" s="139" t="str">
        <f aca="false">Scoring!BE238</f>
        <v/>
      </c>
      <c r="E232" s="138" t="str">
        <f aca="false">Scoring!AJ238</f>
        <v/>
      </c>
      <c r="F232" s="138" t="n">
        <f aca="false">Scoring!B238</f>
        <v>0</v>
      </c>
      <c r="G232" s="138" t="n">
        <f aca="false">Scoring!D238</f>
        <v>0</v>
      </c>
      <c r="H232" s="138" t="str">
        <f aca="false">Scoring!BG238</f>
        <v/>
      </c>
      <c r="I232" s="140" t="str">
        <f aca="false">Scoring!BF238</f>
        <v/>
      </c>
    </row>
    <row r="233" customFormat="false" ht="15.75" hidden="false" customHeight="false" outlineLevel="0" collapsed="false">
      <c r="A233" s="138" t="str">
        <f aca="false">Scoring!BI239</f>
        <v/>
      </c>
      <c r="B233" s="138" t="str">
        <f aca="false">Scoring!BH239</f>
        <v/>
      </c>
      <c r="C233" s="138" t="n">
        <f aca="false">Scoring!C239</f>
        <v>0</v>
      </c>
      <c r="D233" s="139" t="str">
        <f aca="false">Scoring!BE239</f>
        <v/>
      </c>
      <c r="E233" s="138" t="str">
        <f aca="false">Scoring!AJ239</f>
        <v/>
      </c>
      <c r="F233" s="138" t="n">
        <f aca="false">Scoring!B239</f>
        <v>0</v>
      </c>
      <c r="G233" s="138" t="n">
        <f aca="false">Scoring!D239</f>
        <v>0</v>
      </c>
      <c r="H233" s="138" t="str">
        <f aca="false">Scoring!BG239</f>
        <v/>
      </c>
      <c r="I233" s="140" t="str">
        <f aca="false">Scoring!BF239</f>
        <v/>
      </c>
    </row>
    <row r="234" customFormat="false" ht="15.75" hidden="false" customHeight="false" outlineLevel="0" collapsed="false">
      <c r="A234" s="138" t="str">
        <f aca="false">Scoring!BI240</f>
        <v/>
      </c>
      <c r="B234" s="138" t="str">
        <f aca="false">Scoring!BH240</f>
        <v/>
      </c>
      <c r="C234" s="138" t="n">
        <f aca="false">Scoring!C240</f>
        <v>0</v>
      </c>
      <c r="D234" s="139" t="str">
        <f aca="false">Scoring!BE240</f>
        <v/>
      </c>
      <c r="E234" s="138" t="str">
        <f aca="false">Scoring!AJ240</f>
        <v/>
      </c>
      <c r="F234" s="138" t="n">
        <f aca="false">Scoring!B240</f>
        <v>0</v>
      </c>
      <c r="G234" s="138" t="n">
        <f aca="false">Scoring!D240</f>
        <v>0</v>
      </c>
      <c r="H234" s="138" t="str">
        <f aca="false">Scoring!BG240</f>
        <v/>
      </c>
      <c r="I234" s="140" t="str">
        <f aca="false">Scoring!BF240</f>
        <v/>
      </c>
    </row>
    <row r="235" customFormat="false" ht="15.75" hidden="false" customHeight="false" outlineLevel="0" collapsed="false">
      <c r="A235" s="138" t="str">
        <f aca="false">Scoring!BI241</f>
        <v/>
      </c>
      <c r="B235" s="138" t="str">
        <f aca="false">Scoring!BH241</f>
        <v/>
      </c>
      <c r="C235" s="138" t="n">
        <f aca="false">Scoring!C241</f>
        <v>0</v>
      </c>
      <c r="D235" s="139" t="str">
        <f aca="false">Scoring!BE241</f>
        <v/>
      </c>
      <c r="E235" s="138" t="str">
        <f aca="false">Scoring!AJ241</f>
        <v/>
      </c>
      <c r="F235" s="138" t="n">
        <f aca="false">Scoring!B241</f>
        <v>0</v>
      </c>
      <c r="G235" s="138" t="n">
        <f aca="false">Scoring!D241</f>
        <v>0</v>
      </c>
      <c r="H235" s="138" t="str">
        <f aca="false">Scoring!BG241</f>
        <v/>
      </c>
      <c r="I235" s="140" t="str">
        <f aca="false">Scoring!BF241</f>
        <v/>
      </c>
    </row>
    <row r="236" customFormat="false" ht="15.75" hidden="false" customHeight="false" outlineLevel="0" collapsed="false">
      <c r="A236" s="138" t="str">
        <f aca="false">Scoring!BI242</f>
        <v/>
      </c>
      <c r="B236" s="138" t="str">
        <f aca="false">Scoring!BH242</f>
        <v/>
      </c>
      <c r="C236" s="138" t="n">
        <f aca="false">Scoring!C242</f>
        <v>0</v>
      </c>
      <c r="D236" s="139" t="str">
        <f aca="false">Scoring!BE242</f>
        <v/>
      </c>
      <c r="E236" s="138" t="str">
        <f aca="false">Scoring!AJ242</f>
        <v/>
      </c>
      <c r="F236" s="138" t="n">
        <f aca="false">Scoring!B242</f>
        <v>0</v>
      </c>
      <c r="G236" s="138" t="n">
        <f aca="false">Scoring!D242</f>
        <v>0</v>
      </c>
      <c r="H236" s="138" t="str">
        <f aca="false">Scoring!BG242</f>
        <v/>
      </c>
      <c r="I236" s="140" t="str">
        <f aca="false">Scoring!BF242</f>
        <v/>
      </c>
    </row>
    <row r="237" customFormat="false" ht="15.75" hidden="false" customHeight="false" outlineLevel="0" collapsed="false">
      <c r="A237" s="138" t="str">
        <f aca="false">Scoring!BI243</f>
        <v/>
      </c>
      <c r="B237" s="138" t="str">
        <f aca="false">Scoring!BH243</f>
        <v/>
      </c>
      <c r="C237" s="138" t="n">
        <f aca="false">Scoring!C243</f>
        <v>0</v>
      </c>
      <c r="D237" s="139" t="str">
        <f aca="false">Scoring!BE243</f>
        <v/>
      </c>
      <c r="E237" s="138" t="str">
        <f aca="false">Scoring!AJ243</f>
        <v/>
      </c>
      <c r="F237" s="138" t="n">
        <f aca="false">Scoring!B243</f>
        <v>0</v>
      </c>
      <c r="G237" s="138" t="n">
        <f aca="false">Scoring!D243</f>
        <v>0</v>
      </c>
      <c r="H237" s="138" t="str">
        <f aca="false">Scoring!BG243</f>
        <v/>
      </c>
      <c r="I237" s="140" t="str">
        <f aca="false">Scoring!BF243</f>
        <v/>
      </c>
    </row>
    <row r="238" customFormat="false" ht="15.75" hidden="false" customHeight="false" outlineLevel="0" collapsed="false">
      <c r="A238" s="138" t="str">
        <f aca="false">Scoring!BI244</f>
        <v/>
      </c>
      <c r="B238" s="138" t="str">
        <f aca="false">Scoring!BH244</f>
        <v/>
      </c>
      <c r="C238" s="138" t="n">
        <f aca="false">Scoring!C244</f>
        <v>0</v>
      </c>
      <c r="D238" s="139" t="str">
        <f aca="false">Scoring!BE244</f>
        <v/>
      </c>
      <c r="E238" s="138" t="str">
        <f aca="false">Scoring!AJ244</f>
        <v/>
      </c>
      <c r="F238" s="138" t="n">
        <f aca="false">Scoring!B244</f>
        <v>0</v>
      </c>
      <c r="G238" s="138" t="n">
        <f aca="false">Scoring!D244</f>
        <v>0</v>
      </c>
      <c r="H238" s="138" t="str">
        <f aca="false">Scoring!BG244</f>
        <v/>
      </c>
      <c r="I238" s="140" t="str">
        <f aca="false">Scoring!BF244</f>
        <v/>
      </c>
    </row>
    <row r="239" customFormat="false" ht="15.75" hidden="false" customHeight="false" outlineLevel="0" collapsed="false">
      <c r="A239" s="138" t="str">
        <f aca="false">Scoring!BI245</f>
        <v/>
      </c>
      <c r="B239" s="138" t="str">
        <f aca="false">Scoring!BH245</f>
        <v/>
      </c>
      <c r="C239" s="138" t="n">
        <f aca="false">Scoring!C245</f>
        <v>0</v>
      </c>
      <c r="D239" s="139" t="str">
        <f aca="false">Scoring!BE245</f>
        <v/>
      </c>
      <c r="E239" s="138" t="str">
        <f aca="false">Scoring!AJ245</f>
        <v/>
      </c>
      <c r="F239" s="138" t="n">
        <f aca="false">Scoring!B245</f>
        <v>0</v>
      </c>
      <c r="G239" s="138" t="n">
        <f aca="false">Scoring!D245</f>
        <v>0</v>
      </c>
      <c r="H239" s="138" t="str">
        <f aca="false">Scoring!BG245</f>
        <v/>
      </c>
      <c r="I239" s="140" t="str">
        <f aca="false">Scoring!BF245</f>
        <v/>
      </c>
    </row>
    <row r="240" customFormat="false" ht="15.75" hidden="false" customHeight="false" outlineLevel="0" collapsed="false">
      <c r="A240" s="138" t="str">
        <f aca="false">Scoring!BI246</f>
        <v/>
      </c>
      <c r="B240" s="138" t="str">
        <f aca="false">Scoring!BH246</f>
        <v/>
      </c>
      <c r="C240" s="138" t="n">
        <f aca="false">Scoring!C246</f>
        <v>0</v>
      </c>
      <c r="D240" s="139" t="str">
        <f aca="false">Scoring!BE246</f>
        <v/>
      </c>
      <c r="E240" s="138" t="str">
        <f aca="false">Scoring!AJ246</f>
        <v/>
      </c>
      <c r="F240" s="138" t="n">
        <f aca="false">Scoring!B246</f>
        <v>0</v>
      </c>
      <c r="G240" s="138" t="n">
        <f aca="false">Scoring!D246</f>
        <v>0</v>
      </c>
      <c r="H240" s="138" t="str">
        <f aca="false">Scoring!BG246</f>
        <v/>
      </c>
      <c r="I240" s="140" t="str">
        <f aca="false">Scoring!BF246</f>
        <v/>
      </c>
    </row>
    <row r="241" customFormat="false" ht="15.75" hidden="false" customHeight="false" outlineLevel="0" collapsed="false">
      <c r="A241" s="138" t="str">
        <f aca="false">Scoring!BI247</f>
        <v/>
      </c>
      <c r="B241" s="138" t="str">
        <f aca="false">Scoring!BH247</f>
        <v/>
      </c>
      <c r="C241" s="138" t="n">
        <f aca="false">Scoring!C247</f>
        <v>0</v>
      </c>
      <c r="D241" s="139" t="str">
        <f aca="false">Scoring!BE247</f>
        <v/>
      </c>
      <c r="E241" s="138" t="str">
        <f aca="false">Scoring!AJ247</f>
        <v/>
      </c>
      <c r="F241" s="138" t="n">
        <f aca="false">Scoring!B247</f>
        <v>0</v>
      </c>
      <c r="G241" s="138" t="n">
        <f aca="false">Scoring!D247</f>
        <v>0</v>
      </c>
      <c r="H241" s="138" t="str">
        <f aca="false">Scoring!BG247</f>
        <v/>
      </c>
      <c r="I241" s="140" t="str">
        <f aca="false">Scoring!BF247</f>
        <v/>
      </c>
    </row>
    <row r="242" customFormat="false" ht="15.75" hidden="false" customHeight="false" outlineLevel="0" collapsed="false">
      <c r="A242" s="138" t="str">
        <f aca="false">Scoring!BI248</f>
        <v/>
      </c>
      <c r="B242" s="138" t="str">
        <f aca="false">Scoring!BH248</f>
        <v/>
      </c>
      <c r="C242" s="138" t="n">
        <f aca="false">Scoring!C248</f>
        <v>0</v>
      </c>
      <c r="D242" s="139" t="str">
        <f aca="false">Scoring!BE248</f>
        <v/>
      </c>
      <c r="E242" s="138" t="str">
        <f aca="false">Scoring!AJ248</f>
        <v/>
      </c>
      <c r="F242" s="138" t="n">
        <f aca="false">Scoring!B248</f>
        <v>0</v>
      </c>
      <c r="G242" s="138" t="n">
        <f aca="false">Scoring!D248</f>
        <v>0</v>
      </c>
      <c r="H242" s="138" t="str">
        <f aca="false">Scoring!BG248</f>
        <v/>
      </c>
      <c r="I242" s="140" t="str">
        <f aca="false">Scoring!BF248</f>
        <v/>
      </c>
    </row>
    <row r="243" customFormat="false" ht="15.75" hidden="false" customHeight="false" outlineLevel="0" collapsed="false">
      <c r="A243" s="138" t="str">
        <f aca="false">Scoring!BI249</f>
        <v/>
      </c>
      <c r="B243" s="138" t="str">
        <f aca="false">Scoring!BH249</f>
        <v/>
      </c>
      <c r="C243" s="138" t="n">
        <f aca="false">Scoring!C249</f>
        <v>0</v>
      </c>
      <c r="D243" s="139" t="str">
        <f aca="false">Scoring!BE249</f>
        <v/>
      </c>
      <c r="E243" s="138" t="str">
        <f aca="false">Scoring!AJ249</f>
        <v/>
      </c>
      <c r="F243" s="138" t="n">
        <f aca="false">Scoring!B249</f>
        <v>0</v>
      </c>
      <c r="G243" s="138" t="n">
        <f aca="false">Scoring!D249</f>
        <v>0</v>
      </c>
      <c r="H243" s="138" t="str">
        <f aca="false">Scoring!BG249</f>
        <v/>
      </c>
      <c r="I243" s="140" t="str">
        <f aca="false">Scoring!BF249</f>
        <v/>
      </c>
    </row>
    <row r="244" customFormat="false" ht="15.75" hidden="false" customHeight="false" outlineLevel="0" collapsed="false">
      <c r="A244" s="138" t="str">
        <f aca="false">Scoring!BI250</f>
        <v/>
      </c>
      <c r="B244" s="138" t="str">
        <f aca="false">Scoring!BH250</f>
        <v/>
      </c>
      <c r="C244" s="138" t="n">
        <f aca="false">Scoring!C250</f>
        <v>0</v>
      </c>
      <c r="D244" s="139" t="str">
        <f aca="false">Scoring!BE250</f>
        <v/>
      </c>
      <c r="E244" s="138" t="str">
        <f aca="false">Scoring!AJ250</f>
        <v/>
      </c>
      <c r="F244" s="138" t="n">
        <f aca="false">Scoring!B250</f>
        <v>0</v>
      </c>
      <c r="G244" s="138" t="n">
        <f aca="false">Scoring!D250</f>
        <v>0</v>
      </c>
      <c r="H244" s="138" t="str">
        <f aca="false">Scoring!BG250</f>
        <v/>
      </c>
      <c r="I244" s="140" t="str">
        <f aca="false">Scoring!BF250</f>
        <v/>
      </c>
    </row>
    <row r="245" customFormat="false" ht="15.75" hidden="false" customHeight="false" outlineLevel="0" collapsed="false">
      <c r="A245" s="138" t="str">
        <f aca="false">Scoring!BI251</f>
        <v/>
      </c>
      <c r="B245" s="138" t="str">
        <f aca="false">Scoring!BH251</f>
        <v/>
      </c>
      <c r="C245" s="138" t="n">
        <f aca="false">Scoring!C251</f>
        <v>0</v>
      </c>
      <c r="D245" s="139" t="str">
        <f aca="false">Scoring!BE251</f>
        <v/>
      </c>
      <c r="E245" s="138" t="str">
        <f aca="false">Scoring!AJ251</f>
        <v/>
      </c>
      <c r="F245" s="138" t="n">
        <f aca="false">Scoring!B251</f>
        <v>0</v>
      </c>
      <c r="G245" s="138" t="n">
        <f aca="false">Scoring!D251</f>
        <v>0</v>
      </c>
      <c r="H245" s="138" t="str">
        <f aca="false">Scoring!BG251</f>
        <v/>
      </c>
      <c r="I245" s="140" t="str">
        <f aca="false">Scoring!BF251</f>
        <v/>
      </c>
    </row>
    <row r="246" customFormat="false" ht="15.75" hidden="false" customHeight="false" outlineLevel="0" collapsed="false">
      <c r="A246" s="138" t="str">
        <f aca="false">Scoring!BI252</f>
        <v/>
      </c>
      <c r="B246" s="138" t="str">
        <f aca="false">Scoring!BH252</f>
        <v/>
      </c>
      <c r="C246" s="138" t="n">
        <f aca="false">Scoring!C252</f>
        <v>0</v>
      </c>
      <c r="D246" s="139" t="str">
        <f aca="false">Scoring!BE252</f>
        <v/>
      </c>
      <c r="E246" s="138" t="str">
        <f aca="false">Scoring!AJ252</f>
        <v/>
      </c>
      <c r="F246" s="138" t="n">
        <f aca="false">Scoring!B252</f>
        <v>0</v>
      </c>
      <c r="G246" s="138" t="n">
        <f aca="false">Scoring!D252</f>
        <v>0</v>
      </c>
      <c r="H246" s="138" t="str">
        <f aca="false">Scoring!BG252</f>
        <v/>
      </c>
      <c r="I246" s="140" t="str">
        <f aca="false">Scoring!BF252</f>
        <v/>
      </c>
    </row>
    <row r="247" customFormat="false" ht="15.75" hidden="false" customHeight="false" outlineLevel="0" collapsed="false">
      <c r="A247" s="138" t="str">
        <f aca="false">Scoring!BI253</f>
        <v/>
      </c>
      <c r="B247" s="138" t="str">
        <f aca="false">Scoring!BH253</f>
        <v/>
      </c>
      <c r="C247" s="138" t="n">
        <f aca="false">Scoring!C253</f>
        <v>0</v>
      </c>
      <c r="D247" s="139" t="str">
        <f aca="false">Scoring!BE253</f>
        <v/>
      </c>
      <c r="E247" s="138" t="str">
        <f aca="false">Scoring!AJ253</f>
        <v/>
      </c>
      <c r="F247" s="138" t="n">
        <f aca="false">Scoring!B253</f>
        <v>0</v>
      </c>
      <c r="G247" s="138" t="n">
        <f aca="false">Scoring!D253</f>
        <v>0</v>
      </c>
      <c r="H247" s="138" t="str">
        <f aca="false">Scoring!BG253</f>
        <v/>
      </c>
      <c r="I247" s="140" t="str">
        <f aca="false">Scoring!BF253</f>
        <v/>
      </c>
    </row>
    <row r="248" customFormat="false" ht="15.75" hidden="false" customHeight="false" outlineLevel="0" collapsed="false">
      <c r="A248" s="138" t="str">
        <f aca="false">Scoring!BI254</f>
        <v/>
      </c>
      <c r="B248" s="138" t="str">
        <f aca="false">Scoring!BH254</f>
        <v/>
      </c>
      <c r="C248" s="138" t="n">
        <f aca="false">Scoring!C254</f>
        <v>0</v>
      </c>
      <c r="D248" s="139" t="str">
        <f aca="false">Scoring!BE254</f>
        <v/>
      </c>
      <c r="E248" s="138" t="str">
        <f aca="false">Scoring!AJ254</f>
        <v/>
      </c>
      <c r="F248" s="138" t="n">
        <f aca="false">Scoring!B254</f>
        <v>0</v>
      </c>
      <c r="G248" s="138" t="n">
        <f aca="false">Scoring!D254</f>
        <v>0</v>
      </c>
      <c r="H248" s="138" t="str">
        <f aca="false">Scoring!BG254</f>
        <v/>
      </c>
      <c r="I248" s="140" t="str">
        <f aca="false">Scoring!BF254</f>
        <v/>
      </c>
    </row>
    <row r="249" customFormat="false" ht="15.75" hidden="false" customHeight="false" outlineLevel="0" collapsed="false">
      <c r="A249" s="138" t="str">
        <f aca="false">Scoring!BI255</f>
        <v/>
      </c>
      <c r="B249" s="138" t="str">
        <f aca="false">Scoring!BH255</f>
        <v/>
      </c>
      <c r="C249" s="138" t="n">
        <f aca="false">Scoring!C255</f>
        <v>0</v>
      </c>
      <c r="D249" s="139" t="str">
        <f aca="false">Scoring!BE255</f>
        <v/>
      </c>
      <c r="E249" s="138" t="str">
        <f aca="false">Scoring!AJ255</f>
        <v/>
      </c>
      <c r="F249" s="138" t="n">
        <f aca="false">Scoring!B255</f>
        <v>0</v>
      </c>
      <c r="G249" s="138" t="n">
        <f aca="false">Scoring!D255</f>
        <v>0</v>
      </c>
      <c r="H249" s="138" t="str">
        <f aca="false">Scoring!BG255</f>
        <v/>
      </c>
      <c r="I249" s="140" t="str">
        <f aca="false">Scoring!BF255</f>
        <v/>
      </c>
    </row>
    <row r="250" customFormat="false" ht="15.75" hidden="false" customHeight="false" outlineLevel="0" collapsed="false">
      <c r="A250" s="138" t="str">
        <f aca="false">Scoring!BI256</f>
        <v/>
      </c>
      <c r="B250" s="138" t="str">
        <f aca="false">Scoring!BH256</f>
        <v/>
      </c>
      <c r="C250" s="138" t="n">
        <f aca="false">Scoring!C256</f>
        <v>0</v>
      </c>
      <c r="D250" s="139" t="str">
        <f aca="false">Scoring!BE256</f>
        <v/>
      </c>
      <c r="E250" s="138" t="str">
        <f aca="false">Scoring!AJ256</f>
        <v/>
      </c>
      <c r="F250" s="138" t="n">
        <f aca="false">Scoring!B256</f>
        <v>0</v>
      </c>
      <c r="G250" s="138" t="n">
        <f aca="false">Scoring!D256</f>
        <v>0</v>
      </c>
      <c r="H250" s="138" t="str">
        <f aca="false">Scoring!BG256</f>
        <v/>
      </c>
      <c r="I250" s="140" t="str">
        <f aca="false">Scoring!BF256</f>
        <v/>
      </c>
    </row>
    <row r="251" customFormat="false" ht="15.75" hidden="false" customHeight="false" outlineLevel="0" collapsed="false">
      <c r="A251" s="138" t="str">
        <f aca="false">Scoring!BI257</f>
        <v/>
      </c>
      <c r="B251" s="138" t="str">
        <f aca="false">Scoring!BH257</f>
        <v/>
      </c>
      <c r="C251" s="138" t="n">
        <f aca="false">Scoring!C257</f>
        <v>0</v>
      </c>
      <c r="D251" s="139" t="str">
        <f aca="false">Scoring!BE257</f>
        <v/>
      </c>
      <c r="E251" s="138" t="str">
        <f aca="false">Scoring!AJ257</f>
        <v/>
      </c>
      <c r="F251" s="138" t="n">
        <f aca="false">Scoring!B257</f>
        <v>0</v>
      </c>
      <c r="G251" s="138" t="n">
        <f aca="false">Scoring!D257</f>
        <v>0</v>
      </c>
      <c r="H251" s="138" t="str">
        <f aca="false">Scoring!BG257</f>
        <v/>
      </c>
      <c r="I251" s="140" t="str">
        <f aca="false">Scoring!BF257</f>
        <v/>
      </c>
    </row>
    <row r="252" customFormat="false" ht="15.75" hidden="false" customHeight="false" outlineLevel="0" collapsed="false">
      <c r="A252" s="138" t="str">
        <f aca="false">Scoring!BI258</f>
        <v/>
      </c>
      <c r="B252" s="138" t="str">
        <f aca="false">Scoring!BH258</f>
        <v/>
      </c>
      <c r="C252" s="138" t="n">
        <f aca="false">Scoring!C258</f>
        <v>0</v>
      </c>
      <c r="D252" s="139" t="str">
        <f aca="false">Scoring!BE258</f>
        <v/>
      </c>
      <c r="E252" s="138" t="str">
        <f aca="false">Scoring!AJ258</f>
        <v/>
      </c>
      <c r="F252" s="138" t="n">
        <f aca="false">Scoring!B258</f>
        <v>0</v>
      </c>
      <c r="G252" s="138" t="n">
        <f aca="false">Scoring!D258</f>
        <v>0</v>
      </c>
      <c r="H252" s="138" t="str">
        <f aca="false">Scoring!BG258</f>
        <v/>
      </c>
      <c r="I252" s="140" t="str">
        <f aca="false">Scoring!BF258</f>
        <v/>
      </c>
    </row>
    <row r="253" customFormat="false" ht="15.75" hidden="false" customHeight="false" outlineLevel="0" collapsed="false">
      <c r="A253" s="138" t="str">
        <f aca="false">Scoring!BI259</f>
        <v/>
      </c>
      <c r="B253" s="138" t="str">
        <f aca="false">Scoring!BH259</f>
        <v/>
      </c>
      <c r="C253" s="138" t="n">
        <f aca="false">Scoring!C259</f>
        <v>0</v>
      </c>
      <c r="D253" s="139" t="str">
        <f aca="false">Scoring!BE259</f>
        <v/>
      </c>
      <c r="E253" s="138" t="str">
        <f aca="false">Scoring!AJ259</f>
        <v/>
      </c>
      <c r="F253" s="138" t="n">
        <f aca="false">Scoring!B259</f>
        <v>0</v>
      </c>
      <c r="G253" s="138" t="n">
        <f aca="false">Scoring!D259</f>
        <v>0</v>
      </c>
      <c r="H253" s="138" t="str">
        <f aca="false">Scoring!BG259</f>
        <v/>
      </c>
      <c r="I253" s="140" t="str">
        <f aca="false">Scoring!BF259</f>
        <v/>
      </c>
    </row>
    <row r="254" customFormat="false" ht="15.75" hidden="false" customHeight="false" outlineLevel="0" collapsed="false">
      <c r="A254" s="138" t="str">
        <f aca="false">Scoring!BI260</f>
        <v/>
      </c>
      <c r="B254" s="138" t="str">
        <f aca="false">Scoring!BH260</f>
        <v/>
      </c>
      <c r="C254" s="138" t="n">
        <f aca="false">Scoring!C260</f>
        <v>0</v>
      </c>
      <c r="D254" s="139" t="str">
        <f aca="false">Scoring!BE260</f>
        <v/>
      </c>
      <c r="E254" s="138" t="str">
        <f aca="false">Scoring!AJ260</f>
        <v/>
      </c>
      <c r="F254" s="138" t="n">
        <f aca="false">Scoring!B260</f>
        <v>0</v>
      </c>
      <c r="G254" s="138" t="n">
        <f aca="false">Scoring!D260</f>
        <v>0</v>
      </c>
      <c r="H254" s="138" t="str">
        <f aca="false">Scoring!BG260</f>
        <v/>
      </c>
      <c r="I254" s="140" t="str">
        <f aca="false">Scoring!BF260</f>
        <v/>
      </c>
    </row>
    <row r="255" customFormat="false" ht="15.75" hidden="false" customHeight="false" outlineLevel="0" collapsed="false">
      <c r="A255" s="138" t="str">
        <f aca="false">Scoring!BI261</f>
        <v/>
      </c>
      <c r="B255" s="138" t="str">
        <f aca="false">Scoring!BH261</f>
        <v/>
      </c>
      <c r="C255" s="138" t="n">
        <f aca="false">Scoring!C261</f>
        <v>0</v>
      </c>
      <c r="D255" s="139" t="str">
        <f aca="false">Scoring!BE261</f>
        <v/>
      </c>
      <c r="E255" s="138" t="str">
        <f aca="false">Scoring!AJ261</f>
        <v/>
      </c>
      <c r="F255" s="138" t="n">
        <f aca="false">Scoring!B261</f>
        <v>0</v>
      </c>
      <c r="G255" s="138" t="n">
        <f aca="false">Scoring!D261</f>
        <v>0</v>
      </c>
      <c r="H255" s="138" t="str">
        <f aca="false">Scoring!BG261</f>
        <v/>
      </c>
      <c r="I255" s="140" t="str">
        <f aca="false">Scoring!BF261</f>
        <v/>
      </c>
    </row>
    <row r="256" customFormat="false" ht="15.75" hidden="false" customHeight="false" outlineLevel="0" collapsed="false">
      <c r="A256" s="138" t="str">
        <f aca="false">Scoring!BI262</f>
        <v/>
      </c>
      <c r="B256" s="138" t="str">
        <f aca="false">Scoring!BH262</f>
        <v/>
      </c>
      <c r="C256" s="138" t="n">
        <f aca="false">Scoring!C262</f>
        <v>0</v>
      </c>
      <c r="D256" s="139" t="str">
        <f aca="false">Scoring!BE262</f>
        <v/>
      </c>
      <c r="E256" s="138" t="str">
        <f aca="false">Scoring!AJ262</f>
        <v/>
      </c>
      <c r="F256" s="138" t="n">
        <f aca="false">Scoring!B262</f>
        <v>0</v>
      </c>
      <c r="G256" s="138" t="n">
        <f aca="false">Scoring!D262</f>
        <v>0</v>
      </c>
      <c r="H256" s="138" t="str">
        <f aca="false">Scoring!BG262</f>
        <v/>
      </c>
      <c r="I256" s="140" t="str">
        <f aca="false">Scoring!BF262</f>
        <v/>
      </c>
    </row>
    <row r="257" customFormat="false" ht="15.75" hidden="false" customHeight="false" outlineLevel="0" collapsed="false">
      <c r="A257" s="138" t="str">
        <f aca="false">Scoring!BI263</f>
        <v/>
      </c>
      <c r="B257" s="138" t="str">
        <f aca="false">Scoring!BH263</f>
        <v/>
      </c>
      <c r="C257" s="138" t="n">
        <f aca="false">Scoring!C263</f>
        <v>0</v>
      </c>
      <c r="D257" s="139" t="str">
        <f aca="false">Scoring!BE263</f>
        <v/>
      </c>
      <c r="E257" s="138" t="str">
        <f aca="false">Scoring!AJ263</f>
        <v/>
      </c>
      <c r="F257" s="138" t="n">
        <f aca="false">Scoring!B263</f>
        <v>0</v>
      </c>
      <c r="G257" s="138" t="n">
        <f aca="false">Scoring!D263</f>
        <v>0</v>
      </c>
      <c r="H257" s="138" t="str">
        <f aca="false">Scoring!BG263</f>
        <v/>
      </c>
      <c r="I257" s="140" t="str">
        <f aca="false">Scoring!BF263</f>
        <v/>
      </c>
    </row>
    <row r="258" customFormat="false" ht="15.75" hidden="false" customHeight="false" outlineLevel="0" collapsed="false">
      <c r="A258" s="138" t="str">
        <f aca="false">Scoring!BI264</f>
        <v/>
      </c>
      <c r="B258" s="138" t="str">
        <f aca="false">Scoring!BH264</f>
        <v/>
      </c>
      <c r="C258" s="138" t="n">
        <f aca="false">Scoring!C264</f>
        <v>0</v>
      </c>
      <c r="D258" s="139" t="str">
        <f aca="false">Scoring!BE264</f>
        <v/>
      </c>
      <c r="E258" s="138" t="str">
        <f aca="false">Scoring!AJ264</f>
        <v/>
      </c>
      <c r="F258" s="138" t="n">
        <f aca="false">Scoring!B264</f>
        <v>0</v>
      </c>
      <c r="G258" s="138" t="n">
        <f aca="false">Scoring!D264</f>
        <v>0</v>
      </c>
      <c r="H258" s="138" t="str">
        <f aca="false">Scoring!BG264</f>
        <v/>
      </c>
      <c r="I258" s="140" t="str">
        <f aca="false">Scoring!BF264</f>
        <v/>
      </c>
    </row>
    <row r="259" customFormat="false" ht="15.75" hidden="false" customHeight="false" outlineLevel="0" collapsed="false">
      <c r="A259" s="138" t="str">
        <f aca="false">Scoring!BI265</f>
        <v/>
      </c>
      <c r="B259" s="138" t="str">
        <f aca="false">Scoring!BH265</f>
        <v/>
      </c>
      <c r="C259" s="138" t="n">
        <f aca="false">Scoring!C265</f>
        <v>0</v>
      </c>
      <c r="D259" s="139" t="str">
        <f aca="false">Scoring!BE265</f>
        <v/>
      </c>
      <c r="E259" s="138" t="str">
        <f aca="false">Scoring!AJ265</f>
        <v/>
      </c>
      <c r="F259" s="138" t="n">
        <f aca="false">Scoring!B265</f>
        <v>0</v>
      </c>
      <c r="G259" s="138" t="n">
        <f aca="false">Scoring!D265</f>
        <v>0</v>
      </c>
      <c r="H259" s="138" t="str">
        <f aca="false">Scoring!BG265</f>
        <v/>
      </c>
      <c r="I259" s="140" t="str">
        <f aca="false">Scoring!BF265</f>
        <v/>
      </c>
    </row>
    <row r="260" customFormat="false" ht="15.75" hidden="false" customHeight="false" outlineLevel="0" collapsed="false">
      <c r="A260" s="138" t="str">
        <f aca="false">Scoring!BI266</f>
        <v/>
      </c>
      <c r="B260" s="138" t="str">
        <f aca="false">Scoring!BH266</f>
        <v/>
      </c>
      <c r="C260" s="138" t="n">
        <f aca="false">Scoring!C266</f>
        <v>0</v>
      </c>
      <c r="D260" s="139" t="str">
        <f aca="false">Scoring!BE266</f>
        <v/>
      </c>
      <c r="E260" s="138" t="str">
        <f aca="false">Scoring!AJ266</f>
        <v/>
      </c>
      <c r="F260" s="138" t="n">
        <f aca="false">Scoring!B266</f>
        <v>0</v>
      </c>
      <c r="G260" s="138" t="n">
        <f aca="false">Scoring!D266</f>
        <v>0</v>
      </c>
      <c r="H260" s="138" t="str">
        <f aca="false">Scoring!BG266</f>
        <v/>
      </c>
      <c r="I260" s="140" t="str">
        <f aca="false">Scoring!BF266</f>
        <v/>
      </c>
    </row>
    <row r="261" customFormat="false" ht="15.75" hidden="false" customHeight="false" outlineLevel="0" collapsed="false">
      <c r="A261" s="138" t="str">
        <f aca="false">Scoring!BI267</f>
        <v/>
      </c>
      <c r="B261" s="138" t="str">
        <f aca="false">Scoring!BH267</f>
        <v/>
      </c>
      <c r="C261" s="138" t="n">
        <f aca="false">Scoring!C267</f>
        <v>0</v>
      </c>
      <c r="D261" s="139" t="str">
        <f aca="false">Scoring!BE267</f>
        <v/>
      </c>
      <c r="E261" s="138" t="str">
        <f aca="false">Scoring!AJ267</f>
        <v/>
      </c>
      <c r="F261" s="138" t="n">
        <f aca="false">Scoring!B267</f>
        <v>0</v>
      </c>
      <c r="G261" s="138" t="n">
        <f aca="false">Scoring!D267</f>
        <v>0</v>
      </c>
      <c r="H261" s="138" t="str">
        <f aca="false">Scoring!BG267</f>
        <v/>
      </c>
      <c r="I261" s="140" t="str">
        <f aca="false">Scoring!BF267</f>
        <v/>
      </c>
    </row>
    <row r="262" customFormat="false" ht="15.75" hidden="false" customHeight="false" outlineLevel="0" collapsed="false">
      <c r="A262" s="138" t="str">
        <f aca="false">Scoring!BI268</f>
        <v/>
      </c>
      <c r="B262" s="138" t="str">
        <f aca="false">Scoring!BH268</f>
        <v/>
      </c>
      <c r="C262" s="138" t="n">
        <f aca="false">Scoring!C268</f>
        <v>0</v>
      </c>
      <c r="D262" s="139" t="str">
        <f aca="false">Scoring!BE268</f>
        <v/>
      </c>
      <c r="E262" s="138" t="str">
        <f aca="false">Scoring!AJ268</f>
        <v/>
      </c>
      <c r="F262" s="138" t="n">
        <f aca="false">Scoring!B268</f>
        <v>0</v>
      </c>
      <c r="G262" s="138" t="n">
        <f aca="false">Scoring!D268</f>
        <v>0</v>
      </c>
      <c r="H262" s="138" t="str">
        <f aca="false">Scoring!BG268</f>
        <v/>
      </c>
      <c r="I262" s="140" t="str">
        <f aca="false">Scoring!BF268</f>
        <v/>
      </c>
    </row>
    <row r="263" customFormat="false" ht="15.75" hidden="false" customHeight="false" outlineLevel="0" collapsed="false">
      <c r="A263" s="138" t="str">
        <f aca="false">Scoring!BI269</f>
        <v/>
      </c>
      <c r="B263" s="138" t="str">
        <f aca="false">Scoring!BH269</f>
        <v/>
      </c>
      <c r="C263" s="138" t="n">
        <f aca="false">Scoring!C269</f>
        <v>0</v>
      </c>
      <c r="D263" s="139" t="str">
        <f aca="false">Scoring!BE269</f>
        <v/>
      </c>
      <c r="E263" s="138" t="str">
        <f aca="false">Scoring!AJ269</f>
        <v/>
      </c>
      <c r="F263" s="138" t="n">
        <f aca="false">Scoring!B269</f>
        <v>0</v>
      </c>
      <c r="G263" s="138" t="n">
        <f aca="false">Scoring!D269</f>
        <v>0</v>
      </c>
      <c r="H263" s="138" t="str">
        <f aca="false">Scoring!BG269</f>
        <v/>
      </c>
      <c r="I263" s="140" t="str">
        <f aca="false">Scoring!BF269</f>
        <v/>
      </c>
    </row>
    <row r="264" customFormat="false" ht="15.75" hidden="false" customHeight="false" outlineLevel="0" collapsed="false">
      <c r="A264" s="138" t="str">
        <f aca="false">Scoring!BI270</f>
        <v/>
      </c>
      <c r="B264" s="138" t="str">
        <f aca="false">Scoring!BH270</f>
        <v/>
      </c>
      <c r="C264" s="138" t="n">
        <f aca="false">Scoring!C270</f>
        <v>0</v>
      </c>
      <c r="D264" s="139" t="str">
        <f aca="false">Scoring!BE270</f>
        <v/>
      </c>
      <c r="E264" s="138" t="str">
        <f aca="false">Scoring!AJ270</f>
        <v/>
      </c>
      <c r="F264" s="138" t="n">
        <f aca="false">Scoring!B270</f>
        <v>0</v>
      </c>
      <c r="G264" s="138" t="n">
        <f aca="false">Scoring!D270</f>
        <v>0</v>
      </c>
      <c r="H264" s="138" t="str">
        <f aca="false">Scoring!BG270</f>
        <v/>
      </c>
      <c r="I264" s="140" t="str">
        <f aca="false">Scoring!BF270</f>
        <v/>
      </c>
    </row>
    <row r="265" customFormat="false" ht="15.75" hidden="false" customHeight="false" outlineLevel="0" collapsed="false">
      <c r="A265" s="138" t="str">
        <f aca="false">Scoring!BI271</f>
        <v/>
      </c>
      <c r="B265" s="138" t="str">
        <f aca="false">Scoring!BH271</f>
        <v/>
      </c>
      <c r="C265" s="138" t="n">
        <f aca="false">Scoring!C271</f>
        <v>0</v>
      </c>
      <c r="D265" s="139" t="str">
        <f aca="false">Scoring!BE271</f>
        <v/>
      </c>
      <c r="E265" s="138" t="str">
        <f aca="false">Scoring!AJ271</f>
        <v/>
      </c>
      <c r="F265" s="138" t="n">
        <f aca="false">Scoring!B271</f>
        <v>0</v>
      </c>
      <c r="G265" s="138" t="n">
        <f aca="false">Scoring!D271</f>
        <v>0</v>
      </c>
      <c r="H265" s="138" t="str">
        <f aca="false">Scoring!BG271</f>
        <v/>
      </c>
      <c r="I265" s="140" t="str">
        <f aca="false">Scoring!BF271</f>
        <v/>
      </c>
    </row>
    <row r="266" customFormat="false" ht="15.75" hidden="false" customHeight="false" outlineLevel="0" collapsed="false">
      <c r="A266" s="138" t="str">
        <f aca="false">Scoring!BI272</f>
        <v/>
      </c>
      <c r="B266" s="138" t="str">
        <f aca="false">Scoring!BH272</f>
        <v/>
      </c>
      <c r="C266" s="138" t="n">
        <f aca="false">Scoring!C272</f>
        <v>0</v>
      </c>
      <c r="D266" s="139" t="str">
        <f aca="false">Scoring!BE272</f>
        <v/>
      </c>
      <c r="E266" s="138" t="str">
        <f aca="false">Scoring!AJ272</f>
        <v/>
      </c>
      <c r="F266" s="138" t="n">
        <f aca="false">Scoring!B272</f>
        <v>0</v>
      </c>
      <c r="G266" s="138" t="n">
        <f aca="false">Scoring!D272</f>
        <v>0</v>
      </c>
      <c r="H266" s="138" t="str">
        <f aca="false">Scoring!BG272</f>
        <v/>
      </c>
      <c r="I266" s="140" t="str">
        <f aca="false">Scoring!BF272</f>
        <v/>
      </c>
    </row>
    <row r="267" customFormat="false" ht="15.75" hidden="false" customHeight="false" outlineLevel="0" collapsed="false">
      <c r="A267" s="138" t="str">
        <f aca="false">Scoring!BI273</f>
        <v/>
      </c>
      <c r="B267" s="138" t="str">
        <f aca="false">Scoring!BH273</f>
        <v/>
      </c>
      <c r="C267" s="138" t="n">
        <f aca="false">Scoring!C273</f>
        <v>0</v>
      </c>
      <c r="D267" s="139" t="str">
        <f aca="false">Scoring!BE273</f>
        <v/>
      </c>
      <c r="E267" s="138" t="str">
        <f aca="false">Scoring!AJ273</f>
        <v/>
      </c>
      <c r="F267" s="138" t="n">
        <f aca="false">Scoring!B273</f>
        <v>0</v>
      </c>
      <c r="G267" s="138" t="n">
        <f aca="false">Scoring!D273</f>
        <v>0</v>
      </c>
      <c r="H267" s="138" t="str">
        <f aca="false">Scoring!BG273</f>
        <v/>
      </c>
      <c r="I267" s="140" t="str">
        <f aca="false">Scoring!BF273</f>
        <v/>
      </c>
    </row>
    <row r="268" customFormat="false" ht="15.75" hidden="false" customHeight="false" outlineLevel="0" collapsed="false">
      <c r="A268" s="138" t="str">
        <f aca="false">Scoring!BI274</f>
        <v/>
      </c>
      <c r="B268" s="138" t="str">
        <f aca="false">Scoring!BH274</f>
        <v/>
      </c>
      <c r="C268" s="138" t="n">
        <f aca="false">Scoring!C274</f>
        <v>0</v>
      </c>
      <c r="D268" s="139" t="str">
        <f aca="false">Scoring!BE274</f>
        <v/>
      </c>
      <c r="E268" s="138" t="str">
        <f aca="false">Scoring!AJ274</f>
        <v/>
      </c>
      <c r="F268" s="138" t="n">
        <f aca="false">Scoring!B274</f>
        <v>0</v>
      </c>
      <c r="G268" s="138" t="n">
        <f aca="false">Scoring!D274</f>
        <v>0</v>
      </c>
      <c r="H268" s="138" t="str">
        <f aca="false">Scoring!BG274</f>
        <v/>
      </c>
      <c r="I268" s="140" t="str">
        <f aca="false">Scoring!BF274</f>
        <v/>
      </c>
    </row>
    <row r="269" customFormat="false" ht="15.75" hidden="false" customHeight="false" outlineLevel="0" collapsed="false">
      <c r="A269" s="138" t="str">
        <f aca="false">Scoring!BI275</f>
        <v/>
      </c>
      <c r="B269" s="138" t="str">
        <f aca="false">Scoring!BH275</f>
        <v/>
      </c>
      <c r="C269" s="138" t="n">
        <f aca="false">Scoring!C275</f>
        <v>0</v>
      </c>
      <c r="D269" s="139" t="str">
        <f aca="false">Scoring!BE275</f>
        <v/>
      </c>
      <c r="E269" s="138" t="str">
        <f aca="false">Scoring!AJ275</f>
        <v/>
      </c>
      <c r="F269" s="138" t="n">
        <f aca="false">Scoring!B275</f>
        <v>0</v>
      </c>
      <c r="G269" s="138" t="n">
        <f aca="false">Scoring!D275</f>
        <v>0</v>
      </c>
      <c r="H269" s="138" t="str">
        <f aca="false">Scoring!BG275</f>
        <v/>
      </c>
      <c r="I269" s="140" t="str">
        <f aca="false">Scoring!BF275</f>
        <v/>
      </c>
    </row>
    <row r="270" customFormat="false" ht="15.75" hidden="false" customHeight="false" outlineLevel="0" collapsed="false">
      <c r="A270" s="138" t="str">
        <f aca="false">Scoring!BI276</f>
        <v/>
      </c>
      <c r="B270" s="138" t="str">
        <f aca="false">Scoring!BH276</f>
        <v/>
      </c>
      <c r="C270" s="138" t="n">
        <f aca="false">Scoring!C276</f>
        <v>0</v>
      </c>
      <c r="D270" s="139" t="str">
        <f aca="false">Scoring!BE276</f>
        <v/>
      </c>
      <c r="E270" s="138" t="str">
        <f aca="false">Scoring!AJ276</f>
        <v/>
      </c>
      <c r="F270" s="138" t="n">
        <f aca="false">Scoring!B276</f>
        <v>0</v>
      </c>
      <c r="G270" s="138" t="n">
        <f aca="false">Scoring!D276</f>
        <v>0</v>
      </c>
      <c r="H270" s="138" t="str">
        <f aca="false">Scoring!BG276</f>
        <v/>
      </c>
      <c r="I270" s="140" t="str">
        <f aca="false">Scoring!BF276</f>
        <v/>
      </c>
    </row>
    <row r="271" customFormat="false" ht="15.75" hidden="false" customHeight="false" outlineLevel="0" collapsed="false">
      <c r="A271" s="138" t="str">
        <f aca="false">Scoring!BI277</f>
        <v/>
      </c>
      <c r="B271" s="138" t="str">
        <f aca="false">Scoring!BH277</f>
        <v/>
      </c>
      <c r="C271" s="138" t="n">
        <f aca="false">Scoring!C277</f>
        <v>0</v>
      </c>
      <c r="D271" s="139" t="str">
        <f aca="false">Scoring!BE277</f>
        <v/>
      </c>
      <c r="E271" s="138" t="str">
        <f aca="false">Scoring!AJ277</f>
        <v/>
      </c>
      <c r="F271" s="138" t="n">
        <f aca="false">Scoring!B277</f>
        <v>0</v>
      </c>
      <c r="G271" s="138" t="n">
        <f aca="false">Scoring!D277</f>
        <v>0</v>
      </c>
      <c r="H271" s="138" t="str">
        <f aca="false">Scoring!BG277</f>
        <v/>
      </c>
      <c r="I271" s="140" t="str">
        <f aca="false">Scoring!BF277</f>
        <v/>
      </c>
    </row>
    <row r="272" customFormat="false" ht="15.75" hidden="false" customHeight="false" outlineLevel="0" collapsed="false">
      <c r="A272" s="138" t="str">
        <f aca="false">Scoring!BI278</f>
        <v/>
      </c>
      <c r="B272" s="138" t="str">
        <f aca="false">Scoring!BH278</f>
        <v/>
      </c>
      <c r="C272" s="138" t="n">
        <f aca="false">Scoring!C278</f>
        <v>0</v>
      </c>
      <c r="D272" s="139" t="str">
        <f aca="false">Scoring!BE278</f>
        <v/>
      </c>
      <c r="E272" s="138" t="str">
        <f aca="false">Scoring!AJ278</f>
        <v/>
      </c>
      <c r="F272" s="138" t="n">
        <f aca="false">Scoring!B278</f>
        <v>0</v>
      </c>
      <c r="G272" s="138" t="n">
        <f aca="false">Scoring!D278</f>
        <v>0</v>
      </c>
      <c r="H272" s="138" t="str">
        <f aca="false">Scoring!BG278</f>
        <v/>
      </c>
      <c r="I272" s="140" t="str">
        <f aca="false">Scoring!BF278</f>
        <v/>
      </c>
    </row>
    <row r="273" customFormat="false" ht="15.75" hidden="false" customHeight="false" outlineLevel="0" collapsed="false">
      <c r="A273" s="138" t="str">
        <f aca="false">Scoring!BI279</f>
        <v/>
      </c>
      <c r="B273" s="138" t="str">
        <f aca="false">Scoring!BH279</f>
        <v/>
      </c>
      <c r="C273" s="138" t="n">
        <f aca="false">Scoring!C279</f>
        <v>0</v>
      </c>
      <c r="D273" s="139" t="str">
        <f aca="false">Scoring!BE279</f>
        <v/>
      </c>
      <c r="E273" s="138" t="str">
        <f aca="false">Scoring!AJ279</f>
        <v/>
      </c>
      <c r="F273" s="138" t="n">
        <f aca="false">Scoring!B279</f>
        <v>0</v>
      </c>
      <c r="G273" s="138" t="n">
        <f aca="false">Scoring!D279</f>
        <v>0</v>
      </c>
      <c r="H273" s="138" t="str">
        <f aca="false">Scoring!BG279</f>
        <v/>
      </c>
      <c r="I273" s="140" t="str">
        <f aca="false">Scoring!BF279</f>
        <v/>
      </c>
    </row>
    <row r="274" customFormat="false" ht="15.75" hidden="false" customHeight="false" outlineLevel="0" collapsed="false">
      <c r="A274" s="138" t="str">
        <f aca="false">Scoring!BI280</f>
        <v/>
      </c>
      <c r="B274" s="138" t="str">
        <f aca="false">Scoring!BH280</f>
        <v/>
      </c>
      <c r="C274" s="138" t="n">
        <f aca="false">Scoring!C280</f>
        <v>0</v>
      </c>
      <c r="D274" s="139" t="str">
        <f aca="false">Scoring!BE280</f>
        <v/>
      </c>
      <c r="E274" s="138" t="str">
        <f aca="false">Scoring!AJ280</f>
        <v/>
      </c>
      <c r="F274" s="138" t="n">
        <f aca="false">Scoring!B280</f>
        <v>0</v>
      </c>
      <c r="G274" s="138" t="n">
        <f aca="false">Scoring!D280</f>
        <v>0</v>
      </c>
      <c r="H274" s="138" t="str">
        <f aca="false">Scoring!BG280</f>
        <v/>
      </c>
      <c r="I274" s="140" t="str">
        <f aca="false">Scoring!BF280</f>
        <v/>
      </c>
    </row>
    <row r="275" customFormat="false" ht="15.75" hidden="false" customHeight="false" outlineLevel="0" collapsed="false">
      <c r="A275" s="138" t="str">
        <f aca="false">Scoring!BI281</f>
        <v/>
      </c>
      <c r="B275" s="138" t="str">
        <f aca="false">Scoring!BH281</f>
        <v/>
      </c>
      <c r="C275" s="138" t="n">
        <f aca="false">Scoring!C281</f>
        <v>0</v>
      </c>
      <c r="D275" s="139" t="str">
        <f aca="false">Scoring!BE281</f>
        <v/>
      </c>
      <c r="E275" s="138" t="str">
        <f aca="false">Scoring!AJ281</f>
        <v/>
      </c>
      <c r="F275" s="138" t="n">
        <f aca="false">Scoring!B281</f>
        <v>0</v>
      </c>
      <c r="G275" s="138" t="n">
        <f aca="false">Scoring!D281</f>
        <v>0</v>
      </c>
      <c r="H275" s="138" t="str">
        <f aca="false">Scoring!BG281</f>
        <v/>
      </c>
      <c r="I275" s="140" t="str">
        <f aca="false">Scoring!BF281</f>
        <v/>
      </c>
    </row>
    <row r="276" customFormat="false" ht="15.75" hidden="false" customHeight="false" outlineLevel="0" collapsed="false">
      <c r="A276" s="138" t="str">
        <f aca="false">Scoring!BI282</f>
        <v/>
      </c>
      <c r="B276" s="138" t="str">
        <f aca="false">Scoring!BH282</f>
        <v/>
      </c>
      <c r="C276" s="138" t="n">
        <f aca="false">Scoring!C282</f>
        <v>0</v>
      </c>
      <c r="D276" s="139" t="str">
        <f aca="false">Scoring!BE282</f>
        <v/>
      </c>
      <c r="E276" s="138" t="str">
        <f aca="false">Scoring!AJ282</f>
        <v/>
      </c>
      <c r="F276" s="138" t="n">
        <f aca="false">Scoring!B282</f>
        <v>0</v>
      </c>
      <c r="G276" s="138" t="n">
        <f aca="false">Scoring!D282</f>
        <v>0</v>
      </c>
      <c r="H276" s="138" t="str">
        <f aca="false">Scoring!BG282</f>
        <v/>
      </c>
      <c r="I276" s="140" t="str">
        <f aca="false">Scoring!BF282</f>
        <v/>
      </c>
    </row>
    <row r="277" customFormat="false" ht="15.75" hidden="false" customHeight="false" outlineLevel="0" collapsed="false">
      <c r="A277" s="138" t="str">
        <f aca="false">Scoring!BI283</f>
        <v/>
      </c>
      <c r="B277" s="138" t="str">
        <f aca="false">Scoring!BH283</f>
        <v/>
      </c>
      <c r="C277" s="138" t="n">
        <f aca="false">Scoring!C283</f>
        <v>0</v>
      </c>
      <c r="D277" s="139" t="str">
        <f aca="false">Scoring!BE283</f>
        <v/>
      </c>
      <c r="E277" s="138" t="str">
        <f aca="false">Scoring!AJ283</f>
        <v/>
      </c>
      <c r="F277" s="138" t="n">
        <f aca="false">Scoring!B283</f>
        <v>0</v>
      </c>
      <c r="G277" s="138" t="n">
        <f aca="false">Scoring!D283</f>
        <v>0</v>
      </c>
      <c r="H277" s="138" t="str">
        <f aca="false">Scoring!BG283</f>
        <v/>
      </c>
      <c r="I277" s="140" t="str">
        <f aca="false">Scoring!BF283</f>
        <v/>
      </c>
    </row>
    <row r="278" customFormat="false" ht="15.75" hidden="false" customHeight="false" outlineLevel="0" collapsed="false">
      <c r="A278" s="138" t="str">
        <f aca="false">Scoring!BI284</f>
        <v/>
      </c>
      <c r="B278" s="138" t="str">
        <f aca="false">Scoring!BH284</f>
        <v/>
      </c>
      <c r="C278" s="138" t="n">
        <f aca="false">Scoring!C284</f>
        <v>0</v>
      </c>
      <c r="D278" s="139" t="str">
        <f aca="false">Scoring!BE284</f>
        <v/>
      </c>
      <c r="E278" s="138" t="str">
        <f aca="false">Scoring!AJ284</f>
        <v/>
      </c>
      <c r="F278" s="138" t="n">
        <f aca="false">Scoring!B284</f>
        <v>0</v>
      </c>
      <c r="G278" s="138" t="n">
        <f aca="false">Scoring!D284</f>
        <v>0</v>
      </c>
      <c r="H278" s="138" t="str">
        <f aca="false">Scoring!BG284</f>
        <v/>
      </c>
      <c r="I278" s="140" t="str">
        <f aca="false">Scoring!BF284</f>
        <v/>
      </c>
    </row>
    <row r="279" customFormat="false" ht="15.75" hidden="false" customHeight="false" outlineLevel="0" collapsed="false">
      <c r="A279" s="138" t="str">
        <f aca="false">Scoring!BI285</f>
        <v/>
      </c>
      <c r="B279" s="138" t="str">
        <f aca="false">Scoring!BH285</f>
        <v/>
      </c>
      <c r="C279" s="138" t="n">
        <f aca="false">Scoring!C285</f>
        <v>0</v>
      </c>
      <c r="D279" s="139" t="str">
        <f aca="false">Scoring!BE285</f>
        <v/>
      </c>
      <c r="E279" s="138" t="str">
        <f aca="false">Scoring!AJ285</f>
        <v/>
      </c>
      <c r="F279" s="138" t="n">
        <f aca="false">Scoring!B285</f>
        <v>0</v>
      </c>
      <c r="G279" s="138" t="n">
        <f aca="false">Scoring!D285</f>
        <v>0</v>
      </c>
      <c r="H279" s="138" t="str">
        <f aca="false">Scoring!BG285</f>
        <v/>
      </c>
      <c r="I279" s="140" t="str">
        <f aca="false">Scoring!BF285</f>
        <v/>
      </c>
    </row>
    <row r="280" customFormat="false" ht="15.75" hidden="false" customHeight="false" outlineLevel="0" collapsed="false">
      <c r="A280" s="138" t="str">
        <f aca="false">Scoring!BI286</f>
        <v/>
      </c>
      <c r="B280" s="138" t="str">
        <f aca="false">Scoring!BH286</f>
        <v/>
      </c>
      <c r="C280" s="138" t="n">
        <f aca="false">Scoring!C286</f>
        <v>0</v>
      </c>
      <c r="D280" s="139" t="str">
        <f aca="false">Scoring!BE286</f>
        <v/>
      </c>
      <c r="E280" s="138" t="str">
        <f aca="false">Scoring!AJ286</f>
        <v/>
      </c>
      <c r="F280" s="138" t="n">
        <f aca="false">Scoring!B286</f>
        <v>0</v>
      </c>
      <c r="G280" s="138" t="n">
        <f aca="false">Scoring!D286</f>
        <v>0</v>
      </c>
      <c r="H280" s="138" t="str">
        <f aca="false">Scoring!BG286</f>
        <v/>
      </c>
      <c r="I280" s="140" t="str">
        <f aca="false">Scoring!BF286</f>
        <v/>
      </c>
    </row>
    <row r="281" customFormat="false" ht="15.75" hidden="false" customHeight="false" outlineLevel="0" collapsed="false">
      <c r="A281" s="138" t="str">
        <f aca="false">Scoring!BI287</f>
        <v/>
      </c>
      <c r="B281" s="138" t="str">
        <f aca="false">Scoring!BH287</f>
        <v/>
      </c>
      <c r="C281" s="138" t="n">
        <f aca="false">Scoring!C287</f>
        <v>0</v>
      </c>
      <c r="D281" s="139" t="str">
        <f aca="false">Scoring!BE287</f>
        <v/>
      </c>
      <c r="E281" s="138" t="str">
        <f aca="false">Scoring!AJ287</f>
        <v/>
      </c>
      <c r="F281" s="138" t="n">
        <f aca="false">Scoring!B287</f>
        <v>0</v>
      </c>
      <c r="G281" s="138" t="n">
        <f aca="false">Scoring!D287</f>
        <v>0</v>
      </c>
      <c r="H281" s="138" t="str">
        <f aca="false">Scoring!BG287</f>
        <v/>
      </c>
      <c r="I281" s="140" t="str">
        <f aca="false">Scoring!BF287</f>
        <v/>
      </c>
    </row>
    <row r="282" customFormat="false" ht="15.75" hidden="false" customHeight="false" outlineLevel="0" collapsed="false">
      <c r="A282" s="138" t="str">
        <f aca="false">Scoring!BI288</f>
        <v/>
      </c>
      <c r="B282" s="138" t="str">
        <f aca="false">Scoring!BH288</f>
        <v/>
      </c>
      <c r="C282" s="138" t="n">
        <f aca="false">Scoring!C288</f>
        <v>0</v>
      </c>
      <c r="D282" s="139" t="str">
        <f aca="false">Scoring!BE288</f>
        <v/>
      </c>
      <c r="E282" s="138" t="str">
        <f aca="false">Scoring!AJ288</f>
        <v/>
      </c>
      <c r="F282" s="138" t="n">
        <f aca="false">Scoring!B288</f>
        <v>0</v>
      </c>
      <c r="G282" s="138" t="n">
        <f aca="false">Scoring!D288</f>
        <v>0</v>
      </c>
      <c r="H282" s="138" t="str">
        <f aca="false">Scoring!BG288</f>
        <v/>
      </c>
      <c r="I282" s="140" t="str">
        <f aca="false">Scoring!BF288</f>
        <v/>
      </c>
    </row>
    <row r="283" customFormat="false" ht="15.75" hidden="false" customHeight="false" outlineLevel="0" collapsed="false">
      <c r="A283" s="138" t="str">
        <f aca="false">Scoring!BI289</f>
        <v/>
      </c>
      <c r="B283" s="138" t="str">
        <f aca="false">Scoring!BH289</f>
        <v/>
      </c>
      <c r="C283" s="138" t="n">
        <f aca="false">Scoring!C289</f>
        <v>0</v>
      </c>
      <c r="D283" s="139" t="str">
        <f aca="false">Scoring!BE289</f>
        <v/>
      </c>
      <c r="E283" s="138" t="str">
        <f aca="false">Scoring!AJ289</f>
        <v/>
      </c>
      <c r="F283" s="138" t="n">
        <f aca="false">Scoring!B289</f>
        <v>0</v>
      </c>
      <c r="G283" s="138" t="n">
        <f aca="false">Scoring!D289</f>
        <v>0</v>
      </c>
      <c r="H283" s="138" t="str">
        <f aca="false">Scoring!BG289</f>
        <v/>
      </c>
      <c r="I283" s="140" t="str">
        <f aca="false">Scoring!BF289</f>
        <v/>
      </c>
    </row>
    <row r="284" customFormat="false" ht="15.75" hidden="false" customHeight="false" outlineLevel="0" collapsed="false">
      <c r="A284" s="138" t="str">
        <f aca="false">Scoring!BI290</f>
        <v/>
      </c>
      <c r="B284" s="138" t="str">
        <f aca="false">Scoring!BH290</f>
        <v/>
      </c>
      <c r="C284" s="138" t="n">
        <f aca="false">Scoring!C290</f>
        <v>0</v>
      </c>
      <c r="D284" s="139" t="str">
        <f aca="false">Scoring!BE290</f>
        <v/>
      </c>
      <c r="E284" s="138" t="str">
        <f aca="false">Scoring!AJ290</f>
        <v/>
      </c>
      <c r="F284" s="138" t="n">
        <f aca="false">Scoring!B290</f>
        <v>0</v>
      </c>
      <c r="G284" s="138" t="n">
        <f aca="false">Scoring!D290</f>
        <v>0</v>
      </c>
      <c r="H284" s="138" t="str">
        <f aca="false">Scoring!BG290</f>
        <v/>
      </c>
      <c r="I284" s="140" t="str">
        <f aca="false">Scoring!BF290</f>
        <v/>
      </c>
    </row>
    <row r="285" customFormat="false" ht="15.75" hidden="false" customHeight="false" outlineLevel="0" collapsed="false">
      <c r="A285" s="138" t="str">
        <f aca="false">Scoring!BI291</f>
        <v/>
      </c>
      <c r="B285" s="138" t="str">
        <f aca="false">Scoring!BH291</f>
        <v/>
      </c>
      <c r="C285" s="138" t="n">
        <f aca="false">Scoring!C291</f>
        <v>0</v>
      </c>
      <c r="D285" s="139" t="str">
        <f aca="false">Scoring!BE291</f>
        <v/>
      </c>
      <c r="E285" s="138" t="str">
        <f aca="false">Scoring!AJ291</f>
        <v/>
      </c>
      <c r="F285" s="138" t="n">
        <f aca="false">Scoring!B291</f>
        <v>0</v>
      </c>
      <c r="G285" s="138" t="n">
        <f aca="false">Scoring!D291</f>
        <v>0</v>
      </c>
      <c r="H285" s="138" t="str">
        <f aca="false">Scoring!BG291</f>
        <v/>
      </c>
      <c r="I285" s="140" t="str">
        <f aca="false">Scoring!BF291</f>
        <v/>
      </c>
    </row>
    <row r="286" customFormat="false" ht="15.75" hidden="false" customHeight="false" outlineLevel="0" collapsed="false">
      <c r="A286" s="138" t="str">
        <f aca="false">Scoring!BI292</f>
        <v/>
      </c>
      <c r="B286" s="138" t="str">
        <f aca="false">Scoring!BH292</f>
        <v/>
      </c>
      <c r="C286" s="138" t="n">
        <f aca="false">Scoring!C292</f>
        <v>0</v>
      </c>
      <c r="D286" s="139" t="str">
        <f aca="false">Scoring!BE292</f>
        <v/>
      </c>
      <c r="E286" s="138" t="str">
        <f aca="false">Scoring!AJ292</f>
        <v/>
      </c>
      <c r="F286" s="138" t="n">
        <f aca="false">Scoring!B292</f>
        <v>0</v>
      </c>
      <c r="G286" s="138" t="n">
        <f aca="false">Scoring!D292</f>
        <v>0</v>
      </c>
      <c r="H286" s="138" t="str">
        <f aca="false">Scoring!BG292</f>
        <v/>
      </c>
      <c r="I286" s="140" t="str">
        <f aca="false">Scoring!BF292</f>
        <v/>
      </c>
    </row>
    <row r="287" customFormat="false" ht="15.75" hidden="false" customHeight="false" outlineLevel="0" collapsed="false">
      <c r="A287" s="138" t="str">
        <f aca="false">Scoring!BI293</f>
        <v/>
      </c>
      <c r="B287" s="138" t="str">
        <f aca="false">Scoring!BH293</f>
        <v/>
      </c>
      <c r="C287" s="138" t="n">
        <f aca="false">Scoring!C293</f>
        <v>0</v>
      </c>
      <c r="D287" s="139" t="str">
        <f aca="false">Scoring!BE293</f>
        <v/>
      </c>
      <c r="E287" s="138" t="str">
        <f aca="false">Scoring!AJ293</f>
        <v/>
      </c>
      <c r="F287" s="138" t="n">
        <f aca="false">Scoring!B293</f>
        <v>0</v>
      </c>
      <c r="G287" s="138" t="n">
        <f aca="false">Scoring!D293</f>
        <v>0</v>
      </c>
      <c r="H287" s="138" t="str">
        <f aca="false">Scoring!BG293</f>
        <v/>
      </c>
      <c r="I287" s="140" t="str">
        <f aca="false">Scoring!BF293</f>
        <v/>
      </c>
    </row>
    <row r="288" customFormat="false" ht="15.75" hidden="false" customHeight="false" outlineLevel="0" collapsed="false">
      <c r="A288" s="138" t="str">
        <f aca="false">Scoring!BI294</f>
        <v/>
      </c>
      <c r="B288" s="138" t="str">
        <f aca="false">Scoring!BH294</f>
        <v/>
      </c>
      <c r="C288" s="138" t="n">
        <f aca="false">Scoring!C294</f>
        <v>0</v>
      </c>
      <c r="D288" s="139" t="str">
        <f aca="false">Scoring!BE294</f>
        <v/>
      </c>
      <c r="E288" s="138" t="str">
        <f aca="false">Scoring!AJ294</f>
        <v/>
      </c>
      <c r="F288" s="138" t="n">
        <f aca="false">Scoring!B294</f>
        <v>0</v>
      </c>
      <c r="G288" s="138" t="n">
        <f aca="false">Scoring!D294</f>
        <v>0</v>
      </c>
      <c r="H288" s="138" t="str">
        <f aca="false">Scoring!BG294</f>
        <v/>
      </c>
      <c r="I288" s="140" t="str">
        <f aca="false">Scoring!BF294</f>
        <v/>
      </c>
    </row>
    <row r="289" customFormat="false" ht="15.75" hidden="false" customHeight="false" outlineLevel="0" collapsed="false">
      <c r="A289" s="138" t="str">
        <f aca="false">Scoring!BI295</f>
        <v/>
      </c>
      <c r="B289" s="138" t="str">
        <f aca="false">Scoring!BH295</f>
        <v/>
      </c>
      <c r="C289" s="138" t="n">
        <f aca="false">Scoring!C295</f>
        <v>0</v>
      </c>
      <c r="D289" s="139" t="str">
        <f aca="false">Scoring!BE295</f>
        <v/>
      </c>
      <c r="E289" s="138" t="str">
        <f aca="false">Scoring!AJ295</f>
        <v/>
      </c>
      <c r="F289" s="138" t="n">
        <f aca="false">Scoring!B295</f>
        <v>0</v>
      </c>
      <c r="G289" s="138" t="n">
        <f aca="false">Scoring!D295</f>
        <v>0</v>
      </c>
      <c r="H289" s="138" t="str">
        <f aca="false">Scoring!BG295</f>
        <v/>
      </c>
      <c r="I289" s="140" t="str">
        <f aca="false">Scoring!BF295</f>
        <v/>
      </c>
    </row>
    <row r="290" customFormat="false" ht="15.75" hidden="false" customHeight="false" outlineLevel="0" collapsed="false">
      <c r="A290" s="138" t="str">
        <f aca="false">Scoring!BI296</f>
        <v/>
      </c>
      <c r="B290" s="138" t="str">
        <f aca="false">Scoring!BH296</f>
        <v/>
      </c>
      <c r="C290" s="138" t="n">
        <f aca="false">Scoring!C296</f>
        <v>0</v>
      </c>
      <c r="D290" s="139" t="str">
        <f aca="false">Scoring!BE296</f>
        <v/>
      </c>
      <c r="E290" s="138" t="str">
        <f aca="false">Scoring!AJ296</f>
        <v/>
      </c>
      <c r="F290" s="138" t="n">
        <f aca="false">Scoring!B296</f>
        <v>0</v>
      </c>
      <c r="G290" s="138" t="n">
        <f aca="false">Scoring!D296</f>
        <v>0</v>
      </c>
      <c r="H290" s="138" t="str">
        <f aca="false">Scoring!BG296</f>
        <v/>
      </c>
      <c r="I290" s="140" t="str">
        <f aca="false">Scoring!BF296</f>
        <v/>
      </c>
    </row>
    <row r="291" customFormat="false" ht="15.75" hidden="false" customHeight="false" outlineLevel="0" collapsed="false">
      <c r="A291" s="138" t="str">
        <f aca="false">Scoring!BI297</f>
        <v/>
      </c>
      <c r="B291" s="138" t="str">
        <f aca="false">Scoring!BH297</f>
        <v/>
      </c>
      <c r="C291" s="138" t="n">
        <f aca="false">Scoring!C297</f>
        <v>0</v>
      </c>
      <c r="D291" s="139" t="str">
        <f aca="false">Scoring!BE297</f>
        <v/>
      </c>
      <c r="E291" s="138" t="str">
        <f aca="false">Scoring!AJ297</f>
        <v/>
      </c>
      <c r="F291" s="138" t="n">
        <f aca="false">Scoring!B297</f>
        <v>0</v>
      </c>
      <c r="G291" s="138" t="n">
        <f aca="false">Scoring!D297</f>
        <v>0</v>
      </c>
      <c r="H291" s="138" t="str">
        <f aca="false">Scoring!BG297</f>
        <v/>
      </c>
      <c r="I291" s="140" t="str">
        <f aca="false">Scoring!BF297</f>
        <v/>
      </c>
    </row>
    <row r="292" customFormat="false" ht="15.75" hidden="false" customHeight="false" outlineLevel="0" collapsed="false">
      <c r="A292" s="138" t="str">
        <f aca="false">Scoring!BI298</f>
        <v/>
      </c>
      <c r="B292" s="138" t="str">
        <f aca="false">Scoring!BH298</f>
        <v/>
      </c>
      <c r="C292" s="138" t="n">
        <f aca="false">Scoring!C298</f>
        <v>0</v>
      </c>
      <c r="D292" s="139" t="str">
        <f aca="false">Scoring!BE298</f>
        <v/>
      </c>
      <c r="E292" s="138" t="str">
        <f aca="false">Scoring!AJ298</f>
        <v/>
      </c>
      <c r="F292" s="138" t="n">
        <f aca="false">Scoring!B298</f>
        <v>0</v>
      </c>
      <c r="G292" s="138" t="n">
        <f aca="false">Scoring!D298</f>
        <v>0</v>
      </c>
      <c r="H292" s="138" t="str">
        <f aca="false">Scoring!BG298</f>
        <v/>
      </c>
      <c r="I292" s="140" t="str">
        <f aca="false">Scoring!BF298</f>
        <v/>
      </c>
    </row>
    <row r="293" customFormat="false" ht="15.75" hidden="false" customHeight="false" outlineLevel="0" collapsed="false">
      <c r="A293" s="138" t="str">
        <f aca="false">Scoring!BI299</f>
        <v/>
      </c>
      <c r="B293" s="138" t="str">
        <f aca="false">Scoring!BH299</f>
        <v/>
      </c>
      <c r="C293" s="138" t="n">
        <f aca="false">Scoring!C299</f>
        <v>0</v>
      </c>
      <c r="D293" s="139" t="str">
        <f aca="false">Scoring!BE299</f>
        <v/>
      </c>
      <c r="E293" s="138" t="str">
        <f aca="false">Scoring!AJ299</f>
        <v/>
      </c>
      <c r="F293" s="138" t="n">
        <f aca="false">Scoring!B299</f>
        <v>0</v>
      </c>
      <c r="G293" s="138" t="n">
        <f aca="false">Scoring!D299</f>
        <v>0</v>
      </c>
      <c r="H293" s="138" t="str">
        <f aca="false">Scoring!BG299</f>
        <v/>
      </c>
      <c r="I293" s="140" t="str">
        <f aca="false">Scoring!BF299</f>
        <v/>
      </c>
    </row>
    <row r="294" customFormat="false" ht="15.75" hidden="false" customHeight="false" outlineLevel="0" collapsed="false">
      <c r="A294" s="138" t="str">
        <f aca="false">Scoring!BI300</f>
        <v/>
      </c>
      <c r="B294" s="138" t="str">
        <f aca="false">Scoring!BH300</f>
        <v/>
      </c>
      <c r="C294" s="138" t="n">
        <f aca="false">Scoring!C300</f>
        <v>0</v>
      </c>
      <c r="D294" s="139" t="str">
        <f aca="false">Scoring!BE300</f>
        <v/>
      </c>
      <c r="E294" s="138" t="str">
        <f aca="false">Scoring!AJ300</f>
        <v/>
      </c>
      <c r="F294" s="138" t="n">
        <f aca="false">Scoring!B300</f>
        <v>0</v>
      </c>
      <c r="G294" s="138" t="n">
        <f aca="false">Scoring!D300</f>
        <v>0</v>
      </c>
      <c r="H294" s="138" t="str">
        <f aca="false">Scoring!BG300</f>
        <v/>
      </c>
      <c r="I294" s="140" t="str">
        <f aca="false">Scoring!BF300</f>
        <v/>
      </c>
    </row>
    <row r="295" customFormat="false" ht="15.75" hidden="false" customHeight="false" outlineLevel="0" collapsed="false">
      <c r="A295" s="138" t="str">
        <f aca="false">Scoring!BI301</f>
        <v/>
      </c>
      <c r="B295" s="138" t="str">
        <f aca="false">Scoring!BH301</f>
        <v/>
      </c>
      <c r="C295" s="138" t="n">
        <f aca="false">Scoring!C301</f>
        <v>0</v>
      </c>
      <c r="D295" s="139" t="str">
        <f aca="false">Scoring!BE301</f>
        <v/>
      </c>
      <c r="E295" s="138" t="str">
        <f aca="false">Scoring!AJ301</f>
        <v/>
      </c>
      <c r="F295" s="138" t="n">
        <f aca="false">Scoring!B301</f>
        <v>0</v>
      </c>
      <c r="G295" s="138" t="n">
        <f aca="false">Scoring!D301</f>
        <v>0</v>
      </c>
      <c r="H295" s="138" t="str">
        <f aca="false">Scoring!BG301</f>
        <v/>
      </c>
      <c r="I295" s="140" t="str">
        <f aca="false">Scoring!BF301</f>
        <v/>
      </c>
    </row>
    <row r="296" customFormat="false" ht="15.75" hidden="false" customHeight="false" outlineLevel="0" collapsed="false">
      <c r="A296" s="138" t="str">
        <f aca="false">Scoring!BI302</f>
        <v/>
      </c>
      <c r="B296" s="138" t="str">
        <f aca="false">Scoring!BH302</f>
        <v/>
      </c>
      <c r="C296" s="138" t="n">
        <f aca="false">Scoring!C302</f>
        <v>0</v>
      </c>
      <c r="D296" s="139" t="str">
        <f aca="false">Scoring!BE302</f>
        <v/>
      </c>
      <c r="E296" s="138" t="str">
        <f aca="false">Scoring!AJ302</f>
        <v/>
      </c>
      <c r="F296" s="138" t="n">
        <f aca="false">Scoring!B302</f>
        <v>0</v>
      </c>
      <c r="G296" s="138" t="n">
        <f aca="false">Scoring!D302</f>
        <v>0</v>
      </c>
      <c r="H296" s="138" t="str">
        <f aca="false">Scoring!BG302</f>
        <v/>
      </c>
      <c r="I296" s="140" t="str">
        <f aca="false">Scoring!BF302</f>
        <v/>
      </c>
    </row>
    <row r="297" customFormat="false" ht="15.75" hidden="false" customHeight="false" outlineLevel="0" collapsed="false">
      <c r="A297" s="138" t="str">
        <f aca="false">Scoring!BI303</f>
        <v/>
      </c>
      <c r="B297" s="138" t="str">
        <f aca="false">Scoring!BH303</f>
        <v/>
      </c>
      <c r="C297" s="138" t="n">
        <f aca="false">Scoring!C303</f>
        <v>0</v>
      </c>
      <c r="D297" s="139" t="str">
        <f aca="false">Scoring!BE303</f>
        <v/>
      </c>
      <c r="E297" s="138" t="str">
        <f aca="false">Scoring!AJ303</f>
        <v/>
      </c>
      <c r="F297" s="138" t="n">
        <f aca="false">Scoring!B303</f>
        <v>0</v>
      </c>
      <c r="G297" s="138" t="n">
        <f aca="false">Scoring!D303</f>
        <v>0</v>
      </c>
      <c r="H297" s="138" t="str">
        <f aca="false">Scoring!BG303</f>
        <v/>
      </c>
      <c r="I297" s="140" t="str">
        <f aca="false">Scoring!BF303</f>
        <v/>
      </c>
    </row>
    <row r="298" customFormat="false" ht="15.75" hidden="false" customHeight="false" outlineLevel="0" collapsed="false">
      <c r="A298" s="138" t="str">
        <f aca="false">Scoring!BI304</f>
        <v/>
      </c>
      <c r="B298" s="138" t="str">
        <f aca="false">Scoring!BH304</f>
        <v/>
      </c>
      <c r="C298" s="138" t="n">
        <f aca="false">Scoring!C304</f>
        <v>0</v>
      </c>
      <c r="D298" s="139" t="str">
        <f aca="false">Scoring!BE304</f>
        <v/>
      </c>
      <c r="E298" s="138" t="str">
        <f aca="false">Scoring!AJ304</f>
        <v/>
      </c>
      <c r="F298" s="138" t="n">
        <f aca="false">Scoring!B304</f>
        <v>0</v>
      </c>
      <c r="G298" s="138" t="n">
        <f aca="false">Scoring!D304</f>
        <v>0</v>
      </c>
      <c r="H298" s="138" t="str">
        <f aca="false">Scoring!BG304</f>
        <v/>
      </c>
      <c r="I298" s="140" t="str">
        <f aca="false">Scoring!BF304</f>
        <v/>
      </c>
    </row>
    <row r="299" customFormat="false" ht="15.75" hidden="false" customHeight="false" outlineLevel="0" collapsed="false">
      <c r="A299" s="138" t="str">
        <f aca="false">Scoring!BI305</f>
        <v/>
      </c>
      <c r="B299" s="138" t="str">
        <f aca="false">Scoring!BH305</f>
        <v/>
      </c>
      <c r="C299" s="138" t="n">
        <f aca="false">Scoring!C305</f>
        <v>0</v>
      </c>
      <c r="D299" s="139" t="str">
        <f aca="false">Scoring!BE305</f>
        <v/>
      </c>
      <c r="E299" s="138" t="str">
        <f aca="false">Scoring!AJ305</f>
        <v/>
      </c>
      <c r="F299" s="138" t="n">
        <f aca="false">Scoring!B305</f>
        <v>0</v>
      </c>
      <c r="G299" s="138" t="n">
        <f aca="false">Scoring!D305</f>
        <v>0</v>
      </c>
      <c r="H299" s="138" t="str">
        <f aca="false">Scoring!BG305</f>
        <v/>
      </c>
      <c r="I299" s="140" t="str">
        <f aca="false">Scoring!BF305</f>
        <v/>
      </c>
    </row>
    <row r="300" customFormat="false" ht="15.75" hidden="false" customHeight="false" outlineLevel="0" collapsed="false">
      <c r="A300" s="138" t="str">
        <f aca="false">Scoring!BI306</f>
        <v/>
      </c>
      <c r="B300" s="138" t="str">
        <f aca="false">Scoring!BH306</f>
        <v/>
      </c>
      <c r="C300" s="138" t="n">
        <f aca="false">Scoring!C306</f>
        <v>0</v>
      </c>
      <c r="D300" s="139" t="str">
        <f aca="false">Scoring!BE306</f>
        <v/>
      </c>
      <c r="E300" s="138" t="str">
        <f aca="false">Scoring!AJ306</f>
        <v/>
      </c>
      <c r="F300" s="138" t="n">
        <f aca="false">Scoring!B306</f>
        <v>0</v>
      </c>
      <c r="G300" s="138" t="n">
        <f aca="false">Scoring!D306</f>
        <v>0</v>
      </c>
      <c r="H300" s="138" t="str">
        <f aca="false">Scoring!BG306</f>
        <v/>
      </c>
      <c r="I300" s="140" t="str">
        <f aca="false">Scoring!BF306</f>
        <v/>
      </c>
    </row>
    <row r="301" customFormat="false" ht="15.75" hidden="false" customHeight="false" outlineLevel="0" collapsed="false">
      <c r="A301" s="138" t="str">
        <f aca="false">Scoring!BI307</f>
        <v/>
      </c>
      <c r="B301" s="138" t="str">
        <f aca="false">Scoring!BH307</f>
        <v/>
      </c>
      <c r="C301" s="138" t="n">
        <f aca="false">Scoring!C307</f>
        <v>0</v>
      </c>
      <c r="D301" s="139" t="str">
        <f aca="false">Scoring!BE307</f>
        <v/>
      </c>
      <c r="E301" s="138" t="str">
        <f aca="false">Scoring!AJ307</f>
        <v/>
      </c>
      <c r="F301" s="138" t="n">
        <f aca="false">Scoring!B307</f>
        <v>0</v>
      </c>
      <c r="G301" s="138" t="n">
        <f aca="false">Scoring!D307</f>
        <v>0</v>
      </c>
      <c r="H301" s="138" t="str">
        <f aca="false">Scoring!BG307</f>
        <v/>
      </c>
      <c r="I301" s="140" t="str">
        <f aca="false">Scoring!BF307</f>
        <v/>
      </c>
    </row>
    <row r="302" customFormat="false" ht="15.75" hidden="false" customHeight="false" outlineLevel="0" collapsed="false">
      <c r="A302" s="138" t="str">
        <f aca="false">Scoring!BI308</f>
        <v/>
      </c>
      <c r="B302" s="138" t="str">
        <f aca="false">Scoring!BH308</f>
        <v/>
      </c>
      <c r="C302" s="138" t="n">
        <f aca="false">Scoring!C308</f>
        <v>0</v>
      </c>
      <c r="D302" s="139" t="str">
        <f aca="false">Scoring!BE308</f>
        <v/>
      </c>
      <c r="E302" s="138" t="str">
        <f aca="false">Scoring!AJ308</f>
        <v/>
      </c>
      <c r="F302" s="138" t="n">
        <f aca="false">Scoring!B308</f>
        <v>0</v>
      </c>
      <c r="G302" s="138" t="n">
        <f aca="false">Scoring!D308</f>
        <v>0</v>
      </c>
      <c r="H302" s="138" t="str">
        <f aca="false">Scoring!BG308</f>
        <v/>
      </c>
      <c r="I302" s="140" t="str">
        <f aca="false">Scoring!BF308</f>
        <v/>
      </c>
    </row>
    <row r="303" customFormat="false" ht="15.75" hidden="false" customHeight="false" outlineLevel="0" collapsed="false">
      <c r="A303" s="138" t="str">
        <f aca="false">Scoring!BI309</f>
        <v/>
      </c>
      <c r="B303" s="138" t="str">
        <f aca="false">Scoring!BH309</f>
        <v/>
      </c>
      <c r="C303" s="138" t="n">
        <f aca="false">Scoring!C309</f>
        <v>0</v>
      </c>
      <c r="D303" s="139" t="str">
        <f aca="false">Scoring!BE309</f>
        <v/>
      </c>
      <c r="E303" s="138" t="str">
        <f aca="false">Scoring!AJ309</f>
        <v/>
      </c>
      <c r="F303" s="138" t="n">
        <f aca="false">Scoring!B309</f>
        <v>0</v>
      </c>
      <c r="G303" s="138" t="n">
        <f aca="false">Scoring!D309</f>
        <v>0</v>
      </c>
      <c r="H303" s="138" t="str">
        <f aca="false">Scoring!BG309</f>
        <v/>
      </c>
      <c r="I303" s="140" t="str">
        <f aca="false">Scoring!BF309</f>
        <v/>
      </c>
    </row>
    <row r="304" customFormat="false" ht="15.75" hidden="false" customHeight="false" outlineLevel="0" collapsed="false">
      <c r="A304" s="138" t="str">
        <f aca="false">Scoring!BI310</f>
        <v/>
      </c>
      <c r="B304" s="138" t="str">
        <f aca="false">Scoring!BH310</f>
        <v/>
      </c>
      <c r="C304" s="138" t="n">
        <f aca="false">Scoring!C310</f>
        <v>0</v>
      </c>
      <c r="D304" s="139" t="str">
        <f aca="false">Scoring!BE310</f>
        <v/>
      </c>
      <c r="E304" s="138" t="str">
        <f aca="false">Scoring!AJ310</f>
        <v/>
      </c>
      <c r="F304" s="138" t="n">
        <f aca="false">Scoring!B310</f>
        <v>0</v>
      </c>
      <c r="G304" s="138" t="n">
        <f aca="false">Scoring!D310</f>
        <v>0</v>
      </c>
      <c r="H304" s="138" t="str">
        <f aca="false">Scoring!BG310</f>
        <v/>
      </c>
      <c r="I304" s="140" t="str">
        <f aca="false">Scoring!BF310</f>
        <v/>
      </c>
    </row>
    <row r="305" customFormat="false" ht="15.75" hidden="false" customHeight="false" outlineLevel="0" collapsed="false">
      <c r="A305" s="138" t="str">
        <f aca="false">Scoring!BI311</f>
        <v/>
      </c>
      <c r="B305" s="138" t="str">
        <f aca="false">Scoring!BH311</f>
        <v/>
      </c>
      <c r="C305" s="138" t="n">
        <f aca="false">Scoring!C311</f>
        <v>0</v>
      </c>
      <c r="D305" s="139" t="str">
        <f aca="false">Scoring!BE311</f>
        <v/>
      </c>
      <c r="E305" s="138" t="str">
        <f aca="false">Scoring!AJ311</f>
        <v/>
      </c>
      <c r="F305" s="138" t="n">
        <f aca="false">Scoring!B311</f>
        <v>0</v>
      </c>
      <c r="G305" s="138" t="n">
        <f aca="false">Scoring!D311</f>
        <v>0</v>
      </c>
      <c r="H305" s="138" t="str">
        <f aca="false">Scoring!BG311</f>
        <v/>
      </c>
      <c r="I305" s="140" t="str">
        <f aca="false">Scoring!BF311</f>
        <v/>
      </c>
    </row>
    <row r="306" customFormat="false" ht="15.75" hidden="false" customHeight="false" outlineLevel="0" collapsed="false">
      <c r="A306" s="138" t="str">
        <f aca="false">Scoring!BI312</f>
        <v/>
      </c>
      <c r="B306" s="138" t="str">
        <f aca="false">Scoring!BH312</f>
        <v/>
      </c>
      <c r="C306" s="138" t="n">
        <f aca="false">Scoring!C312</f>
        <v>0</v>
      </c>
      <c r="D306" s="139" t="str">
        <f aca="false">Scoring!BE312</f>
        <v/>
      </c>
      <c r="E306" s="138" t="str">
        <f aca="false">Scoring!AJ312</f>
        <v/>
      </c>
      <c r="F306" s="138" t="n">
        <f aca="false">Scoring!B312</f>
        <v>0</v>
      </c>
      <c r="G306" s="138" t="n">
        <f aca="false">Scoring!D312</f>
        <v>0</v>
      </c>
      <c r="H306" s="138" t="str">
        <f aca="false">Scoring!BG312</f>
        <v/>
      </c>
      <c r="I306" s="140" t="str">
        <f aca="false">Scoring!BF312</f>
        <v/>
      </c>
    </row>
    <row r="307" customFormat="false" ht="15.75" hidden="false" customHeight="false" outlineLevel="0" collapsed="false">
      <c r="A307" s="138" t="str">
        <f aca="false">Scoring!BI313</f>
        <v/>
      </c>
      <c r="B307" s="138" t="str">
        <f aca="false">Scoring!BH313</f>
        <v/>
      </c>
      <c r="C307" s="138" t="n">
        <f aca="false">Scoring!C313</f>
        <v>0</v>
      </c>
      <c r="D307" s="139" t="str">
        <f aca="false">Scoring!BE313</f>
        <v/>
      </c>
      <c r="E307" s="138" t="str">
        <f aca="false">Scoring!AJ313</f>
        <v/>
      </c>
      <c r="F307" s="138" t="n">
        <f aca="false">Scoring!B313</f>
        <v>0</v>
      </c>
      <c r="G307" s="138" t="n">
        <f aca="false">Scoring!D313</f>
        <v>0</v>
      </c>
      <c r="H307" s="138" t="str">
        <f aca="false">Scoring!BG313</f>
        <v/>
      </c>
      <c r="I307" s="140" t="str">
        <f aca="false">Scoring!BF313</f>
        <v/>
      </c>
    </row>
    <row r="308" customFormat="false" ht="15.75" hidden="false" customHeight="false" outlineLevel="0" collapsed="false">
      <c r="A308" s="138" t="str">
        <f aca="false">Scoring!BI314</f>
        <v/>
      </c>
      <c r="B308" s="138" t="str">
        <f aca="false">Scoring!BH314</f>
        <v/>
      </c>
      <c r="C308" s="138" t="n">
        <f aca="false">Scoring!C314</f>
        <v>0</v>
      </c>
      <c r="D308" s="139" t="str">
        <f aca="false">Scoring!BE314</f>
        <v/>
      </c>
      <c r="E308" s="138" t="str">
        <f aca="false">Scoring!AJ314</f>
        <v/>
      </c>
      <c r="F308" s="138" t="n">
        <f aca="false">Scoring!B314</f>
        <v>0</v>
      </c>
      <c r="G308" s="138" t="n">
        <f aca="false">Scoring!D314</f>
        <v>0</v>
      </c>
      <c r="H308" s="138" t="str">
        <f aca="false">Scoring!BG314</f>
        <v/>
      </c>
      <c r="I308" s="140" t="str">
        <f aca="false">Scoring!BF314</f>
        <v/>
      </c>
    </row>
    <row r="309" customFormat="false" ht="15.75" hidden="false" customHeight="false" outlineLevel="0" collapsed="false">
      <c r="A309" s="138" t="str">
        <f aca="false">Scoring!BI315</f>
        <v/>
      </c>
      <c r="B309" s="138" t="str">
        <f aca="false">Scoring!BH315</f>
        <v/>
      </c>
      <c r="C309" s="138" t="n">
        <f aca="false">Scoring!C315</f>
        <v>0</v>
      </c>
      <c r="D309" s="139" t="str">
        <f aca="false">Scoring!BE315</f>
        <v/>
      </c>
      <c r="E309" s="138" t="str">
        <f aca="false">Scoring!AJ315</f>
        <v/>
      </c>
      <c r="F309" s="138" t="n">
        <f aca="false">Scoring!B315</f>
        <v>0</v>
      </c>
      <c r="G309" s="138" t="n">
        <f aca="false">Scoring!D315</f>
        <v>0</v>
      </c>
      <c r="H309" s="138" t="str">
        <f aca="false">Scoring!BG315</f>
        <v/>
      </c>
      <c r="I309" s="140" t="str">
        <f aca="false">Scoring!BF315</f>
        <v/>
      </c>
    </row>
    <row r="310" customFormat="false" ht="15.75" hidden="false" customHeight="false" outlineLevel="0" collapsed="false">
      <c r="A310" s="138" t="str">
        <f aca="false">Scoring!BI316</f>
        <v/>
      </c>
      <c r="B310" s="138" t="str">
        <f aca="false">Scoring!BH316</f>
        <v/>
      </c>
      <c r="C310" s="138" t="n">
        <f aca="false">Scoring!C316</f>
        <v>0</v>
      </c>
      <c r="D310" s="139" t="str">
        <f aca="false">Scoring!BE316</f>
        <v/>
      </c>
      <c r="E310" s="138" t="str">
        <f aca="false">Scoring!AJ316</f>
        <v/>
      </c>
      <c r="F310" s="138" t="n">
        <f aca="false">Scoring!B316</f>
        <v>0</v>
      </c>
      <c r="G310" s="138" t="n">
        <f aca="false">Scoring!D316</f>
        <v>0</v>
      </c>
      <c r="H310" s="138" t="str">
        <f aca="false">Scoring!BG316</f>
        <v/>
      </c>
      <c r="I310" s="140" t="str">
        <f aca="false">Scoring!BF316</f>
        <v/>
      </c>
    </row>
    <row r="311" customFormat="false" ht="15.75" hidden="false" customHeight="false" outlineLevel="0" collapsed="false">
      <c r="A311" s="138" t="str">
        <f aca="false">Scoring!BI317</f>
        <v/>
      </c>
      <c r="B311" s="138" t="str">
        <f aca="false">Scoring!BH317</f>
        <v/>
      </c>
      <c r="C311" s="138" t="n">
        <f aca="false">Scoring!C317</f>
        <v>0</v>
      </c>
      <c r="D311" s="139" t="str">
        <f aca="false">Scoring!BE317</f>
        <v/>
      </c>
      <c r="E311" s="138" t="str">
        <f aca="false">Scoring!AJ317</f>
        <v/>
      </c>
      <c r="F311" s="138" t="n">
        <f aca="false">Scoring!B317</f>
        <v>0</v>
      </c>
      <c r="G311" s="138" t="n">
        <f aca="false">Scoring!D317</f>
        <v>0</v>
      </c>
      <c r="H311" s="138" t="str">
        <f aca="false">Scoring!BG317</f>
        <v/>
      </c>
      <c r="I311" s="140" t="str">
        <f aca="false">Scoring!BF317</f>
        <v/>
      </c>
    </row>
    <row r="312" customFormat="false" ht="15.75" hidden="false" customHeight="false" outlineLevel="0" collapsed="false">
      <c r="A312" s="138" t="str">
        <f aca="false">Scoring!BI318</f>
        <v/>
      </c>
      <c r="B312" s="138" t="str">
        <f aca="false">Scoring!BH318</f>
        <v/>
      </c>
      <c r="C312" s="138" t="n">
        <f aca="false">Scoring!C318</f>
        <v>0</v>
      </c>
      <c r="D312" s="139" t="str">
        <f aca="false">Scoring!BE318</f>
        <v/>
      </c>
      <c r="E312" s="138" t="str">
        <f aca="false">Scoring!AJ318</f>
        <v/>
      </c>
      <c r="F312" s="138" t="n">
        <f aca="false">Scoring!B318</f>
        <v>0</v>
      </c>
      <c r="G312" s="138" t="n">
        <f aca="false">Scoring!D318</f>
        <v>0</v>
      </c>
      <c r="H312" s="138" t="str">
        <f aca="false">Scoring!BG318</f>
        <v/>
      </c>
      <c r="I312" s="140" t="str">
        <f aca="false">Scoring!BF318</f>
        <v/>
      </c>
    </row>
    <row r="313" customFormat="false" ht="15.75" hidden="false" customHeight="false" outlineLevel="0" collapsed="false">
      <c r="A313" s="138" t="str">
        <f aca="false">Scoring!BI319</f>
        <v/>
      </c>
      <c r="B313" s="138" t="str">
        <f aca="false">Scoring!BH319</f>
        <v/>
      </c>
      <c r="C313" s="138" t="n">
        <f aca="false">Scoring!C319</f>
        <v>0</v>
      </c>
      <c r="D313" s="139" t="str">
        <f aca="false">Scoring!BE319</f>
        <v/>
      </c>
      <c r="E313" s="138" t="str">
        <f aca="false">Scoring!AJ319</f>
        <v/>
      </c>
      <c r="F313" s="138" t="n">
        <f aca="false">Scoring!B319</f>
        <v>0</v>
      </c>
      <c r="G313" s="138" t="n">
        <f aca="false">Scoring!D319</f>
        <v>0</v>
      </c>
      <c r="H313" s="138" t="str">
        <f aca="false">Scoring!BG319</f>
        <v/>
      </c>
      <c r="I313" s="140" t="str">
        <f aca="false">Scoring!BF319</f>
        <v/>
      </c>
    </row>
    <row r="314" customFormat="false" ht="15.75" hidden="false" customHeight="false" outlineLevel="0" collapsed="false">
      <c r="A314" s="138" t="str">
        <f aca="false">Scoring!BI320</f>
        <v/>
      </c>
      <c r="B314" s="138" t="str">
        <f aca="false">Scoring!BH320</f>
        <v/>
      </c>
      <c r="C314" s="138" t="n">
        <f aca="false">Scoring!C320</f>
        <v>0</v>
      </c>
      <c r="D314" s="139" t="str">
        <f aca="false">Scoring!BE320</f>
        <v/>
      </c>
      <c r="E314" s="138" t="str">
        <f aca="false">Scoring!AJ320</f>
        <v/>
      </c>
      <c r="F314" s="138" t="n">
        <f aca="false">Scoring!B320</f>
        <v>0</v>
      </c>
      <c r="G314" s="138" t="n">
        <f aca="false">Scoring!D320</f>
        <v>0</v>
      </c>
      <c r="H314" s="138" t="str">
        <f aca="false">Scoring!BG320</f>
        <v/>
      </c>
      <c r="I314" s="140" t="str">
        <f aca="false">Scoring!BF320</f>
        <v/>
      </c>
    </row>
    <row r="315" customFormat="false" ht="15.75" hidden="false" customHeight="false" outlineLevel="0" collapsed="false">
      <c r="A315" s="138" t="str">
        <f aca="false">Scoring!BI321</f>
        <v/>
      </c>
      <c r="B315" s="138" t="str">
        <f aca="false">Scoring!BH321</f>
        <v/>
      </c>
      <c r="C315" s="138" t="n">
        <f aca="false">Scoring!C321</f>
        <v>0</v>
      </c>
      <c r="D315" s="139" t="str">
        <f aca="false">Scoring!BE321</f>
        <v/>
      </c>
      <c r="E315" s="138" t="str">
        <f aca="false">Scoring!AJ321</f>
        <v/>
      </c>
      <c r="F315" s="138" t="n">
        <f aca="false">Scoring!B321</f>
        <v>0</v>
      </c>
      <c r="G315" s="138" t="n">
        <f aca="false">Scoring!D321</f>
        <v>0</v>
      </c>
      <c r="H315" s="138" t="str">
        <f aca="false">Scoring!BG321</f>
        <v/>
      </c>
      <c r="I315" s="140" t="str">
        <f aca="false">Scoring!BF321</f>
        <v/>
      </c>
    </row>
    <row r="316" customFormat="false" ht="15.75" hidden="false" customHeight="false" outlineLevel="0" collapsed="false">
      <c r="A316" s="138" t="str">
        <f aca="false">Scoring!BI322</f>
        <v/>
      </c>
      <c r="B316" s="138" t="str">
        <f aca="false">Scoring!BH322</f>
        <v/>
      </c>
      <c r="C316" s="138" t="n">
        <f aca="false">Scoring!C322</f>
        <v>0</v>
      </c>
      <c r="D316" s="139" t="str">
        <f aca="false">Scoring!BE322</f>
        <v/>
      </c>
      <c r="E316" s="138" t="str">
        <f aca="false">Scoring!AJ322</f>
        <v/>
      </c>
      <c r="F316" s="138" t="n">
        <f aca="false">Scoring!B322</f>
        <v>0</v>
      </c>
      <c r="G316" s="138" t="n">
        <f aca="false">Scoring!D322</f>
        <v>0</v>
      </c>
      <c r="H316" s="138" t="str">
        <f aca="false">Scoring!BG322</f>
        <v/>
      </c>
      <c r="I316" s="140" t="str">
        <f aca="false">Scoring!BF322</f>
        <v/>
      </c>
    </row>
    <row r="317" customFormat="false" ht="15.75" hidden="false" customHeight="false" outlineLevel="0" collapsed="false">
      <c r="A317" s="138" t="str">
        <f aca="false">Scoring!BI323</f>
        <v/>
      </c>
      <c r="B317" s="138" t="str">
        <f aca="false">Scoring!BH323</f>
        <v/>
      </c>
      <c r="C317" s="138" t="n">
        <f aca="false">Scoring!C323</f>
        <v>0</v>
      </c>
      <c r="D317" s="139" t="str">
        <f aca="false">Scoring!BE323</f>
        <v/>
      </c>
      <c r="E317" s="138" t="str">
        <f aca="false">Scoring!AJ323</f>
        <v/>
      </c>
      <c r="F317" s="138" t="n">
        <f aca="false">Scoring!B323</f>
        <v>0</v>
      </c>
      <c r="G317" s="138" t="n">
        <f aca="false">Scoring!D323</f>
        <v>0</v>
      </c>
      <c r="H317" s="138" t="str">
        <f aca="false">Scoring!BG323</f>
        <v/>
      </c>
      <c r="I317" s="140" t="str">
        <f aca="false">Scoring!BF323</f>
        <v/>
      </c>
    </row>
    <row r="318" customFormat="false" ht="15.75" hidden="false" customHeight="false" outlineLevel="0" collapsed="false">
      <c r="A318" s="138" t="str">
        <f aca="false">Scoring!BI324</f>
        <v/>
      </c>
      <c r="B318" s="138" t="str">
        <f aca="false">Scoring!BH324</f>
        <v/>
      </c>
      <c r="C318" s="138" t="n">
        <f aca="false">Scoring!C324</f>
        <v>0</v>
      </c>
      <c r="D318" s="139" t="str">
        <f aca="false">Scoring!BE324</f>
        <v/>
      </c>
      <c r="E318" s="138" t="str">
        <f aca="false">Scoring!AJ324</f>
        <v/>
      </c>
      <c r="F318" s="138" t="n">
        <f aca="false">Scoring!B324</f>
        <v>0</v>
      </c>
      <c r="G318" s="138" t="n">
        <f aca="false">Scoring!D324</f>
        <v>0</v>
      </c>
      <c r="H318" s="138" t="str">
        <f aca="false">Scoring!BG324</f>
        <v/>
      </c>
      <c r="I318" s="140" t="str">
        <f aca="false">Scoring!BF324</f>
        <v/>
      </c>
    </row>
    <row r="319" customFormat="false" ht="15.75" hidden="false" customHeight="false" outlineLevel="0" collapsed="false">
      <c r="A319" s="138" t="str">
        <f aca="false">Scoring!BI325</f>
        <v/>
      </c>
      <c r="B319" s="138" t="str">
        <f aca="false">Scoring!BH325</f>
        <v/>
      </c>
      <c r="C319" s="138" t="n">
        <f aca="false">Scoring!C325</f>
        <v>0</v>
      </c>
      <c r="D319" s="139" t="str">
        <f aca="false">Scoring!BE325</f>
        <v/>
      </c>
      <c r="E319" s="138" t="str">
        <f aca="false">Scoring!AJ325</f>
        <v/>
      </c>
      <c r="F319" s="138" t="n">
        <f aca="false">Scoring!B325</f>
        <v>0</v>
      </c>
      <c r="G319" s="138" t="n">
        <f aca="false">Scoring!D325</f>
        <v>0</v>
      </c>
      <c r="H319" s="138" t="str">
        <f aca="false">Scoring!BG325</f>
        <v/>
      </c>
      <c r="I319" s="140" t="str">
        <f aca="false">Scoring!BF325</f>
        <v/>
      </c>
    </row>
    <row r="320" customFormat="false" ht="15.75" hidden="false" customHeight="false" outlineLevel="0" collapsed="false">
      <c r="A320" s="138" t="str">
        <f aca="false">Scoring!BI326</f>
        <v/>
      </c>
      <c r="B320" s="138" t="str">
        <f aca="false">Scoring!BH326</f>
        <v/>
      </c>
      <c r="C320" s="138" t="n">
        <f aca="false">Scoring!C326</f>
        <v>0</v>
      </c>
      <c r="D320" s="139" t="str">
        <f aca="false">Scoring!BE326</f>
        <v/>
      </c>
      <c r="E320" s="138" t="str">
        <f aca="false">Scoring!AJ326</f>
        <v/>
      </c>
      <c r="F320" s="138" t="n">
        <f aca="false">Scoring!B326</f>
        <v>0</v>
      </c>
      <c r="G320" s="138" t="n">
        <f aca="false">Scoring!D326</f>
        <v>0</v>
      </c>
      <c r="H320" s="138" t="str">
        <f aca="false">Scoring!BG326</f>
        <v/>
      </c>
      <c r="I320" s="140" t="str">
        <f aca="false">Scoring!BF326</f>
        <v/>
      </c>
    </row>
    <row r="321" customFormat="false" ht="15.75" hidden="false" customHeight="false" outlineLevel="0" collapsed="false">
      <c r="A321" s="138" t="str">
        <f aca="false">Scoring!BI327</f>
        <v/>
      </c>
      <c r="B321" s="138" t="str">
        <f aca="false">Scoring!BH327</f>
        <v/>
      </c>
      <c r="C321" s="138" t="n">
        <f aca="false">Scoring!C327</f>
        <v>0</v>
      </c>
      <c r="D321" s="139" t="str">
        <f aca="false">Scoring!BE327</f>
        <v/>
      </c>
      <c r="E321" s="138" t="str">
        <f aca="false">Scoring!AJ327</f>
        <v/>
      </c>
      <c r="F321" s="138" t="n">
        <f aca="false">Scoring!B327</f>
        <v>0</v>
      </c>
      <c r="G321" s="138" t="n">
        <f aca="false">Scoring!D327</f>
        <v>0</v>
      </c>
      <c r="H321" s="138" t="str">
        <f aca="false">Scoring!BG327</f>
        <v/>
      </c>
      <c r="I321" s="140" t="str">
        <f aca="false">Scoring!BF327</f>
        <v/>
      </c>
    </row>
    <row r="322" customFormat="false" ht="15.75" hidden="false" customHeight="false" outlineLevel="0" collapsed="false">
      <c r="A322" s="138" t="str">
        <f aca="false">Scoring!BI328</f>
        <v/>
      </c>
      <c r="B322" s="138" t="str">
        <f aca="false">Scoring!BH328</f>
        <v/>
      </c>
      <c r="C322" s="138" t="n">
        <f aca="false">Scoring!C328</f>
        <v>0</v>
      </c>
      <c r="D322" s="139" t="str">
        <f aca="false">Scoring!BE328</f>
        <v/>
      </c>
      <c r="E322" s="138" t="str">
        <f aca="false">Scoring!AJ328</f>
        <v/>
      </c>
      <c r="F322" s="138" t="n">
        <f aca="false">Scoring!B328</f>
        <v>0</v>
      </c>
      <c r="G322" s="138" t="n">
        <f aca="false">Scoring!D328</f>
        <v>0</v>
      </c>
      <c r="H322" s="138" t="str">
        <f aca="false">Scoring!BG328</f>
        <v/>
      </c>
      <c r="I322" s="140" t="str">
        <f aca="false">Scoring!BF328</f>
        <v/>
      </c>
    </row>
    <row r="323" customFormat="false" ht="15.75" hidden="false" customHeight="false" outlineLevel="0" collapsed="false">
      <c r="A323" s="138" t="str">
        <f aca="false">Scoring!BI329</f>
        <v/>
      </c>
      <c r="B323" s="138" t="str">
        <f aca="false">Scoring!BH329</f>
        <v/>
      </c>
      <c r="C323" s="138" t="n">
        <f aca="false">Scoring!C329</f>
        <v>0</v>
      </c>
      <c r="D323" s="139" t="str">
        <f aca="false">Scoring!BE329</f>
        <v/>
      </c>
      <c r="E323" s="138" t="str">
        <f aca="false">Scoring!AJ329</f>
        <v/>
      </c>
      <c r="F323" s="138" t="n">
        <f aca="false">Scoring!B329</f>
        <v>0</v>
      </c>
      <c r="G323" s="138" t="n">
        <f aca="false">Scoring!D329</f>
        <v>0</v>
      </c>
      <c r="H323" s="138" t="str">
        <f aca="false">Scoring!BG329</f>
        <v/>
      </c>
      <c r="I323" s="140" t="str">
        <f aca="false">Scoring!BF329</f>
        <v/>
      </c>
    </row>
    <row r="324" customFormat="false" ht="15.75" hidden="false" customHeight="false" outlineLevel="0" collapsed="false">
      <c r="A324" s="138" t="str">
        <f aca="false">Scoring!BI330</f>
        <v/>
      </c>
      <c r="B324" s="138" t="str">
        <f aca="false">Scoring!BH330</f>
        <v/>
      </c>
      <c r="C324" s="138" t="n">
        <f aca="false">Scoring!C330</f>
        <v>0</v>
      </c>
      <c r="D324" s="139" t="str">
        <f aca="false">Scoring!BE330</f>
        <v/>
      </c>
      <c r="E324" s="138" t="str">
        <f aca="false">Scoring!AJ330</f>
        <v/>
      </c>
      <c r="F324" s="138" t="n">
        <f aca="false">Scoring!B330</f>
        <v>0</v>
      </c>
      <c r="G324" s="138" t="n">
        <f aca="false">Scoring!D330</f>
        <v>0</v>
      </c>
      <c r="H324" s="138" t="str">
        <f aca="false">Scoring!BG330</f>
        <v/>
      </c>
      <c r="I324" s="140" t="str">
        <f aca="false">Scoring!BF330</f>
        <v/>
      </c>
    </row>
    <row r="325" customFormat="false" ht="15.75" hidden="false" customHeight="false" outlineLevel="0" collapsed="false">
      <c r="A325" s="138" t="str">
        <f aca="false">Scoring!BI331</f>
        <v/>
      </c>
      <c r="B325" s="138" t="str">
        <f aca="false">Scoring!BH331</f>
        <v/>
      </c>
      <c r="C325" s="138" t="n">
        <f aca="false">Scoring!C331</f>
        <v>0</v>
      </c>
      <c r="D325" s="139" t="str">
        <f aca="false">Scoring!BE331</f>
        <v/>
      </c>
      <c r="E325" s="138" t="str">
        <f aca="false">Scoring!AJ331</f>
        <v/>
      </c>
      <c r="F325" s="138" t="n">
        <f aca="false">Scoring!B331</f>
        <v>0</v>
      </c>
      <c r="G325" s="138" t="n">
        <f aca="false">Scoring!D331</f>
        <v>0</v>
      </c>
      <c r="H325" s="138" t="str">
        <f aca="false">Scoring!BG331</f>
        <v/>
      </c>
      <c r="I325" s="140" t="str">
        <f aca="false">Scoring!BF331</f>
        <v/>
      </c>
    </row>
    <row r="326" customFormat="false" ht="15.75" hidden="false" customHeight="false" outlineLevel="0" collapsed="false">
      <c r="A326" s="138" t="str">
        <f aca="false">Scoring!BI332</f>
        <v/>
      </c>
      <c r="B326" s="138" t="str">
        <f aca="false">Scoring!BH332</f>
        <v/>
      </c>
      <c r="C326" s="138" t="n">
        <f aca="false">Scoring!C332</f>
        <v>0</v>
      </c>
      <c r="D326" s="139" t="str">
        <f aca="false">Scoring!BE332</f>
        <v/>
      </c>
      <c r="E326" s="138" t="str">
        <f aca="false">Scoring!AJ332</f>
        <v/>
      </c>
      <c r="F326" s="138" t="n">
        <f aca="false">Scoring!B332</f>
        <v>0</v>
      </c>
      <c r="G326" s="138" t="n">
        <f aca="false">Scoring!D332</f>
        <v>0</v>
      </c>
      <c r="H326" s="138" t="str">
        <f aca="false">Scoring!BG332</f>
        <v/>
      </c>
      <c r="I326" s="140" t="str">
        <f aca="false">Scoring!BF332</f>
        <v/>
      </c>
    </row>
    <row r="327" customFormat="false" ht="15.75" hidden="false" customHeight="false" outlineLevel="0" collapsed="false">
      <c r="A327" s="138" t="str">
        <f aca="false">Scoring!BI333</f>
        <v/>
      </c>
      <c r="B327" s="138" t="str">
        <f aca="false">Scoring!BH333</f>
        <v/>
      </c>
      <c r="C327" s="138" t="n">
        <f aca="false">Scoring!C333</f>
        <v>0</v>
      </c>
      <c r="D327" s="139" t="str">
        <f aca="false">Scoring!BE333</f>
        <v/>
      </c>
      <c r="E327" s="138" t="str">
        <f aca="false">Scoring!AJ333</f>
        <v/>
      </c>
      <c r="F327" s="138" t="n">
        <f aca="false">Scoring!B333</f>
        <v>0</v>
      </c>
      <c r="G327" s="138" t="n">
        <f aca="false">Scoring!D333</f>
        <v>0</v>
      </c>
      <c r="H327" s="138" t="str">
        <f aca="false">Scoring!BG333</f>
        <v/>
      </c>
      <c r="I327" s="140" t="str">
        <f aca="false">Scoring!BF333</f>
        <v/>
      </c>
    </row>
    <row r="328" customFormat="false" ht="15.75" hidden="false" customHeight="false" outlineLevel="0" collapsed="false">
      <c r="A328" s="138" t="str">
        <f aca="false">Scoring!BI334</f>
        <v/>
      </c>
      <c r="B328" s="138" t="str">
        <f aca="false">Scoring!BH334</f>
        <v/>
      </c>
      <c r="C328" s="138" t="n">
        <f aca="false">Scoring!C334</f>
        <v>0</v>
      </c>
      <c r="D328" s="139" t="str">
        <f aca="false">Scoring!BE334</f>
        <v/>
      </c>
      <c r="E328" s="138" t="str">
        <f aca="false">Scoring!AJ334</f>
        <v/>
      </c>
      <c r="F328" s="138" t="n">
        <f aca="false">Scoring!B334</f>
        <v>0</v>
      </c>
      <c r="G328" s="138" t="n">
        <f aca="false">Scoring!D334</f>
        <v>0</v>
      </c>
      <c r="H328" s="138" t="str">
        <f aca="false">Scoring!BG334</f>
        <v/>
      </c>
      <c r="I328" s="140" t="str">
        <f aca="false">Scoring!BF334</f>
        <v/>
      </c>
    </row>
    <row r="329" customFormat="false" ht="15.75" hidden="false" customHeight="false" outlineLevel="0" collapsed="false">
      <c r="A329" s="138" t="str">
        <f aca="false">Scoring!BI335</f>
        <v/>
      </c>
      <c r="B329" s="138" t="str">
        <f aca="false">Scoring!BH335</f>
        <v/>
      </c>
      <c r="C329" s="138" t="n">
        <f aca="false">Scoring!C335</f>
        <v>0</v>
      </c>
      <c r="D329" s="139" t="str">
        <f aca="false">Scoring!BE335</f>
        <v/>
      </c>
      <c r="E329" s="138" t="str">
        <f aca="false">Scoring!AJ335</f>
        <v/>
      </c>
      <c r="F329" s="138" t="n">
        <f aca="false">Scoring!B335</f>
        <v>0</v>
      </c>
      <c r="G329" s="138" t="n">
        <f aca="false">Scoring!D335</f>
        <v>0</v>
      </c>
      <c r="H329" s="138" t="str">
        <f aca="false">Scoring!BG335</f>
        <v/>
      </c>
      <c r="I329" s="140" t="str">
        <f aca="false">Scoring!BF335</f>
        <v/>
      </c>
    </row>
    <row r="330" customFormat="false" ht="15.75" hidden="false" customHeight="false" outlineLevel="0" collapsed="false">
      <c r="A330" s="138" t="str">
        <f aca="false">Scoring!BI336</f>
        <v/>
      </c>
      <c r="B330" s="138" t="str">
        <f aca="false">Scoring!BH336</f>
        <v/>
      </c>
      <c r="C330" s="138" t="n">
        <f aca="false">Scoring!C336</f>
        <v>0</v>
      </c>
      <c r="D330" s="139" t="str">
        <f aca="false">Scoring!BE336</f>
        <v/>
      </c>
      <c r="E330" s="138" t="str">
        <f aca="false">Scoring!AJ336</f>
        <v/>
      </c>
      <c r="F330" s="138" t="n">
        <f aca="false">Scoring!B336</f>
        <v>0</v>
      </c>
      <c r="G330" s="138" t="n">
        <f aca="false">Scoring!D336</f>
        <v>0</v>
      </c>
      <c r="H330" s="138" t="str">
        <f aca="false">Scoring!BG336</f>
        <v/>
      </c>
      <c r="I330" s="140" t="str">
        <f aca="false">Scoring!BF336</f>
        <v/>
      </c>
    </row>
    <row r="331" customFormat="false" ht="15.75" hidden="false" customHeight="false" outlineLevel="0" collapsed="false">
      <c r="A331" s="138" t="str">
        <f aca="false">Scoring!BI337</f>
        <v/>
      </c>
      <c r="B331" s="138" t="str">
        <f aca="false">Scoring!BH337</f>
        <v/>
      </c>
      <c r="C331" s="138" t="n">
        <f aca="false">Scoring!C337</f>
        <v>0</v>
      </c>
      <c r="D331" s="139" t="str">
        <f aca="false">Scoring!BE337</f>
        <v/>
      </c>
      <c r="E331" s="138" t="str">
        <f aca="false">Scoring!AJ337</f>
        <v/>
      </c>
      <c r="F331" s="138" t="n">
        <f aca="false">Scoring!B337</f>
        <v>0</v>
      </c>
      <c r="G331" s="138" t="n">
        <f aca="false">Scoring!D337</f>
        <v>0</v>
      </c>
      <c r="H331" s="138" t="str">
        <f aca="false">Scoring!BG337</f>
        <v/>
      </c>
      <c r="I331" s="140" t="str">
        <f aca="false">Scoring!BF337</f>
        <v/>
      </c>
    </row>
    <row r="332" customFormat="false" ht="15.75" hidden="false" customHeight="false" outlineLevel="0" collapsed="false">
      <c r="A332" s="138" t="str">
        <f aca="false">Scoring!BI338</f>
        <v/>
      </c>
      <c r="B332" s="138" t="str">
        <f aca="false">Scoring!BH338</f>
        <v/>
      </c>
      <c r="C332" s="138" t="n">
        <f aca="false">Scoring!C338</f>
        <v>0</v>
      </c>
      <c r="D332" s="139" t="str">
        <f aca="false">Scoring!BE338</f>
        <v/>
      </c>
      <c r="E332" s="138" t="str">
        <f aca="false">Scoring!AJ338</f>
        <v/>
      </c>
      <c r="F332" s="138" t="n">
        <f aca="false">Scoring!B338</f>
        <v>0</v>
      </c>
      <c r="G332" s="138" t="n">
        <f aca="false">Scoring!D338</f>
        <v>0</v>
      </c>
      <c r="H332" s="138" t="str">
        <f aca="false">Scoring!BG338</f>
        <v/>
      </c>
      <c r="I332" s="140" t="str">
        <f aca="false">Scoring!BF338</f>
        <v/>
      </c>
    </row>
    <row r="333" customFormat="false" ht="15.75" hidden="false" customHeight="false" outlineLevel="0" collapsed="false">
      <c r="A333" s="138" t="str">
        <f aca="false">Scoring!BI339</f>
        <v/>
      </c>
      <c r="B333" s="138" t="str">
        <f aca="false">Scoring!BH339</f>
        <v/>
      </c>
      <c r="C333" s="138" t="n">
        <f aca="false">Scoring!C339</f>
        <v>0</v>
      </c>
      <c r="D333" s="139" t="str">
        <f aca="false">Scoring!BE339</f>
        <v/>
      </c>
      <c r="E333" s="138" t="str">
        <f aca="false">Scoring!AJ339</f>
        <v/>
      </c>
      <c r="F333" s="138" t="n">
        <f aca="false">Scoring!B339</f>
        <v>0</v>
      </c>
      <c r="G333" s="138" t="n">
        <f aca="false">Scoring!D339</f>
        <v>0</v>
      </c>
      <c r="H333" s="138" t="str">
        <f aca="false">Scoring!BG339</f>
        <v/>
      </c>
      <c r="I333" s="140" t="str">
        <f aca="false">Scoring!BF339</f>
        <v/>
      </c>
    </row>
    <row r="334" customFormat="false" ht="15.75" hidden="false" customHeight="false" outlineLevel="0" collapsed="false">
      <c r="A334" s="138" t="str">
        <f aca="false">Scoring!BI340</f>
        <v/>
      </c>
      <c r="B334" s="138" t="str">
        <f aca="false">Scoring!BH340</f>
        <v/>
      </c>
      <c r="C334" s="138" t="n">
        <f aca="false">Scoring!C340</f>
        <v>0</v>
      </c>
      <c r="D334" s="139" t="str">
        <f aca="false">Scoring!BE340</f>
        <v/>
      </c>
      <c r="E334" s="138" t="str">
        <f aca="false">Scoring!AJ340</f>
        <v/>
      </c>
      <c r="F334" s="138" t="n">
        <f aca="false">Scoring!B340</f>
        <v>0</v>
      </c>
      <c r="G334" s="138" t="n">
        <f aca="false">Scoring!D340</f>
        <v>0</v>
      </c>
      <c r="H334" s="138" t="str">
        <f aca="false">Scoring!BG340</f>
        <v/>
      </c>
      <c r="I334" s="140" t="str">
        <f aca="false">Scoring!BF340</f>
        <v/>
      </c>
    </row>
    <row r="335" customFormat="false" ht="15.75" hidden="false" customHeight="false" outlineLevel="0" collapsed="false">
      <c r="A335" s="138" t="str">
        <f aca="false">Scoring!BI341</f>
        <v/>
      </c>
      <c r="B335" s="138" t="str">
        <f aca="false">Scoring!BH341</f>
        <v/>
      </c>
      <c r="C335" s="138" t="n">
        <f aca="false">Scoring!C341</f>
        <v>0</v>
      </c>
      <c r="D335" s="139" t="str">
        <f aca="false">Scoring!BE341</f>
        <v/>
      </c>
      <c r="E335" s="138" t="str">
        <f aca="false">Scoring!AJ341</f>
        <v/>
      </c>
      <c r="F335" s="138" t="n">
        <f aca="false">Scoring!B341</f>
        <v>0</v>
      </c>
      <c r="G335" s="138" t="n">
        <f aca="false">Scoring!D341</f>
        <v>0</v>
      </c>
      <c r="H335" s="138" t="str">
        <f aca="false">Scoring!BG341</f>
        <v/>
      </c>
      <c r="I335" s="140" t="str">
        <f aca="false">Scoring!BF341</f>
        <v/>
      </c>
    </row>
    <row r="336" customFormat="false" ht="15.75" hidden="false" customHeight="false" outlineLevel="0" collapsed="false">
      <c r="A336" s="138" t="str">
        <f aca="false">Scoring!BI342</f>
        <v/>
      </c>
      <c r="B336" s="138" t="str">
        <f aca="false">Scoring!BH342</f>
        <v/>
      </c>
      <c r="C336" s="138" t="n">
        <f aca="false">Scoring!C342</f>
        <v>0</v>
      </c>
      <c r="D336" s="139" t="str">
        <f aca="false">Scoring!BE342</f>
        <v/>
      </c>
      <c r="E336" s="138" t="str">
        <f aca="false">Scoring!AJ342</f>
        <v/>
      </c>
      <c r="F336" s="138" t="n">
        <f aca="false">Scoring!B342</f>
        <v>0</v>
      </c>
      <c r="G336" s="138" t="n">
        <f aca="false">Scoring!D342</f>
        <v>0</v>
      </c>
      <c r="H336" s="138" t="str">
        <f aca="false">Scoring!BG342</f>
        <v/>
      </c>
      <c r="I336" s="140" t="str">
        <f aca="false">Scoring!BF342</f>
        <v/>
      </c>
    </row>
    <row r="337" customFormat="false" ht="15.75" hidden="false" customHeight="false" outlineLevel="0" collapsed="false">
      <c r="A337" s="138" t="str">
        <f aca="false">Scoring!BI343</f>
        <v/>
      </c>
      <c r="B337" s="138" t="str">
        <f aca="false">Scoring!BH343</f>
        <v/>
      </c>
      <c r="C337" s="138" t="n">
        <f aca="false">Scoring!C343</f>
        <v>0</v>
      </c>
      <c r="D337" s="139" t="str">
        <f aca="false">Scoring!BE343</f>
        <v/>
      </c>
      <c r="E337" s="138" t="str">
        <f aca="false">Scoring!AJ343</f>
        <v/>
      </c>
      <c r="F337" s="138" t="n">
        <f aca="false">Scoring!B343</f>
        <v>0</v>
      </c>
      <c r="G337" s="138" t="n">
        <f aca="false">Scoring!D343</f>
        <v>0</v>
      </c>
      <c r="H337" s="138" t="str">
        <f aca="false">Scoring!BG343</f>
        <v/>
      </c>
      <c r="I337" s="140" t="str">
        <f aca="false">Scoring!BF343</f>
        <v/>
      </c>
    </row>
    <row r="338" customFormat="false" ht="15.75" hidden="false" customHeight="false" outlineLevel="0" collapsed="false">
      <c r="A338" s="138" t="str">
        <f aca="false">Scoring!BI344</f>
        <v/>
      </c>
      <c r="B338" s="138" t="str">
        <f aca="false">Scoring!BH344</f>
        <v/>
      </c>
      <c r="C338" s="138" t="n">
        <f aca="false">Scoring!C344</f>
        <v>0</v>
      </c>
      <c r="D338" s="139" t="str">
        <f aca="false">Scoring!BE344</f>
        <v/>
      </c>
      <c r="E338" s="138" t="str">
        <f aca="false">Scoring!AJ344</f>
        <v/>
      </c>
      <c r="F338" s="138" t="n">
        <f aca="false">Scoring!B344</f>
        <v>0</v>
      </c>
      <c r="G338" s="138" t="n">
        <f aca="false">Scoring!D344</f>
        <v>0</v>
      </c>
      <c r="H338" s="138" t="str">
        <f aca="false">Scoring!BG344</f>
        <v/>
      </c>
      <c r="I338" s="140" t="str">
        <f aca="false">Scoring!BF344</f>
        <v/>
      </c>
    </row>
    <row r="339" customFormat="false" ht="15.75" hidden="false" customHeight="false" outlineLevel="0" collapsed="false">
      <c r="A339" s="138" t="str">
        <f aca="false">Scoring!BI345</f>
        <v/>
      </c>
      <c r="B339" s="138" t="str">
        <f aca="false">Scoring!BH345</f>
        <v/>
      </c>
      <c r="C339" s="138" t="n">
        <f aca="false">Scoring!C345</f>
        <v>0</v>
      </c>
      <c r="D339" s="139" t="str">
        <f aca="false">Scoring!BE345</f>
        <v/>
      </c>
      <c r="E339" s="138" t="str">
        <f aca="false">Scoring!AJ345</f>
        <v/>
      </c>
      <c r="F339" s="138" t="n">
        <f aca="false">Scoring!B345</f>
        <v>0</v>
      </c>
      <c r="G339" s="138" t="n">
        <f aca="false">Scoring!D345</f>
        <v>0</v>
      </c>
      <c r="H339" s="138" t="str">
        <f aca="false">Scoring!BG345</f>
        <v/>
      </c>
      <c r="I339" s="140" t="str">
        <f aca="false">Scoring!BF345</f>
        <v/>
      </c>
    </row>
    <row r="340" customFormat="false" ht="15.75" hidden="false" customHeight="false" outlineLevel="0" collapsed="false">
      <c r="A340" s="138" t="str">
        <f aca="false">Scoring!BI346</f>
        <v/>
      </c>
      <c r="B340" s="138" t="str">
        <f aca="false">Scoring!BH346</f>
        <v/>
      </c>
      <c r="C340" s="138" t="n">
        <f aca="false">Scoring!C346</f>
        <v>0</v>
      </c>
      <c r="D340" s="139" t="str">
        <f aca="false">Scoring!BE346</f>
        <v/>
      </c>
      <c r="E340" s="138" t="str">
        <f aca="false">Scoring!AJ346</f>
        <v/>
      </c>
      <c r="F340" s="138" t="n">
        <f aca="false">Scoring!B346</f>
        <v>0</v>
      </c>
      <c r="G340" s="138" t="n">
        <f aca="false">Scoring!D346</f>
        <v>0</v>
      </c>
      <c r="H340" s="138" t="str">
        <f aca="false">Scoring!BG346</f>
        <v/>
      </c>
      <c r="I340" s="140" t="str">
        <f aca="false">Scoring!BF346</f>
        <v/>
      </c>
    </row>
    <row r="341" customFormat="false" ht="15.75" hidden="false" customHeight="false" outlineLevel="0" collapsed="false">
      <c r="A341" s="138" t="str">
        <f aca="false">Scoring!BI347</f>
        <v/>
      </c>
      <c r="B341" s="138" t="str">
        <f aca="false">Scoring!BH347</f>
        <v/>
      </c>
      <c r="C341" s="138" t="n">
        <f aca="false">Scoring!C347</f>
        <v>0</v>
      </c>
      <c r="D341" s="139" t="str">
        <f aca="false">Scoring!BE347</f>
        <v/>
      </c>
      <c r="E341" s="138" t="str">
        <f aca="false">Scoring!AJ347</f>
        <v/>
      </c>
      <c r="F341" s="138" t="n">
        <f aca="false">Scoring!B347</f>
        <v>0</v>
      </c>
      <c r="G341" s="138" t="n">
        <f aca="false">Scoring!D347</f>
        <v>0</v>
      </c>
      <c r="H341" s="138" t="str">
        <f aca="false">Scoring!BG347</f>
        <v/>
      </c>
      <c r="I341" s="140" t="str">
        <f aca="false">Scoring!BF347</f>
        <v/>
      </c>
    </row>
    <row r="342" customFormat="false" ht="15.75" hidden="false" customHeight="false" outlineLevel="0" collapsed="false">
      <c r="A342" s="138" t="str">
        <f aca="false">Scoring!BI348</f>
        <v/>
      </c>
      <c r="B342" s="138" t="str">
        <f aca="false">Scoring!BH348</f>
        <v/>
      </c>
      <c r="C342" s="138" t="n">
        <f aca="false">Scoring!C348</f>
        <v>0</v>
      </c>
      <c r="D342" s="139" t="str">
        <f aca="false">Scoring!BE348</f>
        <v/>
      </c>
      <c r="E342" s="138" t="str">
        <f aca="false">Scoring!AJ348</f>
        <v/>
      </c>
      <c r="F342" s="138" t="n">
        <f aca="false">Scoring!B348</f>
        <v>0</v>
      </c>
      <c r="G342" s="138" t="n">
        <f aca="false">Scoring!D348</f>
        <v>0</v>
      </c>
      <c r="H342" s="138" t="str">
        <f aca="false">Scoring!BG348</f>
        <v/>
      </c>
      <c r="I342" s="140" t="str">
        <f aca="false">Scoring!BF348</f>
        <v/>
      </c>
    </row>
    <row r="343" customFormat="false" ht="15.75" hidden="false" customHeight="false" outlineLevel="0" collapsed="false">
      <c r="A343" s="138" t="str">
        <f aca="false">Scoring!BI349</f>
        <v/>
      </c>
      <c r="B343" s="138" t="str">
        <f aca="false">Scoring!BH349</f>
        <v/>
      </c>
      <c r="C343" s="138" t="n">
        <f aca="false">Scoring!C349</f>
        <v>0</v>
      </c>
      <c r="D343" s="139" t="str">
        <f aca="false">Scoring!BE349</f>
        <v/>
      </c>
      <c r="E343" s="138" t="str">
        <f aca="false">Scoring!AJ349</f>
        <v/>
      </c>
      <c r="F343" s="138" t="n">
        <f aca="false">Scoring!B349</f>
        <v>0</v>
      </c>
      <c r="G343" s="138" t="n">
        <f aca="false">Scoring!D349</f>
        <v>0</v>
      </c>
      <c r="H343" s="138" t="str">
        <f aca="false">Scoring!BG349</f>
        <v/>
      </c>
      <c r="I343" s="140" t="str">
        <f aca="false">Scoring!BF349</f>
        <v/>
      </c>
    </row>
    <row r="344" customFormat="false" ht="15.75" hidden="false" customHeight="false" outlineLevel="0" collapsed="false">
      <c r="A344" s="138" t="str">
        <f aca="false">Scoring!BI350</f>
        <v/>
      </c>
      <c r="B344" s="138" t="str">
        <f aca="false">Scoring!BH350</f>
        <v/>
      </c>
      <c r="C344" s="138" t="n">
        <f aca="false">Scoring!C350</f>
        <v>0</v>
      </c>
      <c r="D344" s="139" t="str">
        <f aca="false">Scoring!BE350</f>
        <v/>
      </c>
      <c r="E344" s="138" t="str">
        <f aca="false">Scoring!AJ350</f>
        <v/>
      </c>
      <c r="F344" s="138" t="n">
        <f aca="false">Scoring!B350</f>
        <v>0</v>
      </c>
      <c r="G344" s="138" t="n">
        <f aca="false">Scoring!D350</f>
        <v>0</v>
      </c>
      <c r="H344" s="138" t="str">
        <f aca="false">Scoring!BG350</f>
        <v/>
      </c>
      <c r="I344" s="140" t="str">
        <f aca="false">Scoring!BF350</f>
        <v/>
      </c>
    </row>
    <row r="345" customFormat="false" ht="15.75" hidden="false" customHeight="false" outlineLevel="0" collapsed="false">
      <c r="A345" s="138" t="str">
        <f aca="false">Scoring!BI351</f>
        <v/>
      </c>
      <c r="B345" s="138" t="str">
        <f aca="false">Scoring!BH351</f>
        <v/>
      </c>
      <c r="C345" s="138" t="n">
        <f aca="false">Scoring!C351</f>
        <v>0</v>
      </c>
      <c r="D345" s="139" t="str">
        <f aca="false">Scoring!BE351</f>
        <v/>
      </c>
      <c r="E345" s="138" t="str">
        <f aca="false">Scoring!AJ351</f>
        <v/>
      </c>
      <c r="F345" s="138" t="n">
        <f aca="false">Scoring!B351</f>
        <v>0</v>
      </c>
      <c r="G345" s="138" t="n">
        <f aca="false">Scoring!D351</f>
        <v>0</v>
      </c>
      <c r="H345" s="138" t="str">
        <f aca="false">Scoring!BG351</f>
        <v/>
      </c>
      <c r="I345" s="140" t="str">
        <f aca="false">Scoring!BF351</f>
        <v/>
      </c>
    </row>
    <row r="346" customFormat="false" ht="15.75" hidden="false" customHeight="false" outlineLevel="0" collapsed="false">
      <c r="A346" s="138" t="str">
        <f aca="false">Scoring!BI352</f>
        <v/>
      </c>
      <c r="B346" s="138" t="str">
        <f aca="false">Scoring!BH352</f>
        <v/>
      </c>
      <c r="C346" s="138" t="n">
        <f aca="false">Scoring!C352</f>
        <v>0</v>
      </c>
      <c r="D346" s="139" t="str">
        <f aca="false">Scoring!BE352</f>
        <v/>
      </c>
      <c r="E346" s="138" t="str">
        <f aca="false">Scoring!AJ352</f>
        <v/>
      </c>
      <c r="F346" s="138" t="n">
        <f aca="false">Scoring!B352</f>
        <v>0</v>
      </c>
      <c r="G346" s="138" t="n">
        <f aca="false">Scoring!D352</f>
        <v>0</v>
      </c>
      <c r="H346" s="138" t="str">
        <f aca="false">Scoring!BG352</f>
        <v/>
      </c>
      <c r="I346" s="140" t="str">
        <f aca="false">Scoring!BF352</f>
        <v/>
      </c>
    </row>
    <row r="347" customFormat="false" ht="15.75" hidden="false" customHeight="false" outlineLevel="0" collapsed="false">
      <c r="A347" s="138" t="str">
        <f aca="false">Scoring!BI353</f>
        <v/>
      </c>
      <c r="B347" s="138" t="str">
        <f aca="false">Scoring!BH353</f>
        <v/>
      </c>
      <c r="C347" s="138" t="n">
        <f aca="false">Scoring!C353</f>
        <v>0</v>
      </c>
      <c r="D347" s="139" t="str">
        <f aca="false">Scoring!BE353</f>
        <v/>
      </c>
      <c r="E347" s="138" t="str">
        <f aca="false">Scoring!AJ353</f>
        <v/>
      </c>
      <c r="F347" s="138" t="n">
        <f aca="false">Scoring!B353</f>
        <v>0</v>
      </c>
      <c r="G347" s="138" t="n">
        <f aca="false">Scoring!D353</f>
        <v>0</v>
      </c>
      <c r="H347" s="138" t="str">
        <f aca="false">Scoring!BG353</f>
        <v/>
      </c>
      <c r="I347" s="140" t="str">
        <f aca="false">Scoring!BF353</f>
        <v/>
      </c>
    </row>
    <row r="348" customFormat="false" ht="15.75" hidden="false" customHeight="false" outlineLevel="0" collapsed="false">
      <c r="A348" s="138" t="str">
        <f aca="false">Scoring!BI354</f>
        <v/>
      </c>
      <c r="B348" s="138" t="str">
        <f aca="false">Scoring!BH354</f>
        <v/>
      </c>
      <c r="C348" s="138" t="n">
        <f aca="false">Scoring!C354</f>
        <v>0</v>
      </c>
      <c r="D348" s="139" t="str">
        <f aca="false">Scoring!BE354</f>
        <v/>
      </c>
      <c r="E348" s="138" t="str">
        <f aca="false">Scoring!AJ354</f>
        <v/>
      </c>
      <c r="F348" s="138" t="n">
        <f aca="false">Scoring!B354</f>
        <v>0</v>
      </c>
      <c r="G348" s="138" t="n">
        <f aca="false">Scoring!D354</f>
        <v>0</v>
      </c>
      <c r="H348" s="138" t="str">
        <f aca="false">Scoring!BG354</f>
        <v/>
      </c>
      <c r="I348" s="140" t="str">
        <f aca="false">Scoring!BF354</f>
        <v/>
      </c>
    </row>
    <row r="349" customFormat="false" ht="15.75" hidden="false" customHeight="false" outlineLevel="0" collapsed="false">
      <c r="A349" s="138" t="str">
        <f aca="false">Scoring!BI355</f>
        <v/>
      </c>
      <c r="B349" s="138" t="str">
        <f aca="false">Scoring!BH355</f>
        <v/>
      </c>
      <c r="C349" s="138" t="n">
        <f aca="false">Scoring!C355</f>
        <v>0</v>
      </c>
      <c r="D349" s="139" t="str">
        <f aca="false">Scoring!BE355</f>
        <v/>
      </c>
      <c r="E349" s="138" t="str">
        <f aca="false">Scoring!AJ355</f>
        <v/>
      </c>
      <c r="F349" s="138" t="n">
        <f aca="false">Scoring!B355</f>
        <v>0</v>
      </c>
      <c r="G349" s="138" t="n">
        <f aca="false">Scoring!D355</f>
        <v>0</v>
      </c>
      <c r="H349" s="138" t="str">
        <f aca="false">Scoring!BG355</f>
        <v/>
      </c>
      <c r="I349" s="140" t="str">
        <f aca="false">Scoring!BF355</f>
        <v/>
      </c>
    </row>
    <row r="350" customFormat="false" ht="15.75" hidden="false" customHeight="false" outlineLevel="0" collapsed="false">
      <c r="A350" s="138" t="str">
        <f aca="false">Scoring!BI356</f>
        <v/>
      </c>
      <c r="B350" s="138" t="str">
        <f aca="false">Scoring!BH356</f>
        <v/>
      </c>
      <c r="C350" s="138" t="n">
        <f aca="false">Scoring!C356</f>
        <v>0</v>
      </c>
      <c r="D350" s="139" t="str">
        <f aca="false">Scoring!BE356</f>
        <v/>
      </c>
      <c r="E350" s="138" t="str">
        <f aca="false">Scoring!AJ356</f>
        <v/>
      </c>
      <c r="F350" s="138" t="n">
        <f aca="false">Scoring!B356</f>
        <v>0</v>
      </c>
      <c r="G350" s="138" t="n">
        <f aca="false">Scoring!D356</f>
        <v>0</v>
      </c>
      <c r="H350" s="138" t="str">
        <f aca="false">Scoring!BG356</f>
        <v/>
      </c>
      <c r="I350" s="140" t="str">
        <f aca="false">Scoring!BF356</f>
        <v/>
      </c>
    </row>
    <row r="351" customFormat="false" ht="15.75" hidden="false" customHeight="false" outlineLevel="0" collapsed="false">
      <c r="A351" s="138" t="str">
        <f aca="false">Scoring!BI357</f>
        <v/>
      </c>
      <c r="B351" s="138" t="str">
        <f aca="false">Scoring!BH357</f>
        <v/>
      </c>
      <c r="C351" s="138" t="n">
        <f aca="false">Scoring!C357</f>
        <v>0</v>
      </c>
      <c r="D351" s="139" t="str">
        <f aca="false">Scoring!BE357</f>
        <v/>
      </c>
      <c r="E351" s="138" t="str">
        <f aca="false">Scoring!AJ357</f>
        <v/>
      </c>
      <c r="F351" s="138" t="n">
        <f aca="false">Scoring!B357</f>
        <v>0</v>
      </c>
      <c r="G351" s="138" t="n">
        <f aca="false">Scoring!D357</f>
        <v>0</v>
      </c>
      <c r="H351" s="138" t="str">
        <f aca="false">Scoring!BG357</f>
        <v/>
      </c>
      <c r="I351" s="140" t="str">
        <f aca="false">Scoring!BF357</f>
        <v/>
      </c>
    </row>
    <row r="352" customFormat="false" ht="15.75" hidden="false" customHeight="false" outlineLevel="0" collapsed="false">
      <c r="A352" s="138" t="str">
        <f aca="false">Scoring!BI358</f>
        <v/>
      </c>
      <c r="B352" s="138" t="str">
        <f aca="false">Scoring!BH358</f>
        <v/>
      </c>
      <c r="C352" s="138" t="n">
        <f aca="false">Scoring!C358</f>
        <v>0</v>
      </c>
      <c r="D352" s="139" t="str">
        <f aca="false">Scoring!BE358</f>
        <v/>
      </c>
      <c r="E352" s="138" t="str">
        <f aca="false">Scoring!AJ358</f>
        <v/>
      </c>
      <c r="F352" s="138" t="n">
        <f aca="false">Scoring!B358</f>
        <v>0</v>
      </c>
      <c r="G352" s="138" t="n">
        <f aca="false">Scoring!D358</f>
        <v>0</v>
      </c>
      <c r="H352" s="138" t="str">
        <f aca="false">Scoring!BG358</f>
        <v/>
      </c>
      <c r="I352" s="140" t="str">
        <f aca="false">Scoring!BF358</f>
        <v/>
      </c>
    </row>
    <row r="353" customFormat="false" ht="15.75" hidden="false" customHeight="false" outlineLevel="0" collapsed="false">
      <c r="A353" s="138" t="str">
        <f aca="false">Scoring!BI359</f>
        <v/>
      </c>
      <c r="B353" s="138" t="str">
        <f aca="false">Scoring!BH359</f>
        <v/>
      </c>
      <c r="C353" s="138" t="n">
        <f aca="false">Scoring!C359</f>
        <v>0</v>
      </c>
      <c r="D353" s="139" t="str">
        <f aca="false">Scoring!BE359</f>
        <v/>
      </c>
      <c r="E353" s="138" t="str">
        <f aca="false">Scoring!AJ359</f>
        <v/>
      </c>
      <c r="F353" s="138" t="n">
        <f aca="false">Scoring!B359</f>
        <v>0</v>
      </c>
      <c r="G353" s="138" t="n">
        <f aca="false">Scoring!D359</f>
        <v>0</v>
      </c>
      <c r="H353" s="138" t="str">
        <f aca="false">Scoring!BG359</f>
        <v/>
      </c>
      <c r="I353" s="140" t="str">
        <f aca="false">Scoring!BF359</f>
        <v/>
      </c>
    </row>
    <row r="354" customFormat="false" ht="15.75" hidden="false" customHeight="false" outlineLevel="0" collapsed="false">
      <c r="A354" s="138" t="str">
        <f aca="false">Scoring!BI360</f>
        <v/>
      </c>
      <c r="B354" s="138" t="str">
        <f aca="false">Scoring!BH360</f>
        <v/>
      </c>
      <c r="C354" s="138" t="n">
        <f aca="false">Scoring!C360</f>
        <v>0</v>
      </c>
      <c r="D354" s="139" t="str">
        <f aca="false">Scoring!BE360</f>
        <v/>
      </c>
      <c r="E354" s="138" t="str">
        <f aca="false">Scoring!AJ360</f>
        <v/>
      </c>
      <c r="F354" s="138" t="n">
        <f aca="false">Scoring!B360</f>
        <v>0</v>
      </c>
      <c r="G354" s="138" t="n">
        <f aca="false">Scoring!D360</f>
        <v>0</v>
      </c>
      <c r="H354" s="138" t="str">
        <f aca="false">Scoring!BG360</f>
        <v/>
      </c>
      <c r="I354" s="140" t="str">
        <f aca="false">Scoring!BF360</f>
        <v/>
      </c>
    </row>
    <row r="355" customFormat="false" ht="15.75" hidden="false" customHeight="false" outlineLevel="0" collapsed="false">
      <c r="A355" s="138" t="str">
        <f aca="false">Scoring!BI361</f>
        <v/>
      </c>
      <c r="B355" s="138" t="str">
        <f aca="false">Scoring!BH361</f>
        <v/>
      </c>
      <c r="C355" s="138" t="n">
        <f aca="false">Scoring!C361</f>
        <v>0</v>
      </c>
      <c r="D355" s="139" t="str">
        <f aca="false">Scoring!BE361</f>
        <v/>
      </c>
      <c r="E355" s="138" t="str">
        <f aca="false">Scoring!AJ361</f>
        <v/>
      </c>
      <c r="F355" s="138" t="n">
        <f aca="false">Scoring!B361</f>
        <v>0</v>
      </c>
      <c r="G355" s="138" t="n">
        <f aca="false">Scoring!D361</f>
        <v>0</v>
      </c>
      <c r="H355" s="138" t="str">
        <f aca="false">Scoring!BG361</f>
        <v/>
      </c>
      <c r="I355" s="140" t="str">
        <f aca="false">Scoring!BF361</f>
        <v/>
      </c>
    </row>
    <row r="356" customFormat="false" ht="15.75" hidden="false" customHeight="false" outlineLevel="0" collapsed="false">
      <c r="A356" s="138" t="str">
        <f aca="false">Scoring!BI362</f>
        <v/>
      </c>
      <c r="B356" s="138" t="str">
        <f aca="false">Scoring!BH362</f>
        <v/>
      </c>
      <c r="C356" s="138" t="n">
        <f aca="false">Scoring!C362</f>
        <v>0</v>
      </c>
      <c r="D356" s="139" t="str">
        <f aca="false">Scoring!BE362</f>
        <v/>
      </c>
      <c r="E356" s="138" t="str">
        <f aca="false">Scoring!AJ362</f>
        <v/>
      </c>
      <c r="F356" s="138" t="n">
        <f aca="false">Scoring!B362</f>
        <v>0</v>
      </c>
      <c r="G356" s="138" t="n">
        <f aca="false">Scoring!D362</f>
        <v>0</v>
      </c>
      <c r="H356" s="138" t="str">
        <f aca="false">Scoring!BG362</f>
        <v/>
      </c>
      <c r="I356" s="140" t="str">
        <f aca="false">Scoring!BF362</f>
        <v/>
      </c>
    </row>
    <row r="357" customFormat="false" ht="15.75" hidden="false" customHeight="false" outlineLevel="0" collapsed="false">
      <c r="A357" s="138" t="str">
        <f aca="false">Scoring!BI363</f>
        <v/>
      </c>
      <c r="B357" s="138" t="str">
        <f aca="false">Scoring!BH363</f>
        <v/>
      </c>
      <c r="C357" s="138" t="n">
        <f aca="false">Scoring!C363</f>
        <v>0</v>
      </c>
      <c r="D357" s="139" t="str">
        <f aca="false">Scoring!BE363</f>
        <v/>
      </c>
      <c r="E357" s="138" t="str">
        <f aca="false">Scoring!AJ363</f>
        <v/>
      </c>
      <c r="F357" s="138" t="n">
        <f aca="false">Scoring!B363</f>
        <v>0</v>
      </c>
      <c r="G357" s="138" t="n">
        <f aca="false">Scoring!D363</f>
        <v>0</v>
      </c>
      <c r="H357" s="138" t="str">
        <f aca="false">Scoring!BG363</f>
        <v/>
      </c>
      <c r="I357" s="140" t="str">
        <f aca="false">Scoring!BF363</f>
        <v/>
      </c>
    </row>
    <row r="358" customFormat="false" ht="15.75" hidden="false" customHeight="false" outlineLevel="0" collapsed="false">
      <c r="A358" s="138" t="str">
        <f aca="false">Scoring!BI364</f>
        <v/>
      </c>
      <c r="B358" s="138" t="str">
        <f aca="false">Scoring!BH364</f>
        <v/>
      </c>
      <c r="C358" s="138" t="n">
        <f aca="false">Scoring!C364</f>
        <v>0</v>
      </c>
      <c r="D358" s="139" t="str">
        <f aca="false">Scoring!BE364</f>
        <v/>
      </c>
      <c r="E358" s="138" t="str">
        <f aca="false">Scoring!AJ364</f>
        <v/>
      </c>
      <c r="F358" s="138" t="n">
        <f aca="false">Scoring!B364</f>
        <v>0</v>
      </c>
      <c r="G358" s="138" t="n">
        <f aca="false">Scoring!D364</f>
        <v>0</v>
      </c>
      <c r="H358" s="138" t="str">
        <f aca="false">Scoring!BG364</f>
        <v/>
      </c>
      <c r="I358" s="140" t="str">
        <f aca="false">Scoring!BF364</f>
        <v/>
      </c>
    </row>
    <row r="359" customFormat="false" ht="15.75" hidden="false" customHeight="false" outlineLevel="0" collapsed="false">
      <c r="A359" s="138" t="str">
        <f aca="false">Scoring!BI365</f>
        <v/>
      </c>
      <c r="B359" s="138" t="str">
        <f aca="false">Scoring!BH365</f>
        <v/>
      </c>
      <c r="C359" s="138" t="n">
        <f aca="false">Scoring!C365</f>
        <v>0</v>
      </c>
      <c r="D359" s="139" t="str">
        <f aca="false">Scoring!BE365</f>
        <v/>
      </c>
      <c r="E359" s="138" t="str">
        <f aca="false">Scoring!AJ365</f>
        <v/>
      </c>
      <c r="F359" s="138" t="n">
        <f aca="false">Scoring!B365</f>
        <v>0</v>
      </c>
      <c r="G359" s="138" t="n">
        <f aca="false">Scoring!D365</f>
        <v>0</v>
      </c>
      <c r="H359" s="138" t="str">
        <f aca="false">Scoring!BG365</f>
        <v/>
      </c>
      <c r="I359" s="140" t="str">
        <f aca="false">Scoring!BF365</f>
        <v/>
      </c>
    </row>
    <row r="360" customFormat="false" ht="15.75" hidden="false" customHeight="false" outlineLevel="0" collapsed="false">
      <c r="A360" s="138" t="str">
        <f aca="false">Scoring!BI366</f>
        <v/>
      </c>
      <c r="B360" s="138" t="str">
        <f aca="false">Scoring!BH366</f>
        <v/>
      </c>
      <c r="C360" s="138" t="n">
        <f aca="false">Scoring!C366</f>
        <v>0</v>
      </c>
      <c r="D360" s="139" t="str">
        <f aca="false">Scoring!BE366</f>
        <v/>
      </c>
      <c r="E360" s="138" t="str">
        <f aca="false">Scoring!AJ366</f>
        <v/>
      </c>
      <c r="F360" s="138" t="n">
        <f aca="false">Scoring!B366</f>
        <v>0</v>
      </c>
      <c r="G360" s="138" t="n">
        <f aca="false">Scoring!D366</f>
        <v>0</v>
      </c>
      <c r="H360" s="138" t="str">
        <f aca="false">Scoring!BG366</f>
        <v/>
      </c>
      <c r="I360" s="140" t="str">
        <f aca="false">Scoring!BF366</f>
        <v/>
      </c>
    </row>
    <row r="361" customFormat="false" ht="15.75" hidden="false" customHeight="false" outlineLevel="0" collapsed="false">
      <c r="A361" s="138" t="str">
        <f aca="false">Scoring!BI367</f>
        <v/>
      </c>
      <c r="B361" s="138" t="str">
        <f aca="false">Scoring!BH367</f>
        <v/>
      </c>
      <c r="C361" s="138" t="n">
        <f aca="false">Scoring!C367</f>
        <v>0</v>
      </c>
      <c r="D361" s="139" t="str">
        <f aca="false">Scoring!BE367</f>
        <v/>
      </c>
      <c r="E361" s="138" t="str">
        <f aca="false">Scoring!AJ367</f>
        <v/>
      </c>
      <c r="F361" s="138" t="n">
        <f aca="false">Scoring!B367</f>
        <v>0</v>
      </c>
      <c r="G361" s="138" t="n">
        <f aca="false">Scoring!D367</f>
        <v>0</v>
      </c>
      <c r="H361" s="138" t="str">
        <f aca="false">Scoring!BG367</f>
        <v/>
      </c>
      <c r="I361" s="140" t="str">
        <f aca="false">Scoring!BF367</f>
        <v/>
      </c>
    </row>
    <row r="362" customFormat="false" ht="15.75" hidden="false" customHeight="false" outlineLevel="0" collapsed="false">
      <c r="A362" s="138" t="str">
        <f aca="false">Scoring!BI368</f>
        <v/>
      </c>
      <c r="B362" s="138" t="str">
        <f aca="false">Scoring!BH368</f>
        <v/>
      </c>
      <c r="C362" s="138" t="n">
        <f aca="false">Scoring!C368</f>
        <v>0</v>
      </c>
      <c r="D362" s="139" t="str">
        <f aca="false">Scoring!BE368</f>
        <v/>
      </c>
      <c r="E362" s="138" t="str">
        <f aca="false">Scoring!AJ368</f>
        <v/>
      </c>
      <c r="F362" s="138" t="n">
        <f aca="false">Scoring!B368</f>
        <v>0</v>
      </c>
      <c r="G362" s="138" t="n">
        <f aca="false">Scoring!D368</f>
        <v>0</v>
      </c>
      <c r="H362" s="138" t="str">
        <f aca="false">Scoring!BG368</f>
        <v/>
      </c>
      <c r="I362" s="140" t="str">
        <f aca="false">Scoring!BF368</f>
        <v/>
      </c>
    </row>
    <row r="363" customFormat="false" ht="15.75" hidden="false" customHeight="false" outlineLevel="0" collapsed="false">
      <c r="A363" s="138" t="str">
        <f aca="false">Scoring!BI369</f>
        <v/>
      </c>
      <c r="B363" s="138" t="str">
        <f aca="false">Scoring!BH369</f>
        <v/>
      </c>
      <c r="C363" s="138" t="n">
        <f aca="false">Scoring!C369</f>
        <v>0</v>
      </c>
      <c r="D363" s="139" t="str">
        <f aca="false">Scoring!BE369</f>
        <v/>
      </c>
      <c r="E363" s="138" t="str">
        <f aca="false">Scoring!AJ369</f>
        <v/>
      </c>
      <c r="F363" s="138" t="n">
        <f aca="false">Scoring!B369</f>
        <v>0</v>
      </c>
      <c r="G363" s="138" t="n">
        <f aca="false">Scoring!D369</f>
        <v>0</v>
      </c>
      <c r="H363" s="138" t="str">
        <f aca="false">Scoring!BG369</f>
        <v/>
      </c>
      <c r="I363" s="140" t="str">
        <f aca="false">Scoring!BF369</f>
        <v/>
      </c>
    </row>
    <row r="364" customFormat="false" ht="15.75" hidden="false" customHeight="false" outlineLevel="0" collapsed="false">
      <c r="A364" s="138" t="str">
        <f aca="false">Scoring!BI370</f>
        <v/>
      </c>
      <c r="B364" s="138" t="str">
        <f aca="false">Scoring!BH370</f>
        <v/>
      </c>
      <c r="C364" s="138" t="n">
        <f aca="false">Scoring!C370</f>
        <v>0</v>
      </c>
      <c r="D364" s="139" t="str">
        <f aca="false">Scoring!BE370</f>
        <v/>
      </c>
      <c r="E364" s="138" t="str">
        <f aca="false">Scoring!AJ370</f>
        <v/>
      </c>
      <c r="F364" s="138" t="n">
        <f aca="false">Scoring!B370</f>
        <v>0</v>
      </c>
      <c r="G364" s="138" t="n">
        <f aca="false">Scoring!D370</f>
        <v>0</v>
      </c>
      <c r="H364" s="138" t="str">
        <f aca="false">Scoring!BG370</f>
        <v/>
      </c>
      <c r="I364" s="140" t="str">
        <f aca="false">Scoring!BF370</f>
        <v/>
      </c>
    </row>
    <row r="365" customFormat="false" ht="15.75" hidden="false" customHeight="false" outlineLevel="0" collapsed="false">
      <c r="A365" s="138" t="str">
        <f aca="false">Scoring!BI371</f>
        <v/>
      </c>
      <c r="B365" s="138" t="str">
        <f aca="false">Scoring!BH371</f>
        <v/>
      </c>
      <c r="C365" s="138" t="n">
        <f aca="false">Scoring!C371</f>
        <v>0</v>
      </c>
      <c r="D365" s="139" t="str">
        <f aca="false">Scoring!BE371</f>
        <v/>
      </c>
      <c r="E365" s="138" t="str">
        <f aca="false">Scoring!AJ371</f>
        <v/>
      </c>
      <c r="F365" s="138" t="n">
        <f aca="false">Scoring!B371</f>
        <v>0</v>
      </c>
      <c r="G365" s="138" t="n">
        <f aca="false">Scoring!D371</f>
        <v>0</v>
      </c>
      <c r="H365" s="138" t="str">
        <f aca="false">Scoring!BG371</f>
        <v/>
      </c>
      <c r="I365" s="140" t="str">
        <f aca="false">Scoring!BF371</f>
        <v/>
      </c>
    </row>
    <row r="366" customFormat="false" ht="15.75" hidden="false" customHeight="false" outlineLevel="0" collapsed="false">
      <c r="A366" s="138" t="str">
        <f aca="false">Scoring!BI372</f>
        <v/>
      </c>
      <c r="B366" s="138" t="str">
        <f aca="false">Scoring!BH372</f>
        <v/>
      </c>
      <c r="C366" s="138" t="n">
        <f aca="false">Scoring!C372</f>
        <v>0</v>
      </c>
      <c r="D366" s="139" t="str">
        <f aca="false">Scoring!BE372</f>
        <v/>
      </c>
      <c r="E366" s="138" t="str">
        <f aca="false">Scoring!AJ372</f>
        <v/>
      </c>
      <c r="F366" s="138" t="n">
        <f aca="false">Scoring!B372</f>
        <v>0</v>
      </c>
      <c r="G366" s="138" t="n">
        <f aca="false">Scoring!D372</f>
        <v>0</v>
      </c>
      <c r="H366" s="138" t="str">
        <f aca="false">Scoring!BG372</f>
        <v/>
      </c>
      <c r="I366" s="140" t="str">
        <f aca="false">Scoring!BF372</f>
        <v/>
      </c>
    </row>
    <row r="367" customFormat="false" ht="15.75" hidden="false" customHeight="false" outlineLevel="0" collapsed="false">
      <c r="A367" s="138" t="str">
        <f aca="false">Scoring!BI373</f>
        <v/>
      </c>
      <c r="B367" s="138" t="str">
        <f aca="false">Scoring!BH373</f>
        <v/>
      </c>
      <c r="C367" s="138" t="n">
        <f aca="false">Scoring!C373</f>
        <v>0</v>
      </c>
      <c r="D367" s="139" t="str">
        <f aca="false">Scoring!BE373</f>
        <v/>
      </c>
      <c r="E367" s="138" t="str">
        <f aca="false">Scoring!AJ373</f>
        <v/>
      </c>
      <c r="F367" s="138" t="n">
        <f aca="false">Scoring!B373</f>
        <v>0</v>
      </c>
      <c r="G367" s="138" t="n">
        <f aca="false">Scoring!D373</f>
        <v>0</v>
      </c>
      <c r="H367" s="138" t="str">
        <f aca="false">Scoring!BG373</f>
        <v/>
      </c>
      <c r="I367" s="140" t="str">
        <f aca="false">Scoring!BF373</f>
        <v/>
      </c>
    </row>
    <row r="368" customFormat="false" ht="15.75" hidden="false" customHeight="false" outlineLevel="0" collapsed="false">
      <c r="A368" s="138" t="str">
        <f aca="false">Scoring!BI374</f>
        <v/>
      </c>
      <c r="B368" s="138" t="str">
        <f aca="false">Scoring!BH374</f>
        <v/>
      </c>
      <c r="C368" s="138" t="n">
        <f aca="false">Scoring!C374</f>
        <v>0</v>
      </c>
      <c r="D368" s="139" t="str">
        <f aca="false">Scoring!BE374</f>
        <v/>
      </c>
      <c r="E368" s="138" t="str">
        <f aca="false">Scoring!AJ374</f>
        <v/>
      </c>
      <c r="F368" s="138" t="n">
        <f aca="false">Scoring!B374</f>
        <v>0</v>
      </c>
      <c r="G368" s="138" t="n">
        <f aca="false">Scoring!D374</f>
        <v>0</v>
      </c>
      <c r="H368" s="138" t="str">
        <f aca="false">Scoring!BG374</f>
        <v/>
      </c>
      <c r="I368" s="140" t="str">
        <f aca="false">Scoring!BF374</f>
        <v/>
      </c>
    </row>
    <row r="369" customFormat="false" ht="15.75" hidden="false" customHeight="false" outlineLevel="0" collapsed="false">
      <c r="A369" s="138" t="str">
        <f aca="false">Scoring!BI375</f>
        <v/>
      </c>
      <c r="B369" s="138" t="str">
        <f aca="false">Scoring!BH375</f>
        <v/>
      </c>
      <c r="C369" s="138" t="n">
        <f aca="false">Scoring!C375</f>
        <v>0</v>
      </c>
      <c r="D369" s="139" t="str">
        <f aca="false">Scoring!BE375</f>
        <v/>
      </c>
      <c r="E369" s="138" t="str">
        <f aca="false">Scoring!AJ375</f>
        <v/>
      </c>
      <c r="F369" s="138" t="n">
        <f aca="false">Scoring!B375</f>
        <v>0</v>
      </c>
      <c r="G369" s="138" t="n">
        <f aca="false">Scoring!D375</f>
        <v>0</v>
      </c>
      <c r="H369" s="138" t="str">
        <f aca="false">Scoring!BG375</f>
        <v/>
      </c>
      <c r="I369" s="140" t="str">
        <f aca="false">Scoring!BF375</f>
        <v/>
      </c>
    </row>
    <row r="370" customFormat="false" ht="15.75" hidden="false" customHeight="false" outlineLevel="0" collapsed="false">
      <c r="A370" s="138" t="str">
        <f aca="false">Scoring!BI376</f>
        <v/>
      </c>
      <c r="B370" s="138" t="str">
        <f aca="false">Scoring!BH376</f>
        <v/>
      </c>
      <c r="C370" s="138" t="n">
        <f aca="false">Scoring!C376</f>
        <v>0</v>
      </c>
      <c r="D370" s="139" t="str">
        <f aca="false">Scoring!BE376</f>
        <v/>
      </c>
      <c r="E370" s="138" t="str">
        <f aca="false">Scoring!AJ376</f>
        <v/>
      </c>
      <c r="F370" s="138" t="n">
        <f aca="false">Scoring!B376</f>
        <v>0</v>
      </c>
      <c r="G370" s="138" t="n">
        <f aca="false">Scoring!D376</f>
        <v>0</v>
      </c>
      <c r="H370" s="138" t="str">
        <f aca="false">Scoring!BG376</f>
        <v/>
      </c>
      <c r="I370" s="140" t="str">
        <f aca="false">Scoring!BF376</f>
        <v/>
      </c>
    </row>
    <row r="371" customFormat="false" ht="15.75" hidden="false" customHeight="false" outlineLevel="0" collapsed="false">
      <c r="A371" s="138" t="str">
        <f aca="false">Scoring!BI377</f>
        <v/>
      </c>
      <c r="B371" s="138" t="str">
        <f aca="false">Scoring!BH377</f>
        <v/>
      </c>
      <c r="C371" s="138" t="n">
        <f aca="false">Scoring!C377</f>
        <v>0</v>
      </c>
      <c r="D371" s="139" t="str">
        <f aca="false">Scoring!BE377</f>
        <v/>
      </c>
      <c r="E371" s="138" t="str">
        <f aca="false">Scoring!AJ377</f>
        <v/>
      </c>
      <c r="F371" s="138" t="n">
        <f aca="false">Scoring!B377</f>
        <v>0</v>
      </c>
      <c r="G371" s="138" t="n">
        <f aca="false">Scoring!D377</f>
        <v>0</v>
      </c>
      <c r="H371" s="138" t="str">
        <f aca="false">Scoring!BG377</f>
        <v/>
      </c>
      <c r="I371" s="140" t="str">
        <f aca="false">Scoring!BF377</f>
        <v/>
      </c>
    </row>
    <row r="372" customFormat="false" ht="15.75" hidden="false" customHeight="false" outlineLevel="0" collapsed="false">
      <c r="A372" s="138" t="str">
        <f aca="false">Scoring!BI378</f>
        <v/>
      </c>
      <c r="B372" s="138" t="str">
        <f aca="false">Scoring!BH378</f>
        <v/>
      </c>
      <c r="C372" s="138" t="n">
        <f aca="false">Scoring!C378</f>
        <v>0</v>
      </c>
      <c r="D372" s="139" t="str">
        <f aca="false">Scoring!BE378</f>
        <v/>
      </c>
      <c r="E372" s="138" t="str">
        <f aca="false">Scoring!AJ378</f>
        <v/>
      </c>
      <c r="F372" s="138" t="n">
        <f aca="false">Scoring!B378</f>
        <v>0</v>
      </c>
      <c r="G372" s="138" t="n">
        <f aca="false">Scoring!D378</f>
        <v>0</v>
      </c>
      <c r="H372" s="138" t="str">
        <f aca="false">Scoring!BG378</f>
        <v/>
      </c>
      <c r="I372" s="140" t="str">
        <f aca="false">Scoring!BF378</f>
        <v/>
      </c>
    </row>
    <row r="373" customFormat="false" ht="15.75" hidden="false" customHeight="false" outlineLevel="0" collapsed="false">
      <c r="A373" s="138" t="str">
        <f aca="false">Scoring!BI379</f>
        <v/>
      </c>
      <c r="B373" s="138" t="str">
        <f aca="false">Scoring!BH379</f>
        <v/>
      </c>
      <c r="C373" s="138" t="n">
        <f aca="false">Scoring!C379</f>
        <v>0</v>
      </c>
      <c r="D373" s="139" t="str">
        <f aca="false">Scoring!BE379</f>
        <v/>
      </c>
      <c r="E373" s="138" t="str">
        <f aca="false">Scoring!AJ379</f>
        <v/>
      </c>
      <c r="F373" s="138" t="n">
        <f aca="false">Scoring!B379</f>
        <v>0</v>
      </c>
      <c r="G373" s="138" t="n">
        <f aca="false">Scoring!D379</f>
        <v>0</v>
      </c>
      <c r="H373" s="138" t="str">
        <f aca="false">Scoring!BG379</f>
        <v/>
      </c>
      <c r="I373" s="140" t="str">
        <f aca="false">Scoring!BF379</f>
        <v/>
      </c>
    </row>
    <row r="374" customFormat="false" ht="15.75" hidden="false" customHeight="false" outlineLevel="0" collapsed="false">
      <c r="A374" s="138" t="str">
        <f aca="false">Scoring!BI380</f>
        <v/>
      </c>
      <c r="B374" s="138" t="str">
        <f aca="false">Scoring!BH380</f>
        <v/>
      </c>
      <c r="C374" s="138" t="n">
        <f aca="false">Scoring!C380</f>
        <v>0</v>
      </c>
      <c r="D374" s="139" t="str">
        <f aca="false">Scoring!BE380</f>
        <v/>
      </c>
      <c r="E374" s="138" t="str">
        <f aca="false">Scoring!AJ380</f>
        <v/>
      </c>
      <c r="F374" s="138" t="n">
        <f aca="false">Scoring!B380</f>
        <v>0</v>
      </c>
      <c r="G374" s="138" t="n">
        <f aca="false">Scoring!D380</f>
        <v>0</v>
      </c>
      <c r="H374" s="138" t="str">
        <f aca="false">Scoring!BG380</f>
        <v/>
      </c>
      <c r="I374" s="140" t="str">
        <f aca="false">Scoring!BF380</f>
        <v/>
      </c>
    </row>
    <row r="375" customFormat="false" ht="15.75" hidden="false" customHeight="false" outlineLevel="0" collapsed="false">
      <c r="A375" s="138" t="str">
        <f aca="false">Scoring!BI381</f>
        <v/>
      </c>
      <c r="B375" s="138" t="str">
        <f aca="false">Scoring!BH381</f>
        <v/>
      </c>
      <c r="C375" s="138" t="n">
        <f aca="false">Scoring!C381</f>
        <v>0</v>
      </c>
      <c r="D375" s="139" t="str">
        <f aca="false">Scoring!BE381</f>
        <v/>
      </c>
      <c r="E375" s="138" t="str">
        <f aca="false">Scoring!AJ381</f>
        <v/>
      </c>
      <c r="F375" s="138" t="n">
        <f aca="false">Scoring!B381</f>
        <v>0</v>
      </c>
      <c r="G375" s="138" t="n">
        <f aca="false">Scoring!D381</f>
        <v>0</v>
      </c>
      <c r="H375" s="138" t="str">
        <f aca="false">Scoring!BG381</f>
        <v/>
      </c>
      <c r="I375" s="140" t="str">
        <f aca="false">Scoring!BF381</f>
        <v/>
      </c>
    </row>
    <row r="376" customFormat="false" ht="15.75" hidden="false" customHeight="false" outlineLevel="0" collapsed="false">
      <c r="A376" s="138" t="str">
        <f aca="false">Scoring!BI382</f>
        <v/>
      </c>
      <c r="B376" s="138" t="str">
        <f aca="false">Scoring!BH382</f>
        <v/>
      </c>
      <c r="C376" s="138" t="n">
        <f aca="false">Scoring!C382</f>
        <v>0</v>
      </c>
      <c r="D376" s="139" t="str">
        <f aca="false">Scoring!BE382</f>
        <v/>
      </c>
      <c r="E376" s="138" t="str">
        <f aca="false">Scoring!AJ382</f>
        <v/>
      </c>
      <c r="F376" s="138" t="n">
        <f aca="false">Scoring!B382</f>
        <v>0</v>
      </c>
      <c r="G376" s="138" t="n">
        <f aca="false">Scoring!D382</f>
        <v>0</v>
      </c>
      <c r="H376" s="138" t="str">
        <f aca="false">Scoring!BG382</f>
        <v/>
      </c>
      <c r="I376" s="140" t="str">
        <f aca="false">Scoring!BF382</f>
        <v/>
      </c>
    </row>
    <row r="377" customFormat="false" ht="15.75" hidden="false" customHeight="false" outlineLevel="0" collapsed="false">
      <c r="A377" s="138" t="str">
        <f aca="false">Scoring!BI383</f>
        <v/>
      </c>
      <c r="B377" s="138" t="str">
        <f aca="false">Scoring!BH383</f>
        <v/>
      </c>
      <c r="C377" s="138" t="n">
        <f aca="false">Scoring!C383</f>
        <v>0</v>
      </c>
      <c r="D377" s="139" t="str">
        <f aca="false">Scoring!BE383</f>
        <v/>
      </c>
      <c r="E377" s="138" t="str">
        <f aca="false">Scoring!AJ383</f>
        <v/>
      </c>
      <c r="F377" s="138" t="n">
        <f aca="false">Scoring!B383</f>
        <v>0</v>
      </c>
      <c r="G377" s="138" t="n">
        <f aca="false">Scoring!D383</f>
        <v>0</v>
      </c>
      <c r="H377" s="138" t="str">
        <f aca="false">Scoring!BG383</f>
        <v/>
      </c>
      <c r="I377" s="140" t="str">
        <f aca="false">Scoring!BF383</f>
        <v/>
      </c>
    </row>
    <row r="378" customFormat="false" ht="15.75" hidden="false" customHeight="false" outlineLevel="0" collapsed="false">
      <c r="A378" s="138" t="str">
        <f aca="false">Scoring!BI384</f>
        <v/>
      </c>
      <c r="B378" s="138" t="str">
        <f aca="false">Scoring!BH384</f>
        <v/>
      </c>
      <c r="C378" s="138" t="n">
        <f aca="false">Scoring!C384</f>
        <v>0</v>
      </c>
      <c r="D378" s="139" t="str">
        <f aca="false">Scoring!BE384</f>
        <v/>
      </c>
      <c r="E378" s="138" t="str">
        <f aca="false">Scoring!AJ384</f>
        <v/>
      </c>
      <c r="F378" s="138" t="n">
        <f aca="false">Scoring!B384</f>
        <v>0</v>
      </c>
      <c r="G378" s="138" t="n">
        <f aca="false">Scoring!D384</f>
        <v>0</v>
      </c>
      <c r="H378" s="138" t="str">
        <f aca="false">Scoring!BG384</f>
        <v/>
      </c>
      <c r="I378" s="140" t="str">
        <f aca="false">Scoring!BF384</f>
        <v/>
      </c>
    </row>
    <row r="379" customFormat="false" ht="15.75" hidden="false" customHeight="false" outlineLevel="0" collapsed="false">
      <c r="A379" s="138" t="str">
        <f aca="false">Scoring!BI385</f>
        <v/>
      </c>
      <c r="B379" s="138" t="str">
        <f aca="false">Scoring!BH385</f>
        <v/>
      </c>
      <c r="C379" s="138" t="n">
        <f aca="false">Scoring!C385</f>
        <v>0</v>
      </c>
      <c r="D379" s="139" t="str">
        <f aca="false">Scoring!BE385</f>
        <v/>
      </c>
      <c r="E379" s="138" t="str">
        <f aca="false">Scoring!AJ385</f>
        <v/>
      </c>
      <c r="F379" s="138" t="n">
        <f aca="false">Scoring!B385</f>
        <v>0</v>
      </c>
      <c r="G379" s="138" t="n">
        <f aca="false">Scoring!D385</f>
        <v>0</v>
      </c>
      <c r="H379" s="138" t="str">
        <f aca="false">Scoring!BG385</f>
        <v/>
      </c>
      <c r="I379" s="140" t="str">
        <f aca="false">Scoring!BF385</f>
        <v/>
      </c>
    </row>
    <row r="380" customFormat="false" ht="15.75" hidden="false" customHeight="false" outlineLevel="0" collapsed="false">
      <c r="A380" s="138" t="str">
        <f aca="false">Scoring!BI386</f>
        <v/>
      </c>
      <c r="B380" s="138" t="str">
        <f aca="false">Scoring!BH386</f>
        <v/>
      </c>
      <c r="C380" s="138" t="n">
        <f aca="false">Scoring!C386</f>
        <v>0</v>
      </c>
      <c r="D380" s="139" t="str">
        <f aca="false">Scoring!BE386</f>
        <v/>
      </c>
      <c r="E380" s="138" t="str">
        <f aca="false">Scoring!AJ386</f>
        <v/>
      </c>
      <c r="F380" s="138" t="n">
        <f aca="false">Scoring!B386</f>
        <v>0</v>
      </c>
      <c r="G380" s="138" t="n">
        <f aca="false">Scoring!D386</f>
        <v>0</v>
      </c>
      <c r="H380" s="138" t="str">
        <f aca="false">Scoring!BG386</f>
        <v/>
      </c>
      <c r="I380" s="140" t="str">
        <f aca="false">Scoring!BF386</f>
        <v/>
      </c>
    </row>
    <row r="381" customFormat="false" ht="15.75" hidden="false" customHeight="false" outlineLevel="0" collapsed="false">
      <c r="A381" s="138" t="str">
        <f aca="false">Scoring!BI387</f>
        <v/>
      </c>
      <c r="B381" s="138" t="str">
        <f aca="false">Scoring!BH387</f>
        <v/>
      </c>
      <c r="C381" s="138" t="n">
        <f aca="false">Scoring!C387</f>
        <v>0</v>
      </c>
      <c r="D381" s="139" t="str">
        <f aca="false">Scoring!BE387</f>
        <v/>
      </c>
      <c r="E381" s="138" t="str">
        <f aca="false">Scoring!AJ387</f>
        <v/>
      </c>
      <c r="F381" s="138" t="n">
        <f aca="false">Scoring!B387</f>
        <v>0</v>
      </c>
      <c r="G381" s="138" t="n">
        <f aca="false">Scoring!D387</f>
        <v>0</v>
      </c>
      <c r="H381" s="138" t="str">
        <f aca="false">Scoring!BG387</f>
        <v/>
      </c>
      <c r="I381" s="140" t="str">
        <f aca="false">Scoring!BF387</f>
        <v/>
      </c>
    </row>
    <row r="382" customFormat="false" ht="15.75" hidden="false" customHeight="false" outlineLevel="0" collapsed="false">
      <c r="A382" s="138" t="str">
        <f aca="false">Scoring!BI388</f>
        <v/>
      </c>
      <c r="B382" s="138" t="str">
        <f aca="false">Scoring!BH388</f>
        <v/>
      </c>
      <c r="C382" s="138" t="n">
        <f aca="false">Scoring!C388</f>
        <v>0</v>
      </c>
      <c r="D382" s="139" t="str">
        <f aca="false">Scoring!BE388</f>
        <v/>
      </c>
      <c r="E382" s="138" t="str">
        <f aca="false">Scoring!AJ388</f>
        <v/>
      </c>
      <c r="F382" s="138" t="n">
        <f aca="false">Scoring!B388</f>
        <v>0</v>
      </c>
      <c r="G382" s="138" t="n">
        <f aca="false">Scoring!D388</f>
        <v>0</v>
      </c>
      <c r="H382" s="138" t="str">
        <f aca="false">Scoring!BG388</f>
        <v/>
      </c>
      <c r="I382" s="140" t="str">
        <f aca="false">Scoring!BF388</f>
        <v/>
      </c>
    </row>
    <row r="383" customFormat="false" ht="15.75" hidden="false" customHeight="false" outlineLevel="0" collapsed="false">
      <c r="A383" s="138" t="str">
        <f aca="false">Scoring!BI389</f>
        <v/>
      </c>
      <c r="B383" s="138" t="str">
        <f aca="false">Scoring!BH389</f>
        <v/>
      </c>
      <c r="C383" s="138" t="n">
        <f aca="false">Scoring!C389</f>
        <v>0</v>
      </c>
      <c r="D383" s="139" t="str">
        <f aca="false">Scoring!BE389</f>
        <v/>
      </c>
      <c r="E383" s="138" t="str">
        <f aca="false">Scoring!AJ389</f>
        <v/>
      </c>
      <c r="F383" s="138" t="n">
        <f aca="false">Scoring!B389</f>
        <v>0</v>
      </c>
      <c r="G383" s="138" t="n">
        <f aca="false">Scoring!D389</f>
        <v>0</v>
      </c>
      <c r="H383" s="138" t="str">
        <f aca="false">Scoring!BG389</f>
        <v/>
      </c>
      <c r="I383" s="140" t="str">
        <f aca="false">Scoring!BF389</f>
        <v/>
      </c>
    </row>
    <row r="384" customFormat="false" ht="15.75" hidden="false" customHeight="false" outlineLevel="0" collapsed="false">
      <c r="A384" s="138" t="str">
        <f aca="false">Scoring!BI390</f>
        <v/>
      </c>
      <c r="B384" s="138" t="str">
        <f aca="false">Scoring!BH390</f>
        <v/>
      </c>
      <c r="C384" s="138" t="n">
        <f aca="false">Scoring!C390</f>
        <v>0</v>
      </c>
      <c r="D384" s="139" t="str">
        <f aca="false">Scoring!BE390</f>
        <v/>
      </c>
      <c r="E384" s="138" t="str">
        <f aca="false">Scoring!AJ390</f>
        <v/>
      </c>
      <c r="F384" s="138" t="n">
        <f aca="false">Scoring!B390</f>
        <v>0</v>
      </c>
      <c r="G384" s="138" t="n">
        <f aca="false">Scoring!D390</f>
        <v>0</v>
      </c>
      <c r="H384" s="138" t="str">
        <f aca="false">Scoring!BG390</f>
        <v/>
      </c>
      <c r="I384" s="140" t="str">
        <f aca="false">Scoring!BF390</f>
        <v/>
      </c>
    </row>
    <row r="385" customFormat="false" ht="15.75" hidden="false" customHeight="false" outlineLevel="0" collapsed="false">
      <c r="A385" s="138" t="str">
        <f aca="false">Scoring!BI391</f>
        <v/>
      </c>
      <c r="B385" s="138" t="str">
        <f aca="false">Scoring!BH391</f>
        <v/>
      </c>
      <c r="C385" s="138" t="n">
        <f aca="false">Scoring!C391</f>
        <v>0</v>
      </c>
      <c r="D385" s="139" t="str">
        <f aca="false">Scoring!BE391</f>
        <v/>
      </c>
      <c r="E385" s="138" t="str">
        <f aca="false">Scoring!AJ391</f>
        <v/>
      </c>
      <c r="F385" s="138" t="n">
        <f aca="false">Scoring!B391</f>
        <v>0</v>
      </c>
      <c r="G385" s="138" t="n">
        <f aca="false">Scoring!D391</f>
        <v>0</v>
      </c>
      <c r="H385" s="138" t="str">
        <f aca="false">Scoring!BG391</f>
        <v/>
      </c>
      <c r="I385" s="140" t="str">
        <f aca="false">Scoring!BF391</f>
        <v/>
      </c>
    </row>
    <row r="386" customFormat="false" ht="15.75" hidden="false" customHeight="false" outlineLevel="0" collapsed="false">
      <c r="A386" s="138" t="str">
        <f aca="false">Scoring!BI392</f>
        <v/>
      </c>
      <c r="B386" s="138" t="str">
        <f aca="false">Scoring!BH392</f>
        <v/>
      </c>
      <c r="C386" s="138" t="n">
        <f aca="false">Scoring!C392</f>
        <v>0</v>
      </c>
      <c r="D386" s="139" t="str">
        <f aca="false">Scoring!BE392</f>
        <v/>
      </c>
      <c r="E386" s="138" t="str">
        <f aca="false">Scoring!AJ392</f>
        <v/>
      </c>
      <c r="F386" s="138" t="n">
        <f aca="false">Scoring!B392</f>
        <v>0</v>
      </c>
      <c r="G386" s="138" t="n">
        <f aca="false">Scoring!D392</f>
        <v>0</v>
      </c>
      <c r="H386" s="138" t="str">
        <f aca="false">Scoring!BG392</f>
        <v/>
      </c>
      <c r="I386" s="140" t="str">
        <f aca="false">Scoring!BF392</f>
        <v/>
      </c>
    </row>
    <row r="387" customFormat="false" ht="15.75" hidden="false" customHeight="false" outlineLevel="0" collapsed="false">
      <c r="A387" s="138" t="str">
        <f aca="false">Scoring!BI393</f>
        <v/>
      </c>
      <c r="B387" s="138" t="str">
        <f aca="false">Scoring!BH393</f>
        <v/>
      </c>
      <c r="C387" s="138" t="n">
        <f aca="false">Scoring!C393</f>
        <v>0</v>
      </c>
      <c r="D387" s="139" t="str">
        <f aca="false">Scoring!BE393</f>
        <v/>
      </c>
      <c r="E387" s="138" t="str">
        <f aca="false">Scoring!AJ393</f>
        <v/>
      </c>
      <c r="F387" s="138" t="n">
        <f aca="false">Scoring!B393</f>
        <v>0</v>
      </c>
      <c r="G387" s="138" t="n">
        <f aca="false">Scoring!D393</f>
        <v>0</v>
      </c>
      <c r="H387" s="138" t="str">
        <f aca="false">Scoring!BG393</f>
        <v/>
      </c>
      <c r="I387" s="140" t="str">
        <f aca="false">Scoring!BF393</f>
        <v/>
      </c>
    </row>
    <row r="388" customFormat="false" ht="15.75" hidden="false" customHeight="false" outlineLevel="0" collapsed="false">
      <c r="A388" s="138" t="str">
        <f aca="false">Scoring!BI394</f>
        <v/>
      </c>
      <c r="B388" s="138" t="str">
        <f aca="false">Scoring!BH394</f>
        <v/>
      </c>
      <c r="C388" s="138" t="n">
        <f aca="false">Scoring!C394</f>
        <v>0</v>
      </c>
      <c r="D388" s="139" t="str">
        <f aca="false">Scoring!BE394</f>
        <v/>
      </c>
      <c r="E388" s="138" t="str">
        <f aca="false">Scoring!AJ394</f>
        <v/>
      </c>
      <c r="F388" s="138" t="n">
        <f aca="false">Scoring!B394</f>
        <v>0</v>
      </c>
      <c r="G388" s="138" t="n">
        <f aca="false">Scoring!D394</f>
        <v>0</v>
      </c>
      <c r="H388" s="138" t="str">
        <f aca="false">Scoring!BG394</f>
        <v/>
      </c>
      <c r="I388" s="140" t="str">
        <f aca="false">Scoring!BF394</f>
        <v/>
      </c>
    </row>
    <row r="389" customFormat="false" ht="15.75" hidden="false" customHeight="false" outlineLevel="0" collapsed="false">
      <c r="A389" s="138" t="str">
        <f aca="false">Scoring!BI395</f>
        <v/>
      </c>
      <c r="B389" s="138" t="str">
        <f aca="false">Scoring!BH395</f>
        <v/>
      </c>
      <c r="C389" s="138" t="n">
        <f aca="false">Scoring!C395</f>
        <v>0</v>
      </c>
      <c r="D389" s="139" t="str">
        <f aca="false">Scoring!BE395</f>
        <v/>
      </c>
      <c r="E389" s="138" t="str">
        <f aca="false">Scoring!AJ395</f>
        <v/>
      </c>
      <c r="F389" s="138" t="n">
        <f aca="false">Scoring!B395</f>
        <v>0</v>
      </c>
      <c r="G389" s="138" t="n">
        <f aca="false">Scoring!D395</f>
        <v>0</v>
      </c>
      <c r="H389" s="138" t="str">
        <f aca="false">Scoring!BG395</f>
        <v/>
      </c>
      <c r="I389" s="140" t="str">
        <f aca="false">Scoring!BF395</f>
        <v/>
      </c>
    </row>
    <row r="390" customFormat="false" ht="15.75" hidden="false" customHeight="false" outlineLevel="0" collapsed="false">
      <c r="A390" s="138" t="str">
        <f aca="false">Scoring!BI396</f>
        <v/>
      </c>
      <c r="B390" s="138" t="str">
        <f aca="false">Scoring!BH396</f>
        <v/>
      </c>
      <c r="C390" s="138" t="n">
        <f aca="false">Scoring!C396</f>
        <v>0</v>
      </c>
      <c r="D390" s="139" t="str">
        <f aca="false">Scoring!BE396</f>
        <v/>
      </c>
      <c r="E390" s="138" t="str">
        <f aca="false">Scoring!AJ396</f>
        <v/>
      </c>
      <c r="F390" s="138" t="n">
        <f aca="false">Scoring!B396</f>
        <v>0</v>
      </c>
      <c r="G390" s="138" t="n">
        <f aca="false">Scoring!D396</f>
        <v>0</v>
      </c>
      <c r="H390" s="138" t="str">
        <f aca="false">Scoring!BG396</f>
        <v/>
      </c>
      <c r="I390" s="140" t="str">
        <f aca="false">Scoring!BF396</f>
        <v/>
      </c>
    </row>
    <row r="391" customFormat="false" ht="15.75" hidden="false" customHeight="false" outlineLevel="0" collapsed="false">
      <c r="A391" s="138" t="str">
        <f aca="false">Scoring!BI397</f>
        <v/>
      </c>
      <c r="B391" s="138" t="str">
        <f aca="false">Scoring!BH397</f>
        <v/>
      </c>
      <c r="C391" s="138" t="n">
        <f aca="false">Scoring!C397</f>
        <v>0</v>
      </c>
      <c r="D391" s="139" t="str">
        <f aca="false">Scoring!BE397</f>
        <v/>
      </c>
      <c r="E391" s="138" t="str">
        <f aca="false">Scoring!AJ397</f>
        <v/>
      </c>
      <c r="F391" s="138" t="n">
        <f aca="false">Scoring!B397</f>
        <v>0</v>
      </c>
      <c r="G391" s="138" t="n">
        <f aca="false">Scoring!D397</f>
        <v>0</v>
      </c>
      <c r="H391" s="138" t="str">
        <f aca="false">Scoring!BG397</f>
        <v/>
      </c>
      <c r="I391" s="140" t="str">
        <f aca="false">Scoring!BF397</f>
        <v/>
      </c>
    </row>
    <row r="392" customFormat="false" ht="15.75" hidden="false" customHeight="false" outlineLevel="0" collapsed="false">
      <c r="A392" s="138" t="str">
        <f aca="false">Scoring!BI398</f>
        <v/>
      </c>
      <c r="B392" s="138" t="str">
        <f aca="false">Scoring!BH398</f>
        <v/>
      </c>
      <c r="C392" s="138" t="n">
        <f aca="false">Scoring!C398</f>
        <v>0</v>
      </c>
      <c r="D392" s="139" t="str">
        <f aca="false">Scoring!BE398</f>
        <v/>
      </c>
      <c r="E392" s="138" t="str">
        <f aca="false">Scoring!AJ398</f>
        <v/>
      </c>
      <c r="F392" s="138" t="n">
        <f aca="false">Scoring!B398</f>
        <v>0</v>
      </c>
      <c r="G392" s="138" t="n">
        <f aca="false">Scoring!D398</f>
        <v>0</v>
      </c>
      <c r="H392" s="138" t="str">
        <f aca="false">Scoring!BG398</f>
        <v/>
      </c>
      <c r="I392" s="140" t="str">
        <f aca="false">Scoring!BF398</f>
        <v/>
      </c>
    </row>
    <row r="393" customFormat="false" ht="15.75" hidden="false" customHeight="false" outlineLevel="0" collapsed="false">
      <c r="A393" s="138" t="str">
        <f aca="false">Scoring!BI399</f>
        <v/>
      </c>
      <c r="B393" s="138" t="str">
        <f aca="false">Scoring!BH399</f>
        <v/>
      </c>
      <c r="C393" s="138" t="n">
        <f aca="false">Scoring!C399</f>
        <v>0</v>
      </c>
      <c r="D393" s="139" t="str">
        <f aca="false">Scoring!BE399</f>
        <v/>
      </c>
      <c r="E393" s="138" t="str">
        <f aca="false">Scoring!AJ399</f>
        <v/>
      </c>
      <c r="F393" s="138" t="n">
        <f aca="false">Scoring!B399</f>
        <v>0</v>
      </c>
      <c r="G393" s="138" t="n">
        <f aca="false">Scoring!D399</f>
        <v>0</v>
      </c>
      <c r="H393" s="138" t="str">
        <f aca="false">Scoring!BG399</f>
        <v/>
      </c>
      <c r="I393" s="140" t="str">
        <f aca="false">Scoring!BF399</f>
        <v/>
      </c>
    </row>
    <row r="394" customFormat="false" ht="15.75" hidden="false" customHeight="false" outlineLevel="0" collapsed="false">
      <c r="A394" s="138" t="str">
        <f aca="false">Scoring!BI400</f>
        <v/>
      </c>
      <c r="B394" s="138" t="str">
        <f aca="false">Scoring!BH400</f>
        <v/>
      </c>
      <c r="C394" s="138" t="n">
        <f aca="false">Scoring!C400</f>
        <v>0</v>
      </c>
      <c r="D394" s="139" t="str">
        <f aca="false">Scoring!BE400</f>
        <v/>
      </c>
      <c r="E394" s="138" t="str">
        <f aca="false">Scoring!AJ400</f>
        <v/>
      </c>
      <c r="F394" s="138" t="n">
        <f aca="false">Scoring!B400</f>
        <v>0</v>
      </c>
      <c r="G394" s="138" t="n">
        <f aca="false">Scoring!D400</f>
        <v>0</v>
      </c>
      <c r="H394" s="138" t="str">
        <f aca="false">Scoring!BG400</f>
        <v/>
      </c>
      <c r="I394" s="140" t="str">
        <f aca="false">Scoring!BF400</f>
        <v/>
      </c>
    </row>
    <row r="395" customFormat="false" ht="15.75" hidden="false" customHeight="false" outlineLevel="0" collapsed="false">
      <c r="A395" s="138" t="str">
        <f aca="false">Scoring!BI401</f>
        <v/>
      </c>
      <c r="B395" s="138" t="str">
        <f aca="false">Scoring!BH401</f>
        <v/>
      </c>
      <c r="C395" s="138" t="n">
        <f aca="false">Scoring!C401</f>
        <v>0</v>
      </c>
      <c r="D395" s="139" t="str">
        <f aca="false">Scoring!BE401</f>
        <v/>
      </c>
      <c r="E395" s="138" t="str">
        <f aca="false">Scoring!AJ401</f>
        <v/>
      </c>
      <c r="F395" s="138" t="n">
        <f aca="false">Scoring!B401</f>
        <v>0</v>
      </c>
      <c r="G395" s="138" t="n">
        <f aca="false">Scoring!D401</f>
        <v>0</v>
      </c>
      <c r="H395" s="138" t="str">
        <f aca="false">Scoring!BG401</f>
        <v/>
      </c>
      <c r="I395" s="140" t="str">
        <f aca="false">Scoring!BF401</f>
        <v/>
      </c>
    </row>
    <row r="396" customFormat="false" ht="15.75" hidden="false" customHeight="false" outlineLevel="0" collapsed="false">
      <c r="A396" s="138" t="str">
        <f aca="false">Scoring!BI402</f>
        <v/>
      </c>
      <c r="B396" s="138" t="str">
        <f aca="false">Scoring!BH402</f>
        <v/>
      </c>
      <c r="C396" s="138" t="n">
        <f aca="false">Scoring!C402</f>
        <v>0</v>
      </c>
      <c r="D396" s="139" t="str">
        <f aca="false">Scoring!BE402</f>
        <v/>
      </c>
      <c r="E396" s="138" t="str">
        <f aca="false">Scoring!AJ402</f>
        <v/>
      </c>
      <c r="F396" s="138" t="n">
        <f aca="false">Scoring!B402</f>
        <v>0</v>
      </c>
      <c r="G396" s="138" t="n">
        <f aca="false">Scoring!D402</f>
        <v>0</v>
      </c>
      <c r="H396" s="138" t="str">
        <f aca="false">Scoring!BG402</f>
        <v/>
      </c>
      <c r="I396" s="140" t="str">
        <f aca="false">Scoring!BF402</f>
        <v/>
      </c>
    </row>
    <row r="397" customFormat="false" ht="15.75" hidden="false" customHeight="false" outlineLevel="0" collapsed="false">
      <c r="A397" s="138" t="str">
        <f aca="false">Scoring!BI403</f>
        <v/>
      </c>
      <c r="B397" s="138" t="str">
        <f aca="false">Scoring!BH403</f>
        <v/>
      </c>
      <c r="C397" s="138" t="n">
        <f aca="false">Scoring!C403</f>
        <v>0</v>
      </c>
      <c r="D397" s="139" t="str">
        <f aca="false">Scoring!BE403</f>
        <v/>
      </c>
      <c r="E397" s="138" t="str">
        <f aca="false">Scoring!AJ403</f>
        <v/>
      </c>
      <c r="F397" s="138" t="n">
        <f aca="false">Scoring!B403</f>
        <v>0</v>
      </c>
      <c r="G397" s="138" t="n">
        <f aca="false">Scoring!D403</f>
        <v>0</v>
      </c>
      <c r="H397" s="138" t="str">
        <f aca="false">Scoring!BG403</f>
        <v/>
      </c>
      <c r="I397" s="140" t="str">
        <f aca="false">Scoring!BF403</f>
        <v/>
      </c>
    </row>
    <row r="398" customFormat="false" ht="15.75" hidden="false" customHeight="false" outlineLevel="0" collapsed="false">
      <c r="A398" s="138" t="str">
        <f aca="false">Scoring!BI404</f>
        <v/>
      </c>
      <c r="B398" s="138" t="str">
        <f aca="false">Scoring!BH404</f>
        <v/>
      </c>
      <c r="C398" s="138" t="n">
        <f aca="false">Scoring!C404</f>
        <v>0</v>
      </c>
      <c r="D398" s="139" t="str">
        <f aca="false">Scoring!BE404</f>
        <v/>
      </c>
      <c r="E398" s="138" t="str">
        <f aca="false">Scoring!AJ404</f>
        <v/>
      </c>
      <c r="F398" s="138" t="n">
        <f aca="false">Scoring!B404</f>
        <v>0</v>
      </c>
      <c r="G398" s="138" t="n">
        <f aca="false">Scoring!D404</f>
        <v>0</v>
      </c>
      <c r="H398" s="138" t="str">
        <f aca="false">Scoring!BG404</f>
        <v/>
      </c>
      <c r="I398" s="140" t="str">
        <f aca="false">Scoring!BF404</f>
        <v/>
      </c>
    </row>
    <row r="399" customFormat="false" ht="15.75" hidden="false" customHeight="false" outlineLevel="0" collapsed="false">
      <c r="A399" s="138" t="str">
        <f aca="false">Scoring!BI405</f>
        <v/>
      </c>
      <c r="B399" s="138" t="str">
        <f aca="false">Scoring!BH405</f>
        <v/>
      </c>
      <c r="C399" s="138" t="n">
        <f aca="false">Scoring!C405</f>
        <v>0</v>
      </c>
      <c r="D399" s="139" t="str">
        <f aca="false">Scoring!BE405</f>
        <v/>
      </c>
      <c r="E399" s="138" t="str">
        <f aca="false">Scoring!AJ405</f>
        <v/>
      </c>
      <c r="F399" s="138" t="n">
        <f aca="false">Scoring!B405</f>
        <v>0</v>
      </c>
      <c r="G399" s="138" t="n">
        <f aca="false">Scoring!D405</f>
        <v>0</v>
      </c>
      <c r="H399" s="138" t="str">
        <f aca="false">Scoring!BG405</f>
        <v/>
      </c>
      <c r="I399" s="140" t="str">
        <f aca="false">Scoring!BF405</f>
        <v/>
      </c>
    </row>
    <row r="400" customFormat="false" ht="15.75" hidden="false" customHeight="false" outlineLevel="0" collapsed="false">
      <c r="A400" s="138" t="str">
        <f aca="false">Scoring!BI406</f>
        <v/>
      </c>
      <c r="B400" s="138" t="str">
        <f aca="false">Scoring!BH406</f>
        <v/>
      </c>
      <c r="C400" s="138" t="n">
        <f aca="false">Scoring!C406</f>
        <v>0</v>
      </c>
      <c r="D400" s="139" t="str">
        <f aca="false">Scoring!BE406</f>
        <v/>
      </c>
      <c r="E400" s="138" t="str">
        <f aca="false">Scoring!AJ406</f>
        <v/>
      </c>
      <c r="F400" s="138" t="n">
        <f aca="false">Scoring!B406</f>
        <v>0</v>
      </c>
      <c r="G400" s="138" t="n">
        <f aca="false">Scoring!D406</f>
        <v>0</v>
      </c>
      <c r="H400" s="138" t="str">
        <f aca="false">Scoring!BG406</f>
        <v/>
      </c>
      <c r="I400" s="140" t="str">
        <f aca="false">Scoring!BF406</f>
        <v/>
      </c>
    </row>
    <row r="401" customFormat="false" ht="15.75" hidden="false" customHeight="false" outlineLevel="0" collapsed="false">
      <c r="A401" s="138" t="str">
        <f aca="false">Scoring!BI407</f>
        <v/>
      </c>
      <c r="B401" s="138" t="str">
        <f aca="false">Scoring!BH407</f>
        <v/>
      </c>
      <c r="C401" s="138" t="n">
        <f aca="false">Scoring!C407</f>
        <v>0</v>
      </c>
      <c r="D401" s="139" t="str">
        <f aca="false">Scoring!BE407</f>
        <v/>
      </c>
      <c r="E401" s="138" t="str">
        <f aca="false">Scoring!AJ407</f>
        <v/>
      </c>
      <c r="F401" s="138" t="n">
        <f aca="false">Scoring!B407</f>
        <v>0</v>
      </c>
      <c r="G401" s="138" t="n">
        <f aca="false">Scoring!D407</f>
        <v>0</v>
      </c>
      <c r="H401" s="138" t="str">
        <f aca="false">Scoring!BG407</f>
        <v/>
      </c>
      <c r="I401" s="140" t="str">
        <f aca="false">Scoring!BF407</f>
        <v/>
      </c>
    </row>
    <row r="402" customFormat="false" ht="15.75" hidden="false" customHeight="false" outlineLevel="0" collapsed="false">
      <c r="A402" s="138" t="str">
        <f aca="false">Scoring!BI408</f>
        <v/>
      </c>
      <c r="B402" s="138" t="str">
        <f aca="false">Scoring!BH408</f>
        <v/>
      </c>
      <c r="C402" s="138" t="n">
        <f aca="false">Scoring!C408</f>
        <v>0</v>
      </c>
      <c r="D402" s="139" t="str">
        <f aca="false">Scoring!BE408</f>
        <v/>
      </c>
      <c r="E402" s="138" t="str">
        <f aca="false">Scoring!AJ408</f>
        <v/>
      </c>
      <c r="F402" s="138" t="n">
        <f aca="false">Scoring!B408</f>
        <v>0</v>
      </c>
      <c r="G402" s="138" t="n">
        <f aca="false">Scoring!D408</f>
        <v>0</v>
      </c>
      <c r="H402" s="138" t="str">
        <f aca="false">Scoring!BG408</f>
        <v/>
      </c>
      <c r="I402" s="140" t="str">
        <f aca="false">Scoring!BF408</f>
        <v/>
      </c>
    </row>
    <row r="403" customFormat="false" ht="15.75" hidden="false" customHeight="false" outlineLevel="0" collapsed="false">
      <c r="A403" s="138" t="str">
        <f aca="false">Scoring!BI409</f>
        <v/>
      </c>
      <c r="B403" s="138" t="str">
        <f aca="false">Scoring!BH409</f>
        <v/>
      </c>
      <c r="C403" s="138" t="n">
        <f aca="false">Scoring!C409</f>
        <v>0</v>
      </c>
      <c r="D403" s="139" t="str">
        <f aca="false">Scoring!BE409</f>
        <v/>
      </c>
      <c r="E403" s="138" t="str">
        <f aca="false">Scoring!AJ409</f>
        <v/>
      </c>
      <c r="F403" s="138" t="n">
        <f aca="false">Scoring!B409</f>
        <v>0</v>
      </c>
      <c r="G403" s="138" t="n">
        <f aca="false">Scoring!D409</f>
        <v>0</v>
      </c>
      <c r="H403" s="138" t="str">
        <f aca="false">Scoring!BG409</f>
        <v/>
      </c>
      <c r="I403" s="140" t="str">
        <f aca="false">Scoring!BF409</f>
        <v/>
      </c>
    </row>
    <row r="404" customFormat="false" ht="15.75" hidden="false" customHeight="false" outlineLevel="0" collapsed="false">
      <c r="A404" s="138" t="str">
        <f aca="false">Scoring!BI410</f>
        <v/>
      </c>
      <c r="B404" s="138" t="str">
        <f aca="false">Scoring!BH410</f>
        <v/>
      </c>
      <c r="C404" s="138" t="n">
        <f aca="false">Scoring!C410</f>
        <v>0</v>
      </c>
      <c r="D404" s="139" t="str">
        <f aca="false">Scoring!BE410</f>
        <v/>
      </c>
      <c r="E404" s="138" t="str">
        <f aca="false">Scoring!AJ410</f>
        <v/>
      </c>
      <c r="F404" s="138" t="n">
        <f aca="false">Scoring!B410</f>
        <v>0</v>
      </c>
      <c r="G404" s="138" t="n">
        <f aca="false">Scoring!D410</f>
        <v>0</v>
      </c>
      <c r="H404" s="138" t="str">
        <f aca="false">Scoring!BG410</f>
        <v/>
      </c>
      <c r="I404" s="140" t="str">
        <f aca="false">Scoring!BF410</f>
        <v/>
      </c>
    </row>
    <row r="405" customFormat="false" ht="15.75" hidden="false" customHeight="false" outlineLevel="0" collapsed="false">
      <c r="A405" s="138" t="str">
        <f aca="false">Scoring!BI411</f>
        <v/>
      </c>
      <c r="B405" s="138" t="str">
        <f aca="false">Scoring!BH411</f>
        <v/>
      </c>
      <c r="C405" s="138" t="n">
        <f aca="false">Scoring!C411</f>
        <v>0</v>
      </c>
      <c r="D405" s="139" t="str">
        <f aca="false">Scoring!BE411</f>
        <v/>
      </c>
      <c r="E405" s="138" t="str">
        <f aca="false">Scoring!AJ411</f>
        <v/>
      </c>
      <c r="F405" s="138" t="n">
        <f aca="false">Scoring!B411</f>
        <v>0</v>
      </c>
      <c r="G405" s="138" t="n">
        <f aca="false">Scoring!D411</f>
        <v>0</v>
      </c>
      <c r="H405" s="138" t="str">
        <f aca="false">Scoring!BG411</f>
        <v/>
      </c>
      <c r="I405" s="140" t="str">
        <f aca="false">Scoring!BF411</f>
        <v/>
      </c>
    </row>
    <row r="406" customFormat="false" ht="15.75" hidden="false" customHeight="false" outlineLevel="0" collapsed="false">
      <c r="A406" s="138" t="str">
        <f aca="false">Scoring!BI412</f>
        <v/>
      </c>
      <c r="B406" s="138" t="str">
        <f aca="false">Scoring!BH412</f>
        <v/>
      </c>
      <c r="C406" s="138" t="n">
        <f aca="false">Scoring!C412</f>
        <v>0</v>
      </c>
      <c r="D406" s="139" t="str">
        <f aca="false">Scoring!BE412</f>
        <v/>
      </c>
      <c r="E406" s="138" t="str">
        <f aca="false">Scoring!AJ412</f>
        <v/>
      </c>
      <c r="F406" s="138" t="n">
        <f aca="false">Scoring!B412</f>
        <v>0</v>
      </c>
      <c r="G406" s="138" t="n">
        <f aca="false">Scoring!D412</f>
        <v>0</v>
      </c>
      <c r="H406" s="138" t="str">
        <f aca="false">Scoring!BG412</f>
        <v/>
      </c>
      <c r="I406" s="140" t="str">
        <f aca="false">Scoring!BF412</f>
        <v/>
      </c>
    </row>
    <row r="407" customFormat="false" ht="15.75" hidden="false" customHeight="false" outlineLevel="0" collapsed="false">
      <c r="A407" s="138" t="str">
        <f aca="false">Scoring!BI413</f>
        <v/>
      </c>
      <c r="B407" s="138" t="str">
        <f aca="false">Scoring!BH413</f>
        <v/>
      </c>
      <c r="C407" s="138" t="n">
        <f aca="false">Scoring!C413</f>
        <v>0</v>
      </c>
      <c r="D407" s="139" t="str">
        <f aca="false">Scoring!BE413</f>
        <v/>
      </c>
      <c r="E407" s="138" t="str">
        <f aca="false">Scoring!AJ413</f>
        <v/>
      </c>
      <c r="F407" s="138" t="n">
        <f aca="false">Scoring!B413</f>
        <v>0</v>
      </c>
      <c r="G407" s="138" t="n">
        <f aca="false">Scoring!D413</f>
        <v>0</v>
      </c>
      <c r="H407" s="138" t="str">
        <f aca="false">Scoring!BG413</f>
        <v/>
      </c>
      <c r="I407" s="140" t="str">
        <f aca="false">Scoring!BF413</f>
        <v/>
      </c>
    </row>
    <row r="408" customFormat="false" ht="15.75" hidden="false" customHeight="false" outlineLevel="0" collapsed="false">
      <c r="A408" s="138" t="str">
        <f aca="false">Scoring!BI414</f>
        <v/>
      </c>
      <c r="B408" s="138" t="str">
        <f aca="false">Scoring!BH414</f>
        <v/>
      </c>
      <c r="C408" s="138" t="n">
        <f aca="false">Scoring!C414</f>
        <v>0</v>
      </c>
      <c r="D408" s="139" t="str">
        <f aca="false">Scoring!BE414</f>
        <v/>
      </c>
      <c r="E408" s="138" t="str">
        <f aca="false">Scoring!AJ414</f>
        <v/>
      </c>
      <c r="F408" s="138" t="n">
        <f aca="false">Scoring!B414</f>
        <v>0</v>
      </c>
      <c r="G408" s="138" t="n">
        <f aca="false">Scoring!D414</f>
        <v>0</v>
      </c>
      <c r="H408" s="138" t="str">
        <f aca="false">Scoring!BG414</f>
        <v/>
      </c>
      <c r="I408" s="140" t="str">
        <f aca="false">Scoring!BF414</f>
        <v/>
      </c>
    </row>
    <row r="409" customFormat="false" ht="15.75" hidden="false" customHeight="false" outlineLevel="0" collapsed="false">
      <c r="A409" s="138" t="str">
        <f aca="false">Scoring!BI415</f>
        <v/>
      </c>
      <c r="B409" s="138" t="str">
        <f aca="false">Scoring!BH415</f>
        <v/>
      </c>
      <c r="C409" s="138" t="n">
        <f aca="false">Scoring!C415</f>
        <v>0</v>
      </c>
      <c r="D409" s="139" t="str">
        <f aca="false">Scoring!BE415</f>
        <v/>
      </c>
      <c r="E409" s="138" t="str">
        <f aca="false">Scoring!AJ415</f>
        <v/>
      </c>
      <c r="F409" s="138" t="n">
        <f aca="false">Scoring!B415</f>
        <v>0</v>
      </c>
      <c r="G409" s="138" t="n">
        <f aca="false">Scoring!D415</f>
        <v>0</v>
      </c>
      <c r="H409" s="138" t="str">
        <f aca="false">Scoring!BG415</f>
        <v/>
      </c>
      <c r="I409" s="140" t="str">
        <f aca="false">Scoring!BF415</f>
        <v/>
      </c>
    </row>
    <row r="410" customFormat="false" ht="15.75" hidden="false" customHeight="false" outlineLevel="0" collapsed="false">
      <c r="A410" s="138" t="str">
        <f aca="false">Scoring!BI416</f>
        <v/>
      </c>
      <c r="B410" s="138" t="str">
        <f aca="false">Scoring!BH416</f>
        <v/>
      </c>
      <c r="C410" s="138" t="n">
        <f aca="false">Scoring!C416</f>
        <v>0</v>
      </c>
      <c r="D410" s="139" t="str">
        <f aca="false">Scoring!BE416</f>
        <v/>
      </c>
      <c r="E410" s="138" t="str">
        <f aca="false">Scoring!AJ416</f>
        <v/>
      </c>
      <c r="F410" s="138" t="n">
        <f aca="false">Scoring!B416</f>
        <v>0</v>
      </c>
      <c r="G410" s="138" t="n">
        <f aca="false">Scoring!D416</f>
        <v>0</v>
      </c>
      <c r="H410" s="138" t="str">
        <f aca="false">Scoring!BG416</f>
        <v/>
      </c>
      <c r="I410" s="140" t="str">
        <f aca="false">Scoring!BF416</f>
        <v/>
      </c>
    </row>
    <row r="411" customFormat="false" ht="15.75" hidden="false" customHeight="false" outlineLevel="0" collapsed="false">
      <c r="A411" s="138" t="str">
        <f aca="false">Scoring!BI417</f>
        <v/>
      </c>
      <c r="B411" s="138" t="str">
        <f aca="false">Scoring!BH417</f>
        <v/>
      </c>
      <c r="C411" s="138" t="n">
        <f aca="false">Scoring!C417</f>
        <v>0</v>
      </c>
      <c r="D411" s="139" t="str">
        <f aca="false">Scoring!BE417</f>
        <v/>
      </c>
      <c r="E411" s="138" t="str">
        <f aca="false">Scoring!AJ417</f>
        <v/>
      </c>
      <c r="F411" s="138" t="n">
        <f aca="false">Scoring!B417</f>
        <v>0</v>
      </c>
      <c r="G411" s="138" t="n">
        <f aca="false">Scoring!D417</f>
        <v>0</v>
      </c>
      <c r="H411" s="138" t="str">
        <f aca="false">Scoring!BG417</f>
        <v/>
      </c>
      <c r="I411" s="140" t="str">
        <f aca="false">Scoring!BF417</f>
        <v/>
      </c>
    </row>
    <row r="412" customFormat="false" ht="15.75" hidden="false" customHeight="false" outlineLevel="0" collapsed="false">
      <c r="A412" s="138" t="str">
        <f aca="false">Scoring!BI418</f>
        <v/>
      </c>
      <c r="B412" s="138" t="str">
        <f aca="false">Scoring!BH418</f>
        <v/>
      </c>
      <c r="C412" s="138" t="n">
        <f aca="false">Scoring!C418</f>
        <v>0</v>
      </c>
      <c r="D412" s="139" t="str">
        <f aca="false">Scoring!BE418</f>
        <v/>
      </c>
      <c r="E412" s="138" t="str">
        <f aca="false">Scoring!AJ418</f>
        <v/>
      </c>
      <c r="F412" s="138" t="n">
        <f aca="false">Scoring!B418</f>
        <v>0</v>
      </c>
      <c r="G412" s="138" t="n">
        <f aca="false">Scoring!D418</f>
        <v>0</v>
      </c>
      <c r="H412" s="138" t="str">
        <f aca="false">Scoring!BG418</f>
        <v/>
      </c>
      <c r="I412" s="140" t="str">
        <f aca="false">Scoring!BF418</f>
        <v/>
      </c>
    </row>
    <row r="413" customFormat="false" ht="15.75" hidden="false" customHeight="false" outlineLevel="0" collapsed="false">
      <c r="A413" s="138" t="str">
        <f aca="false">Scoring!BI419</f>
        <v/>
      </c>
      <c r="B413" s="138" t="str">
        <f aca="false">Scoring!BH419</f>
        <v/>
      </c>
      <c r="C413" s="138" t="n">
        <f aca="false">Scoring!C419</f>
        <v>0</v>
      </c>
      <c r="D413" s="139" t="str">
        <f aca="false">Scoring!BE419</f>
        <v/>
      </c>
      <c r="E413" s="138" t="str">
        <f aca="false">Scoring!AJ419</f>
        <v/>
      </c>
      <c r="F413" s="138" t="n">
        <f aca="false">Scoring!B419</f>
        <v>0</v>
      </c>
      <c r="G413" s="138" t="n">
        <f aca="false">Scoring!D419</f>
        <v>0</v>
      </c>
      <c r="H413" s="138" t="str">
        <f aca="false">Scoring!BG419</f>
        <v/>
      </c>
      <c r="I413" s="140" t="str">
        <f aca="false">Scoring!BF419</f>
        <v/>
      </c>
    </row>
    <row r="414" customFormat="false" ht="15.75" hidden="false" customHeight="false" outlineLevel="0" collapsed="false">
      <c r="A414" s="138" t="str">
        <f aca="false">Scoring!BI420</f>
        <v/>
      </c>
      <c r="B414" s="138" t="str">
        <f aca="false">Scoring!BH420</f>
        <v/>
      </c>
      <c r="C414" s="138" t="n">
        <f aca="false">Scoring!C420</f>
        <v>0</v>
      </c>
      <c r="D414" s="139" t="str">
        <f aca="false">Scoring!BE420</f>
        <v/>
      </c>
      <c r="E414" s="138" t="str">
        <f aca="false">Scoring!AJ420</f>
        <v/>
      </c>
      <c r="F414" s="138" t="n">
        <f aca="false">Scoring!B420</f>
        <v>0</v>
      </c>
      <c r="G414" s="138" t="n">
        <f aca="false">Scoring!D420</f>
        <v>0</v>
      </c>
      <c r="H414" s="138" t="str">
        <f aca="false">Scoring!BG420</f>
        <v/>
      </c>
      <c r="I414" s="140" t="str">
        <f aca="false">Scoring!BF420</f>
        <v/>
      </c>
    </row>
    <row r="415" customFormat="false" ht="15.75" hidden="false" customHeight="false" outlineLevel="0" collapsed="false">
      <c r="A415" s="138" t="str">
        <f aca="false">Scoring!BI421</f>
        <v/>
      </c>
      <c r="B415" s="138" t="str">
        <f aca="false">Scoring!BH421</f>
        <v/>
      </c>
      <c r="C415" s="138" t="n">
        <f aca="false">Scoring!C421</f>
        <v>0</v>
      </c>
      <c r="D415" s="139" t="str">
        <f aca="false">Scoring!BE421</f>
        <v/>
      </c>
      <c r="E415" s="138" t="str">
        <f aca="false">Scoring!AJ421</f>
        <v/>
      </c>
      <c r="F415" s="138" t="n">
        <f aca="false">Scoring!B421</f>
        <v>0</v>
      </c>
      <c r="G415" s="138" t="n">
        <f aca="false">Scoring!D421</f>
        <v>0</v>
      </c>
      <c r="H415" s="138" t="str">
        <f aca="false">Scoring!BG421</f>
        <v/>
      </c>
      <c r="I415" s="140" t="str">
        <f aca="false">Scoring!BF421</f>
        <v/>
      </c>
    </row>
    <row r="416" customFormat="false" ht="15.75" hidden="false" customHeight="false" outlineLevel="0" collapsed="false">
      <c r="A416" s="138" t="str">
        <f aca="false">Scoring!BI422</f>
        <v/>
      </c>
      <c r="B416" s="138" t="str">
        <f aca="false">Scoring!BH422</f>
        <v/>
      </c>
      <c r="C416" s="138" t="n">
        <f aca="false">Scoring!C422</f>
        <v>0</v>
      </c>
      <c r="D416" s="139" t="str">
        <f aca="false">Scoring!BE422</f>
        <v/>
      </c>
      <c r="E416" s="138" t="str">
        <f aca="false">Scoring!AJ422</f>
        <v/>
      </c>
      <c r="F416" s="138" t="n">
        <f aca="false">Scoring!B422</f>
        <v>0</v>
      </c>
      <c r="G416" s="138" t="n">
        <f aca="false">Scoring!D422</f>
        <v>0</v>
      </c>
      <c r="H416" s="138" t="str">
        <f aca="false">Scoring!BG422</f>
        <v/>
      </c>
      <c r="I416" s="140" t="str">
        <f aca="false">Scoring!BF422</f>
        <v/>
      </c>
    </row>
    <row r="417" customFormat="false" ht="15.75" hidden="false" customHeight="false" outlineLevel="0" collapsed="false">
      <c r="A417" s="138" t="str">
        <f aca="false">Scoring!BI423</f>
        <v/>
      </c>
      <c r="B417" s="138" t="str">
        <f aca="false">Scoring!BH423</f>
        <v/>
      </c>
      <c r="C417" s="138" t="n">
        <f aca="false">Scoring!C423</f>
        <v>0</v>
      </c>
      <c r="D417" s="139" t="str">
        <f aca="false">Scoring!BE423</f>
        <v/>
      </c>
      <c r="E417" s="138" t="str">
        <f aca="false">Scoring!AJ423</f>
        <v/>
      </c>
      <c r="F417" s="138" t="n">
        <f aca="false">Scoring!B423</f>
        <v>0</v>
      </c>
      <c r="G417" s="138" t="n">
        <f aca="false">Scoring!D423</f>
        <v>0</v>
      </c>
      <c r="H417" s="138" t="str">
        <f aca="false">Scoring!BG423</f>
        <v/>
      </c>
      <c r="I417" s="140" t="str">
        <f aca="false">Scoring!BF423</f>
        <v/>
      </c>
    </row>
    <row r="418" customFormat="false" ht="15.75" hidden="false" customHeight="false" outlineLevel="0" collapsed="false">
      <c r="A418" s="138" t="str">
        <f aca="false">Scoring!BI424</f>
        <v/>
      </c>
      <c r="B418" s="138" t="str">
        <f aca="false">Scoring!BH424</f>
        <v/>
      </c>
      <c r="C418" s="138" t="n">
        <f aca="false">Scoring!C424</f>
        <v>0</v>
      </c>
      <c r="D418" s="139" t="str">
        <f aca="false">Scoring!BE424</f>
        <v/>
      </c>
      <c r="E418" s="138" t="str">
        <f aca="false">Scoring!AJ424</f>
        <v/>
      </c>
      <c r="F418" s="138" t="n">
        <f aca="false">Scoring!B424</f>
        <v>0</v>
      </c>
      <c r="G418" s="138" t="n">
        <f aca="false">Scoring!D424</f>
        <v>0</v>
      </c>
      <c r="H418" s="138" t="str">
        <f aca="false">Scoring!BG424</f>
        <v/>
      </c>
      <c r="I418" s="140" t="str">
        <f aca="false">Scoring!BF424</f>
        <v/>
      </c>
    </row>
    <row r="419" customFormat="false" ht="15.75" hidden="false" customHeight="false" outlineLevel="0" collapsed="false">
      <c r="A419" s="138" t="str">
        <f aca="false">Scoring!BI425</f>
        <v/>
      </c>
      <c r="B419" s="138" t="str">
        <f aca="false">Scoring!BH425</f>
        <v/>
      </c>
      <c r="C419" s="138" t="n">
        <f aca="false">Scoring!C425</f>
        <v>0</v>
      </c>
      <c r="D419" s="139" t="str">
        <f aca="false">Scoring!BE425</f>
        <v/>
      </c>
      <c r="E419" s="138" t="str">
        <f aca="false">Scoring!AJ425</f>
        <v/>
      </c>
      <c r="F419" s="138" t="n">
        <f aca="false">Scoring!B425</f>
        <v>0</v>
      </c>
      <c r="G419" s="138" t="n">
        <f aca="false">Scoring!D425</f>
        <v>0</v>
      </c>
      <c r="H419" s="138" t="str">
        <f aca="false">Scoring!BG425</f>
        <v/>
      </c>
      <c r="I419" s="140" t="str">
        <f aca="false">Scoring!BF425</f>
        <v/>
      </c>
    </row>
    <row r="420" customFormat="false" ht="15.75" hidden="false" customHeight="false" outlineLevel="0" collapsed="false">
      <c r="A420" s="138" t="str">
        <f aca="false">Scoring!BI426</f>
        <v/>
      </c>
      <c r="B420" s="138" t="str">
        <f aca="false">Scoring!BH426</f>
        <v/>
      </c>
      <c r="C420" s="138" t="n">
        <f aca="false">Scoring!C426</f>
        <v>0</v>
      </c>
      <c r="D420" s="139" t="str">
        <f aca="false">Scoring!BE426</f>
        <v/>
      </c>
      <c r="E420" s="138" t="str">
        <f aca="false">Scoring!AJ426</f>
        <v/>
      </c>
      <c r="F420" s="138" t="n">
        <f aca="false">Scoring!B426</f>
        <v>0</v>
      </c>
      <c r="G420" s="138" t="n">
        <f aca="false">Scoring!D426</f>
        <v>0</v>
      </c>
      <c r="H420" s="138" t="str">
        <f aca="false">Scoring!BG426</f>
        <v/>
      </c>
      <c r="I420" s="140" t="str">
        <f aca="false">Scoring!BF426</f>
        <v/>
      </c>
    </row>
    <row r="421" customFormat="false" ht="15.75" hidden="false" customHeight="false" outlineLevel="0" collapsed="false">
      <c r="A421" s="138" t="str">
        <f aca="false">Scoring!BI427</f>
        <v/>
      </c>
      <c r="B421" s="138" t="str">
        <f aca="false">Scoring!BH427</f>
        <v/>
      </c>
      <c r="C421" s="138" t="n">
        <f aca="false">Scoring!C427</f>
        <v>0</v>
      </c>
      <c r="D421" s="139" t="str">
        <f aca="false">Scoring!BE427</f>
        <v/>
      </c>
      <c r="E421" s="138" t="str">
        <f aca="false">Scoring!AJ427</f>
        <v/>
      </c>
      <c r="F421" s="138" t="n">
        <f aca="false">Scoring!B427</f>
        <v>0</v>
      </c>
      <c r="G421" s="138" t="n">
        <f aca="false">Scoring!D427</f>
        <v>0</v>
      </c>
      <c r="H421" s="138" t="str">
        <f aca="false">Scoring!BG427</f>
        <v/>
      </c>
      <c r="I421" s="140" t="str">
        <f aca="false">Scoring!BF427</f>
        <v/>
      </c>
    </row>
    <row r="422" customFormat="false" ht="15.75" hidden="false" customHeight="false" outlineLevel="0" collapsed="false">
      <c r="A422" s="138" t="str">
        <f aca="false">Scoring!BI428</f>
        <v/>
      </c>
      <c r="B422" s="138" t="str">
        <f aca="false">Scoring!BH428</f>
        <v/>
      </c>
      <c r="C422" s="138" t="n">
        <f aca="false">Scoring!C428</f>
        <v>0</v>
      </c>
      <c r="D422" s="139" t="str">
        <f aca="false">Scoring!BE428</f>
        <v/>
      </c>
      <c r="E422" s="138" t="str">
        <f aca="false">Scoring!AJ428</f>
        <v/>
      </c>
      <c r="F422" s="138" t="n">
        <f aca="false">Scoring!B428</f>
        <v>0</v>
      </c>
      <c r="G422" s="138" t="n">
        <f aca="false">Scoring!D428</f>
        <v>0</v>
      </c>
      <c r="H422" s="138" t="str">
        <f aca="false">Scoring!BG428</f>
        <v/>
      </c>
      <c r="I422" s="140" t="str">
        <f aca="false">Scoring!BF428</f>
        <v/>
      </c>
    </row>
    <row r="423" customFormat="false" ht="15.75" hidden="false" customHeight="false" outlineLevel="0" collapsed="false">
      <c r="A423" s="138" t="str">
        <f aca="false">Scoring!BI429</f>
        <v/>
      </c>
      <c r="B423" s="138" t="str">
        <f aca="false">Scoring!BH429</f>
        <v/>
      </c>
      <c r="C423" s="138" t="n">
        <f aca="false">Scoring!C429</f>
        <v>0</v>
      </c>
      <c r="D423" s="139" t="str">
        <f aca="false">Scoring!BE429</f>
        <v/>
      </c>
      <c r="E423" s="138" t="str">
        <f aca="false">Scoring!AJ429</f>
        <v/>
      </c>
      <c r="F423" s="138" t="n">
        <f aca="false">Scoring!B429</f>
        <v>0</v>
      </c>
      <c r="G423" s="138" t="n">
        <f aca="false">Scoring!D429</f>
        <v>0</v>
      </c>
      <c r="H423" s="138" t="str">
        <f aca="false">Scoring!BG429</f>
        <v/>
      </c>
      <c r="I423" s="140" t="str">
        <f aca="false">Scoring!BF429</f>
        <v/>
      </c>
    </row>
    <row r="424" customFormat="false" ht="15.75" hidden="false" customHeight="false" outlineLevel="0" collapsed="false">
      <c r="A424" s="138" t="str">
        <f aca="false">Scoring!BI430</f>
        <v/>
      </c>
      <c r="B424" s="138" t="str">
        <f aca="false">Scoring!BH430</f>
        <v/>
      </c>
      <c r="C424" s="138" t="n">
        <f aca="false">Scoring!C430</f>
        <v>0</v>
      </c>
      <c r="D424" s="139" t="str">
        <f aca="false">Scoring!BE430</f>
        <v/>
      </c>
      <c r="E424" s="138" t="str">
        <f aca="false">Scoring!AJ430</f>
        <v/>
      </c>
      <c r="F424" s="138" t="n">
        <f aca="false">Scoring!B430</f>
        <v>0</v>
      </c>
      <c r="G424" s="138" t="n">
        <f aca="false">Scoring!D430</f>
        <v>0</v>
      </c>
      <c r="H424" s="138" t="str">
        <f aca="false">Scoring!BG430</f>
        <v/>
      </c>
      <c r="I424" s="140" t="str">
        <f aca="false">Scoring!BF430</f>
        <v/>
      </c>
    </row>
    <row r="425" customFormat="false" ht="15.75" hidden="false" customHeight="false" outlineLevel="0" collapsed="false">
      <c r="A425" s="138" t="str">
        <f aca="false">Scoring!BI431</f>
        <v/>
      </c>
      <c r="B425" s="138" t="str">
        <f aca="false">Scoring!BH431</f>
        <v/>
      </c>
      <c r="C425" s="138" t="n">
        <f aca="false">Scoring!C431</f>
        <v>0</v>
      </c>
      <c r="D425" s="139" t="str">
        <f aca="false">Scoring!BE431</f>
        <v/>
      </c>
      <c r="E425" s="138" t="str">
        <f aca="false">Scoring!AJ431</f>
        <v/>
      </c>
      <c r="F425" s="138" t="n">
        <f aca="false">Scoring!B431</f>
        <v>0</v>
      </c>
      <c r="G425" s="138" t="n">
        <f aca="false">Scoring!D431</f>
        <v>0</v>
      </c>
      <c r="H425" s="138" t="str">
        <f aca="false">Scoring!BG431</f>
        <v/>
      </c>
      <c r="I425" s="140" t="str">
        <f aca="false">Scoring!BF431</f>
        <v/>
      </c>
    </row>
    <row r="426" customFormat="false" ht="15.75" hidden="false" customHeight="false" outlineLevel="0" collapsed="false">
      <c r="A426" s="138" t="str">
        <f aca="false">Scoring!BI432</f>
        <v/>
      </c>
      <c r="B426" s="138" t="str">
        <f aca="false">Scoring!BH432</f>
        <v/>
      </c>
      <c r="C426" s="138" t="n">
        <f aca="false">Scoring!C432</f>
        <v>0</v>
      </c>
      <c r="D426" s="139" t="str">
        <f aca="false">Scoring!BE432</f>
        <v/>
      </c>
      <c r="E426" s="138" t="str">
        <f aca="false">Scoring!AJ432</f>
        <v/>
      </c>
      <c r="F426" s="138" t="n">
        <f aca="false">Scoring!B432</f>
        <v>0</v>
      </c>
      <c r="G426" s="138" t="n">
        <f aca="false">Scoring!D432</f>
        <v>0</v>
      </c>
      <c r="H426" s="138" t="str">
        <f aca="false">Scoring!BG432</f>
        <v/>
      </c>
      <c r="I426" s="140" t="str">
        <f aca="false">Scoring!BF432</f>
        <v/>
      </c>
    </row>
    <row r="427" customFormat="false" ht="15.75" hidden="false" customHeight="false" outlineLevel="0" collapsed="false">
      <c r="A427" s="138" t="str">
        <f aca="false">Scoring!BI433</f>
        <v/>
      </c>
      <c r="B427" s="138" t="str">
        <f aca="false">Scoring!BH433</f>
        <v/>
      </c>
      <c r="C427" s="138" t="n">
        <f aca="false">Scoring!C433</f>
        <v>0</v>
      </c>
      <c r="D427" s="139" t="str">
        <f aca="false">Scoring!BE433</f>
        <v/>
      </c>
      <c r="E427" s="138" t="str">
        <f aca="false">Scoring!AJ433</f>
        <v/>
      </c>
      <c r="F427" s="138" t="n">
        <f aca="false">Scoring!B433</f>
        <v>0</v>
      </c>
      <c r="G427" s="138" t="n">
        <f aca="false">Scoring!D433</f>
        <v>0</v>
      </c>
      <c r="H427" s="138" t="str">
        <f aca="false">Scoring!BG433</f>
        <v/>
      </c>
      <c r="I427" s="140" t="str">
        <f aca="false">Scoring!BF433</f>
        <v/>
      </c>
    </row>
    <row r="428" customFormat="false" ht="15.75" hidden="false" customHeight="false" outlineLevel="0" collapsed="false">
      <c r="A428" s="138" t="str">
        <f aca="false">Scoring!BI434</f>
        <v/>
      </c>
      <c r="B428" s="138" t="str">
        <f aca="false">Scoring!BH434</f>
        <v/>
      </c>
      <c r="C428" s="138" t="n">
        <f aca="false">Scoring!C434</f>
        <v>0</v>
      </c>
      <c r="D428" s="139" t="str">
        <f aca="false">Scoring!BE434</f>
        <v/>
      </c>
      <c r="E428" s="138" t="str">
        <f aca="false">Scoring!AJ434</f>
        <v/>
      </c>
      <c r="F428" s="138" t="n">
        <f aca="false">Scoring!B434</f>
        <v>0</v>
      </c>
      <c r="G428" s="138" t="n">
        <f aca="false">Scoring!D434</f>
        <v>0</v>
      </c>
      <c r="H428" s="138" t="str">
        <f aca="false">Scoring!BG434</f>
        <v/>
      </c>
      <c r="I428" s="140" t="str">
        <f aca="false">Scoring!BF434</f>
        <v/>
      </c>
    </row>
    <row r="429" customFormat="false" ht="15.75" hidden="false" customHeight="false" outlineLevel="0" collapsed="false">
      <c r="A429" s="138" t="str">
        <f aca="false">Scoring!BI435</f>
        <v/>
      </c>
      <c r="B429" s="138" t="str">
        <f aca="false">Scoring!BH435</f>
        <v/>
      </c>
      <c r="C429" s="138" t="n">
        <f aca="false">Scoring!C435</f>
        <v>0</v>
      </c>
      <c r="D429" s="139" t="str">
        <f aca="false">Scoring!BE435</f>
        <v/>
      </c>
      <c r="E429" s="138" t="str">
        <f aca="false">Scoring!AJ435</f>
        <v/>
      </c>
      <c r="F429" s="138" t="n">
        <f aca="false">Scoring!B435</f>
        <v>0</v>
      </c>
      <c r="G429" s="138" t="n">
        <f aca="false">Scoring!D435</f>
        <v>0</v>
      </c>
      <c r="H429" s="138" t="str">
        <f aca="false">Scoring!BG435</f>
        <v/>
      </c>
      <c r="I429" s="140" t="str">
        <f aca="false">Scoring!BF435</f>
        <v/>
      </c>
    </row>
    <row r="430" customFormat="false" ht="15.75" hidden="false" customHeight="false" outlineLevel="0" collapsed="false">
      <c r="A430" s="138" t="str">
        <f aca="false">Scoring!BI436</f>
        <v/>
      </c>
      <c r="B430" s="138" t="str">
        <f aca="false">Scoring!BH436</f>
        <v/>
      </c>
      <c r="C430" s="138" t="n">
        <f aca="false">Scoring!C436</f>
        <v>0</v>
      </c>
      <c r="D430" s="139" t="str">
        <f aca="false">Scoring!BE436</f>
        <v/>
      </c>
      <c r="E430" s="138" t="str">
        <f aca="false">Scoring!AJ436</f>
        <v/>
      </c>
      <c r="F430" s="138" t="n">
        <f aca="false">Scoring!B436</f>
        <v>0</v>
      </c>
      <c r="G430" s="138" t="n">
        <f aca="false">Scoring!D436</f>
        <v>0</v>
      </c>
      <c r="H430" s="138" t="str">
        <f aca="false">Scoring!BG436</f>
        <v/>
      </c>
      <c r="I430" s="140" t="str">
        <f aca="false">Scoring!BF436</f>
        <v/>
      </c>
    </row>
    <row r="431" customFormat="false" ht="15.75" hidden="false" customHeight="false" outlineLevel="0" collapsed="false">
      <c r="A431" s="138" t="str">
        <f aca="false">Scoring!BI437</f>
        <v/>
      </c>
      <c r="B431" s="138" t="str">
        <f aca="false">Scoring!BH437</f>
        <v/>
      </c>
      <c r="C431" s="138" t="n">
        <f aca="false">Scoring!C437</f>
        <v>0</v>
      </c>
      <c r="D431" s="139" t="str">
        <f aca="false">Scoring!BE437</f>
        <v/>
      </c>
      <c r="E431" s="138" t="str">
        <f aca="false">Scoring!AJ437</f>
        <v/>
      </c>
      <c r="F431" s="138" t="n">
        <f aca="false">Scoring!B437</f>
        <v>0</v>
      </c>
      <c r="G431" s="138" t="n">
        <f aca="false">Scoring!D437</f>
        <v>0</v>
      </c>
      <c r="H431" s="138" t="str">
        <f aca="false">Scoring!BG437</f>
        <v/>
      </c>
      <c r="I431" s="140" t="str">
        <f aca="false">Scoring!BF437</f>
        <v/>
      </c>
    </row>
    <row r="432" customFormat="false" ht="15.75" hidden="false" customHeight="false" outlineLevel="0" collapsed="false">
      <c r="A432" s="138" t="str">
        <f aca="false">Scoring!BI438</f>
        <v/>
      </c>
      <c r="B432" s="138" t="str">
        <f aca="false">Scoring!BH438</f>
        <v/>
      </c>
      <c r="C432" s="138" t="n">
        <f aca="false">Scoring!C438</f>
        <v>0</v>
      </c>
      <c r="D432" s="139" t="str">
        <f aca="false">Scoring!BE438</f>
        <v/>
      </c>
      <c r="E432" s="138" t="str">
        <f aca="false">Scoring!AJ438</f>
        <v/>
      </c>
      <c r="F432" s="138" t="n">
        <f aca="false">Scoring!B438</f>
        <v>0</v>
      </c>
      <c r="G432" s="138" t="n">
        <f aca="false">Scoring!D438</f>
        <v>0</v>
      </c>
      <c r="H432" s="138" t="str">
        <f aca="false">Scoring!BG438</f>
        <v/>
      </c>
      <c r="I432" s="140" t="str">
        <f aca="false">Scoring!BF438</f>
        <v/>
      </c>
    </row>
    <row r="433" customFormat="false" ht="15.75" hidden="false" customHeight="false" outlineLevel="0" collapsed="false">
      <c r="A433" s="138" t="str">
        <f aca="false">Scoring!BI439</f>
        <v/>
      </c>
      <c r="B433" s="138" t="str">
        <f aca="false">Scoring!BH439</f>
        <v/>
      </c>
      <c r="C433" s="138" t="n">
        <f aca="false">Scoring!C439</f>
        <v>0</v>
      </c>
      <c r="D433" s="139" t="str">
        <f aca="false">Scoring!BE439</f>
        <v/>
      </c>
      <c r="E433" s="138" t="str">
        <f aca="false">Scoring!AJ439</f>
        <v/>
      </c>
      <c r="F433" s="138" t="n">
        <f aca="false">Scoring!B439</f>
        <v>0</v>
      </c>
      <c r="G433" s="138" t="n">
        <f aca="false">Scoring!D439</f>
        <v>0</v>
      </c>
      <c r="H433" s="138" t="str">
        <f aca="false">Scoring!BG439</f>
        <v/>
      </c>
      <c r="I433" s="140" t="str">
        <f aca="false">Scoring!BF439</f>
        <v/>
      </c>
    </row>
    <row r="434" customFormat="false" ht="15.75" hidden="false" customHeight="false" outlineLevel="0" collapsed="false">
      <c r="A434" s="138" t="str">
        <f aca="false">Scoring!BI440</f>
        <v/>
      </c>
      <c r="B434" s="138" t="str">
        <f aca="false">Scoring!BH440</f>
        <v/>
      </c>
      <c r="C434" s="138" t="n">
        <f aca="false">Scoring!C440</f>
        <v>0</v>
      </c>
      <c r="D434" s="139" t="str">
        <f aca="false">Scoring!BE440</f>
        <v/>
      </c>
      <c r="E434" s="138" t="str">
        <f aca="false">Scoring!AJ440</f>
        <v/>
      </c>
      <c r="F434" s="138" t="n">
        <f aca="false">Scoring!B440</f>
        <v>0</v>
      </c>
      <c r="G434" s="138" t="n">
        <f aca="false">Scoring!D440</f>
        <v>0</v>
      </c>
      <c r="H434" s="138" t="str">
        <f aca="false">Scoring!BG440</f>
        <v/>
      </c>
      <c r="I434" s="140" t="str">
        <f aca="false">Scoring!BF440</f>
        <v/>
      </c>
    </row>
    <row r="435" customFormat="false" ht="15.75" hidden="false" customHeight="false" outlineLevel="0" collapsed="false">
      <c r="A435" s="138" t="str">
        <f aca="false">Scoring!BI441</f>
        <v/>
      </c>
      <c r="B435" s="138" t="str">
        <f aca="false">Scoring!BH441</f>
        <v/>
      </c>
      <c r="C435" s="138" t="n">
        <f aca="false">Scoring!C441</f>
        <v>0</v>
      </c>
      <c r="D435" s="139" t="str">
        <f aca="false">Scoring!BE441</f>
        <v/>
      </c>
      <c r="E435" s="138" t="str">
        <f aca="false">Scoring!AJ441</f>
        <v/>
      </c>
      <c r="F435" s="138" t="n">
        <f aca="false">Scoring!B441</f>
        <v>0</v>
      </c>
      <c r="G435" s="138" t="n">
        <f aca="false">Scoring!D441</f>
        <v>0</v>
      </c>
      <c r="H435" s="138" t="str">
        <f aca="false">Scoring!BG441</f>
        <v/>
      </c>
      <c r="I435" s="140" t="str">
        <f aca="false">Scoring!BF441</f>
        <v/>
      </c>
    </row>
    <row r="436" customFormat="false" ht="15.75" hidden="false" customHeight="false" outlineLevel="0" collapsed="false">
      <c r="A436" s="138" t="str">
        <f aca="false">Scoring!BI442</f>
        <v/>
      </c>
      <c r="B436" s="138" t="str">
        <f aca="false">Scoring!BH442</f>
        <v/>
      </c>
      <c r="C436" s="138" t="n">
        <f aca="false">Scoring!C442</f>
        <v>0</v>
      </c>
      <c r="D436" s="139" t="str">
        <f aca="false">Scoring!BE442</f>
        <v/>
      </c>
      <c r="E436" s="138" t="str">
        <f aca="false">Scoring!AJ442</f>
        <v/>
      </c>
      <c r="F436" s="138" t="n">
        <f aca="false">Scoring!B442</f>
        <v>0</v>
      </c>
      <c r="G436" s="138" t="n">
        <f aca="false">Scoring!D442</f>
        <v>0</v>
      </c>
      <c r="H436" s="138" t="str">
        <f aca="false">Scoring!BG442</f>
        <v/>
      </c>
      <c r="I436" s="140" t="str">
        <f aca="false">Scoring!BF442</f>
        <v/>
      </c>
    </row>
    <row r="437" customFormat="false" ht="15.75" hidden="false" customHeight="false" outlineLevel="0" collapsed="false">
      <c r="A437" s="138" t="str">
        <f aca="false">Scoring!BI443</f>
        <v/>
      </c>
      <c r="B437" s="138" t="str">
        <f aca="false">Scoring!BH443</f>
        <v/>
      </c>
      <c r="C437" s="138" t="n">
        <f aca="false">Scoring!C443</f>
        <v>0</v>
      </c>
      <c r="D437" s="139" t="str">
        <f aca="false">Scoring!BE443</f>
        <v/>
      </c>
      <c r="E437" s="138" t="str">
        <f aca="false">Scoring!AJ443</f>
        <v/>
      </c>
      <c r="F437" s="138" t="n">
        <f aca="false">Scoring!B443</f>
        <v>0</v>
      </c>
      <c r="G437" s="138" t="n">
        <f aca="false">Scoring!D443</f>
        <v>0</v>
      </c>
      <c r="H437" s="138" t="str">
        <f aca="false">Scoring!BG443</f>
        <v/>
      </c>
      <c r="I437" s="140" t="str">
        <f aca="false">Scoring!BF443</f>
        <v/>
      </c>
    </row>
    <row r="438" customFormat="false" ht="15.75" hidden="false" customHeight="false" outlineLevel="0" collapsed="false">
      <c r="A438" s="138" t="str">
        <f aca="false">Scoring!BI444</f>
        <v/>
      </c>
      <c r="B438" s="138" t="str">
        <f aca="false">Scoring!BH444</f>
        <v/>
      </c>
      <c r="C438" s="138" t="n">
        <f aca="false">Scoring!C444</f>
        <v>0</v>
      </c>
      <c r="D438" s="139" t="str">
        <f aca="false">Scoring!BE444</f>
        <v/>
      </c>
      <c r="E438" s="138" t="str">
        <f aca="false">Scoring!AJ444</f>
        <v/>
      </c>
      <c r="F438" s="138" t="n">
        <f aca="false">Scoring!B444</f>
        <v>0</v>
      </c>
      <c r="G438" s="138" t="n">
        <f aca="false">Scoring!D444</f>
        <v>0</v>
      </c>
      <c r="H438" s="138" t="str">
        <f aca="false">Scoring!BG444</f>
        <v/>
      </c>
      <c r="I438" s="140" t="str">
        <f aca="false">Scoring!BF444</f>
        <v/>
      </c>
    </row>
    <row r="439" customFormat="false" ht="15.75" hidden="false" customHeight="false" outlineLevel="0" collapsed="false">
      <c r="A439" s="138" t="str">
        <f aca="false">Scoring!BI445</f>
        <v/>
      </c>
      <c r="B439" s="138" t="str">
        <f aca="false">Scoring!BH445</f>
        <v/>
      </c>
      <c r="C439" s="138" t="n">
        <f aca="false">Scoring!C445</f>
        <v>0</v>
      </c>
      <c r="D439" s="139" t="str">
        <f aca="false">Scoring!BE445</f>
        <v/>
      </c>
      <c r="E439" s="138" t="str">
        <f aca="false">Scoring!AJ445</f>
        <v/>
      </c>
      <c r="F439" s="138" t="n">
        <f aca="false">Scoring!B445</f>
        <v>0</v>
      </c>
      <c r="G439" s="138" t="n">
        <f aca="false">Scoring!D445</f>
        <v>0</v>
      </c>
      <c r="H439" s="138" t="str">
        <f aca="false">Scoring!BG445</f>
        <v/>
      </c>
      <c r="I439" s="140" t="str">
        <f aca="false">Scoring!BF445</f>
        <v/>
      </c>
    </row>
    <row r="440" customFormat="false" ht="15.75" hidden="false" customHeight="false" outlineLevel="0" collapsed="false">
      <c r="A440" s="138" t="str">
        <f aca="false">Scoring!BI446</f>
        <v/>
      </c>
      <c r="B440" s="138" t="str">
        <f aca="false">Scoring!BH446</f>
        <v/>
      </c>
      <c r="C440" s="138" t="n">
        <f aca="false">Scoring!C446</f>
        <v>0</v>
      </c>
      <c r="D440" s="139" t="str">
        <f aca="false">Scoring!BE446</f>
        <v/>
      </c>
      <c r="E440" s="138" t="str">
        <f aca="false">Scoring!AJ446</f>
        <v/>
      </c>
      <c r="F440" s="138" t="n">
        <f aca="false">Scoring!B446</f>
        <v>0</v>
      </c>
      <c r="G440" s="138" t="n">
        <f aca="false">Scoring!D446</f>
        <v>0</v>
      </c>
      <c r="H440" s="138" t="str">
        <f aca="false">Scoring!BG446</f>
        <v/>
      </c>
      <c r="I440" s="140" t="str">
        <f aca="false">Scoring!BF446</f>
        <v/>
      </c>
    </row>
    <row r="441" customFormat="false" ht="15.75" hidden="false" customHeight="false" outlineLevel="0" collapsed="false">
      <c r="A441" s="138" t="str">
        <f aca="false">Scoring!BI447</f>
        <v/>
      </c>
      <c r="B441" s="138" t="str">
        <f aca="false">Scoring!BH447</f>
        <v/>
      </c>
      <c r="C441" s="138" t="n">
        <f aca="false">Scoring!C447</f>
        <v>0</v>
      </c>
      <c r="D441" s="139" t="str">
        <f aca="false">Scoring!BE447</f>
        <v/>
      </c>
      <c r="E441" s="138" t="str">
        <f aca="false">Scoring!AJ447</f>
        <v/>
      </c>
      <c r="F441" s="138" t="n">
        <f aca="false">Scoring!B447</f>
        <v>0</v>
      </c>
      <c r="G441" s="138" t="n">
        <f aca="false">Scoring!D447</f>
        <v>0</v>
      </c>
      <c r="H441" s="138" t="str">
        <f aca="false">Scoring!BG447</f>
        <v/>
      </c>
      <c r="I441" s="140" t="str">
        <f aca="false">Scoring!BF447</f>
        <v/>
      </c>
    </row>
    <row r="442" customFormat="false" ht="15.75" hidden="false" customHeight="false" outlineLevel="0" collapsed="false">
      <c r="A442" s="138" t="str">
        <f aca="false">Scoring!BI448</f>
        <v/>
      </c>
      <c r="B442" s="138" t="str">
        <f aca="false">Scoring!BH448</f>
        <v/>
      </c>
      <c r="C442" s="138" t="n">
        <f aca="false">Scoring!C448</f>
        <v>0</v>
      </c>
      <c r="D442" s="139" t="str">
        <f aca="false">Scoring!BE448</f>
        <v/>
      </c>
      <c r="E442" s="138" t="str">
        <f aca="false">Scoring!AJ448</f>
        <v/>
      </c>
      <c r="F442" s="138" t="n">
        <f aca="false">Scoring!B448</f>
        <v>0</v>
      </c>
      <c r="G442" s="138" t="n">
        <f aca="false">Scoring!D448</f>
        <v>0</v>
      </c>
      <c r="H442" s="138" t="str">
        <f aca="false">Scoring!BG448</f>
        <v/>
      </c>
      <c r="I442" s="140" t="str">
        <f aca="false">Scoring!BF448</f>
        <v/>
      </c>
    </row>
    <row r="443" customFormat="false" ht="15.75" hidden="false" customHeight="false" outlineLevel="0" collapsed="false">
      <c r="A443" s="138" t="str">
        <f aca="false">Scoring!BI449</f>
        <v/>
      </c>
      <c r="B443" s="138" t="str">
        <f aca="false">Scoring!BH449</f>
        <v/>
      </c>
      <c r="C443" s="138" t="n">
        <f aca="false">Scoring!C449</f>
        <v>0</v>
      </c>
      <c r="D443" s="139" t="str">
        <f aca="false">Scoring!BE449</f>
        <v/>
      </c>
      <c r="E443" s="138" t="str">
        <f aca="false">Scoring!AJ449</f>
        <v/>
      </c>
      <c r="F443" s="138" t="n">
        <f aca="false">Scoring!B449</f>
        <v>0</v>
      </c>
      <c r="G443" s="138" t="n">
        <f aca="false">Scoring!D449</f>
        <v>0</v>
      </c>
      <c r="H443" s="138" t="str">
        <f aca="false">Scoring!BG449</f>
        <v/>
      </c>
      <c r="I443" s="140" t="str">
        <f aca="false">Scoring!BF449</f>
        <v/>
      </c>
    </row>
    <row r="444" customFormat="false" ht="15.75" hidden="false" customHeight="false" outlineLevel="0" collapsed="false">
      <c r="A444" s="138" t="str">
        <f aca="false">Scoring!BI450</f>
        <v/>
      </c>
      <c r="B444" s="138" t="str">
        <f aca="false">Scoring!BH450</f>
        <v/>
      </c>
      <c r="C444" s="138" t="n">
        <f aca="false">Scoring!C450</f>
        <v>0</v>
      </c>
      <c r="D444" s="139" t="str">
        <f aca="false">Scoring!BE450</f>
        <v/>
      </c>
      <c r="E444" s="138" t="str">
        <f aca="false">Scoring!AJ450</f>
        <v/>
      </c>
      <c r="F444" s="138" t="n">
        <f aca="false">Scoring!B450</f>
        <v>0</v>
      </c>
      <c r="G444" s="138" t="n">
        <f aca="false">Scoring!D450</f>
        <v>0</v>
      </c>
      <c r="H444" s="138" t="str">
        <f aca="false">Scoring!BG450</f>
        <v/>
      </c>
      <c r="I444" s="140" t="str">
        <f aca="false">Scoring!BF450</f>
        <v/>
      </c>
    </row>
    <row r="445" customFormat="false" ht="15.75" hidden="false" customHeight="false" outlineLevel="0" collapsed="false">
      <c r="A445" s="138" t="str">
        <f aca="false">Scoring!BI451</f>
        <v/>
      </c>
      <c r="B445" s="138" t="str">
        <f aca="false">Scoring!BH451</f>
        <v/>
      </c>
      <c r="C445" s="138" t="n">
        <f aca="false">Scoring!C451</f>
        <v>0</v>
      </c>
      <c r="D445" s="139" t="str">
        <f aca="false">Scoring!BE451</f>
        <v/>
      </c>
      <c r="E445" s="138" t="str">
        <f aca="false">Scoring!AJ451</f>
        <v/>
      </c>
      <c r="F445" s="138" t="n">
        <f aca="false">Scoring!B451</f>
        <v>0</v>
      </c>
      <c r="G445" s="138" t="n">
        <f aca="false">Scoring!D451</f>
        <v>0</v>
      </c>
      <c r="H445" s="138" t="str">
        <f aca="false">Scoring!BG451</f>
        <v/>
      </c>
      <c r="I445" s="140" t="str">
        <f aca="false">Scoring!BF451</f>
        <v/>
      </c>
    </row>
    <row r="446" customFormat="false" ht="15.75" hidden="false" customHeight="false" outlineLevel="0" collapsed="false">
      <c r="A446" s="138" t="str">
        <f aca="false">Scoring!BI452</f>
        <v/>
      </c>
      <c r="B446" s="138" t="str">
        <f aca="false">Scoring!BH452</f>
        <v/>
      </c>
      <c r="C446" s="138" t="n">
        <f aca="false">Scoring!C452</f>
        <v>0</v>
      </c>
      <c r="D446" s="139" t="str">
        <f aca="false">Scoring!BE452</f>
        <v/>
      </c>
      <c r="E446" s="138" t="str">
        <f aca="false">Scoring!AJ452</f>
        <v/>
      </c>
      <c r="F446" s="138" t="n">
        <f aca="false">Scoring!B452</f>
        <v>0</v>
      </c>
      <c r="G446" s="138" t="n">
        <f aca="false">Scoring!D452</f>
        <v>0</v>
      </c>
      <c r="H446" s="138" t="str">
        <f aca="false">Scoring!BG452</f>
        <v/>
      </c>
      <c r="I446" s="140" t="str">
        <f aca="false">Scoring!BF452</f>
        <v/>
      </c>
    </row>
    <row r="447" customFormat="false" ht="15.75" hidden="false" customHeight="false" outlineLevel="0" collapsed="false">
      <c r="A447" s="138" t="str">
        <f aca="false">Scoring!BI453</f>
        <v/>
      </c>
      <c r="B447" s="138" t="str">
        <f aca="false">Scoring!BH453</f>
        <v/>
      </c>
      <c r="C447" s="138" t="n">
        <f aca="false">Scoring!C453</f>
        <v>0</v>
      </c>
      <c r="D447" s="139" t="str">
        <f aca="false">Scoring!BE453</f>
        <v/>
      </c>
      <c r="E447" s="138" t="str">
        <f aca="false">Scoring!AJ453</f>
        <v/>
      </c>
      <c r="F447" s="138" t="n">
        <f aca="false">Scoring!B453</f>
        <v>0</v>
      </c>
      <c r="G447" s="138" t="n">
        <f aca="false">Scoring!D453</f>
        <v>0</v>
      </c>
      <c r="H447" s="138" t="str">
        <f aca="false">Scoring!BG453</f>
        <v/>
      </c>
      <c r="I447" s="140" t="str">
        <f aca="false">Scoring!BF453</f>
        <v/>
      </c>
    </row>
    <row r="448" customFormat="false" ht="15.75" hidden="false" customHeight="false" outlineLevel="0" collapsed="false">
      <c r="A448" s="138" t="str">
        <f aca="false">Scoring!BI454</f>
        <v/>
      </c>
      <c r="B448" s="138" t="str">
        <f aca="false">Scoring!BH454</f>
        <v/>
      </c>
      <c r="C448" s="138" t="n">
        <f aca="false">Scoring!C454</f>
        <v>0</v>
      </c>
      <c r="D448" s="139" t="str">
        <f aca="false">Scoring!BE454</f>
        <v/>
      </c>
      <c r="E448" s="138" t="str">
        <f aca="false">Scoring!AJ454</f>
        <v/>
      </c>
      <c r="F448" s="138" t="n">
        <f aca="false">Scoring!B454</f>
        <v>0</v>
      </c>
      <c r="G448" s="138" t="n">
        <f aca="false">Scoring!D454</f>
        <v>0</v>
      </c>
      <c r="H448" s="138" t="str">
        <f aca="false">Scoring!BG454</f>
        <v/>
      </c>
      <c r="I448" s="140" t="str">
        <f aca="false">Scoring!BF454</f>
        <v/>
      </c>
    </row>
    <row r="449" customFormat="false" ht="15.75" hidden="false" customHeight="false" outlineLevel="0" collapsed="false">
      <c r="A449" s="138" t="str">
        <f aca="false">Scoring!BI455</f>
        <v/>
      </c>
      <c r="B449" s="138" t="str">
        <f aca="false">Scoring!BH455</f>
        <v/>
      </c>
      <c r="C449" s="138" t="n">
        <f aca="false">Scoring!C455</f>
        <v>0</v>
      </c>
      <c r="D449" s="139" t="str">
        <f aca="false">Scoring!BE455</f>
        <v/>
      </c>
      <c r="E449" s="138" t="str">
        <f aca="false">Scoring!AJ455</f>
        <v/>
      </c>
      <c r="F449" s="138" t="n">
        <f aca="false">Scoring!B455</f>
        <v>0</v>
      </c>
      <c r="G449" s="138" t="n">
        <f aca="false">Scoring!D455</f>
        <v>0</v>
      </c>
      <c r="H449" s="138" t="str">
        <f aca="false">Scoring!BG455</f>
        <v/>
      </c>
      <c r="I449" s="140" t="str">
        <f aca="false">Scoring!BF455</f>
        <v/>
      </c>
    </row>
    <row r="450" customFormat="false" ht="15.75" hidden="false" customHeight="false" outlineLevel="0" collapsed="false">
      <c r="A450" s="138" t="str">
        <f aca="false">Scoring!BI456</f>
        <v/>
      </c>
      <c r="B450" s="138" t="str">
        <f aca="false">Scoring!BH456</f>
        <v/>
      </c>
      <c r="C450" s="138" t="n">
        <f aca="false">Scoring!C456</f>
        <v>0</v>
      </c>
      <c r="D450" s="139" t="str">
        <f aca="false">Scoring!BE456</f>
        <v/>
      </c>
      <c r="E450" s="138" t="str">
        <f aca="false">Scoring!AJ456</f>
        <v/>
      </c>
      <c r="F450" s="138" t="n">
        <f aca="false">Scoring!B456</f>
        <v>0</v>
      </c>
      <c r="G450" s="138" t="n">
        <f aca="false">Scoring!D456</f>
        <v>0</v>
      </c>
      <c r="H450" s="138" t="str">
        <f aca="false">Scoring!BG456</f>
        <v/>
      </c>
      <c r="I450" s="140" t="str">
        <f aca="false">Scoring!BF456</f>
        <v/>
      </c>
    </row>
    <row r="451" customFormat="false" ht="15.75" hidden="false" customHeight="false" outlineLevel="0" collapsed="false">
      <c r="A451" s="138" t="str">
        <f aca="false">Scoring!BI457</f>
        <v/>
      </c>
      <c r="B451" s="138" t="str">
        <f aca="false">Scoring!BH457</f>
        <v/>
      </c>
      <c r="C451" s="138" t="n">
        <f aca="false">Scoring!C457</f>
        <v>0</v>
      </c>
      <c r="D451" s="139" t="str">
        <f aca="false">Scoring!BE457</f>
        <v/>
      </c>
      <c r="E451" s="138" t="str">
        <f aca="false">Scoring!AJ457</f>
        <v/>
      </c>
      <c r="F451" s="138" t="n">
        <f aca="false">Scoring!B457</f>
        <v>0</v>
      </c>
      <c r="G451" s="138" t="n">
        <f aca="false">Scoring!D457</f>
        <v>0</v>
      </c>
      <c r="H451" s="138" t="str">
        <f aca="false">Scoring!BG457</f>
        <v/>
      </c>
      <c r="I451" s="140" t="str">
        <f aca="false">Scoring!BF457</f>
        <v/>
      </c>
    </row>
    <row r="452" customFormat="false" ht="15.75" hidden="false" customHeight="false" outlineLevel="0" collapsed="false">
      <c r="A452" s="138" t="str">
        <f aca="false">Scoring!BI458</f>
        <v/>
      </c>
      <c r="B452" s="138" t="str">
        <f aca="false">Scoring!BH458</f>
        <v/>
      </c>
      <c r="C452" s="138" t="n">
        <f aca="false">Scoring!C458</f>
        <v>0</v>
      </c>
      <c r="D452" s="139" t="str">
        <f aca="false">Scoring!BE458</f>
        <v/>
      </c>
      <c r="E452" s="138" t="str">
        <f aca="false">Scoring!AJ458</f>
        <v/>
      </c>
      <c r="F452" s="138" t="n">
        <f aca="false">Scoring!B458</f>
        <v>0</v>
      </c>
      <c r="G452" s="138" t="n">
        <f aca="false">Scoring!D458</f>
        <v>0</v>
      </c>
      <c r="H452" s="138" t="str">
        <f aca="false">Scoring!BG458</f>
        <v/>
      </c>
      <c r="I452" s="140" t="str">
        <f aca="false">Scoring!BF458</f>
        <v/>
      </c>
    </row>
    <row r="453" customFormat="false" ht="15.75" hidden="false" customHeight="false" outlineLevel="0" collapsed="false">
      <c r="A453" s="138" t="str">
        <f aca="false">Scoring!BI459</f>
        <v/>
      </c>
      <c r="B453" s="138" t="str">
        <f aca="false">Scoring!BH459</f>
        <v/>
      </c>
      <c r="C453" s="138" t="n">
        <f aca="false">Scoring!C459</f>
        <v>0</v>
      </c>
      <c r="D453" s="139" t="str">
        <f aca="false">Scoring!BE459</f>
        <v/>
      </c>
      <c r="E453" s="138" t="str">
        <f aca="false">Scoring!AJ459</f>
        <v/>
      </c>
      <c r="F453" s="138" t="n">
        <f aca="false">Scoring!B459</f>
        <v>0</v>
      </c>
      <c r="G453" s="138" t="n">
        <f aca="false">Scoring!D459</f>
        <v>0</v>
      </c>
      <c r="H453" s="138" t="str">
        <f aca="false">Scoring!BG459</f>
        <v/>
      </c>
      <c r="I453" s="140" t="str">
        <f aca="false">Scoring!BF459</f>
        <v/>
      </c>
    </row>
    <row r="454" customFormat="false" ht="15.75" hidden="false" customHeight="false" outlineLevel="0" collapsed="false">
      <c r="A454" s="138" t="str">
        <f aca="false">Scoring!BI460</f>
        <v/>
      </c>
      <c r="B454" s="138" t="str">
        <f aca="false">Scoring!BH460</f>
        <v/>
      </c>
      <c r="C454" s="138" t="n">
        <f aca="false">Scoring!C460</f>
        <v>0</v>
      </c>
      <c r="D454" s="139" t="str">
        <f aca="false">Scoring!BE460</f>
        <v/>
      </c>
      <c r="E454" s="138" t="str">
        <f aca="false">Scoring!AJ460</f>
        <v/>
      </c>
      <c r="F454" s="138" t="n">
        <f aca="false">Scoring!B460</f>
        <v>0</v>
      </c>
      <c r="G454" s="138" t="n">
        <f aca="false">Scoring!D460</f>
        <v>0</v>
      </c>
      <c r="H454" s="138" t="str">
        <f aca="false">Scoring!BG460</f>
        <v/>
      </c>
      <c r="I454" s="140" t="str">
        <f aca="false">Scoring!BF460</f>
        <v/>
      </c>
    </row>
    <row r="455" customFormat="false" ht="15.75" hidden="false" customHeight="false" outlineLevel="0" collapsed="false">
      <c r="A455" s="138" t="str">
        <f aca="false">Scoring!BI461</f>
        <v/>
      </c>
      <c r="B455" s="138" t="str">
        <f aca="false">Scoring!BH461</f>
        <v/>
      </c>
      <c r="C455" s="138" t="n">
        <f aca="false">Scoring!C461</f>
        <v>0</v>
      </c>
      <c r="D455" s="139" t="str">
        <f aca="false">Scoring!BE461</f>
        <v/>
      </c>
      <c r="E455" s="138" t="str">
        <f aca="false">Scoring!AJ461</f>
        <v/>
      </c>
      <c r="F455" s="138" t="n">
        <f aca="false">Scoring!B461</f>
        <v>0</v>
      </c>
      <c r="G455" s="138" t="n">
        <f aca="false">Scoring!D461</f>
        <v>0</v>
      </c>
      <c r="H455" s="138" t="str">
        <f aca="false">Scoring!BG461</f>
        <v/>
      </c>
      <c r="I455" s="140" t="str">
        <f aca="false">Scoring!BF461</f>
        <v/>
      </c>
    </row>
    <row r="456" customFormat="false" ht="15.75" hidden="false" customHeight="false" outlineLevel="0" collapsed="false">
      <c r="A456" s="138" t="str">
        <f aca="false">Scoring!BI462</f>
        <v/>
      </c>
      <c r="B456" s="138" t="str">
        <f aca="false">Scoring!BH462</f>
        <v/>
      </c>
      <c r="C456" s="138" t="n">
        <f aca="false">Scoring!C462</f>
        <v>0</v>
      </c>
      <c r="D456" s="139" t="str">
        <f aca="false">Scoring!BE462</f>
        <v/>
      </c>
      <c r="E456" s="138" t="str">
        <f aca="false">Scoring!AJ462</f>
        <v/>
      </c>
      <c r="F456" s="138" t="n">
        <f aca="false">Scoring!B462</f>
        <v>0</v>
      </c>
      <c r="G456" s="138" t="n">
        <f aca="false">Scoring!D462</f>
        <v>0</v>
      </c>
      <c r="H456" s="138" t="str">
        <f aca="false">Scoring!BG462</f>
        <v/>
      </c>
      <c r="I456" s="140" t="str">
        <f aca="false">Scoring!BF462</f>
        <v/>
      </c>
    </row>
    <row r="457" customFormat="false" ht="15.75" hidden="false" customHeight="false" outlineLevel="0" collapsed="false">
      <c r="A457" s="138" t="str">
        <f aca="false">Scoring!BI463</f>
        <v/>
      </c>
      <c r="B457" s="138" t="str">
        <f aca="false">Scoring!BH463</f>
        <v/>
      </c>
      <c r="C457" s="138" t="n">
        <f aca="false">Scoring!C463</f>
        <v>0</v>
      </c>
      <c r="D457" s="139" t="str">
        <f aca="false">Scoring!BE463</f>
        <v/>
      </c>
      <c r="E457" s="138" t="str">
        <f aca="false">Scoring!AJ463</f>
        <v/>
      </c>
      <c r="F457" s="138" t="n">
        <f aca="false">Scoring!B463</f>
        <v>0</v>
      </c>
      <c r="G457" s="138" t="n">
        <f aca="false">Scoring!D463</f>
        <v>0</v>
      </c>
      <c r="H457" s="138" t="str">
        <f aca="false">Scoring!BG463</f>
        <v/>
      </c>
      <c r="I457" s="140" t="str">
        <f aca="false">Scoring!BF463</f>
        <v/>
      </c>
    </row>
    <row r="458" customFormat="false" ht="15.75" hidden="false" customHeight="false" outlineLevel="0" collapsed="false">
      <c r="A458" s="138" t="str">
        <f aca="false">Scoring!BI464</f>
        <v/>
      </c>
      <c r="B458" s="138" t="str">
        <f aca="false">Scoring!BH464</f>
        <v/>
      </c>
      <c r="C458" s="138" t="n">
        <f aca="false">Scoring!C464</f>
        <v>0</v>
      </c>
      <c r="D458" s="139" t="str">
        <f aca="false">Scoring!BE464</f>
        <v/>
      </c>
      <c r="E458" s="138" t="str">
        <f aca="false">Scoring!AJ464</f>
        <v/>
      </c>
      <c r="F458" s="138" t="n">
        <f aca="false">Scoring!B464</f>
        <v>0</v>
      </c>
      <c r="G458" s="138" t="n">
        <f aca="false">Scoring!D464</f>
        <v>0</v>
      </c>
      <c r="H458" s="138" t="str">
        <f aca="false">Scoring!BG464</f>
        <v/>
      </c>
      <c r="I458" s="140" t="str">
        <f aca="false">Scoring!BF464</f>
        <v/>
      </c>
    </row>
    <row r="459" customFormat="false" ht="15.75" hidden="false" customHeight="false" outlineLevel="0" collapsed="false">
      <c r="A459" s="138" t="str">
        <f aca="false">Scoring!BI465</f>
        <v/>
      </c>
      <c r="B459" s="138" t="str">
        <f aca="false">Scoring!BH465</f>
        <v/>
      </c>
      <c r="C459" s="138" t="n">
        <f aca="false">Scoring!C465</f>
        <v>0</v>
      </c>
      <c r="D459" s="139" t="str">
        <f aca="false">Scoring!BE465</f>
        <v/>
      </c>
      <c r="E459" s="138" t="str">
        <f aca="false">Scoring!AJ465</f>
        <v/>
      </c>
      <c r="F459" s="138" t="n">
        <f aca="false">Scoring!B465</f>
        <v>0</v>
      </c>
      <c r="G459" s="138" t="n">
        <f aca="false">Scoring!D465</f>
        <v>0</v>
      </c>
      <c r="H459" s="138" t="str">
        <f aca="false">Scoring!BG465</f>
        <v/>
      </c>
      <c r="I459" s="140" t="str">
        <f aca="false">Scoring!BF465</f>
        <v/>
      </c>
    </row>
    <row r="460" customFormat="false" ht="15.75" hidden="false" customHeight="false" outlineLevel="0" collapsed="false">
      <c r="A460" s="138" t="str">
        <f aca="false">Scoring!BI466</f>
        <v/>
      </c>
      <c r="B460" s="138" t="str">
        <f aca="false">Scoring!BH466</f>
        <v/>
      </c>
      <c r="C460" s="138" t="n">
        <f aca="false">Scoring!C466</f>
        <v>0</v>
      </c>
      <c r="D460" s="139" t="str">
        <f aca="false">Scoring!BE466</f>
        <v/>
      </c>
      <c r="E460" s="138" t="str">
        <f aca="false">Scoring!AJ466</f>
        <v/>
      </c>
      <c r="F460" s="138" t="n">
        <f aca="false">Scoring!B466</f>
        <v>0</v>
      </c>
      <c r="G460" s="138" t="n">
        <f aca="false">Scoring!D466</f>
        <v>0</v>
      </c>
      <c r="H460" s="138" t="str">
        <f aca="false">Scoring!BG466</f>
        <v/>
      </c>
      <c r="I460" s="140" t="str">
        <f aca="false">Scoring!BF466</f>
        <v/>
      </c>
    </row>
    <row r="461" customFormat="false" ht="15.75" hidden="false" customHeight="false" outlineLevel="0" collapsed="false">
      <c r="A461" s="138" t="str">
        <f aca="false">Scoring!BI467</f>
        <v/>
      </c>
      <c r="B461" s="138" t="str">
        <f aca="false">Scoring!BH467</f>
        <v/>
      </c>
      <c r="C461" s="138" t="n">
        <f aca="false">Scoring!C467</f>
        <v>0</v>
      </c>
      <c r="D461" s="139" t="str">
        <f aca="false">Scoring!BE467</f>
        <v/>
      </c>
      <c r="E461" s="138" t="str">
        <f aca="false">Scoring!AJ467</f>
        <v/>
      </c>
      <c r="F461" s="138" t="n">
        <f aca="false">Scoring!B467</f>
        <v>0</v>
      </c>
      <c r="G461" s="138" t="n">
        <f aca="false">Scoring!D467</f>
        <v>0</v>
      </c>
      <c r="H461" s="138" t="str">
        <f aca="false">Scoring!BG467</f>
        <v/>
      </c>
      <c r="I461" s="140" t="str">
        <f aca="false">Scoring!BF467</f>
        <v/>
      </c>
    </row>
    <row r="462" customFormat="false" ht="15.75" hidden="false" customHeight="false" outlineLevel="0" collapsed="false">
      <c r="A462" s="138" t="str">
        <f aca="false">Scoring!BI468</f>
        <v/>
      </c>
      <c r="B462" s="138" t="str">
        <f aca="false">Scoring!BH468</f>
        <v/>
      </c>
      <c r="C462" s="138" t="n">
        <f aca="false">Scoring!C468</f>
        <v>0</v>
      </c>
      <c r="D462" s="139" t="str">
        <f aca="false">Scoring!BE468</f>
        <v/>
      </c>
      <c r="E462" s="138" t="str">
        <f aca="false">Scoring!AJ468</f>
        <v/>
      </c>
      <c r="F462" s="138" t="n">
        <f aca="false">Scoring!B468</f>
        <v>0</v>
      </c>
      <c r="G462" s="138" t="n">
        <f aca="false">Scoring!D468</f>
        <v>0</v>
      </c>
      <c r="H462" s="138" t="str">
        <f aca="false">Scoring!BG468</f>
        <v/>
      </c>
      <c r="I462" s="140" t="str">
        <f aca="false">Scoring!BF468</f>
        <v/>
      </c>
    </row>
    <row r="463" customFormat="false" ht="15.75" hidden="false" customHeight="false" outlineLevel="0" collapsed="false">
      <c r="A463" s="138" t="str">
        <f aca="false">Scoring!BI469</f>
        <v/>
      </c>
      <c r="B463" s="138" t="str">
        <f aca="false">Scoring!BH469</f>
        <v/>
      </c>
      <c r="C463" s="138" t="n">
        <f aca="false">Scoring!C469</f>
        <v>0</v>
      </c>
      <c r="D463" s="139" t="str">
        <f aca="false">Scoring!BE469</f>
        <v/>
      </c>
      <c r="E463" s="138" t="str">
        <f aca="false">Scoring!AJ469</f>
        <v/>
      </c>
      <c r="F463" s="138" t="n">
        <f aca="false">Scoring!B469</f>
        <v>0</v>
      </c>
      <c r="G463" s="138" t="n">
        <f aca="false">Scoring!D469</f>
        <v>0</v>
      </c>
      <c r="H463" s="138" t="str">
        <f aca="false">Scoring!BG469</f>
        <v/>
      </c>
      <c r="I463" s="140" t="str">
        <f aca="false">Scoring!BF469</f>
        <v/>
      </c>
    </row>
    <row r="464" customFormat="false" ht="15.75" hidden="false" customHeight="false" outlineLevel="0" collapsed="false">
      <c r="A464" s="138" t="str">
        <f aca="false">Scoring!BI470</f>
        <v/>
      </c>
      <c r="B464" s="138" t="str">
        <f aca="false">Scoring!BH470</f>
        <v/>
      </c>
      <c r="C464" s="138" t="n">
        <f aca="false">Scoring!C470</f>
        <v>0</v>
      </c>
      <c r="D464" s="139" t="str">
        <f aca="false">Scoring!BE470</f>
        <v/>
      </c>
      <c r="E464" s="138" t="str">
        <f aca="false">Scoring!AJ470</f>
        <v/>
      </c>
      <c r="F464" s="138" t="n">
        <f aca="false">Scoring!B470</f>
        <v>0</v>
      </c>
      <c r="G464" s="138" t="n">
        <f aca="false">Scoring!D470</f>
        <v>0</v>
      </c>
      <c r="H464" s="138" t="str">
        <f aca="false">Scoring!BG470</f>
        <v/>
      </c>
      <c r="I464" s="140" t="str">
        <f aca="false">Scoring!BF470</f>
        <v/>
      </c>
    </row>
    <row r="465" customFormat="false" ht="15.75" hidden="false" customHeight="false" outlineLevel="0" collapsed="false">
      <c r="A465" s="138" t="str">
        <f aca="false">Scoring!BI471</f>
        <v/>
      </c>
      <c r="B465" s="138" t="str">
        <f aca="false">Scoring!BH471</f>
        <v/>
      </c>
      <c r="C465" s="138" t="n">
        <f aca="false">Scoring!C471</f>
        <v>0</v>
      </c>
      <c r="D465" s="139" t="str">
        <f aca="false">Scoring!BE471</f>
        <v/>
      </c>
      <c r="E465" s="138" t="str">
        <f aca="false">Scoring!AJ471</f>
        <v/>
      </c>
      <c r="F465" s="138" t="n">
        <f aca="false">Scoring!B471</f>
        <v>0</v>
      </c>
      <c r="G465" s="138" t="n">
        <f aca="false">Scoring!D471</f>
        <v>0</v>
      </c>
      <c r="H465" s="138" t="str">
        <f aca="false">Scoring!BG471</f>
        <v/>
      </c>
      <c r="I465" s="140" t="str">
        <f aca="false">Scoring!BF471</f>
        <v/>
      </c>
    </row>
    <row r="466" customFormat="false" ht="15.75" hidden="false" customHeight="false" outlineLevel="0" collapsed="false">
      <c r="A466" s="138" t="str">
        <f aca="false">Scoring!BI472</f>
        <v/>
      </c>
      <c r="B466" s="138" t="str">
        <f aca="false">Scoring!BH472</f>
        <v/>
      </c>
      <c r="C466" s="138" t="n">
        <f aca="false">Scoring!C472</f>
        <v>0</v>
      </c>
      <c r="D466" s="139" t="str">
        <f aca="false">Scoring!BE472</f>
        <v/>
      </c>
      <c r="E466" s="138" t="str">
        <f aca="false">Scoring!AJ472</f>
        <v/>
      </c>
      <c r="F466" s="138" t="n">
        <f aca="false">Scoring!B472</f>
        <v>0</v>
      </c>
      <c r="G466" s="138" t="n">
        <f aca="false">Scoring!D472</f>
        <v>0</v>
      </c>
      <c r="H466" s="138" t="str">
        <f aca="false">Scoring!BG472</f>
        <v/>
      </c>
      <c r="I466" s="140" t="str">
        <f aca="false">Scoring!BF472</f>
        <v/>
      </c>
    </row>
    <row r="467" customFormat="false" ht="15.75" hidden="false" customHeight="false" outlineLevel="0" collapsed="false">
      <c r="A467" s="138" t="str">
        <f aca="false">Scoring!BI473</f>
        <v/>
      </c>
      <c r="B467" s="138" t="str">
        <f aca="false">Scoring!BH473</f>
        <v/>
      </c>
      <c r="C467" s="138" t="n">
        <f aca="false">Scoring!C473</f>
        <v>0</v>
      </c>
      <c r="D467" s="139" t="str">
        <f aca="false">Scoring!BE473</f>
        <v/>
      </c>
      <c r="E467" s="138" t="str">
        <f aca="false">Scoring!AJ473</f>
        <v/>
      </c>
      <c r="F467" s="138" t="n">
        <f aca="false">Scoring!B473</f>
        <v>0</v>
      </c>
      <c r="G467" s="138" t="n">
        <f aca="false">Scoring!D473</f>
        <v>0</v>
      </c>
      <c r="H467" s="138" t="str">
        <f aca="false">Scoring!BG473</f>
        <v/>
      </c>
      <c r="I467" s="140" t="str">
        <f aca="false">Scoring!BF473</f>
        <v/>
      </c>
    </row>
    <row r="468" customFormat="false" ht="15.75" hidden="false" customHeight="false" outlineLevel="0" collapsed="false">
      <c r="A468" s="138" t="str">
        <f aca="false">Scoring!BI474</f>
        <v/>
      </c>
      <c r="B468" s="138" t="str">
        <f aca="false">Scoring!BH474</f>
        <v/>
      </c>
      <c r="C468" s="138" t="n">
        <f aca="false">Scoring!C474</f>
        <v>0</v>
      </c>
      <c r="D468" s="139" t="str">
        <f aca="false">Scoring!BE474</f>
        <v/>
      </c>
      <c r="E468" s="138" t="str">
        <f aca="false">Scoring!AJ474</f>
        <v/>
      </c>
      <c r="F468" s="138" t="n">
        <f aca="false">Scoring!B474</f>
        <v>0</v>
      </c>
      <c r="G468" s="138" t="n">
        <f aca="false">Scoring!D474</f>
        <v>0</v>
      </c>
      <c r="H468" s="138" t="str">
        <f aca="false">Scoring!BG474</f>
        <v/>
      </c>
      <c r="I468" s="140" t="str">
        <f aca="false">Scoring!BF474</f>
        <v/>
      </c>
    </row>
    <row r="469" customFormat="false" ht="15.75" hidden="false" customHeight="false" outlineLevel="0" collapsed="false">
      <c r="A469" s="138" t="str">
        <f aca="false">Scoring!BI475</f>
        <v/>
      </c>
      <c r="B469" s="138" t="str">
        <f aca="false">Scoring!BH475</f>
        <v/>
      </c>
      <c r="C469" s="138" t="n">
        <f aca="false">Scoring!C475</f>
        <v>0</v>
      </c>
      <c r="D469" s="139" t="str">
        <f aca="false">Scoring!BE475</f>
        <v/>
      </c>
      <c r="E469" s="138" t="str">
        <f aca="false">Scoring!AJ475</f>
        <v/>
      </c>
      <c r="F469" s="138" t="n">
        <f aca="false">Scoring!B475</f>
        <v>0</v>
      </c>
      <c r="G469" s="138" t="n">
        <f aca="false">Scoring!D475</f>
        <v>0</v>
      </c>
      <c r="H469" s="138" t="str">
        <f aca="false">Scoring!BG475</f>
        <v/>
      </c>
      <c r="I469" s="140" t="str">
        <f aca="false">Scoring!BF475</f>
        <v/>
      </c>
    </row>
    <row r="470" customFormat="false" ht="15.75" hidden="false" customHeight="false" outlineLevel="0" collapsed="false">
      <c r="A470" s="138" t="str">
        <f aca="false">Scoring!BI476</f>
        <v/>
      </c>
      <c r="B470" s="138" t="str">
        <f aca="false">Scoring!BH476</f>
        <v/>
      </c>
      <c r="C470" s="138" t="n">
        <f aca="false">Scoring!C476</f>
        <v>0</v>
      </c>
      <c r="D470" s="139" t="str">
        <f aca="false">Scoring!BE476</f>
        <v/>
      </c>
      <c r="E470" s="138" t="str">
        <f aca="false">Scoring!AJ476</f>
        <v/>
      </c>
      <c r="F470" s="138" t="n">
        <f aca="false">Scoring!B476</f>
        <v>0</v>
      </c>
      <c r="G470" s="138" t="n">
        <f aca="false">Scoring!D476</f>
        <v>0</v>
      </c>
      <c r="H470" s="138" t="str">
        <f aca="false">Scoring!BG476</f>
        <v/>
      </c>
      <c r="I470" s="140" t="str">
        <f aca="false">Scoring!BF476</f>
        <v/>
      </c>
    </row>
    <row r="471" customFormat="false" ht="15.75" hidden="false" customHeight="false" outlineLevel="0" collapsed="false">
      <c r="A471" s="138" t="str">
        <f aca="false">Scoring!BI477</f>
        <v/>
      </c>
      <c r="B471" s="138" t="str">
        <f aca="false">Scoring!BH477</f>
        <v/>
      </c>
      <c r="C471" s="138" t="n">
        <f aca="false">Scoring!C477</f>
        <v>0</v>
      </c>
      <c r="D471" s="139" t="str">
        <f aca="false">Scoring!BE477</f>
        <v/>
      </c>
      <c r="E471" s="138" t="str">
        <f aca="false">Scoring!AJ477</f>
        <v/>
      </c>
      <c r="F471" s="138" t="n">
        <f aca="false">Scoring!B477</f>
        <v>0</v>
      </c>
      <c r="G471" s="138" t="n">
        <f aca="false">Scoring!D477</f>
        <v>0</v>
      </c>
      <c r="H471" s="138" t="str">
        <f aca="false">Scoring!BG477</f>
        <v/>
      </c>
      <c r="I471" s="140" t="str">
        <f aca="false">Scoring!BF477</f>
        <v/>
      </c>
    </row>
    <row r="472" customFormat="false" ht="15.75" hidden="false" customHeight="false" outlineLevel="0" collapsed="false">
      <c r="A472" s="138" t="str">
        <f aca="false">Scoring!BI478</f>
        <v/>
      </c>
      <c r="B472" s="138" t="str">
        <f aca="false">Scoring!BH478</f>
        <v/>
      </c>
      <c r="C472" s="138" t="n">
        <f aca="false">Scoring!C478</f>
        <v>0</v>
      </c>
      <c r="D472" s="139" t="str">
        <f aca="false">Scoring!BE478</f>
        <v/>
      </c>
      <c r="E472" s="138" t="str">
        <f aca="false">Scoring!AJ478</f>
        <v/>
      </c>
      <c r="F472" s="138" t="n">
        <f aca="false">Scoring!B478</f>
        <v>0</v>
      </c>
      <c r="G472" s="138" t="n">
        <f aca="false">Scoring!D478</f>
        <v>0</v>
      </c>
      <c r="H472" s="138" t="str">
        <f aca="false">Scoring!BG478</f>
        <v/>
      </c>
      <c r="I472" s="140" t="str">
        <f aca="false">Scoring!BF478</f>
        <v/>
      </c>
    </row>
    <row r="473" customFormat="false" ht="15.75" hidden="false" customHeight="false" outlineLevel="0" collapsed="false">
      <c r="A473" s="138" t="str">
        <f aca="false">Scoring!BI479</f>
        <v/>
      </c>
      <c r="B473" s="138" t="str">
        <f aca="false">Scoring!BH479</f>
        <v/>
      </c>
      <c r="C473" s="138" t="n">
        <f aca="false">Scoring!C479</f>
        <v>0</v>
      </c>
      <c r="D473" s="139" t="str">
        <f aca="false">Scoring!BE479</f>
        <v/>
      </c>
      <c r="E473" s="138" t="str">
        <f aca="false">Scoring!AJ479</f>
        <v/>
      </c>
      <c r="F473" s="138" t="n">
        <f aca="false">Scoring!B479</f>
        <v>0</v>
      </c>
      <c r="G473" s="138" t="n">
        <f aca="false">Scoring!D479</f>
        <v>0</v>
      </c>
      <c r="H473" s="138" t="str">
        <f aca="false">Scoring!BG479</f>
        <v/>
      </c>
      <c r="I473" s="140" t="str">
        <f aca="false">Scoring!BF479</f>
        <v/>
      </c>
    </row>
    <row r="474" customFormat="false" ht="15.75" hidden="false" customHeight="false" outlineLevel="0" collapsed="false">
      <c r="A474" s="138" t="str">
        <f aca="false">Scoring!BI480</f>
        <v/>
      </c>
      <c r="B474" s="138" t="str">
        <f aca="false">Scoring!BH480</f>
        <v/>
      </c>
      <c r="C474" s="138" t="n">
        <f aca="false">Scoring!C480</f>
        <v>0</v>
      </c>
      <c r="D474" s="139" t="str">
        <f aca="false">Scoring!BE480</f>
        <v/>
      </c>
      <c r="E474" s="138" t="str">
        <f aca="false">Scoring!AJ480</f>
        <v/>
      </c>
      <c r="F474" s="138" t="n">
        <f aca="false">Scoring!B480</f>
        <v>0</v>
      </c>
      <c r="G474" s="138" t="n">
        <f aca="false">Scoring!D480</f>
        <v>0</v>
      </c>
      <c r="H474" s="138" t="str">
        <f aca="false">Scoring!BG480</f>
        <v/>
      </c>
      <c r="I474" s="140" t="str">
        <f aca="false">Scoring!BF480</f>
        <v/>
      </c>
    </row>
    <row r="475" customFormat="false" ht="15.75" hidden="false" customHeight="false" outlineLevel="0" collapsed="false">
      <c r="A475" s="138" t="str">
        <f aca="false">Scoring!BI481</f>
        <v/>
      </c>
      <c r="B475" s="138" t="str">
        <f aca="false">Scoring!BH481</f>
        <v/>
      </c>
      <c r="C475" s="138" t="n">
        <f aca="false">Scoring!C481</f>
        <v>0</v>
      </c>
      <c r="D475" s="139" t="str">
        <f aca="false">Scoring!BE481</f>
        <v/>
      </c>
      <c r="E475" s="138" t="str">
        <f aca="false">Scoring!AJ481</f>
        <v/>
      </c>
      <c r="F475" s="138" t="n">
        <f aca="false">Scoring!B481</f>
        <v>0</v>
      </c>
      <c r="G475" s="138" t="n">
        <f aca="false">Scoring!D481</f>
        <v>0</v>
      </c>
      <c r="H475" s="138" t="str">
        <f aca="false">Scoring!BG481</f>
        <v/>
      </c>
      <c r="I475" s="140" t="str">
        <f aca="false">Scoring!BF481</f>
        <v/>
      </c>
    </row>
    <row r="476" customFormat="false" ht="15.75" hidden="false" customHeight="false" outlineLevel="0" collapsed="false">
      <c r="A476" s="138" t="str">
        <f aca="false">Scoring!BI482</f>
        <v/>
      </c>
      <c r="B476" s="138" t="str">
        <f aca="false">Scoring!BH482</f>
        <v/>
      </c>
      <c r="C476" s="138" t="n">
        <f aca="false">Scoring!C482</f>
        <v>0</v>
      </c>
      <c r="D476" s="139" t="str">
        <f aca="false">Scoring!BE482</f>
        <v/>
      </c>
      <c r="E476" s="138" t="str">
        <f aca="false">Scoring!AJ482</f>
        <v/>
      </c>
      <c r="F476" s="138" t="n">
        <f aca="false">Scoring!B482</f>
        <v>0</v>
      </c>
      <c r="G476" s="138" t="n">
        <f aca="false">Scoring!D482</f>
        <v>0</v>
      </c>
      <c r="H476" s="138" t="str">
        <f aca="false">Scoring!BG482</f>
        <v/>
      </c>
      <c r="I476" s="140" t="str">
        <f aca="false">Scoring!BF482</f>
        <v/>
      </c>
    </row>
    <row r="477" customFormat="false" ht="15.75" hidden="false" customHeight="false" outlineLevel="0" collapsed="false">
      <c r="A477" s="138" t="str">
        <f aca="false">Scoring!BI483</f>
        <v/>
      </c>
      <c r="B477" s="138" t="str">
        <f aca="false">Scoring!BH483</f>
        <v/>
      </c>
      <c r="C477" s="138" t="n">
        <f aca="false">Scoring!C483</f>
        <v>0</v>
      </c>
      <c r="D477" s="139" t="str">
        <f aca="false">Scoring!BE483</f>
        <v/>
      </c>
      <c r="E477" s="138" t="str">
        <f aca="false">Scoring!AJ483</f>
        <v/>
      </c>
      <c r="F477" s="138" t="n">
        <f aca="false">Scoring!B483</f>
        <v>0</v>
      </c>
      <c r="G477" s="138" t="n">
        <f aca="false">Scoring!D483</f>
        <v>0</v>
      </c>
      <c r="H477" s="138" t="str">
        <f aca="false">Scoring!BG483</f>
        <v/>
      </c>
      <c r="I477" s="140" t="str">
        <f aca="false">Scoring!BF483</f>
        <v/>
      </c>
    </row>
    <row r="478" customFormat="false" ht="15.75" hidden="false" customHeight="false" outlineLevel="0" collapsed="false">
      <c r="A478" s="138" t="str">
        <f aca="false">Scoring!BI484</f>
        <v/>
      </c>
      <c r="B478" s="138" t="str">
        <f aca="false">Scoring!BH484</f>
        <v/>
      </c>
      <c r="C478" s="138" t="n">
        <f aca="false">Scoring!C484</f>
        <v>0</v>
      </c>
      <c r="D478" s="139" t="str">
        <f aca="false">Scoring!BE484</f>
        <v/>
      </c>
      <c r="E478" s="138" t="str">
        <f aca="false">Scoring!AJ484</f>
        <v/>
      </c>
      <c r="F478" s="138" t="n">
        <f aca="false">Scoring!B484</f>
        <v>0</v>
      </c>
      <c r="G478" s="138" t="n">
        <f aca="false">Scoring!D484</f>
        <v>0</v>
      </c>
      <c r="H478" s="138" t="str">
        <f aca="false">Scoring!BG484</f>
        <v/>
      </c>
      <c r="I478" s="140" t="str">
        <f aca="false">Scoring!BF484</f>
        <v/>
      </c>
    </row>
    <row r="479" customFormat="false" ht="15.75" hidden="false" customHeight="false" outlineLevel="0" collapsed="false">
      <c r="A479" s="138" t="str">
        <f aca="false">Scoring!BI485</f>
        <v/>
      </c>
      <c r="B479" s="138" t="str">
        <f aca="false">Scoring!BH485</f>
        <v/>
      </c>
      <c r="C479" s="138" t="n">
        <f aca="false">Scoring!C485</f>
        <v>0</v>
      </c>
      <c r="D479" s="139" t="str">
        <f aca="false">Scoring!BE485</f>
        <v/>
      </c>
      <c r="E479" s="138" t="str">
        <f aca="false">Scoring!AJ485</f>
        <v/>
      </c>
      <c r="F479" s="138" t="n">
        <f aca="false">Scoring!B485</f>
        <v>0</v>
      </c>
      <c r="G479" s="138" t="n">
        <f aca="false">Scoring!D485</f>
        <v>0</v>
      </c>
      <c r="H479" s="138" t="str">
        <f aca="false">Scoring!BG485</f>
        <v/>
      </c>
      <c r="I479" s="140" t="str">
        <f aca="false">Scoring!BF485</f>
        <v/>
      </c>
    </row>
    <row r="480" customFormat="false" ht="15.75" hidden="false" customHeight="false" outlineLevel="0" collapsed="false">
      <c r="A480" s="138" t="str">
        <f aca="false">Scoring!BI486</f>
        <v/>
      </c>
      <c r="B480" s="138" t="str">
        <f aca="false">Scoring!BH486</f>
        <v/>
      </c>
      <c r="C480" s="138" t="n">
        <f aca="false">Scoring!C486</f>
        <v>0</v>
      </c>
      <c r="D480" s="139" t="str">
        <f aca="false">Scoring!BE486</f>
        <v/>
      </c>
      <c r="E480" s="138" t="str">
        <f aca="false">Scoring!AJ486</f>
        <v/>
      </c>
      <c r="F480" s="138" t="n">
        <f aca="false">Scoring!B486</f>
        <v>0</v>
      </c>
      <c r="G480" s="138" t="n">
        <f aca="false">Scoring!D486</f>
        <v>0</v>
      </c>
      <c r="H480" s="138" t="str">
        <f aca="false">Scoring!BG486</f>
        <v/>
      </c>
      <c r="I480" s="140" t="str">
        <f aca="false">Scoring!BF486</f>
        <v/>
      </c>
    </row>
    <row r="481" customFormat="false" ht="15.75" hidden="false" customHeight="false" outlineLevel="0" collapsed="false">
      <c r="A481" s="138" t="str">
        <f aca="false">Scoring!BI487</f>
        <v/>
      </c>
      <c r="B481" s="138" t="str">
        <f aca="false">Scoring!BH487</f>
        <v/>
      </c>
      <c r="C481" s="138" t="n">
        <f aca="false">Scoring!C487</f>
        <v>0</v>
      </c>
      <c r="D481" s="139" t="str">
        <f aca="false">Scoring!BE487</f>
        <v/>
      </c>
      <c r="E481" s="138" t="str">
        <f aca="false">Scoring!AJ487</f>
        <v/>
      </c>
      <c r="F481" s="138" t="n">
        <f aca="false">Scoring!B487</f>
        <v>0</v>
      </c>
      <c r="G481" s="138" t="n">
        <f aca="false">Scoring!D487</f>
        <v>0</v>
      </c>
      <c r="H481" s="138" t="str">
        <f aca="false">Scoring!BG487</f>
        <v/>
      </c>
      <c r="I481" s="140" t="str">
        <f aca="false">Scoring!BF487</f>
        <v/>
      </c>
    </row>
    <row r="482" customFormat="false" ht="15.75" hidden="false" customHeight="false" outlineLevel="0" collapsed="false">
      <c r="A482" s="138" t="str">
        <f aca="false">Scoring!BI488</f>
        <v/>
      </c>
      <c r="B482" s="138" t="str">
        <f aca="false">Scoring!BH488</f>
        <v/>
      </c>
      <c r="C482" s="138" t="n">
        <f aca="false">Scoring!C488</f>
        <v>0</v>
      </c>
      <c r="D482" s="139" t="str">
        <f aca="false">Scoring!BE488</f>
        <v/>
      </c>
      <c r="E482" s="138" t="str">
        <f aca="false">Scoring!AJ488</f>
        <v/>
      </c>
      <c r="F482" s="138" t="n">
        <f aca="false">Scoring!B488</f>
        <v>0</v>
      </c>
      <c r="G482" s="138" t="n">
        <f aca="false">Scoring!D488</f>
        <v>0</v>
      </c>
      <c r="H482" s="138" t="str">
        <f aca="false">Scoring!BG488</f>
        <v/>
      </c>
      <c r="I482" s="140" t="str">
        <f aca="false">Scoring!BF488</f>
        <v/>
      </c>
    </row>
    <row r="483" customFormat="false" ht="15.75" hidden="false" customHeight="false" outlineLevel="0" collapsed="false">
      <c r="A483" s="138" t="str">
        <f aca="false">Scoring!BI489</f>
        <v/>
      </c>
      <c r="B483" s="138" t="str">
        <f aca="false">Scoring!BH489</f>
        <v/>
      </c>
      <c r="C483" s="138" t="n">
        <f aca="false">Scoring!C489</f>
        <v>0</v>
      </c>
      <c r="D483" s="139" t="str">
        <f aca="false">Scoring!BE489</f>
        <v/>
      </c>
      <c r="E483" s="138" t="str">
        <f aca="false">Scoring!AJ489</f>
        <v/>
      </c>
      <c r="F483" s="138" t="n">
        <f aca="false">Scoring!B489</f>
        <v>0</v>
      </c>
      <c r="G483" s="138" t="n">
        <f aca="false">Scoring!D489</f>
        <v>0</v>
      </c>
      <c r="H483" s="138" t="str">
        <f aca="false">Scoring!BG489</f>
        <v/>
      </c>
      <c r="I483" s="140" t="str">
        <f aca="false">Scoring!BF489</f>
        <v/>
      </c>
    </row>
    <row r="484" customFormat="false" ht="15.75" hidden="false" customHeight="false" outlineLevel="0" collapsed="false">
      <c r="A484" s="138" t="str">
        <f aca="false">Scoring!BI490</f>
        <v/>
      </c>
      <c r="B484" s="138" t="str">
        <f aca="false">Scoring!BH490</f>
        <v/>
      </c>
      <c r="C484" s="138" t="n">
        <f aca="false">Scoring!C490</f>
        <v>0</v>
      </c>
      <c r="D484" s="139" t="str">
        <f aca="false">Scoring!BE490</f>
        <v/>
      </c>
      <c r="E484" s="138" t="str">
        <f aca="false">Scoring!AJ490</f>
        <v/>
      </c>
      <c r="F484" s="138" t="n">
        <f aca="false">Scoring!B490</f>
        <v>0</v>
      </c>
      <c r="G484" s="138" t="n">
        <f aca="false">Scoring!D490</f>
        <v>0</v>
      </c>
      <c r="H484" s="138" t="str">
        <f aca="false">Scoring!BG490</f>
        <v/>
      </c>
      <c r="I484" s="140" t="str">
        <f aca="false">Scoring!BF490</f>
        <v/>
      </c>
    </row>
    <row r="485" customFormat="false" ht="15.75" hidden="false" customHeight="false" outlineLevel="0" collapsed="false">
      <c r="A485" s="138" t="str">
        <f aca="false">Scoring!BI491</f>
        <v/>
      </c>
      <c r="B485" s="138" t="str">
        <f aca="false">Scoring!BH491</f>
        <v/>
      </c>
      <c r="C485" s="138" t="n">
        <f aca="false">Scoring!C491</f>
        <v>0</v>
      </c>
      <c r="D485" s="139" t="str">
        <f aca="false">Scoring!BE491</f>
        <v/>
      </c>
      <c r="E485" s="138" t="str">
        <f aca="false">Scoring!AJ491</f>
        <v/>
      </c>
      <c r="F485" s="138" t="n">
        <f aca="false">Scoring!B491</f>
        <v>0</v>
      </c>
      <c r="G485" s="138" t="n">
        <f aca="false">Scoring!D491</f>
        <v>0</v>
      </c>
      <c r="H485" s="138" t="str">
        <f aca="false">Scoring!BG491</f>
        <v/>
      </c>
      <c r="I485" s="140" t="str">
        <f aca="false">Scoring!BF491</f>
        <v/>
      </c>
    </row>
    <row r="486" customFormat="false" ht="15.75" hidden="false" customHeight="false" outlineLevel="0" collapsed="false">
      <c r="A486" s="138" t="str">
        <f aca="false">Scoring!BI492</f>
        <v/>
      </c>
      <c r="B486" s="138" t="str">
        <f aca="false">Scoring!BH492</f>
        <v/>
      </c>
      <c r="C486" s="138" t="n">
        <f aca="false">Scoring!C492</f>
        <v>0</v>
      </c>
      <c r="D486" s="139" t="str">
        <f aca="false">Scoring!BE492</f>
        <v/>
      </c>
      <c r="E486" s="138" t="str">
        <f aca="false">Scoring!AJ492</f>
        <v/>
      </c>
      <c r="F486" s="138" t="n">
        <f aca="false">Scoring!B492</f>
        <v>0</v>
      </c>
      <c r="G486" s="138" t="n">
        <f aca="false">Scoring!D492</f>
        <v>0</v>
      </c>
      <c r="H486" s="138" t="str">
        <f aca="false">Scoring!BG492</f>
        <v/>
      </c>
      <c r="I486" s="140" t="str">
        <f aca="false">Scoring!BF492</f>
        <v/>
      </c>
    </row>
    <row r="487" customFormat="false" ht="15.75" hidden="false" customHeight="false" outlineLevel="0" collapsed="false">
      <c r="A487" s="138" t="str">
        <f aca="false">Scoring!BI493</f>
        <v/>
      </c>
      <c r="B487" s="138" t="str">
        <f aca="false">Scoring!BH493</f>
        <v/>
      </c>
      <c r="C487" s="138" t="n">
        <f aca="false">Scoring!C493</f>
        <v>0</v>
      </c>
      <c r="D487" s="139" t="str">
        <f aca="false">Scoring!BE493</f>
        <v/>
      </c>
      <c r="E487" s="138" t="str">
        <f aca="false">Scoring!AJ493</f>
        <v/>
      </c>
      <c r="F487" s="138" t="n">
        <f aca="false">Scoring!B493</f>
        <v>0</v>
      </c>
      <c r="G487" s="138" t="n">
        <f aca="false">Scoring!D493</f>
        <v>0</v>
      </c>
      <c r="H487" s="138" t="str">
        <f aca="false">Scoring!BG493</f>
        <v/>
      </c>
      <c r="I487" s="140" t="str">
        <f aca="false">Scoring!BF493</f>
        <v/>
      </c>
    </row>
    <row r="488" customFormat="false" ht="15.75" hidden="false" customHeight="false" outlineLevel="0" collapsed="false">
      <c r="A488" s="138" t="str">
        <f aca="false">Scoring!BI494</f>
        <v/>
      </c>
      <c r="B488" s="138" t="str">
        <f aca="false">Scoring!BH494</f>
        <v/>
      </c>
      <c r="C488" s="138" t="n">
        <f aca="false">Scoring!C494</f>
        <v>0</v>
      </c>
      <c r="D488" s="139" t="str">
        <f aca="false">Scoring!BE494</f>
        <v/>
      </c>
      <c r="E488" s="138" t="str">
        <f aca="false">Scoring!AJ494</f>
        <v/>
      </c>
      <c r="F488" s="138" t="n">
        <f aca="false">Scoring!B494</f>
        <v>0</v>
      </c>
      <c r="G488" s="138" t="n">
        <f aca="false">Scoring!D494</f>
        <v>0</v>
      </c>
      <c r="H488" s="138" t="str">
        <f aca="false">Scoring!BG494</f>
        <v/>
      </c>
      <c r="I488" s="140" t="str">
        <f aca="false">Scoring!BF494</f>
        <v/>
      </c>
    </row>
    <row r="489" customFormat="false" ht="15.75" hidden="false" customHeight="false" outlineLevel="0" collapsed="false">
      <c r="A489" s="138" t="str">
        <f aca="false">Scoring!BI495</f>
        <v/>
      </c>
      <c r="B489" s="138" t="str">
        <f aca="false">Scoring!BH495</f>
        <v/>
      </c>
      <c r="C489" s="138" t="n">
        <f aca="false">Scoring!C495</f>
        <v>0</v>
      </c>
      <c r="D489" s="139" t="str">
        <f aca="false">Scoring!BE495</f>
        <v/>
      </c>
      <c r="E489" s="138" t="str">
        <f aca="false">Scoring!AJ495</f>
        <v/>
      </c>
      <c r="F489" s="138" t="n">
        <f aca="false">Scoring!B495</f>
        <v>0</v>
      </c>
      <c r="G489" s="138" t="n">
        <f aca="false">Scoring!D495</f>
        <v>0</v>
      </c>
      <c r="H489" s="138" t="str">
        <f aca="false">Scoring!BG495</f>
        <v/>
      </c>
      <c r="I489" s="140" t="str">
        <f aca="false">Scoring!BF495</f>
        <v/>
      </c>
    </row>
    <row r="490" customFormat="false" ht="15.75" hidden="false" customHeight="false" outlineLevel="0" collapsed="false">
      <c r="A490" s="138" t="str">
        <f aca="false">Scoring!BI496</f>
        <v/>
      </c>
      <c r="B490" s="138" t="str">
        <f aca="false">Scoring!BH496</f>
        <v/>
      </c>
      <c r="C490" s="138" t="n">
        <f aca="false">Scoring!C496</f>
        <v>0</v>
      </c>
      <c r="D490" s="139" t="str">
        <f aca="false">Scoring!BE496</f>
        <v/>
      </c>
      <c r="E490" s="138" t="str">
        <f aca="false">Scoring!AJ496</f>
        <v/>
      </c>
      <c r="F490" s="138" t="n">
        <f aca="false">Scoring!B496</f>
        <v>0</v>
      </c>
      <c r="G490" s="138" t="n">
        <f aca="false">Scoring!D496</f>
        <v>0</v>
      </c>
      <c r="H490" s="138" t="str">
        <f aca="false">Scoring!BG496</f>
        <v/>
      </c>
      <c r="I490" s="140" t="str">
        <f aca="false">Scoring!BF496</f>
        <v/>
      </c>
    </row>
    <row r="491" customFormat="false" ht="15.75" hidden="false" customHeight="false" outlineLevel="0" collapsed="false">
      <c r="A491" s="138" t="str">
        <f aca="false">Scoring!BI497</f>
        <v/>
      </c>
      <c r="B491" s="138" t="str">
        <f aca="false">Scoring!BH497</f>
        <v/>
      </c>
      <c r="C491" s="138" t="n">
        <f aca="false">Scoring!C497</f>
        <v>0</v>
      </c>
      <c r="D491" s="139" t="str">
        <f aca="false">Scoring!BE497</f>
        <v/>
      </c>
      <c r="E491" s="138" t="str">
        <f aca="false">Scoring!AJ497</f>
        <v/>
      </c>
      <c r="F491" s="138" t="n">
        <f aca="false">Scoring!B497</f>
        <v>0</v>
      </c>
      <c r="G491" s="138" t="n">
        <f aca="false">Scoring!D497</f>
        <v>0</v>
      </c>
      <c r="H491" s="138" t="str">
        <f aca="false">Scoring!BG497</f>
        <v/>
      </c>
      <c r="I491" s="140" t="str">
        <f aca="false">Scoring!BF497</f>
        <v/>
      </c>
    </row>
    <row r="492" customFormat="false" ht="15.75" hidden="false" customHeight="false" outlineLevel="0" collapsed="false">
      <c r="A492" s="138" t="str">
        <f aca="false">Scoring!BI498</f>
        <v/>
      </c>
      <c r="B492" s="138" t="str">
        <f aca="false">Scoring!BH498</f>
        <v/>
      </c>
      <c r="C492" s="138" t="n">
        <f aca="false">Scoring!C498</f>
        <v>0</v>
      </c>
      <c r="D492" s="139" t="str">
        <f aca="false">Scoring!BE498</f>
        <v/>
      </c>
      <c r="E492" s="138" t="str">
        <f aca="false">Scoring!AJ498</f>
        <v/>
      </c>
      <c r="F492" s="138" t="n">
        <f aca="false">Scoring!B498</f>
        <v>0</v>
      </c>
      <c r="G492" s="138" t="n">
        <f aca="false">Scoring!D498</f>
        <v>0</v>
      </c>
      <c r="H492" s="138" t="str">
        <f aca="false">Scoring!BG498</f>
        <v/>
      </c>
      <c r="I492" s="140" t="str">
        <f aca="false">Scoring!BF498</f>
        <v/>
      </c>
    </row>
    <row r="493" customFormat="false" ht="15.75" hidden="false" customHeight="false" outlineLevel="0" collapsed="false">
      <c r="A493" s="138" t="str">
        <f aca="false">Scoring!BI499</f>
        <v/>
      </c>
      <c r="B493" s="138" t="str">
        <f aca="false">Scoring!BH499</f>
        <v/>
      </c>
      <c r="C493" s="138" t="n">
        <f aca="false">Scoring!C499</f>
        <v>0</v>
      </c>
      <c r="D493" s="139" t="str">
        <f aca="false">Scoring!BE499</f>
        <v/>
      </c>
      <c r="E493" s="138" t="str">
        <f aca="false">Scoring!AJ499</f>
        <v/>
      </c>
      <c r="F493" s="138" t="n">
        <f aca="false">Scoring!B499</f>
        <v>0</v>
      </c>
      <c r="G493" s="138" t="n">
        <f aca="false">Scoring!D499</f>
        <v>0</v>
      </c>
      <c r="H493" s="138" t="str">
        <f aca="false">Scoring!BG499</f>
        <v/>
      </c>
      <c r="I493" s="140" t="str">
        <f aca="false">Scoring!BF499</f>
        <v/>
      </c>
    </row>
    <row r="494" customFormat="false" ht="15.75" hidden="false" customHeight="false" outlineLevel="0" collapsed="false">
      <c r="A494" s="138" t="str">
        <f aca="false">Scoring!BI500</f>
        <v/>
      </c>
      <c r="B494" s="138" t="str">
        <f aca="false">Scoring!BH500</f>
        <v/>
      </c>
      <c r="C494" s="138" t="n">
        <f aca="false">Scoring!C500</f>
        <v>0</v>
      </c>
      <c r="D494" s="139" t="str">
        <f aca="false">Scoring!BE500</f>
        <v/>
      </c>
      <c r="E494" s="138" t="str">
        <f aca="false">Scoring!AJ500</f>
        <v/>
      </c>
      <c r="F494" s="138" t="n">
        <f aca="false">Scoring!B500</f>
        <v>0</v>
      </c>
      <c r="G494" s="138" t="n">
        <f aca="false">Scoring!D500</f>
        <v>0</v>
      </c>
      <c r="H494" s="138" t="str">
        <f aca="false">Scoring!BG500</f>
        <v/>
      </c>
      <c r="I494" s="140" t="str">
        <f aca="false">Scoring!BF500</f>
        <v/>
      </c>
    </row>
    <row r="495" customFormat="false" ht="15.75" hidden="false" customHeight="false" outlineLevel="0" collapsed="false">
      <c r="A495" s="138" t="str">
        <f aca="false">Scoring!BI501</f>
        <v/>
      </c>
      <c r="B495" s="138" t="str">
        <f aca="false">Scoring!BH501</f>
        <v/>
      </c>
      <c r="C495" s="138" t="n">
        <f aca="false">Scoring!C501</f>
        <v>0</v>
      </c>
      <c r="D495" s="139" t="str">
        <f aca="false">Scoring!BE501</f>
        <v/>
      </c>
      <c r="E495" s="138" t="str">
        <f aca="false">Scoring!AJ501</f>
        <v/>
      </c>
      <c r="F495" s="138" t="n">
        <f aca="false">Scoring!B501</f>
        <v>0</v>
      </c>
      <c r="G495" s="138" t="n">
        <f aca="false">Scoring!D501</f>
        <v>0</v>
      </c>
      <c r="H495" s="138" t="str">
        <f aca="false">Scoring!BG501</f>
        <v/>
      </c>
      <c r="I495" s="140" t="str">
        <f aca="false">Scoring!BF501</f>
        <v/>
      </c>
    </row>
    <row r="496" customFormat="false" ht="15.75" hidden="false" customHeight="false" outlineLevel="0" collapsed="false">
      <c r="A496" s="138" t="str">
        <f aca="false">Scoring!BI502</f>
        <v/>
      </c>
      <c r="B496" s="138" t="str">
        <f aca="false">Scoring!BH502</f>
        <v/>
      </c>
      <c r="C496" s="138" t="n">
        <f aca="false">Scoring!C502</f>
        <v>0</v>
      </c>
      <c r="D496" s="139" t="str">
        <f aca="false">Scoring!BE502</f>
        <v/>
      </c>
      <c r="E496" s="138" t="str">
        <f aca="false">Scoring!AJ502</f>
        <v/>
      </c>
      <c r="F496" s="138" t="n">
        <f aca="false">Scoring!B502</f>
        <v>0</v>
      </c>
      <c r="G496" s="138" t="n">
        <f aca="false">Scoring!D502</f>
        <v>0</v>
      </c>
      <c r="H496" s="138" t="str">
        <f aca="false">Scoring!BG502</f>
        <v/>
      </c>
      <c r="I496" s="140" t="str">
        <f aca="false">Scoring!BF502</f>
        <v/>
      </c>
    </row>
    <row r="497" customFormat="false" ht="15.75" hidden="false" customHeight="false" outlineLevel="0" collapsed="false">
      <c r="A497" s="138" t="str">
        <f aca="false">Scoring!BI503</f>
        <v/>
      </c>
      <c r="B497" s="138" t="str">
        <f aca="false">Scoring!BH503</f>
        <v/>
      </c>
      <c r="C497" s="138" t="n">
        <f aca="false">Scoring!C503</f>
        <v>0</v>
      </c>
      <c r="D497" s="139" t="str">
        <f aca="false">Scoring!BE503</f>
        <v/>
      </c>
      <c r="E497" s="138" t="str">
        <f aca="false">Scoring!AJ503</f>
        <v/>
      </c>
      <c r="F497" s="138" t="n">
        <f aca="false">Scoring!B503</f>
        <v>0</v>
      </c>
      <c r="G497" s="138" t="n">
        <f aca="false">Scoring!D503</f>
        <v>0</v>
      </c>
      <c r="H497" s="138" t="str">
        <f aca="false">Scoring!BG503</f>
        <v/>
      </c>
      <c r="I497" s="140" t="str">
        <f aca="false">Scoring!BF503</f>
        <v/>
      </c>
    </row>
    <row r="498" customFormat="false" ht="15.75" hidden="false" customHeight="false" outlineLevel="0" collapsed="false">
      <c r="A498" s="138" t="str">
        <f aca="false">Scoring!BI504</f>
        <v/>
      </c>
      <c r="B498" s="138" t="str">
        <f aca="false">Scoring!BH504</f>
        <v/>
      </c>
      <c r="C498" s="138" t="n">
        <f aca="false">Scoring!C504</f>
        <v>0</v>
      </c>
      <c r="D498" s="139" t="str">
        <f aca="false">Scoring!BE504</f>
        <v/>
      </c>
      <c r="E498" s="138" t="str">
        <f aca="false">Scoring!AJ504</f>
        <v/>
      </c>
      <c r="F498" s="138" t="n">
        <f aca="false">Scoring!B504</f>
        <v>0</v>
      </c>
      <c r="G498" s="138" t="n">
        <f aca="false">Scoring!D504</f>
        <v>0</v>
      </c>
      <c r="H498" s="138" t="str">
        <f aca="false">Scoring!BG504</f>
        <v/>
      </c>
      <c r="I498" s="140" t="str">
        <f aca="false">Scoring!BF504</f>
        <v/>
      </c>
    </row>
    <row r="499" customFormat="false" ht="15.75" hidden="false" customHeight="false" outlineLevel="0" collapsed="false">
      <c r="A499" s="138" t="str">
        <f aca="false">Scoring!BI505</f>
        <v/>
      </c>
      <c r="B499" s="138" t="str">
        <f aca="false">Scoring!BH505</f>
        <v/>
      </c>
      <c r="C499" s="138" t="n">
        <f aca="false">Scoring!C505</f>
        <v>0</v>
      </c>
      <c r="D499" s="139" t="str">
        <f aca="false">Scoring!BE505</f>
        <v/>
      </c>
      <c r="E499" s="138" t="str">
        <f aca="false">Scoring!AJ505</f>
        <v/>
      </c>
      <c r="F499" s="138" t="n">
        <f aca="false">Scoring!B505</f>
        <v>0</v>
      </c>
      <c r="G499" s="138" t="n">
        <f aca="false">Scoring!D505</f>
        <v>0</v>
      </c>
      <c r="H499" s="138" t="str">
        <f aca="false">Scoring!BG505</f>
        <v/>
      </c>
      <c r="I499" s="140" t="str">
        <f aca="false">Scoring!BF505</f>
        <v/>
      </c>
    </row>
    <row r="500" customFormat="false" ht="15.75" hidden="false" customHeight="false" outlineLevel="0" collapsed="false">
      <c r="A500" s="138" t="str">
        <f aca="false">Scoring!BI506</f>
        <v/>
      </c>
      <c r="B500" s="138" t="str">
        <f aca="false">Scoring!BH506</f>
        <v/>
      </c>
      <c r="C500" s="138" t="n">
        <f aca="false">Scoring!C506</f>
        <v>0</v>
      </c>
      <c r="D500" s="139" t="str">
        <f aca="false">Scoring!BE506</f>
        <v/>
      </c>
      <c r="E500" s="138" t="str">
        <f aca="false">Scoring!AJ506</f>
        <v/>
      </c>
      <c r="F500" s="138" t="n">
        <f aca="false">Scoring!B506</f>
        <v>0</v>
      </c>
      <c r="G500" s="138" t="n">
        <f aca="false">Scoring!D506</f>
        <v>0</v>
      </c>
      <c r="H500" s="138" t="str">
        <f aca="false">Scoring!BG506</f>
        <v/>
      </c>
      <c r="I500" s="140" t="str">
        <f aca="false">Scoring!BF506</f>
        <v/>
      </c>
    </row>
    <row r="501" customFormat="false" ht="15.75" hidden="false" customHeight="false" outlineLevel="0" collapsed="false">
      <c r="A501" s="138" t="str">
        <f aca="false">Scoring!BI507</f>
        <v/>
      </c>
      <c r="B501" s="138" t="str">
        <f aca="false">Scoring!BH507</f>
        <v/>
      </c>
      <c r="C501" s="138" t="n">
        <f aca="false">Scoring!C507</f>
        <v>0</v>
      </c>
      <c r="D501" s="139" t="str">
        <f aca="false">Scoring!BE507</f>
        <v/>
      </c>
      <c r="E501" s="138" t="str">
        <f aca="false">Scoring!AJ507</f>
        <v/>
      </c>
      <c r="F501" s="138" t="n">
        <f aca="false">Scoring!B507</f>
        <v>0</v>
      </c>
      <c r="G501" s="138" t="n">
        <f aca="false">Scoring!D507</f>
        <v>0</v>
      </c>
      <c r="H501" s="138" t="str">
        <f aca="false">Scoring!BG507</f>
        <v/>
      </c>
      <c r="I501" s="140" t="str">
        <f aca="false">Scoring!BF507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2026-09-18T14:55:37Z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